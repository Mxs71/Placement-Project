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Maxs1\OneDrive\Documents\GitHub\Placement-Project\data_raw\"/>
    </mc:Choice>
  </mc:AlternateContent>
  <xr:revisionPtr revIDLastSave="0" documentId="13_ncr:1_{77CEA6DF-9A1F-44E1-BF6E-37A626D3D43F}" xr6:coauthVersionLast="47" xr6:coauthVersionMax="47" xr10:uidLastSave="{00000000-0000-0000-0000-000000000000}"/>
  <bookViews>
    <workbookView xWindow="3072" yWindow="3072" windowWidth="17280" windowHeight="9960" activeTab="1" xr2:uid="{00000000-000D-0000-FFFF-FFFF00000000}"/>
  </bookViews>
  <sheets>
    <sheet name="Cover" sheetId="5" r:id="rId1"/>
    <sheet name="Codes_for_GE_Names" sheetId="1" r:id="rId2"/>
    <sheet name="Codes_for_AS_Names" sheetId="6" r:id="rId3"/>
  </sheets>
  <externalReferences>
    <externalReference r:id="rId4"/>
    <externalReference r:id="rId5"/>
    <externalReference r:id="rId6"/>
    <externalReference r:id="rId7"/>
  </externalReferences>
  <definedNames>
    <definedName name="_xlnm._FilterDatabase" localSheetId="2" hidden="1">Codes_for_AS_Names!$A$3:$E$3</definedName>
    <definedName name="_xlnm._FilterDatabase" localSheetId="1" hidden="1">Codes_for_GE_Names!$A$1:$F$1</definedName>
    <definedName name="Feature_Def" localSheetId="0">'[1]Feature Types'!#REF!</definedName>
    <definedName name="Feature_Def">[2]Entity_Types!#REF!</definedName>
    <definedName name="ignore_me">[3]Info_Types!#REF!</definedName>
    <definedName name="ignore_me2">[3]Info_Types!#REF!</definedName>
    <definedName name="IHO_T_FeatureType">#REF!</definedName>
    <definedName name="_xlnm.Print_Titles" localSheetId="1">Codes_for_GE_Names!$1:$1</definedName>
    <definedName name="tblClassISO">#REF!</definedName>
    <definedName name="TEMPER">[4]DVOF_Map!$A$1:$AB$187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1" i="1" l="1"/>
  <c r="G280" i="1"/>
  <c r="G279" i="1"/>
  <c r="G276" i="1"/>
  <c r="G272" i="1"/>
  <c r="G271" i="1"/>
  <c r="G269" i="1"/>
  <c r="G268" i="1"/>
  <c r="G267" i="1"/>
  <c r="G265" i="1"/>
  <c r="G264" i="1"/>
  <c r="G263" i="1"/>
  <c r="G262" i="1"/>
  <c r="G261" i="1"/>
  <c r="G260" i="1"/>
  <c r="G258" i="1"/>
  <c r="G257" i="1"/>
  <c r="G256" i="1"/>
  <c r="G254" i="1"/>
  <c r="G253" i="1"/>
  <c r="G251" i="1"/>
  <c r="G250" i="1"/>
  <c r="G249" i="1"/>
  <c r="G248" i="1"/>
  <c r="G247" i="1"/>
  <c r="G246" i="1"/>
  <c r="G245" i="1"/>
  <c r="G244" i="1"/>
  <c r="G243" i="1"/>
  <c r="G241" i="1"/>
  <c r="G240" i="1"/>
  <c r="G239" i="1"/>
  <c r="G237" i="1"/>
  <c r="G236" i="1"/>
  <c r="G234" i="1"/>
  <c r="G233" i="1"/>
  <c r="G232" i="1"/>
  <c r="G231" i="1"/>
  <c r="G230" i="1"/>
  <c r="G228" i="1"/>
  <c r="G227" i="1"/>
  <c r="G226" i="1"/>
  <c r="G225" i="1"/>
  <c r="G224" i="1"/>
  <c r="G223" i="1"/>
  <c r="G222" i="1"/>
  <c r="G221" i="1"/>
  <c r="G220" i="1"/>
  <c r="G219" i="1"/>
  <c r="G216" i="1"/>
  <c r="G215" i="1"/>
  <c r="G214" i="1"/>
  <c r="G212" i="1"/>
  <c r="G211" i="1"/>
  <c r="G210" i="1"/>
  <c r="G208" i="1"/>
  <c r="G206" i="1"/>
  <c r="G205" i="1"/>
  <c r="G203" i="1"/>
  <c r="G202" i="1"/>
  <c r="G201" i="1"/>
  <c r="G199" i="1"/>
  <c r="G198" i="1"/>
  <c r="G196" i="1"/>
  <c r="G195" i="1"/>
  <c r="G194" i="1"/>
  <c r="G193" i="1"/>
  <c r="G191" i="1"/>
  <c r="G188" i="1"/>
  <c r="G187" i="1"/>
  <c r="G186" i="1"/>
  <c r="G185" i="1"/>
  <c r="G184" i="1"/>
  <c r="G183" i="1"/>
  <c r="G182" i="1"/>
  <c r="G180" i="1"/>
  <c r="G179" i="1"/>
  <c r="G178" i="1"/>
  <c r="G177" i="1"/>
  <c r="G176" i="1"/>
  <c r="G175" i="1"/>
  <c r="G174" i="1"/>
  <c r="G173" i="1"/>
  <c r="G172" i="1"/>
  <c r="G170" i="1"/>
  <c r="G169" i="1"/>
  <c r="G167" i="1"/>
  <c r="G166" i="1"/>
  <c r="G164" i="1"/>
  <c r="G163" i="1"/>
  <c r="G162" i="1"/>
  <c r="G161" i="1"/>
  <c r="G160" i="1"/>
  <c r="G159" i="1"/>
  <c r="G158" i="1"/>
  <c r="G156" i="1"/>
  <c r="G155" i="1"/>
  <c r="G154" i="1"/>
  <c r="G153" i="1"/>
  <c r="G152" i="1"/>
  <c r="G151" i="1"/>
  <c r="G150" i="1"/>
  <c r="G149" i="1"/>
  <c r="G148" i="1"/>
  <c r="G147" i="1"/>
  <c r="G146" i="1"/>
  <c r="G145" i="1"/>
  <c r="G144" i="1"/>
  <c r="G143" i="1"/>
  <c r="G140" i="1"/>
  <c r="G139" i="1"/>
  <c r="G137" i="1"/>
  <c r="G133" i="1"/>
  <c r="G131" i="1"/>
  <c r="G130" i="1"/>
  <c r="G129" i="1"/>
  <c r="G127" i="1"/>
  <c r="G126" i="1"/>
  <c r="G125" i="1"/>
  <c r="G124" i="1"/>
  <c r="G123" i="1"/>
  <c r="G122" i="1"/>
  <c r="G121" i="1"/>
  <c r="G118" i="1"/>
  <c r="G116" i="1"/>
  <c r="G115" i="1"/>
  <c r="G114" i="1"/>
  <c r="G113" i="1"/>
  <c r="G111" i="1"/>
  <c r="G107" i="1"/>
  <c r="G106" i="1"/>
  <c r="G105" i="1"/>
  <c r="G102" i="1"/>
  <c r="G101" i="1"/>
  <c r="G100" i="1"/>
  <c r="G98" i="1"/>
  <c r="G97" i="1"/>
  <c r="G95" i="1"/>
  <c r="G93" i="1"/>
  <c r="G92" i="1"/>
  <c r="G91" i="1"/>
  <c r="G90" i="1"/>
  <c r="G87" i="1"/>
  <c r="G86" i="1"/>
  <c r="G85" i="1"/>
  <c r="G84" i="1"/>
  <c r="G83" i="1"/>
  <c r="G76" i="1"/>
  <c r="G75" i="1"/>
  <c r="G74" i="1"/>
  <c r="G73" i="1"/>
  <c r="G72" i="1"/>
  <c r="G71" i="1"/>
  <c r="G68" i="1"/>
  <c r="G67" i="1"/>
  <c r="G66" i="1"/>
  <c r="G64" i="1"/>
  <c r="G63" i="1"/>
  <c r="G62" i="1"/>
  <c r="G61" i="1"/>
  <c r="G58" i="1"/>
  <c r="G57" i="1"/>
  <c r="G56" i="1"/>
  <c r="G55" i="1"/>
  <c r="G51" i="1"/>
  <c r="G50" i="1"/>
  <c r="G49" i="1"/>
  <c r="G48" i="1"/>
  <c r="G46" i="1"/>
  <c r="G45" i="1"/>
  <c r="G44" i="1"/>
  <c r="G43" i="1"/>
  <c r="G42" i="1"/>
  <c r="G41" i="1"/>
  <c r="G40" i="1"/>
  <c r="G39" i="1"/>
  <c r="G38" i="1"/>
  <c r="G36" i="1"/>
  <c r="G34" i="1"/>
  <c r="G33" i="1"/>
  <c r="G32" i="1"/>
  <c r="G31" i="1"/>
  <c r="G30" i="1"/>
  <c r="G29" i="1"/>
  <c r="G28" i="1"/>
  <c r="G27" i="1"/>
  <c r="G26" i="1"/>
  <c r="G25" i="1"/>
  <c r="G23" i="1"/>
  <c r="G22" i="1"/>
  <c r="G20" i="1"/>
  <c r="G19" i="1"/>
  <c r="G18" i="1"/>
  <c r="G17" i="1"/>
  <c r="G16" i="1"/>
  <c r="G13" i="1"/>
  <c r="G12" i="1"/>
  <c r="G11" i="1"/>
  <c r="G8" i="1"/>
  <c r="G7" i="1"/>
  <c r="G5" i="1"/>
  <c r="G4" i="1"/>
  <c r="G2" i="1"/>
  <c r="A5213" i="6"/>
  <c r="A5203" i="6"/>
  <c r="A5181" i="6"/>
  <c r="A5178" i="6"/>
  <c r="A5115" i="6"/>
  <c r="A5090" i="6"/>
  <c r="A5084" i="6"/>
  <c r="A5070" i="6"/>
  <c r="A5051" i="6"/>
  <c r="A5000" i="6"/>
  <c r="A4779" i="6"/>
  <c r="A4772" i="6"/>
  <c r="A4745" i="6"/>
  <c r="A4619" i="6"/>
  <c r="A4611" i="6"/>
  <c r="A4605" i="6"/>
  <c r="A4524" i="6"/>
  <c r="A4500" i="6"/>
  <c r="A4485" i="6"/>
  <c r="A4480" i="6"/>
  <c r="A4475" i="6"/>
  <c r="A4462" i="6"/>
  <c r="A4385" i="6"/>
  <c r="A4354" i="6"/>
  <c r="A4349" i="6"/>
  <c r="A4327" i="6"/>
  <c r="A4313" i="6"/>
  <c r="A4287" i="6"/>
  <c r="A4266" i="6"/>
  <c r="A4256" i="6"/>
  <c r="A4238" i="6"/>
  <c r="A4204" i="6"/>
  <c r="A4135" i="6"/>
  <c r="A4125" i="6"/>
  <c r="A4116" i="6"/>
  <c r="A4098" i="6"/>
  <c r="A4088" i="6"/>
  <c r="A3876" i="6"/>
  <c r="A3868" i="6"/>
  <c r="A3863" i="6"/>
  <c r="A3858" i="6"/>
  <c r="A3833" i="6"/>
  <c r="A3663" i="6"/>
  <c r="A3649" i="6"/>
  <c r="A3636" i="6"/>
  <c r="A3629" i="6"/>
  <c r="A3620" i="6"/>
  <c r="A3609" i="6"/>
  <c r="A3603" i="6"/>
  <c r="A3593" i="6"/>
  <c r="A3577" i="6"/>
  <c r="A3574" i="6"/>
  <c r="A3569" i="6"/>
  <c r="A3486" i="6"/>
  <c r="A3444" i="6"/>
  <c r="A3436" i="6"/>
  <c r="A3416" i="6"/>
  <c r="A3400" i="6"/>
  <c r="A3264" i="6"/>
  <c r="A3238" i="6"/>
  <c r="A3220" i="6"/>
  <c r="A3198" i="6"/>
  <c r="A3185" i="6"/>
  <c r="A3169" i="6"/>
  <c r="A3162" i="6"/>
  <c r="A3151" i="6"/>
  <c r="A3133" i="6"/>
  <c r="A3062" i="6"/>
  <c r="A3025" i="6"/>
  <c r="A3017" i="6"/>
  <c r="A3000" i="6"/>
  <c r="A2983" i="6"/>
  <c r="A2980" i="6"/>
  <c r="A2968" i="6"/>
  <c r="A2949" i="6"/>
  <c r="A2935" i="6"/>
  <c r="A2921" i="6"/>
  <c r="A2910" i="6"/>
  <c r="A2828" i="6"/>
  <c r="A2825" i="6"/>
  <c r="A2801" i="6"/>
  <c r="A2779" i="6"/>
  <c r="A2762" i="6"/>
  <c r="A2725" i="6"/>
  <c r="A2721" i="6"/>
  <c r="A2689" i="6"/>
  <c r="A2672" i="6"/>
  <c r="A2657" i="6"/>
  <c r="A2631" i="6"/>
  <c r="A2563" i="6"/>
  <c r="A2554" i="6"/>
  <c r="A2533" i="6"/>
  <c r="A2517" i="6"/>
  <c r="A2486" i="6"/>
  <c r="A2480" i="6"/>
  <c r="A2468" i="6"/>
  <c r="A2398" i="6"/>
  <c r="A2387" i="6"/>
  <c r="A2365" i="6"/>
  <c r="A2350" i="6"/>
  <c r="A2340" i="6"/>
  <c r="A2332" i="6"/>
  <c r="A2213" i="6"/>
  <c r="A2195" i="6"/>
  <c r="A2186" i="6"/>
  <c r="A2180" i="6"/>
  <c r="A2142" i="6"/>
  <c r="A2125" i="6"/>
  <c r="A2113" i="6"/>
  <c r="A2066" i="6"/>
  <c r="A2049" i="6"/>
  <c r="A2037" i="6"/>
  <c r="A1990" i="6"/>
  <c r="A1976" i="6"/>
  <c r="A1854" i="6"/>
  <c r="A1848" i="6"/>
  <c r="A1813" i="6"/>
  <c r="A1795" i="6"/>
  <c r="A1764" i="6"/>
  <c r="A1723" i="6"/>
  <c r="A1687" i="6"/>
  <c r="A1613" i="6"/>
  <c r="A1570" i="6"/>
  <c r="A1552" i="6"/>
  <c r="A1542" i="6"/>
  <c r="A1532" i="6"/>
  <c r="A1520" i="6"/>
  <c r="A1479" i="6"/>
  <c r="A1457" i="6"/>
  <c r="A1450" i="6"/>
  <c r="A1445" i="6"/>
  <c r="A1431" i="6"/>
  <c r="A1415" i="6"/>
  <c r="A1399" i="6"/>
  <c r="A1387" i="6"/>
  <c r="A1380" i="6"/>
  <c r="A1371" i="6"/>
  <c r="A1366" i="6"/>
  <c r="A1257" i="6"/>
  <c r="A1238" i="6"/>
  <c r="A1219" i="6"/>
  <c r="A1190" i="6"/>
  <c r="A1179" i="6"/>
  <c r="A1175" i="6"/>
  <c r="A1160" i="6"/>
  <c r="A1154" i="6"/>
  <c r="A1145" i="6"/>
  <c r="A1131" i="6"/>
  <c r="A1104" i="6"/>
  <c r="A1080" i="6"/>
  <c r="A1038" i="6"/>
  <c r="A1028" i="6"/>
  <c r="A1022" i="6"/>
  <c r="A1017" i="6"/>
  <c r="A927" i="6"/>
  <c r="A921" i="6"/>
  <c r="A905" i="6"/>
  <c r="A884" i="6"/>
  <c r="A870" i="6"/>
  <c r="A863" i="6"/>
  <c r="A837" i="6"/>
  <c r="A825" i="6"/>
  <c r="A822" i="6"/>
  <c r="A789" i="6"/>
  <c r="A758" i="6"/>
  <c r="A742" i="6"/>
  <c r="A719" i="6"/>
  <c r="A702" i="6"/>
  <c r="A689" i="6"/>
  <c r="A679" i="6"/>
  <c r="A654" i="6"/>
  <c r="A630" i="6"/>
  <c r="A612" i="6"/>
  <c r="A597" i="6"/>
  <c r="A539" i="6"/>
  <c r="A511" i="6"/>
  <c r="A507" i="6"/>
  <c r="A480" i="6"/>
  <c r="A464" i="6"/>
  <c r="A461" i="6"/>
  <c r="A458" i="6"/>
  <c r="A449" i="6"/>
  <c r="A429" i="6"/>
  <c r="A418" i="6"/>
  <c r="A406" i="6"/>
  <c r="A400" i="6"/>
  <c r="A387" i="6"/>
  <c r="A380" i="6"/>
  <c r="A369" i="6"/>
  <c r="A297" i="6"/>
  <c r="A293" i="6"/>
  <c r="A261" i="6"/>
  <c r="A183" i="6"/>
  <c r="A174" i="6"/>
  <c r="A166" i="6"/>
  <c r="A155" i="6"/>
  <c r="A131" i="6"/>
  <c r="A123" i="6"/>
  <c r="A105" i="6"/>
  <c r="A98" i="6"/>
  <c r="A50" i="6"/>
  <c r="A38" i="6"/>
  <c r="A4" i="6"/>
  <c r="G5222" i="6"/>
  <c r="F5222" i="6"/>
  <c r="G5221" i="6"/>
  <c r="F5221" i="6"/>
  <c r="G5220" i="6"/>
  <c r="F5220" i="6"/>
  <c r="G5219" i="6"/>
  <c r="F5219" i="6"/>
  <c r="G5218" i="6"/>
  <c r="F5218" i="6"/>
  <c r="G5217" i="6"/>
  <c r="F5217" i="6"/>
  <c r="G5216" i="6"/>
  <c r="F5216" i="6"/>
  <c r="G5215" i="6"/>
  <c r="F5215" i="6"/>
  <c r="G5214" i="6"/>
  <c r="F5214" i="6"/>
  <c r="G5213" i="6"/>
  <c r="F5213" i="6"/>
  <c r="G5212" i="6"/>
  <c r="F5212" i="6"/>
  <c r="G5211" i="6"/>
  <c r="F5211" i="6"/>
  <c r="G5210" i="6"/>
  <c r="F5210" i="6"/>
  <c r="G5209" i="6"/>
  <c r="F5209" i="6"/>
  <c r="G5208" i="6"/>
  <c r="F5208" i="6"/>
  <c r="G5207" i="6"/>
  <c r="F5207" i="6"/>
  <c r="G5206" i="6"/>
  <c r="F5206" i="6"/>
  <c r="G5205" i="6"/>
  <c r="F5205" i="6"/>
  <c r="G5204" i="6"/>
  <c r="F5204" i="6"/>
  <c r="G5203" i="6"/>
  <c r="F5203" i="6"/>
  <c r="G5202" i="6"/>
  <c r="F5202" i="6"/>
  <c r="G5201" i="6"/>
  <c r="F5201" i="6"/>
  <c r="G5200" i="6"/>
  <c r="F5200" i="6"/>
  <c r="G5199" i="6"/>
  <c r="F5199" i="6"/>
  <c r="G5198" i="6"/>
  <c r="F5198" i="6"/>
  <c r="G5197" i="6"/>
  <c r="F5197" i="6"/>
  <c r="G5196" i="6"/>
  <c r="F5196" i="6"/>
  <c r="G5195" i="6"/>
  <c r="F5195" i="6"/>
  <c r="G5194" i="6"/>
  <c r="F5194" i="6"/>
  <c r="G5193" i="6"/>
  <c r="F5193" i="6"/>
  <c r="G5192" i="6"/>
  <c r="F5192" i="6"/>
  <c r="G5191" i="6"/>
  <c r="F5191" i="6"/>
  <c r="G5190" i="6"/>
  <c r="F5190" i="6"/>
  <c r="G5189" i="6"/>
  <c r="F5189" i="6"/>
  <c r="G5188" i="6"/>
  <c r="F5188" i="6"/>
  <c r="G5187" i="6"/>
  <c r="F5187" i="6"/>
  <c r="G5186" i="6"/>
  <c r="F5186" i="6"/>
  <c r="G5185" i="6"/>
  <c r="F5185" i="6"/>
  <c r="G5184" i="6"/>
  <c r="F5184" i="6"/>
  <c r="G5183" i="6"/>
  <c r="F5183" i="6"/>
  <c r="G5182" i="6"/>
  <c r="F5182" i="6"/>
  <c r="G5181" i="6"/>
  <c r="F5181" i="6"/>
  <c r="G5180" i="6"/>
  <c r="F5180" i="6"/>
  <c r="G5179" i="6"/>
  <c r="F5179" i="6"/>
  <c r="G5178" i="6"/>
  <c r="F5178" i="6"/>
  <c r="G5177" i="6"/>
  <c r="F5177" i="6"/>
  <c r="G5176" i="6"/>
  <c r="F5176" i="6"/>
  <c r="G5175" i="6"/>
  <c r="F5175" i="6"/>
  <c r="G5174" i="6"/>
  <c r="F5174" i="6"/>
  <c r="G5173" i="6"/>
  <c r="F5173" i="6"/>
  <c r="G5172" i="6"/>
  <c r="F5172" i="6"/>
  <c r="G5171" i="6"/>
  <c r="F5171" i="6"/>
  <c r="G5170" i="6"/>
  <c r="F5170" i="6"/>
  <c r="G5169" i="6"/>
  <c r="F5169" i="6"/>
  <c r="G5168" i="6"/>
  <c r="F5168" i="6"/>
  <c r="G5167" i="6"/>
  <c r="F5167" i="6"/>
  <c r="G5166" i="6"/>
  <c r="F5166" i="6"/>
  <c r="G5165" i="6"/>
  <c r="F5165" i="6"/>
  <c r="G5164" i="6"/>
  <c r="F5164" i="6"/>
  <c r="G5163" i="6"/>
  <c r="F5163" i="6"/>
  <c r="G5162" i="6"/>
  <c r="F5162" i="6"/>
  <c r="G5161" i="6"/>
  <c r="F5161" i="6"/>
  <c r="G5160" i="6"/>
  <c r="F5160" i="6"/>
  <c r="G5159" i="6"/>
  <c r="F5159" i="6"/>
  <c r="G5158" i="6"/>
  <c r="F5158" i="6"/>
  <c r="G5157" i="6"/>
  <c r="F5157" i="6"/>
  <c r="G5156" i="6"/>
  <c r="F5156" i="6"/>
  <c r="G5155" i="6"/>
  <c r="F5155" i="6"/>
  <c r="G5154" i="6"/>
  <c r="F5154" i="6"/>
  <c r="G5153" i="6"/>
  <c r="F5153" i="6"/>
  <c r="G5152" i="6"/>
  <c r="F5152" i="6"/>
  <c r="G5151" i="6"/>
  <c r="F5151" i="6"/>
  <c r="G5150" i="6"/>
  <c r="F5150" i="6"/>
  <c r="G5149" i="6"/>
  <c r="F5149" i="6"/>
  <c r="G5148" i="6"/>
  <c r="F5148" i="6"/>
  <c r="G5147" i="6"/>
  <c r="F5147" i="6"/>
  <c r="G5146" i="6"/>
  <c r="F5146" i="6"/>
  <c r="G5145" i="6"/>
  <c r="F5145" i="6"/>
  <c r="G5144" i="6"/>
  <c r="F5144" i="6"/>
  <c r="G5143" i="6"/>
  <c r="F5143" i="6"/>
  <c r="G5142" i="6"/>
  <c r="F5142" i="6"/>
  <c r="G5141" i="6"/>
  <c r="F5141" i="6"/>
  <c r="G5140" i="6"/>
  <c r="F5140" i="6"/>
  <c r="G5139" i="6"/>
  <c r="F5139" i="6"/>
  <c r="G5138" i="6"/>
  <c r="F5138" i="6"/>
  <c r="G5137" i="6"/>
  <c r="F5137" i="6"/>
  <c r="G5136" i="6"/>
  <c r="F5136" i="6"/>
  <c r="G5135" i="6"/>
  <c r="F5135" i="6"/>
  <c r="G5134" i="6"/>
  <c r="F5134" i="6"/>
  <c r="G5133" i="6"/>
  <c r="F5133" i="6"/>
  <c r="G5132" i="6"/>
  <c r="F5132" i="6"/>
  <c r="G5131" i="6"/>
  <c r="F5131" i="6"/>
  <c r="G5130" i="6"/>
  <c r="F5130" i="6"/>
  <c r="G5129" i="6"/>
  <c r="F5129" i="6"/>
  <c r="G5128" i="6"/>
  <c r="F5128" i="6"/>
  <c r="G5127" i="6"/>
  <c r="F5127" i="6"/>
  <c r="G5126" i="6"/>
  <c r="F5126" i="6"/>
  <c r="G5125" i="6"/>
  <c r="F5125" i="6"/>
  <c r="G5124" i="6"/>
  <c r="F5124" i="6"/>
  <c r="G5123" i="6"/>
  <c r="F5123" i="6"/>
  <c r="G5122" i="6"/>
  <c r="F5122" i="6"/>
  <c r="G5121" i="6"/>
  <c r="F5121" i="6"/>
  <c r="G5120" i="6"/>
  <c r="F5120" i="6"/>
  <c r="G5119" i="6"/>
  <c r="F5119" i="6"/>
  <c r="G5118" i="6"/>
  <c r="F5118" i="6"/>
  <c r="G5117" i="6"/>
  <c r="F5117" i="6"/>
  <c r="G5116" i="6"/>
  <c r="F5116" i="6"/>
  <c r="G5115" i="6"/>
  <c r="F5115" i="6"/>
  <c r="G5114" i="6"/>
  <c r="F5114" i="6"/>
  <c r="G5113" i="6"/>
  <c r="F5113" i="6"/>
  <c r="G5112" i="6"/>
  <c r="F5112" i="6"/>
  <c r="G5111" i="6"/>
  <c r="F5111" i="6"/>
  <c r="G5110" i="6"/>
  <c r="F5110" i="6"/>
  <c r="G5109" i="6"/>
  <c r="F5109" i="6"/>
  <c r="G5108" i="6"/>
  <c r="F5108" i="6"/>
  <c r="G5107" i="6"/>
  <c r="F5107" i="6"/>
  <c r="G5106" i="6"/>
  <c r="F5106" i="6"/>
  <c r="G5105" i="6"/>
  <c r="F5105" i="6"/>
  <c r="G5104" i="6"/>
  <c r="F5104" i="6"/>
  <c r="G5103" i="6"/>
  <c r="F5103" i="6"/>
  <c r="G5102" i="6"/>
  <c r="F5102" i="6"/>
  <c r="G5101" i="6"/>
  <c r="F5101" i="6"/>
  <c r="G5100" i="6"/>
  <c r="F5100" i="6"/>
  <c r="G5099" i="6"/>
  <c r="F5099" i="6"/>
  <c r="G5098" i="6"/>
  <c r="F5098" i="6"/>
  <c r="G5097" i="6"/>
  <c r="F5097" i="6"/>
  <c r="G5096" i="6"/>
  <c r="F5096" i="6"/>
  <c r="G5095" i="6"/>
  <c r="F5095" i="6"/>
  <c r="G5094" i="6"/>
  <c r="F5094" i="6"/>
  <c r="G5093" i="6"/>
  <c r="F5093" i="6"/>
  <c r="G5092" i="6"/>
  <c r="F5092" i="6"/>
  <c r="G5091" i="6"/>
  <c r="F5091" i="6"/>
  <c r="G5090" i="6"/>
  <c r="F5090" i="6"/>
  <c r="G5089" i="6"/>
  <c r="F5089" i="6"/>
  <c r="G5088" i="6"/>
  <c r="F5088" i="6"/>
  <c r="G5087" i="6"/>
  <c r="F5087" i="6"/>
  <c r="G5086" i="6"/>
  <c r="F5086" i="6"/>
  <c r="G5085" i="6"/>
  <c r="F5085" i="6"/>
  <c r="G5084" i="6"/>
  <c r="F5084" i="6"/>
  <c r="G5083" i="6"/>
  <c r="F5083" i="6"/>
  <c r="G5082" i="6"/>
  <c r="F5082" i="6"/>
  <c r="G5081" i="6"/>
  <c r="F5081" i="6"/>
  <c r="G5080" i="6"/>
  <c r="F5080" i="6"/>
  <c r="G5079" i="6"/>
  <c r="F5079" i="6"/>
  <c r="G5078" i="6"/>
  <c r="F5078" i="6"/>
  <c r="G5077" i="6"/>
  <c r="F5077" i="6"/>
  <c r="G5076" i="6"/>
  <c r="F5076" i="6"/>
  <c r="G5075" i="6"/>
  <c r="F5075" i="6"/>
  <c r="G5074" i="6"/>
  <c r="F5074" i="6"/>
  <c r="G5073" i="6"/>
  <c r="F5073" i="6"/>
  <c r="G5072" i="6"/>
  <c r="F5072" i="6"/>
  <c r="G5071" i="6"/>
  <c r="F5071" i="6"/>
  <c r="G5070" i="6"/>
  <c r="F5070" i="6"/>
  <c r="G5069" i="6"/>
  <c r="F5069" i="6"/>
  <c r="G5068" i="6"/>
  <c r="F5068" i="6"/>
  <c r="G5067" i="6"/>
  <c r="F5067" i="6"/>
  <c r="G5066" i="6"/>
  <c r="F5066" i="6"/>
  <c r="G5065" i="6"/>
  <c r="F5065" i="6"/>
  <c r="G5064" i="6"/>
  <c r="F5064" i="6"/>
  <c r="G5063" i="6"/>
  <c r="F5063" i="6"/>
  <c r="G5062" i="6"/>
  <c r="F5062" i="6"/>
  <c r="G5061" i="6"/>
  <c r="F5061" i="6"/>
  <c r="G5060" i="6"/>
  <c r="F5060" i="6"/>
  <c r="G5059" i="6"/>
  <c r="F5059" i="6"/>
  <c r="G5058" i="6"/>
  <c r="F5058" i="6"/>
  <c r="G5057" i="6"/>
  <c r="F5057" i="6"/>
  <c r="G5056" i="6"/>
  <c r="F5056" i="6"/>
  <c r="G5055" i="6"/>
  <c r="F5055" i="6"/>
  <c r="G5054" i="6"/>
  <c r="F5054" i="6"/>
  <c r="G5053" i="6"/>
  <c r="F5053" i="6"/>
  <c r="G5052" i="6"/>
  <c r="F5052" i="6"/>
  <c r="G5051" i="6"/>
  <c r="F5051" i="6"/>
  <c r="G5050" i="6"/>
  <c r="F5050" i="6"/>
  <c r="G5049" i="6"/>
  <c r="F5049" i="6"/>
  <c r="G5048" i="6"/>
  <c r="F5048" i="6"/>
  <c r="G5047" i="6"/>
  <c r="F5047" i="6"/>
  <c r="G5046" i="6"/>
  <c r="F5046" i="6"/>
  <c r="G5045" i="6"/>
  <c r="F5045" i="6"/>
  <c r="G5044" i="6"/>
  <c r="F5044" i="6"/>
  <c r="G5043" i="6"/>
  <c r="F5043" i="6"/>
  <c r="G5042" i="6"/>
  <c r="F5042" i="6"/>
  <c r="G5041" i="6"/>
  <c r="F5041" i="6"/>
  <c r="G5040" i="6"/>
  <c r="F5040" i="6"/>
  <c r="G5039" i="6"/>
  <c r="F5039" i="6"/>
  <c r="G5038" i="6"/>
  <c r="F5038" i="6"/>
  <c r="G5037" i="6"/>
  <c r="F5037" i="6"/>
  <c r="G5036" i="6"/>
  <c r="F5036" i="6"/>
  <c r="G5035" i="6"/>
  <c r="F5035" i="6"/>
  <c r="G5034" i="6"/>
  <c r="F5034" i="6"/>
  <c r="G5033" i="6"/>
  <c r="F5033" i="6"/>
  <c r="G5032" i="6"/>
  <c r="F5032" i="6"/>
  <c r="G5031" i="6"/>
  <c r="F5031" i="6"/>
  <c r="G5030" i="6"/>
  <c r="F5030" i="6"/>
  <c r="G5029" i="6"/>
  <c r="F5029" i="6"/>
  <c r="G5028" i="6"/>
  <c r="F5028" i="6"/>
  <c r="G5027" i="6"/>
  <c r="F5027" i="6"/>
  <c r="G5026" i="6"/>
  <c r="F5026" i="6"/>
  <c r="G5025" i="6"/>
  <c r="F5025" i="6"/>
  <c r="G5024" i="6"/>
  <c r="F5024" i="6"/>
  <c r="G5023" i="6"/>
  <c r="F5023" i="6"/>
  <c r="G5022" i="6"/>
  <c r="F5022" i="6"/>
  <c r="G5021" i="6"/>
  <c r="F5021" i="6"/>
  <c r="G5020" i="6"/>
  <c r="F5020" i="6"/>
  <c r="G5019" i="6"/>
  <c r="F5019" i="6"/>
  <c r="G5018" i="6"/>
  <c r="F5018" i="6"/>
  <c r="G5017" i="6"/>
  <c r="F5017" i="6"/>
  <c r="G5016" i="6"/>
  <c r="F5016" i="6"/>
  <c r="G5015" i="6"/>
  <c r="F5015" i="6"/>
  <c r="G5014" i="6"/>
  <c r="F5014" i="6"/>
  <c r="G5013" i="6"/>
  <c r="F5013" i="6"/>
  <c r="G5012" i="6"/>
  <c r="F5012" i="6"/>
  <c r="G5011" i="6"/>
  <c r="F5011" i="6"/>
  <c r="G5010" i="6"/>
  <c r="F5010" i="6"/>
  <c r="G5009" i="6"/>
  <c r="F5009" i="6"/>
  <c r="G5008" i="6"/>
  <c r="F5008" i="6"/>
  <c r="G5007" i="6"/>
  <c r="F5007" i="6"/>
  <c r="G5006" i="6"/>
  <c r="F5006" i="6"/>
  <c r="G5005" i="6"/>
  <c r="F5005" i="6"/>
  <c r="G5004" i="6"/>
  <c r="F5004" i="6"/>
  <c r="G5003" i="6"/>
  <c r="F5003" i="6"/>
  <c r="G5002" i="6"/>
  <c r="F5002" i="6"/>
  <c r="G5001" i="6"/>
  <c r="F5001" i="6"/>
  <c r="G5000" i="6"/>
  <c r="F5000" i="6"/>
  <c r="G4999" i="6"/>
  <c r="F4999" i="6"/>
  <c r="G4998" i="6"/>
  <c r="F4998" i="6"/>
  <c r="G4997" i="6"/>
  <c r="F4997" i="6"/>
  <c r="G4996" i="6"/>
  <c r="F4996" i="6"/>
  <c r="G4995" i="6"/>
  <c r="F4995" i="6"/>
  <c r="G4994" i="6"/>
  <c r="F4994" i="6"/>
  <c r="G4993" i="6"/>
  <c r="F4993" i="6"/>
  <c r="G4992" i="6"/>
  <c r="F4992" i="6"/>
  <c r="G4991" i="6"/>
  <c r="F4991" i="6"/>
  <c r="G4990" i="6"/>
  <c r="F4990" i="6"/>
  <c r="G4989" i="6"/>
  <c r="F4989" i="6"/>
  <c r="G4988" i="6"/>
  <c r="F4988" i="6"/>
  <c r="G4987" i="6"/>
  <c r="F4987" i="6"/>
  <c r="G4986" i="6"/>
  <c r="F4986" i="6"/>
  <c r="G4985" i="6"/>
  <c r="F4985" i="6"/>
  <c r="G4984" i="6"/>
  <c r="F4984" i="6"/>
  <c r="G4983" i="6"/>
  <c r="F4983" i="6"/>
  <c r="G4982" i="6"/>
  <c r="F4982" i="6"/>
  <c r="G4981" i="6"/>
  <c r="F4981" i="6"/>
  <c r="G4980" i="6"/>
  <c r="F4980" i="6"/>
  <c r="G4979" i="6"/>
  <c r="F4979" i="6"/>
  <c r="G4978" i="6"/>
  <c r="F4978" i="6"/>
  <c r="G4977" i="6"/>
  <c r="F4977" i="6"/>
  <c r="G4976" i="6"/>
  <c r="F4976" i="6"/>
  <c r="G4975" i="6"/>
  <c r="F4975" i="6"/>
  <c r="G4974" i="6"/>
  <c r="F4974" i="6"/>
  <c r="G4973" i="6"/>
  <c r="F4973" i="6"/>
  <c r="G4972" i="6"/>
  <c r="F4972" i="6"/>
  <c r="G4971" i="6"/>
  <c r="F4971" i="6"/>
  <c r="G4970" i="6"/>
  <c r="F4970" i="6"/>
  <c r="G4969" i="6"/>
  <c r="F4969" i="6"/>
  <c r="G4968" i="6"/>
  <c r="F4968" i="6"/>
  <c r="G4967" i="6"/>
  <c r="F4967" i="6"/>
  <c r="G4966" i="6"/>
  <c r="F4966" i="6"/>
  <c r="G4965" i="6"/>
  <c r="F4965" i="6"/>
  <c r="G4964" i="6"/>
  <c r="F4964" i="6"/>
  <c r="G4963" i="6"/>
  <c r="F4963" i="6"/>
  <c r="G4962" i="6"/>
  <c r="F4962" i="6"/>
  <c r="G4961" i="6"/>
  <c r="F4961" i="6"/>
  <c r="G4960" i="6"/>
  <c r="F4960" i="6"/>
  <c r="G4959" i="6"/>
  <c r="F4959" i="6"/>
  <c r="G4958" i="6"/>
  <c r="F4958" i="6"/>
  <c r="G4957" i="6"/>
  <c r="F4957" i="6"/>
  <c r="G4956" i="6"/>
  <c r="F4956" i="6"/>
  <c r="G4955" i="6"/>
  <c r="F4955" i="6"/>
  <c r="G4954" i="6"/>
  <c r="F4954" i="6"/>
  <c r="G4953" i="6"/>
  <c r="F4953" i="6"/>
  <c r="G4952" i="6"/>
  <c r="F4952" i="6"/>
  <c r="G4951" i="6"/>
  <c r="F4951" i="6"/>
  <c r="G4950" i="6"/>
  <c r="F4950" i="6"/>
  <c r="G4949" i="6"/>
  <c r="F4949" i="6"/>
  <c r="G4948" i="6"/>
  <c r="F4948" i="6"/>
  <c r="G4947" i="6"/>
  <c r="F4947" i="6"/>
  <c r="G4946" i="6"/>
  <c r="F4946" i="6"/>
  <c r="G4945" i="6"/>
  <c r="F4945" i="6"/>
  <c r="G4944" i="6"/>
  <c r="F4944" i="6"/>
  <c r="G4943" i="6"/>
  <c r="F4943" i="6"/>
  <c r="G4942" i="6"/>
  <c r="F4942" i="6"/>
  <c r="G4941" i="6"/>
  <c r="F4941" i="6"/>
  <c r="G4940" i="6"/>
  <c r="F4940" i="6"/>
  <c r="G4939" i="6"/>
  <c r="F4939" i="6"/>
  <c r="G4938" i="6"/>
  <c r="F4938" i="6"/>
  <c r="G4937" i="6"/>
  <c r="F4937" i="6"/>
  <c r="G4936" i="6"/>
  <c r="F4936" i="6"/>
  <c r="G4935" i="6"/>
  <c r="F4935" i="6"/>
  <c r="G4934" i="6"/>
  <c r="F4934" i="6"/>
  <c r="G4933" i="6"/>
  <c r="F4933" i="6"/>
  <c r="G4932" i="6"/>
  <c r="F4932" i="6"/>
  <c r="G4931" i="6"/>
  <c r="F4931" i="6"/>
  <c r="G4930" i="6"/>
  <c r="F4930" i="6"/>
  <c r="G4929" i="6"/>
  <c r="F4929" i="6"/>
  <c r="G4928" i="6"/>
  <c r="F4928" i="6"/>
  <c r="G4927" i="6"/>
  <c r="F4927" i="6"/>
  <c r="G4926" i="6"/>
  <c r="F4926" i="6"/>
  <c r="G4925" i="6"/>
  <c r="F4925" i="6"/>
  <c r="G4924" i="6"/>
  <c r="F4924" i="6"/>
  <c r="G4923" i="6"/>
  <c r="F4923" i="6"/>
  <c r="G4922" i="6"/>
  <c r="F4922" i="6"/>
  <c r="G4921" i="6"/>
  <c r="F4921" i="6"/>
  <c r="G4920" i="6"/>
  <c r="F4920" i="6"/>
  <c r="G4919" i="6"/>
  <c r="F4919" i="6"/>
  <c r="G4918" i="6"/>
  <c r="F4918" i="6"/>
  <c r="G4917" i="6"/>
  <c r="F4917" i="6"/>
  <c r="G4916" i="6"/>
  <c r="F4916" i="6"/>
  <c r="G4915" i="6"/>
  <c r="F4915" i="6"/>
  <c r="G4914" i="6"/>
  <c r="F4914" i="6"/>
  <c r="G4913" i="6"/>
  <c r="F4913" i="6"/>
  <c r="G4912" i="6"/>
  <c r="F4912" i="6"/>
  <c r="G4911" i="6"/>
  <c r="F4911" i="6"/>
  <c r="G4910" i="6"/>
  <c r="F4910" i="6"/>
  <c r="G4909" i="6"/>
  <c r="F4909" i="6"/>
  <c r="G4908" i="6"/>
  <c r="F4908" i="6"/>
  <c r="G4907" i="6"/>
  <c r="F4907" i="6"/>
  <c r="G4906" i="6"/>
  <c r="F4906" i="6"/>
  <c r="G4905" i="6"/>
  <c r="F4905" i="6"/>
  <c r="G4904" i="6"/>
  <c r="F4904" i="6"/>
  <c r="G4903" i="6"/>
  <c r="F4903" i="6"/>
  <c r="G4902" i="6"/>
  <c r="F4902" i="6"/>
  <c r="G4901" i="6"/>
  <c r="F4901" i="6"/>
  <c r="G4900" i="6"/>
  <c r="F4900" i="6"/>
  <c r="G4899" i="6"/>
  <c r="F4899" i="6"/>
  <c r="G4898" i="6"/>
  <c r="F4898" i="6"/>
  <c r="G4897" i="6"/>
  <c r="F4897" i="6"/>
  <c r="G4896" i="6"/>
  <c r="F4896" i="6"/>
  <c r="G4895" i="6"/>
  <c r="F4895" i="6"/>
  <c r="G4894" i="6"/>
  <c r="F4894" i="6"/>
  <c r="G4893" i="6"/>
  <c r="F4893" i="6"/>
  <c r="G4892" i="6"/>
  <c r="F4892" i="6"/>
  <c r="G4891" i="6"/>
  <c r="F4891" i="6"/>
  <c r="G4890" i="6"/>
  <c r="F4890" i="6"/>
  <c r="G4889" i="6"/>
  <c r="F4889" i="6"/>
  <c r="G4888" i="6"/>
  <c r="F4888" i="6"/>
  <c r="G4887" i="6"/>
  <c r="F4887" i="6"/>
  <c r="G4886" i="6"/>
  <c r="F4886" i="6"/>
  <c r="G4885" i="6"/>
  <c r="F4885" i="6"/>
  <c r="G4884" i="6"/>
  <c r="F4884" i="6"/>
  <c r="G4883" i="6"/>
  <c r="F4883" i="6"/>
  <c r="G4882" i="6"/>
  <c r="F4882" i="6"/>
  <c r="G4881" i="6"/>
  <c r="F4881" i="6"/>
  <c r="G4880" i="6"/>
  <c r="F4880" i="6"/>
  <c r="G4879" i="6"/>
  <c r="F4879" i="6"/>
  <c r="G4878" i="6"/>
  <c r="F4878" i="6"/>
  <c r="G4877" i="6"/>
  <c r="F4877" i="6"/>
  <c r="G4876" i="6"/>
  <c r="F4876" i="6"/>
  <c r="G4875" i="6"/>
  <c r="F4875" i="6"/>
  <c r="G4874" i="6"/>
  <c r="F4874" i="6"/>
  <c r="G4873" i="6"/>
  <c r="F4873" i="6"/>
  <c r="G4872" i="6"/>
  <c r="F4872" i="6"/>
  <c r="G4871" i="6"/>
  <c r="F4871" i="6"/>
  <c r="G4870" i="6"/>
  <c r="F4870" i="6"/>
  <c r="G4869" i="6"/>
  <c r="F4869" i="6"/>
  <c r="G4868" i="6"/>
  <c r="F4868" i="6"/>
  <c r="G4867" i="6"/>
  <c r="F4867" i="6"/>
  <c r="G4866" i="6"/>
  <c r="F4866" i="6"/>
  <c r="G4865" i="6"/>
  <c r="F4865" i="6"/>
  <c r="G4864" i="6"/>
  <c r="F4864" i="6"/>
  <c r="G4863" i="6"/>
  <c r="F4863" i="6"/>
  <c r="G4862" i="6"/>
  <c r="F4862" i="6"/>
  <c r="G4861" i="6"/>
  <c r="F4861" i="6"/>
  <c r="G4860" i="6"/>
  <c r="F4860" i="6"/>
  <c r="G4859" i="6"/>
  <c r="F4859" i="6"/>
  <c r="G4858" i="6"/>
  <c r="F4858" i="6"/>
  <c r="G4857" i="6"/>
  <c r="F4857" i="6"/>
  <c r="G4856" i="6"/>
  <c r="F4856" i="6"/>
  <c r="G4855" i="6"/>
  <c r="F4855" i="6"/>
  <c r="G4854" i="6"/>
  <c r="F4854" i="6"/>
  <c r="G4853" i="6"/>
  <c r="F4853" i="6"/>
  <c r="G4852" i="6"/>
  <c r="F4852" i="6"/>
  <c r="G4851" i="6"/>
  <c r="F4851" i="6"/>
  <c r="G4850" i="6"/>
  <c r="F4850" i="6"/>
  <c r="G4849" i="6"/>
  <c r="F4849" i="6"/>
  <c r="G4848" i="6"/>
  <c r="F4848" i="6"/>
  <c r="G4847" i="6"/>
  <c r="F4847" i="6"/>
  <c r="G4846" i="6"/>
  <c r="F4846" i="6"/>
  <c r="G4845" i="6"/>
  <c r="F4845" i="6"/>
  <c r="G4844" i="6"/>
  <c r="F4844" i="6"/>
  <c r="G4843" i="6"/>
  <c r="F4843" i="6"/>
  <c r="G4842" i="6"/>
  <c r="F4842" i="6"/>
  <c r="G4841" i="6"/>
  <c r="F4841" i="6"/>
  <c r="G4840" i="6"/>
  <c r="F4840" i="6"/>
  <c r="G4839" i="6"/>
  <c r="F4839" i="6"/>
  <c r="G4838" i="6"/>
  <c r="F4838" i="6"/>
  <c r="G4837" i="6"/>
  <c r="F4837" i="6"/>
  <c r="G4836" i="6"/>
  <c r="F4836" i="6"/>
  <c r="G4835" i="6"/>
  <c r="F4835" i="6"/>
  <c r="G4834" i="6"/>
  <c r="F4834" i="6"/>
  <c r="G4833" i="6"/>
  <c r="F4833" i="6"/>
  <c r="G4832" i="6"/>
  <c r="F4832" i="6"/>
  <c r="G4831" i="6"/>
  <c r="F4831" i="6"/>
  <c r="G4830" i="6"/>
  <c r="F4830" i="6"/>
  <c r="G4829" i="6"/>
  <c r="F4829" i="6"/>
  <c r="G4828" i="6"/>
  <c r="F4828" i="6"/>
  <c r="G4827" i="6"/>
  <c r="F4827" i="6"/>
  <c r="G4826" i="6"/>
  <c r="F4826" i="6"/>
  <c r="G4825" i="6"/>
  <c r="F4825" i="6"/>
  <c r="G4824" i="6"/>
  <c r="F4824" i="6"/>
  <c r="G4823" i="6"/>
  <c r="F4823" i="6"/>
  <c r="G4822" i="6"/>
  <c r="F4822" i="6"/>
  <c r="G4821" i="6"/>
  <c r="F4821" i="6"/>
  <c r="G4820" i="6"/>
  <c r="F4820" i="6"/>
  <c r="G4819" i="6"/>
  <c r="F4819" i="6"/>
  <c r="G4818" i="6"/>
  <c r="F4818" i="6"/>
  <c r="G4817" i="6"/>
  <c r="F4817" i="6"/>
  <c r="G4816" i="6"/>
  <c r="F4816" i="6"/>
  <c r="G4815" i="6"/>
  <c r="F4815" i="6"/>
  <c r="G4814" i="6"/>
  <c r="F4814" i="6"/>
  <c r="G4813" i="6"/>
  <c r="F4813" i="6"/>
  <c r="G4812" i="6"/>
  <c r="F4812" i="6"/>
  <c r="G4811" i="6"/>
  <c r="F4811" i="6"/>
  <c r="G4810" i="6"/>
  <c r="F4810" i="6"/>
  <c r="G4809" i="6"/>
  <c r="F4809" i="6"/>
  <c r="G4808" i="6"/>
  <c r="F4808" i="6"/>
  <c r="G4807" i="6"/>
  <c r="F4807" i="6"/>
  <c r="G4806" i="6"/>
  <c r="F4806" i="6"/>
  <c r="G4805" i="6"/>
  <c r="F4805" i="6"/>
  <c r="G4804" i="6"/>
  <c r="F4804" i="6"/>
  <c r="G4803" i="6"/>
  <c r="F4803" i="6"/>
  <c r="G4802" i="6"/>
  <c r="F4802" i="6"/>
  <c r="G4801" i="6"/>
  <c r="F4801" i="6"/>
  <c r="G4800" i="6"/>
  <c r="F4800" i="6"/>
  <c r="G4799" i="6"/>
  <c r="F4799" i="6"/>
  <c r="G4798" i="6"/>
  <c r="F4798" i="6"/>
  <c r="G4797" i="6"/>
  <c r="F4797" i="6"/>
  <c r="G4796" i="6"/>
  <c r="F4796" i="6"/>
  <c r="G4795" i="6"/>
  <c r="F4795" i="6"/>
  <c r="G4794" i="6"/>
  <c r="F4794" i="6"/>
  <c r="G4793" i="6"/>
  <c r="F4793" i="6"/>
  <c r="G4792" i="6"/>
  <c r="F4792" i="6"/>
  <c r="G4791" i="6"/>
  <c r="F4791" i="6"/>
  <c r="G4790" i="6"/>
  <c r="F4790" i="6"/>
  <c r="G4789" i="6"/>
  <c r="F4789" i="6"/>
  <c r="G4788" i="6"/>
  <c r="F4788" i="6"/>
  <c r="G4787" i="6"/>
  <c r="F4787" i="6"/>
  <c r="G4786" i="6"/>
  <c r="F4786" i="6"/>
  <c r="G4785" i="6"/>
  <c r="F4785" i="6"/>
  <c r="G4784" i="6"/>
  <c r="F4784" i="6"/>
  <c r="G4783" i="6"/>
  <c r="F4783" i="6"/>
  <c r="G4782" i="6"/>
  <c r="F4782" i="6"/>
  <c r="G4781" i="6"/>
  <c r="F4781" i="6"/>
  <c r="G4780" i="6"/>
  <c r="F4780" i="6"/>
  <c r="G4779" i="6"/>
  <c r="F4779" i="6"/>
  <c r="G4778" i="6"/>
  <c r="F4778" i="6"/>
  <c r="G4777" i="6"/>
  <c r="F4777" i="6"/>
  <c r="G4776" i="6"/>
  <c r="F4776" i="6"/>
  <c r="G4775" i="6"/>
  <c r="F4775" i="6"/>
  <c r="G4774" i="6"/>
  <c r="F4774" i="6"/>
  <c r="G4773" i="6"/>
  <c r="F4773" i="6"/>
  <c r="G4772" i="6"/>
  <c r="F4772" i="6"/>
  <c r="G4771" i="6"/>
  <c r="F4771" i="6"/>
  <c r="G4770" i="6"/>
  <c r="F4770" i="6"/>
  <c r="G4769" i="6"/>
  <c r="F4769" i="6"/>
  <c r="G4768" i="6"/>
  <c r="F4768" i="6"/>
  <c r="G4767" i="6"/>
  <c r="F4767" i="6"/>
  <c r="G4766" i="6"/>
  <c r="F4766" i="6"/>
  <c r="G4765" i="6"/>
  <c r="F4765" i="6"/>
  <c r="G4764" i="6"/>
  <c r="F4764" i="6"/>
  <c r="G4763" i="6"/>
  <c r="F4763" i="6"/>
  <c r="G4762" i="6"/>
  <c r="F4762" i="6"/>
  <c r="G4761" i="6"/>
  <c r="F4761" i="6"/>
  <c r="G4760" i="6"/>
  <c r="F4760" i="6"/>
  <c r="G4759" i="6"/>
  <c r="F4759" i="6"/>
  <c r="G4758" i="6"/>
  <c r="F4758" i="6"/>
  <c r="G4757" i="6"/>
  <c r="F4757" i="6"/>
  <c r="G4756" i="6"/>
  <c r="F4756" i="6"/>
  <c r="G4755" i="6"/>
  <c r="F4755" i="6"/>
  <c r="G4754" i="6"/>
  <c r="F4754" i="6"/>
  <c r="G4753" i="6"/>
  <c r="F4753" i="6"/>
  <c r="G4752" i="6"/>
  <c r="F4752" i="6"/>
  <c r="G4751" i="6"/>
  <c r="F4751" i="6"/>
  <c r="G4750" i="6"/>
  <c r="F4750" i="6"/>
  <c r="G4749" i="6"/>
  <c r="F4749" i="6"/>
  <c r="G4748" i="6"/>
  <c r="F4748" i="6"/>
  <c r="G4747" i="6"/>
  <c r="F4747" i="6"/>
  <c r="G4746" i="6"/>
  <c r="F4746" i="6"/>
  <c r="G4745" i="6"/>
  <c r="F4745" i="6"/>
  <c r="G4744" i="6"/>
  <c r="F4744" i="6"/>
  <c r="G4743" i="6"/>
  <c r="F4743" i="6"/>
  <c r="G4742" i="6"/>
  <c r="F4742" i="6"/>
  <c r="G4741" i="6"/>
  <c r="F4741" i="6"/>
  <c r="G4740" i="6"/>
  <c r="F4740" i="6"/>
  <c r="G4739" i="6"/>
  <c r="F4739" i="6"/>
  <c r="G4738" i="6"/>
  <c r="F4738" i="6"/>
  <c r="G4737" i="6"/>
  <c r="F4737" i="6"/>
  <c r="G4736" i="6"/>
  <c r="F4736" i="6"/>
  <c r="G4735" i="6"/>
  <c r="F4735" i="6"/>
  <c r="G4734" i="6"/>
  <c r="F4734" i="6"/>
  <c r="G4733" i="6"/>
  <c r="F4733" i="6"/>
  <c r="G4732" i="6"/>
  <c r="F4732" i="6"/>
  <c r="G4731" i="6"/>
  <c r="F4731" i="6"/>
  <c r="G4730" i="6"/>
  <c r="F4730" i="6"/>
  <c r="G4729" i="6"/>
  <c r="F4729" i="6"/>
  <c r="G4728" i="6"/>
  <c r="F4728" i="6"/>
  <c r="G4727" i="6"/>
  <c r="F4727" i="6"/>
  <c r="G4726" i="6"/>
  <c r="F4726" i="6"/>
  <c r="G4725" i="6"/>
  <c r="F4725" i="6"/>
  <c r="G4724" i="6"/>
  <c r="F4724" i="6"/>
  <c r="G4723" i="6"/>
  <c r="F4723" i="6"/>
  <c r="G4722" i="6"/>
  <c r="F4722" i="6"/>
  <c r="G4721" i="6"/>
  <c r="F4721" i="6"/>
  <c r="G4720" i="6"/>
  <c r="F4720" i="6"/>
  <c r="G4719" i="6"/>
  <c r="F4719" i="6"/>
  <c r="G4718" i="6"/>
  <c r="F4718" i="6"/>
  <c r="G4717" i="6"/>
  <c r="F4717" i="6"/>
  <c r="G4716" i="6"/>
  <c r="F4716" i="6"/>
  <c r="G4715" i="6"/>
  <c r="F4715" i="6"/>
  <c r="G4714" i="6"/>
  <c r="F4714" i="6"/>
  <c r="G4713" i="6"/>
  <c r="F4713" i="6"/>
  <c r="G4712" i="6"/>
  <c r="F4712" i="6"/>
  <c r="G4711" i="6"/>
  <c r="F4711" i="6"/>
  <c r="G4710" i="6"/>
  <c r="F4710" i="6"/>
  <c r="G4709" i="6"/>
  <c r="F4709" i="6"/>
  <c r="G4708" i="6"/>
  <c r="F4708" i="6"/>
  <c r="G4707" i="6"/>
  <c r="F4707" i="6"/>
  <c r="G4706" i="6"/>
  <c r="F4706" i="6"/>
  <c r="G4705" i="6"/>
  <c r="F4705" i="6"/>
  <c r="G4704" i="6"/>
  <c r="F4704" i="6"/>
  <c r="G4703" i="6"/>
  <c r="F4703" i="6"/>
  <c r="G4702" i="6"/>
  <c r="F4702" i="6"/>
  <c r="G4701" i="6"/>
  <c r="F4701" i="6"/>
  <c r="G4700" i="6"/>
  <c r="F4700" i="6"/>
  <c r="G4699" i="6"/>
  <c r="F4699" i="6"/>
  <c r="G4698" i="6"/>
  <c r="F4698" i="6"/>
  <c r="G4697" i="6"/>
  <c r="F4697" i="6"/>
  <c r="G4696" i="6"/>
  <c r="F4696" i="6"/>
  <c r="G4695" i="6"/>
  <c r="F4695" i="6"/>
  <c r="G4694" i="6"/>
  <c r="F4694" i="6"/>
  <c r="G4693" i="6"/>
  <c r="F4693" i="6"/>
  <c r="G4692" i="6"/>
  <c r="F4692" i="6"/>
  <c r="G4691" i="6"/>
  <c r="F4691" i="6"/>
  <c r="G4690" i="6"/>
  <c r="F4690" i="6"/>
  <c r="G4689" i="6"/>
  <c r="F4689" i="6"/>
  <c r="G4688" i="6"/>
  <c r="F4688" i="6"/>
  <c r="G4687" i="6"/>
  <c r="F4687" i="6"/>
  <c r="G4686" i="6"/>
  <c r="F4686" i="6"/>
  <c r="G4685" i="6"/>
  <c r="F4685" i="6"/>
  <c r="G4684" i="6"/>
  <c r="F4684" i="6"/>
  <c r="G4683" i="6"/>
  <c r="F4683" i="6"/>
  <c r="G4682" i="6"/>
  <c r="F4682" i="6"/>
  <c r="G4681" i="6"/>
  <c r="F4681" i="6"/>
  <c r="G4680" i="6"/>
  <c r="F4680" i="6"/>
  <c r="G4679" i="6"/>
  <c r="F4679" i="6"/>
  <c r="G4678" i="6"/>
  <c r="F4678" i="6"/>
  <c r="G4677" i="6"/>
  <c r="F4677" i="6"/>
  <c r="G4676" i="6"/>
  <c r="F4676" i="6"/>
  <c r="G4675" i="6"/>
  <c r="F4675" i="6"/>
  <c r="G4674" i="6"/>
  <c r="F4674" i="6"/>
  <c r="G4673" i="6"/>
  <c r="F4673" i="6"/>
  <c r="G4672" i="6"/>
  <c r="F4672" i="6"/>
  <c r="G4671" i="6"/>
  <c r="F4671" i="6"/>
  <c r="G4670" i="6"/>
  <c r="F4670" i="6"/>
  <c r="G4669" i="6"/>
  <c r="F4669" i="6"/>
  <c r="G4668" i="6"/>
  <c r="F4668" i="6"/>
  <c r="G4667" i="6"/>
  <c r="F4667" i="6"/>
  <c r="G4666" i="6"/>
  <c r="F4666" i="6"/>
  <c r="G4665" i="6"/>
  <c r="F4665" i="6"/>
  <c r="G4664" i="6"/>
  <c r="F4664" i="6"/>
  <c r="G4663" i="6"/>
  <c r="F4663" i="6"/>
  <c r="G4662" i="6"/>
  <c r="F4662" i="6"/>
  <c r="G4661" i="6"/>
  <c r="F4661" i="6"/>
  <c r="G4660" i="6"/>
  <c r="F4660" i="6"/>
  <c r="G4659" i="6"/>
  <c r="F4659" i="6"/>
  <c r="G4658" i="6"/>
  <c r="F4658" i="6"/>
  <c r="G4657" i="6"/>
  <c r="F4657" i="6"/>
  <c r="G4656" i="6"/>
  <c r="F4656" i="6"/>
  <c r="G4655" i="6"/>
  <c r="F4655" i="6"/>
  <c r="G4654" i="6"/>
  <c r="F4654" i="6"/>
  <c r="G4653" i="6"/>
  <c r="F4653" i="6"/>
  <c r="G4652" i="6"/>
  <c r="F4652" i="6"/>
  <c r="G4651" i="6"/>
  <c r="F4651" i="6"/>
  <c r="G4650" i="6"/>
  <c r="F4650" i="6"/>
  <c r="G4649" i="6"/>
  <c r="F4649" i="6"/>
  <c r="G4648" i="6"/>
  <c r="F4648" i="6"/>
  <c r="G4647" i="6"/>
  <c r="F4647" i="6"/>
  <c r="G4646" i="6"/>
  <c r="F4646" i="6"/>
  <c r="G4645" i="6"/>
  <c r="F4645" i="6"/>
  <c r="G4644" i="6"/>
  <c r="F4644" i="6"/>
  <c r="G4643" i="6"/>
  <c r="F4643" i="6"/>
  <c r="G4642" i="6"/>
  <c r="F4642" i="6"/>
  <c r="G4641" i="6"/>
  <c r="F4641" i="6"/>
  <c r="G4640" i="6"/>
  <c r="F4640" i="6"/>
  <c r="G4639" i="6"/>
  <c r="F4639" i="6"/>
  <c r="G4638" i="6"/>
  <c r="F4638" i="6"/>
  <c r="G4637" i="6"/>
  <c r="F4637" i="6"/>
  <c r="G4636" i="6"/>
  <c r="F4636" i="6"/>
  <c r="G4635" i="6"/>
  <c r="F4635" i="6"/>
  <c r="G4634" i="6"/>
  <c r="F4634" i="6"/>
  <c r="G4633" i="6"/>
  <c r="F4633" i="6"/>
  <c r="G4632" i="6"/>
  <c r="F4632" i="6"/>
  <c r="G4631" i="6"/>
  <c r="F4631" i="6"/>
  <c r="G4630" i="6"/>
  <c r="F4630" i="6"/>
  <c r="G4629" i="6"/>
  <c r="F4629" i="6"/>
  <c r="G4628" i="6"/>
  <c r="F4628" i="6"/>
  <c r="G4627" i="6"/>
  <c r="F4627" i="6"/>
  <c r="G4626" i="6"/>
  <c r="F4626" i="6"/>
  <c r="G4625" i="6"/>
  <c r="F4625" i="6"/>
  <c r="G4624" i="6"/>
  <c r="F4624" i="6"/>
  <c r="G4623" i="6"/>
  <c r="F4623" i="6"/>
  <c r="G4622" i="6"/>
  <c r="F4622" i="6"/>
  <c r="G4621" i="6"/>
  <c r="F4621" i="6"/>
  <c r="G4620" i="6"/>
  <c r="F4620" i="6"/>
  <c r="G4619" i="6"/>
  <c r="F4619" i="6"/>
  <c r="G4618" i="6"/>
  <c r="F4618" i="6"/>
  <c r="G4617" i="6"/>
  <c r="F4617" i="6"/>
  <c r="G4616" i="6"/>
  <c r="F4616" i="6"/>
  <c r="G4615" i="6"/>
  <c r="F4615" i="6"/>
  <c r="G4614" i="6"/>
  <c r="F4614" i="6"/>
  <c r="G4613" i="6"/>
  <c r="F4613" i="6"/>
  <c r="G4612" i="6"/>
  <c r="F4612" i="6"/>
  <c r="G4611" i="6"/>
  <c r="F4611" i="6"/>
  <c r="G4610" i="6"/>
  <c r="F4610" i="6"/>
  <c r="G4609" i="6"/>
  <c r="F4609" i="6"/>
  <c r="G4608" i="6"/>
  <c r="F4608" i="6"/>
  <c r="G4607" i="6"/>
  <c r="F4607" i="6"/>
  <c r="G4606" i="6"/>
  <c r="F4606" i="6"/>
  <c r="G4605" i="6"/>
  <c r="F4605" i="6"/>
  <c r="G4604" i="6"/>
  <c r="F4604" i="6"/>
  <c r="G4603" i="6"/>
  <c r="F4603" i="6"/>
  <c r="G4602" i="6"/>
  <c r="F4602" i="6"/>
  <c r="G4601" i="6"/>
  <c r="F4601" i="6"/>
  <c r="G4600" i="6"/>
  <c r="F4600" i="6"/>
  <c r="G4599" i="6"/>
  <c r="F4599" i="6"/>
  <c r="G4598" i="6"/>
  <c r="F4598" i="6"/>
  <c r="G4597" i="6"/>
  <c r="F4597" i="6"/>
  <c r="G4596" i="6"/>
  <c r="F4596" i="6"/>
  <c r="G4595" i="6"/>
  <c r="F4595" i="6"/>
  <c r="G4594" i="6"/>
  <c r="F4594" i="6"/>
  <c r="G4593" i="6"/>
  <c r="F4593" i="6"/>
  <c r="G4592" i="6"/>
  <c r="F4592" i="6"/>
  <c r="G4591" i="6"/>
  <c r="F4591" i="6"/>
  <c r="G4590" i="6"/>
  <c r="F4590" i="6"/>
  <c r="G4589" i="6"/>
  <c r="F4589" i="6"/>
  <c r="G4588" i="6"/>
  <c r="F4588" i="6"/>
  <c r="G4587" i="6"/>
  <c r="F4587" i="6"/>
  <c r="G4586" i="6"/>
  <c r="F4586" i="6"/>
  <c r="G4585" i="6"/>
  <c r="F4585" i="6"/>
  <c r="G4584" i="6"/>
  <c r="F4584" i="6"/>
  <c r="G4583" i="6"/>
  <c r="F4583" i="6"/>
  <c r="G4582" i="6"/>
  <c r="F4582" i="6"/>
  <c r="G4581" i="6"/>
  <c r="F4581" i="6"/>
  <c r="G4580" i="6"/>
  <c r="F4580" i="6"/>
  <c r="G4579" i="6"/>
  <c r="F4579" i="6"/>
  <c r="G4578" i="6"/>
  <c r="F4578" i="6"/>
  <c r="G4577" i="6"/>
  <c r="F4577" i="6"/>
  <c r="G4576" i="6"/>
  <c r="F4576" i="6"/>
  <c r="G4575" i="6"/>
  <c r="F4575" i="6"/>
  <c r="G4574" i="6"/>
  <c r="F4574" i="6"/>
  <c r="G4573" i="6"/>
  <c r="F4573" i="6"/>
  <c r="G4572" i="6"/>
  <c r="F4572" i="6"/>
  <c r="G4571" i="6"/>
  <c r="F4571" i="6"/>
  <c r="G4570" i="6"/>
  <c r="F4570" i="6"/>
  <c r="G4569" i="6"/>
  <c r="F4569" i="6"/>
  <c r="G4568" i="6"/>
  <c r="F4568" i="6"/>
  <c r="G4567" i="6"/>
  <c r="F4567" i="6"/>
  <c r="G4566" i="6"/>
  <c r="F4566" i="6"/>
  <c r="G4565" i="6"/>
  <c r="F4565" i="6"/>
  <c r="G4564" i="6"/>
  <c r="F4564" i="6"/>
  <c r="G4563" i="6"/>
  <c r="F4563" i="6"/>
  <c r="G4562" i="6"/>
  <c r="F4562" i="6"/>
  <c r="G4561" i="6"/>
  <c r="F4561" i="6"/>
  <c r="G4560" i="6"/>
  <c r="F4560" i="6"/>
  <c r="G4559" i="6"/>
  <c r="F4559" i="6"/>
  <c r="G4558" i="6"/>
  <c r="F4558" i="6"/>
  <c r="G4557" i="6"/>
  <c r="F4557" i="6"/>
  <c r="G4556" i="6"/>
  <c r="F4556" i="6"/>
  <c r="G4555" i="6"/>
  <c r="F4555" i="6"/>
  <c r="G4554" i="6"/>
  <c r="F4554" i="6"/>
  <c r="G4553" i="6"/>
  <c r="F4553" i="6"/>
  <c r="G4552" i="6"/>
  <c r="F4552" i="6"/>
  <c r="G4551" i="6"/>
  <c r="F4551" i="6"/>
  <c r="G4550" i="6"/>
  <c r="F4550" i="6"/>
  <c r="G4549" i="6"/>
  <c r="F4549" i="6"/>
  <c r="G4548" i="6"/>
  <c r="F4548" i="6"/>
  <c r="G4547" i="6"/>
  <c r="F4547" i="6"/>
  <c r="G4546" i="6"/>
  <c r="F4546" i="6"/>
  <c r="G4545" i="6"/>
  <c r="F4545" i="6"/>
  <c r="G4544" i="6"/>
  <c r="F4544" i="6"/>
  <c r="G4543" i="6"/>
  <c r="F4543" i="6"/>
  <c r="G4542" i="6"/>
  <c r="F4542" i="6"/>
  <c r="G4541" i="6"/>
  <c r="F4541" i="6"/>
  <c r="G4540" i="6"/>
  <c r="F4540" i="6"/>
  <c r="G4539" i="6"/>
  <c r="F4539" i="6"/>
  <c r="G4538" i="6"/>
  <c r="F4538" i="6"/>
  <c r="G4537" i="6"/>
  <c r="F4537" i="6"/>
  <c r="G4536" i="6"/>
  <c r="F4536" i="6"/>
  <c r="G4535" i="6"/>
  <c r="F4535" i="6"/>
  <c r="G4534" i="6"/>
  <c r="F4534" i="6"/>
  <c r="G4533" i="6"/>
  <c r="F4533" i="6"/>
  <c r="G4532" i="6"/>
  <c r="F4532" i="6"/>
  <c r="G4531" i="6"/>
  <c r="F4531" i="6"/>
  <c r="G4530" i="6"/>
  <c r="F4530" i="6"/>
  <c r="G4529" i="6"/>
  <c r="F4529" i="6"/>
  <c r="G4528" i="6"/>
  <c r="F4528" i="6"/>
  <c r="G4527" i="6"/>
  <c r="F4527" i="6"/>
  <c r="G4526" i="6"/>
  <c r="F4526" i="6"/>
  <c r="G4525" i="6"/>
  <c r="F4525" i="6"/>
  <c r="G4524" i="6"/>
  <c r="F4524" i="6"/>
  <c r="G4523" i="6"/>
  <c r="F4523" i="6"/>
  <c r="G4522" i="6"/>
  <c r="F4522" i="6"/>
  <c r="G4521" i="6"/>
  <c r="F4521" i="6"/>
  <c r="G4520" i="6"/>
  <c r="F4520" i="6"/>
  <c r="G4519" i="6"/>
  <c r="F4519" i="6"/>
  <c r="G4518" i="6"/>
  <c r="F4518" i="6"/>
  <c r="G4517" i="6"/>
  <c r="F4517" i="6"/>
  <c r="G4516" i="6"/>
  <c r="F4516" i="6"/>
  <c r="G4515" i="6"/>
  <c r="F4515" i="6"/>
  <c r="G4514" i="6"/>
  <c r="F4514" i="6"/>
  <c r="G4513" i="6"/>
  <c r="F4513" i="6"/>
  <c r="G4512" i="6"/>
  <c r="F4512" i="6"/>
  <c r="G4511" i="6"/>
  <c r="F4511" i="6"/>
  <c r="G4510" i="6"/>
  <c r="F4510" i="6"/>
  <c r="G4509" i="6"/>
  <c r="F4509" i="6"/>
  <c r="G4508" i="6"/>
  <c r="F4508" i="6"/>
  <c r="G4507" i="6"/>
  <c r="F4507" i="6"/>
  <c r="G4506" i="6"/>
  <c r="F4506" i="6"/>
  <c r="G4505" i="6"/>
  <c r="F4505" i="6"/>
  <c r="G4504" i="6"/>
  <c r="F4504" i="6"/>
  <c r="G4503" i="6"/>
  <c r="F4503" i="6"/>
  <c r="G4502" i="6"/>
  <c r="F4502" i="6"/>
  <c r="G4501" i="6"/>
  <c r="F4501" i="6"/>
  <c r="G4500" i="6"/>
  <c r="F4500" i="6"/>
  <c r="G4499" i="6"/>
  <c r="F4499" i="6"/>
  <c r="G4498" i="6"/>
  <c r="F4498" i="6"/>
  <c r="G4497" i="6"/>
  <c r="F4497" i="6"/>
  <c r="G4496" i="6"/>
  <c r="F4496" i="6"/>
  <c r="G4495" i="6"/>
  <c r="F4495" i="6"/>
  <c r="G4494" i="6"/>
  <c r="F4494" i="6"/>
  <c r="G4493" i="6"/>
  <c r="F4493" i="6"/>
  <c r="G4492" i="6"/>
  <c r="F4492" i="6"/>
  <c r="G4491" i="6"/>
  <c r="F4491" i="6"/>
  <c r="G4490" i="6"/>
  <c r="F4490" i="6"/>
  <c r="G4489" i="6"/>
  <c r="F4489" i="6"/>
  <c r="G4488" i="6"/>
  <c r="F4488" i="6"/>
  <c r="G4487" i="6"/>
  <c r="F4487" i="6"/>
  <c r="G4486" i="6"/>
  <c r="F4486" i="6"/>
  <c r="G4485" i="6"/>
  <c r="F4485" i="6"/>
  <c r="G4484" i="6"/>
  <c r="F4484" i="6"/>
  <c r="G4483" i="6"/>
  <c r="F4483" i="6"/>
  <c r="G4482" i="6"/>
  <c r="F4482" i="6"/>
  <c r="G4481" i="6"/>
  <c r="F4481" i="6"/>
  <c r="G4480" i="6"/>
  <c r="F4480" i="6"/>
  <c r="G4479" i="6"/>
  <c r="F4479" i="6"/>
  <c r="G4478" i="6"/>
  <c r="F4478" i="6"/>
  <c r="G4477" i="6"/>
  <c r="F4477" i="6"/>
  <c r="G4476" i="6"/>
  <c r="F4476" i="6"/>
  <c r="G4475" i="6"/>
  <c r="F4475" i="6"/>
  <c r="G4474" i="6"/>
  <c r="F4474" i="6"/>
  <c r="G4473" i="6"/>
  <c r="F4473" i="6"/>
  <c r="G4472" i="6"/>
  <c r="F4472" i="6"/>
  <c r="G4471" i="6"/>
  <c r="F4471" i="6"/>
  <c r="G4470" i="6"/>
  <c r="F4470" i="6"/>
  <c r="G4469" i="6"/>
  <c r="F4469" i="6"/>
  <c r="G4468" i="6"/>
  <c r="F4468" i="6"/>
  <c r="G4467" i="6"/>
  <c r="F4467" i="6"/>
  <c r="G4466" i="6"/>
  <c r="F4466" i="6"/>
  <c r="G4465" i="6"/>
  <c r="F4465" i="6"/>
  <c r="G4464" i="6"/>
  <c r="F4464" i="6"/>
  <c r="G4463" i="6"/>
  <c r="F4463" i="6"/>
  <c r="G4462" i="6"/>
  <c r="F4462" i="6"/>
  <c r="G4461" i="6"/>
  <c r="F4461" i="6"/>
  <c r="G4460" i="6"/>
  <c r="F4460" i="6"/>
  <c r="G4459" i="6"/>
  <c r="F4459" i="6"/>
  <c r="G4458" i="6"/>
  <c r="F4458" i="6"/>
  <c r="G4457" i="6"/>
  <c r="F4457" i="6"/>
  <c r="G4456" i="6"/>
  <c r="F4456" i="6"/>
  <c r="G4455" i="6"/>
  <c r="F4455" i="6"/>
  <c r="G4454" i="6"/>
  <c r="F4454" i="6"/>
  <c r="G4453" i="6"/>
  <c r="F4453" i="6"/>
  <c r="G4452" i="6"/>
  <c r="F4452" i="6"/>
  <c r="G4451" i="6"/>
  <c r="F4451" i="6"/>
  <c r="G4450" i="6"/>
  <c r="F4450" i="6"/>
  <c r="G4449" i="6"/>
  <c r="F4449" i="6"/>
  <c r="G4448" i="6"/>
  <c r="F4448" i="6"/>
  <c r="G4447" i="6"/>
  <c r="F4447" i="6"/>
  <c r="G4446" i="6"/>
  <c r="F4446" i="6"/>
  <c r="G4445" i="6"/>
  <c r="F4445" i="6"/>
  <c r="G4444" i="6"/>
  <c r="F4444" i="6"/>
  <c r="G4443" i="6"/>
  <c r="F4443" i="6"/>
  <c r="G4442" i="6"/>
  <c r="F4442" i="6"/>
  <c r="G4441" i="6"/>
  <c r="F4441" i="6"/>
  <c r="G4440" i="6"/>
  <c r="F4440" i="6"/>
  <c r="G4439" i="6"/>
  <c r="F4439" i="6"/>
  <c r="G4438" i="6"/>
  <c r="F4438" i="6"/>
  <c r="G4437" i="6"/>
  <c r="F4437" i="6"/>
  <c r="G4436" i="6"/>
  <c r="F4436" i="6"/>
  <c r="G4435" i="6"/>
  <c r="F4435" i="6"/>
  <c r="G4434" i="6"/>
  <c r="F4434" i="6"/>
  <c r="G4433" i="6"/>
  <c r="F4433" i="6"/>
  <c r="G4432" i="6"/>
  <c r="F4432" i="6"/>
  <c r="G4431" i="6"/>
  <c r="F4431" i="6"/>
  <c r="G4430" i="6"/>
  <c r="F4430" i="6"/>
  <c r="G4429" i="6"/>
  <c r="F4429" i="6"/>
  <c r="G4428" i="6"/>
  <c r="F4428" i="6"/>
  <c r="G4427" i="6"/>
  <c r="F4427" i="6"/>
  <c r="G4426" i="6"/>
  <c r="F4426" i="6"/>
  <c r="G4425" i="6"/>
  <c r="F4425" i="6"/>
  <c r="G4424" i="6"/>
  <c r="F4424" i="6"/>
  <c r="G4423" i="6"/>
  <c r="F4423" i="6"/>
  <c r="G4422" i="6"/>
  <c r="F4422" i="6"/>
  <c r="G4421" i="6"/>
  <c r="F4421" i="6"/>
  <c r="G4420" i="6"/>
  <c r="F4420" i="6"/>
  <c r="G4419" i="6"/>
  <c r="F4419" i="6"/>
  <c r="G4418" i="6"/>
  <c r="F4418" i="6"/>
  <c r="G4417" i="6"/>
  <c r="F4417" i="6"/>
  <c r="G4416" i="6"/>
  <c r="F4416" i="6"/>
  <c r="G4415" i="6"/>
  <c r="F4415" i="6"/>
  <c r="G4414" i="6"/>
  <c r="F4414" i="6"/>
  <c r="G4413" i="6"/>
  <c r="F4413" i="6"/>
  <c r="G4412" i="6"/>
  <c r="F4412" i="6"/>
  <c r="G4411" i="6"/>
  <c r="F4411" i="6"/>
  <c r="G4410" i="6"/>
  <c r="F4410" i="6"/>
  <c r="G4409" i="6"/>
  <c r="F4409" i="6"/>
  <c r="G4408" i="6"/>
  <c r="F4408" i="6"/>
  <c r="G4407" i="6"/>
  <c r="F4407" i="6"/>
  <c r="G4406" i="6"/>
  <c r="F4406" i="6"/>
  <c r="G4405" i="6"/>
  <c r="F4405" i="6"/>
  <c r="G4404" i="6"/>
  <c r="F4404" i="6"/>
  <c r="G4403" i="6"/>
  <c r="F4403" i="6"/>
  <c r="G4402" i="6"/>
  <c r="F4402" i="6"/>
  <c r="G4401" i="6"/>
  <c r="F4401" i="6"/>
  <c r="G4400" i="6"/>
  <c r="F4400" i="6"/>
  <c r="G4399" i="6"/>
  <c r="F4399" i="6"/>
  <c r="G4398" i="6"/>
  <c r="F4398" i="6"/>
  <c r="G4397" i="6"/>
  <c r="F4397" i="6"/>
  <c r="G4396" i="6"/>
  <c r="F4396" i="6"/>
  <c r="G4395" i="6"/>
  <c r="F4395" i="6"/>
  <c r="G4394" i="6"/>
  <c r="F4394" i="6"/>
  <c r="G4393" i="6"/>
  <c r="F4393" i="6"/>
  <c r="G4392" i="6"/>
  <c r="F4392" i="6"/>
  <c r="G4391" i="6"/>
  <c r="F4391" i="6"/>
  <c r="G4390" i="6"/>
  <c r="F4390" i="6"/>
  <c r="G4389" i="6"/>
  <c r="F4389" i="6"/>
  <c r="G4388" i="6"/>
  <c r="F4388" i="6"/>
  <c r="G4387" i="6"/>
  <c r="F4387" i="6"/>
  <c r="G4386" i="6"/>
  <c r="F4386" i="6"/>
  <c r="G4385" i="6"/>
  <c r="F4385" i="6"/>
  <c r="G4384" i="6"/>
  <c r="F4384" i="6"/>
  <c r="G4383" i="6"/>
  <c r="F4383" i="6"/>
  <c r="G4382" i="6"/>
  <c r="F4382" i="6"/>
  <c r="G4381" i="6"/>
  <c r="F4381" i="6"/>
  <c r="G4380" i="6"/>
  <c r="F4380" i="6"/>
  <c r="G4379" i="6"/>
  <c r="F4379" i="6"/>
  <c r="G4378" i="6"/>
  <c r="F4378" i="6"/>
  <c r="G4377" i="6"/>
  <c r="F4377" i="6"/>
  <c r="G4376" i="6"/>
  <c r="F4376" i="6"/>
  <c r="G4375" i="6"/>
  <c r="F4375" i="6"/>
  <c r="G4374" i="6"/>
  <c r="F4374" i="6"/>
  <c r="G4373" i="6"/>
  <c r="F4373" i="6"/>
  <c r="G4372" i="6"/>
  <c r="F4372" i="6"/>
  <c r="G4371" i="6"/>
  <c r="F4371" i="6"/>
  <c r="G4370" i="6"/>
  <c r="F4370" i="6"/>
  <c r="G4369" i="6"/>
  <c r="F4369" i="6"/>
  <c r="G4368" i="6"/>
  <c r="F4368" i="6"/>
  <c r="G4367" i="6"/>
  <c r="F4367" i="6"/>
  <c r="G4366" i="6"/>
  <c r="F4366" i="6"/>
  <c r="G4365" i="6"/>
  <c r="F4365" i="6"/>
  <c r="G4364" i="6"/>
  <c r="F4364" i="6"/>
  <c r="G4363" i="6"/>
  <c r="F4363" i="6"/>
  <c r="G4362" i="6"/>
  <c r="F4362" i="6"/>
  <c r="G4361" i="6"/>
  <c r="F4361" i="6"/>
  <c r="G4360" i="6"/>
  <c r="F4360" i="6"/>
  <c r="G4359" i="6"/>
  <c r="F4359" i="6"/>
  <c r="G4358" i="6"/>
  <c r="F4358" i="6"/>
  <c r="G4357" i="6"/>
  <c r="F4357" i="6"/>
  <c r="G4356" i="6"/>
  <c r="F4356" i="6"/>
  <c r="G4355" i="6"/>
  <c r="F4355" i="6"/>
  <c r="G4354" i="6"/>
  <c r="F4354" i="6"/>
  <c r="G4353" i="6"/>
  <c r="F4353" i="6"/>
  <c r="G4352" i="6"/>
  <c r="F4352" i="6"/>
  <c r="G4351" i="6"/>
  <c r="F4351" i="6"/>
  <c r="G4350" i="6"/>
  <c r="F4350" i="6"/>
  <c r="G4349" i="6"/>
  <c r="F4349" i="6"/>
  <c r="G4348" i="6"/>
  <c r="F4348" i="6"/>
  <c r="G4347" i="6"/>
  <c r="F4347" i="6"/>
  <c r="G4346" i="6"/>
  <c r="F4346" i="6"/>
  <c r="G4345" i="6"/>
  <c r="F4345" i="6"/>
  <c r="G4344" i="6"/>
  <c r="F4344" i="6"/>
  <c r="G4343" i="6"/>
  <c r="F4343" i="6"/>
  <c r="G4342" i="6"/>
  <c r="F4342" i="6"/>
  <c r="G4341" i="6"/>
  <c r="F4341" i="6"/>
  <c r="G4340" i="6"/>
  <c r="F4340" i="6"/>
  <c r="G4339" i="6"/>
  <c r="F4339" i="6"/>
  <c r="G4338" i="6"/>
  <c r="F4338" i="6"/>
  <c r="G4337" i="6"/>
  <c r="F4337" i="6"/>
  <c r="G4336" i="6"/>
  <c r="F4336" i="6"/>
  <c r="G4335" i="6"/>
  <c r="F4335" i="6"/>
  <c r="G4334" i="6"/>
  <c r="F4334" i="6"/>
  <c r="G4333" i="6"/>
  <c r="F4333" i="6"/>
  <c r="G4332" i="6"/>
  <c r="F4332" i="6"/>
  <c r="G4331" i="6"/>
  <c r="F4331" i="6"/>
  <c r="G4330" i="6"/>
  <c r="F4330" i="6"/>
  <c r="G4329" i="6"/>
  <c r="F4329" i="6"/>
  <c r="G4328" i="6"/>
  <c r="F4328" i="6"/>
  <c r="G4327" i="6"/>
  <c r="F4327" i="6"/>
  <c r="G4326" i="6"/>
  <c r="F4326" i="6"/>
  <c r="G4325" i="6"/>
  <c r="F4325" i="6"/>
  <c r="G4324" i="6"/>
  <c r="F4324" i="6"/>
  <c r="G4323" i="6"/>
  <c r="F4323" i="6"/>
  <c r="G4322" i="6"/>
  <c r="F4322" i="6"/>
  <c r="G4321" i="6"/>
  <c r="F4321" i="6"/>
  <c r="G4320" i="6"/>
  <c r="F4320" i="6"/>
  <c r="G4319" i="6"/>
  <c r="F4319" i="6"/>
  <c r="G4318" i="6"/>
  <c r="F4318" i="6"/>
  <c r="G4317" i="6"/>
  <c r="F4317" i="6"/>
  <c r="G4316" i="6"/>
  <c r="F4316" i="6"/>
  <c r="G4315" i="6"/>
  <c r="F4315" i="6"/>
  <c r="G4314" i="6"/>
  <c r="F4314" i="6"/>
  <c r="G4313" i="6"/>
  <c r="F4313" i="6"/>
  <c r="G4312" i="6"/>
  <c r="F4312" i="6"/>
  <c r="G4311" i="6"/>
  <c r="F4311" i="6"/>
  <c r="G4310" i="6"/>
  <c r="F4310" i="6"/>
  <c r="G4309" i="6"/>
  <c r="F4309" i="6"/>
  <c r="G4308" i="6"/>
  <c r="F4308" i="6"/>
  <c r="G4307" i="6"/>
  <c r="F4307" i="6"/>
  <c r="G4306" i="6"/>
  <c r="F4306" i="6"/>
  <c r="G4305" i="6"/>
  <c r="F4305" i="6"/>
  <c r="G4304" i="6"/>
  <c r="F4304" i="6"/>
  <c r="G4303" i="6"/>
  <c r="F4303" i="6"/>
  <c r="G4302" i="6"/>
  <c r="F4302" i="6"/>
  <c r="G4301" i="6"/>
  <c r="F4301" i="6"/>
  <c r="G4300" i="6"/>
  <c r="F4300" i="6"/>
  <c r="G4299" i="6"/>
  <c r="F4299" i="6"/>
  <c r="G4298" i="6"/>
  <c r="F4298" i="6"/>
  <c r="G4297" i="6"/>
  <c r="F4297" i="6"/>
  <c r="G4296" i="6"/>
  <c r="F4296" i="6"/>
  <c r="G4295" i="6"/>
  <c r="F4295" i="6"/>
  <c r="G4294" i="6"/>
  <c r="F4294" i="6"/>
  <c r="G4293" i="6"/>
  <c r="F4293" i="6"/>
  <c r="G4292" i="6"/>
  <c r="F4292" i="6"/>
  <c r="G4291" i="6"/>
  <c r="F4291" i="6"/>
  <c r="G4290" i="6"/>
  <c r="F4290" i="6"/>
  <c r="G4289" i="6"/>
  <c r="F4289" i="6"/>
  <c r="G4288" i="6"/>
  <c r="F4288" i="6"/>
  <c r="G4287" i="6"/>
  <c r="F4287" i="6"/>
  <c r="G4286" i="6"/>
  <c r="F4286" i="6"/>
  <c r="G4285" i="6"/>
  <c r="F4285" i="6"/>
  <c r="G4284" i="6"/>
  <c r="F4284" i="6"/>
  <c r="G4283" i="6"/>
  <c r="F4283" i="6"/>
  <c r="G4282" i="6"/>
  <c r="F4282" i="6"/>
  <c r="G4281" i="6"/>
  <c r="F4281" i="6"/>
  <c r="G4280" i="6"/>
  <c r="F4280" i="6"/>
  <c r="G4279" i="6"/>
  <c r="F4279" i="6"/>
  <c r="G4278" i="6"/>
  <c r="F4278" i="6"/>
  <c r="G4277" i="6"/>
  <c r="F4277" i="6"/>
  <c r="G4276" i="6"/>
  <c r="F4276" i="6"/>
  <c r="G4275" i="6"/>
  <c r="F4275" i="6"/>
  <c r="G4274" i="6"/>
  <c r="F4274" i="6"/>
  <c r="G4273" i="6"/>
  <c r="F4273" i="6"/>
  <c r="G4272" i="6"/>
  <c r="F4272" i="6"/>
  <c r="G4271" i="6"/>
  <c r="F4271" i="6"/>
  <c r="G4270" i="6"/>
  <c r="F4270" i="6"/>
  <c r="G4269" i="6"/>
  <c r="F4269" i="6"/>
  <c r="G4268" i="6"/>
  <c r="F4268" i="6"/>
  <c r="G4267" i="6"/>
  <c r="F4267" i="6"/>
  <c r="G4266" i="6"/>
  <c r="F4266" i="6"/>
  <c r="G4265" i="6"/>
  <c r="F4265" i="6"/>
  <c r="G4264" i="6"/>
  <c r="F4264" i="6"/>
  <c r="G4263" i="6"/>
  <c r="F4263" i="6"/>
  <c r="G4262" i="6"/>
  <c r="F4262" i="6"/>
  <c r="G4261" i="6"/>
  <c r="F4261" i="6"/>
  <c r="G4260" i="6"/>
  <c r="F4260" i="6"/>
  <c r="G4259" i="6"/>
  <c r="F4259" i="6"/>
  <c r="G4258" i="6"/>
  <c r="F4258" i="6"/>
  <c r="G4257" i="6"/>
  <c r="F4257" i="6"/>
  <c r="G4256" i="6"/>
  <c r="F4256" i="6"/>
  <c r="G4255" i="6"/>
  <c r="F4255" i="6"/>
  <c r="G4254" i="6"/>
  <c r="F4254" i="6"/>
  <c r="G4253" i="6"/>
  <c r="F4253" i="6"/>
  <c r="G4252" i="6"/>
  <c r="F4252" i="6"/>
  <c r="G4251" i="6"/>
  <c r="F4251" i="6"/>
  <c r="G4250" i="6"/>
  <c r="F4250" i="6"/>
  <c r="G4249" i="6"/>
  <c r="F4249" i="6"/>
  <c r="G4248" i="6"/>
  <c r="F4248" i="6"/>
  <c r="G4247" i="6"/>
  <c r="F4247" i="6"/>
  <c r="G4246" i="6"/>
  <c r="F4246" i="6"/>
  <c r="G4245" i="6"/>
  <c r="F4245" i="6"/>
  <c r="G4244" i="6"/>
  <c r="F4244" i="6"/>
  <c r="G4243" i="6"/>
  <c r="F4243" i="6"/>
  <c r="G4242" i="6"/>
  <c r="F4242" i="6"/>
  <c r="G4241" i="6"/>
  <c r="F4241" i="6"/>
  <c r="G4240" i="6"/>
  <c r="F4240" i="6"/>
  <c r="G4239" i="6"/>
  <c r="F4239" i="6"/>
  <c r="G4238" i="6"/>
  <c r="F4238" i="6"/>
  <c r="G4237" i="6"/>
  <c r="F4237" i="6"/>
  <c r="G4236" i="6"/>
  <c r="F4236" i="6"/>
  <c r="G4235" i="6"/>
  <c r="F4235" i="6"/>
  <c r="G4234" i="6"/>
  <c r="F4234" i="6"/>
  <c r="G4233" i="6"/>
  <c r="F4233" i="6"/>
  <c r="G4232" i="6"/>
  <c r="F4232" i="6"/>
  <c r="G4231" i="6"/>
  <c r="F4231" i="6"/>
  <c r="G4230" i="6"/>
  <c r="F4230" i="6"/>
  <c r="G4229" i="6"/>
  <c r="F4229" i="6"/>
  <c r="G4228" i="6"/>
  <c r="F4228" i="6"/>
  <c r="G4227" i="6"/>
  <c r="F4227" i="6"/>
  <c r="G4226" i="6"/>
  <c r="F4226" i="6"/>
  <c r="G4225" i="6"/>
  <c r="F4225" i="6"/>
  <c r="G4224" i="6"/>
  <c r="F4224" i="6"/>
  <c r="G4223" i="6"/>
  <c r="F4223" i="6"/>
  <c r="G4222" i="6"/>
  <c r="F4222" i="6"/>
  <c r="G4221" i="6"/>
  <c r="F4221" i="6"/>
  <c r="G4220" i="6"/>
  <c r="F4220" i="6"/>
  <c r="G4219" i="6"/>
  <c r="F4219" i="6"/>
  <c r="G4218" i="6"/>
  <c r="F4218" i="6"/>
  <c r="G4217" i="6"/>
  <c r="F4217" i="6"/>
  <c r="G4216" i="6"/>
  <c r="F4216" i="6"/>
  <c r="G4215" i="6"/>
  <c r="F4215" i="6"/>
  <c r="G4214" i="6"/>
  <c r="F4214" i="6"/>
  <c r="G4213" i="6"/>
  <c r="F4213" i="6"/>
  <c r="G4212" i="6"/>
  <c r="F4212" i="6"/>
  <c r="G4211" i="6"/>
  <c r="F4211" i="6"/>
  <c r="G4210" i="6"/>
  <c r="F4210" i="6"/>
  <c r="G4209" i="6"/>
  <c r="F4209" i="6"/>
  <c r="G4208" i="6"/>
  <c r="F4208" i="6"/>
  <c r="G4207" i="6"/>
  <c r="F4207" i="6"/>
  <c r="G4206" i="6"/>
  <c r="F4206" i="6"/>
  <c r="G4205" i="6"/>
  <c r="F4205" i="6"/>
  <c r="G4204" i="6"/>
  <c r="F4204" i="6"/>
  <c r="G4203" i="6"/>
  <c r="F4203" i="6"/>
  <c r="G4202" i="6"/>
  <c r="F4202" i="6"/>
  <c r="G4201" i="6"/>
  <c r="F4201" i="6"/>
  <c r="G4200" i="6"/>
  <c r="F4200" i="6"/>
  <c r="G4199" i="6"/>
  <c r="F4199" i="6"/>
  <c r="G4198" i="6"/>
  <c r="F4198" i="6"/>
  <c r="G4197" i="6"/>
  <c r="F4197" i="6"/>
  <c r="G4196" i="6"/>
  <c r="F4196" i="6"/>
  <c r="G4195" i="6"/>
  <c r="F4195" i="6"/>
  <c r="G4194" i="6"/>
  <c r="F4194" i="6"/>
  <c r="G4193" i="6"/>
  <c r="F4193" i="6"/>
  <c r="G4192" i="6"/>
  <c r="F4192" i="6"/>
  <c r="G4191" i="6"/>
  <c r="F4191" i="6"/>
  <c r="G4190" i="6"/>
  <c r="F4190" i="6"/>
  <c r="G4189" i="6"/>
  <c r="F4189" i="6"/>
  <c r="G4188" i="6"/>
  <c r="F4188" i="6"/>
  <c r="G4187" i="6"/>
  <c r="F4187" i="6"/>
  <c r="G4186" i="6"/>
  <c r="F4186" i="6"/>
  <c r="G4185" i="6"/>
  <c r="F4185" i="6"/>
  <c r="G4184" i="6"/>
  <c r="F4184" i="6"/>
  <c r="G4183" i="6"/>
  <c r="F4183" i="6"/>
  <c r="G4182" i="6"/>
  <c r="F4182" i="6"/>
  <c r="G4181" i="6"/>
  <c r="F4181" i="6"/>
  <c r="G4180" i="6"/>
  <c r="F4180" i="6"/>
  <c r="G4179" i="6"/>
  <c r="F4179" i="6"/>
  <c r="G4178" i="6"/>
  <c r="F4178" i="6"/>
  <c r="G4177" i="6"/>
  <c r="F4177" i="6"/>
  <c r="G4176" i="6"/>
  <c r="F4176" i="6"/>
  <c r="G4175" i="6"/>
  <c r="F4175" i="6"/>
  <c r="G4174" i="6"/>
  <c r="F4174" i="6"/>
  <c r="G4173" i="6"/>
  <c r="F4173" i="6"/>
  <c r="G4172" i="6"/>
  <c r="F4172" i="6"/>
  <c r="G4171" i="6"/>
  <c r="F4171" i="6"/>
  <c r="G4170" i="6"/>
  <c r="F4170" i="6"/>
  <c r="G4169" i="6"/>
  <c r="F4169" i="6"/>
  <c r="G4168" i="6"/>
  <c r="F4168" i="6"/>
  <c r="G4167" i="6"/>
  <c r="F4167" i="6"/>
  <c r="G4166" i="6"/>
  <c r="F4166" i="6"/>
  <c r="G4165" i="6"/>
  <c r="F4165" i="6"/>
  <c r="G4164" i="6"/>
  <c r="F4164" i="6"/>
  <c r="G4163" i="6"/>
  <c r="F4163" i="6"/>
  <c r="G4162" i="6"/>
  <c r="F4162" i="6"/>
  <c r="G4161" i="6"/>
  <c r="F4161" i="6"/>
  <c r="G4160" i="6"/>
  <c r="F4160" i="6"/>
  <c r="G4159" i="6"/>
  <c r="F4159" i="6"/>
  <c r="G4158" i="6"/>
  <c r="F4158" i="6"/>
  <c r="G4157" i="6"/>
  <c r="F4157" i="6"/>
  <c r="G4156" i="6"/>
  <c r="F4156" i="6"/>
  <c r="G4155" i="6"/>
  <c r="F4155" i="6"/>
  <c r="G4154" i="6"/>
  <c r="F4154" i="6"/>
  <c r="G4153" i="6"/>
  <c r="F4153" i="6"/>
  <c r="G4152" i="6"/>
  <c r="F4152" i="6"/>
  <c r="G4151" i="6"/>
  <c r="F4151" i="6"/>
  <c r="G4150" i="6"/>
  <c r="F4150" i="6"/>
  <c r="G4149" i="6"/>
  <c r="F4149" i="6"/>
  <c r="G4148" i="6"/>
  <c r="F4148" i="6"/>
  <c r="G4147" i="6"/>
  <c r="F4147" i="6"/>
  <c r="G4146" i="6"/>
  <c r="F4146" i="6"/>
  <c r="G4145" i="6"/>
  <c r="F4145" i="6"/>
  <c r="G4144" i="6"/>
  <c r="F4144" i="6"/>
  <c r="G4143" i="6"/>
  <c r="F4143" i="6"/>
  <c r="G4142" i="6"/>
  <c r="F4142" i="6"/>
  <c r="G4141" i="6"/>
  <c r="F4141" i="6"/>
  <c r="G4140" i="6"/>
  <c r="F4140" i="6"/>
  <c r="G4139" i="6"/>
  <c r="F4139" i="6"/>
  <c r="G4138" i="6"/>
  <c r="F4138" i="6"/>
  <c r="G4137" i="6"/>
  <c r="F4137" i="6"/>
  <c r="G4136" i="6"/>
  <c r="F4136" i="6"/>
  <c r="G4135" i="6"/>
  <c r="F4135" i="6"/>
  <c r="G4134" i="6"/>
  <c r="F4134" i="6"/>
  <c r="G4133" i="6"/>
  <c r="F4133" i="6"/>
  <c r="G4132" i="6"/>
  <c r="F4132" i="6"/>
  <c r="G4131" i="6"/>
  <c r="F4131" i="6"/>
  <c r="G4130" i="6"/>
  <c r="F4130" i="6"/>
  <c r="G4129" i="6"/>
  <c r="F4129" i="6"/>
  <c r="G4128" i="6"/>
  <c r="F4128" i="6"/>
  <c r="G4127" i="6"/>
  <c r="F4127" i="6"/>
  <c r="G4126" i="6"/>
  <c r="F4126" i="6"/>
  <c r="G4125" i="6"/>
  <c r="F4125" i="6"/>
  <c r="G4124" i="6"/>
  <c r="F4124" i="6"/>
  <c r="G4123" i="6"/>
  <c r="F4123" i="6"/>
  <c r="G4122" i="6"/>
  <c r="F4122" i="6"/>
  <c r="G4121" i="6"/>
  <c r="F4121" i="6"/>
  <c r="G4120" i="6"/>
  <c r="F4120" i="6"/>
  <c r="G4119" i="6"/>
  <c r="F4119" i="6"/>
  <c r="G4118" i="6"/>
  <c r="F4118" i="6"/>
  <c r="G4117" i="6"/>
  <c r="F4117" i="6"/>
  <c r="G4116" i="6"/>
  <c r="F4116" i="6"/>
  <c r="G4115" i="6"/>
  <c r="F4115" i="6"/>
  <c r="G4114" i="6"/>
  <c r="F4114" i="6"/>
  <c r="G4113" i="6"/>
  <c r="F4113" i="6"/>
  <c r="G4112" i="6"/>
  <c r="F4112" i="6"/>
  <c r="G4111" i="6"/>
  <c r="F4111" i="6"/>
  <c r="G4110" i="6"/>
  <c r="F4110" i="6"/>
  <c r="G4109" i="6"/>
  <c r="F4109" i="6"/>
  <c r="G4108" i="6"/>
  <c r="F4108" i="6"/>
  <c r="G4107" i="6"/>
  <c r="F4107" i="6"/>
  <c r="G4106" i="6"/>
  <c r="F4106" i="6"/>
  <c r="G4105" i="6"/>
  <c r="F4105" i="6"/>
  <c r="G4104" i="6"/>
  <c r="F4104" i="6"/>
  <c r="G4103" i="6"/>
  <c r="F4103" i="6"/>
  <c r="G4102" i="6"/>
  <c r="F4102" i="6"/>
  <c r="G4101" i="6"/>
  <c r="F4101" i="6"/>
  <c r="G4100" i="6"/>
  <c r="F4100" i="6"/>
  <c r="G4099" i="6"/>
  <c r="F4099" i="6"/>
  <c r="G4098" i="6"/>
  <c r="F4098" i="6"/>
  <c r="G4097" i="6"/>
  <c r="F4097" i="6"/>
  <c r="G4096" i="6"/>
  <c r="F4096" i="6"/>
  <c r="G4095" i="6"/>
  <c r="F4095" i="6"/>
  <c r="G4094" i="6"/>
  <c r="F4094" i="6"/>
  <c r="G4093" i="6"/>
  <c r="F4093" i="6"/>
  <c r="G4092" i="6"/>
  <c r="F4092" i="6"/>
  <c r="G4091" i="6"/>
  <c r="F4091" i="6"/>
  <c r="G4090" i="6"/>
  <c r="F4090" i="6"/>
  <c r="G4089" i="6"/>
  <c r="F4089" i="6"/>
  <c r="G4088" i="6"/>
  <c r="F4088" i="6"/>
  <c r="G4087" i="6"/>
  <c r="F4087" i="6"/>
  <c r="G4086" i="6"/>
  <c r="F4086" i="6"/>
  <c r="G4085" i="6"/>
  <c r="F4085" i="6"/>
  <c r="G4084" i="6"/>
  <c r="F4084" i="6"/>
  <c r="G4083" i="6"/>
  <c r="F4083" i="6"/>
  <c r="G4082" i="6"/>
  <c r="F4082" i="6"/>
  <c r="G4081" i="6"/>
  <c r="F4081" i="6"/>
  <c r="G4080" i="6"/>
  <c r="F4080" i="6"/>
  <c r="G4079" i="6"/>
  <c r="F4079" i="6"/>
  <c r="G4078" i="6"/>
  <c r="F4078" i="6"/>
  <c r="G4077" i="6"/>
  <c r="F4077" i="6"/>
  <c r="G4076" i="6"/>
  <c r="F4076" i="6"/>
  <c r="G4075" i="6"/>
  <c r="F4075" i="6"/>
  <c r="G4074" i="6"/>
  <c r="F4074" i="6"/>
  <c r="G4073" i="6"/>
  <c r="F4073" i="6"/>
  <c r="G4072" i="6"/>
  <c r="F4072" i="6"/>
  <c r="G4071" i="6"/>
  <c r="F4071" i="6"/>
  <c r="G4070" i="6"/>
  <c r="F4070" i="6"/>
  <c r="G4069" i="6"/>
  <c r="F4069" i="6"/>
  <c r="G4068" i="6"/>
  <c r="F4068" i="6"/>
  <c r="G4067" i="6"/>
  <c r="F4067" i="6"/>
  <c r="G4066" i="6"/>
  <c r="F4066" i="6"/>
  <c r="G4065" i="6"/>
  <c r="F4065" i="6"/>
  <c r="G4064" i="6"/>
  <c r="F4064" i="6"/>
  <c r="G4063" i="6"/>
  <c r="F4063" i="6"/>
  <c r="G4062" i="6"/>
  <c r="F4062" i="6"/>
  <c r="G4061" i="6"/>
  <c r="F4061" i="6"/>
  <c r="G4060" i="6"/>
  <c r="F4060" i="6"/>
  <c r="G4059" i="6"/>
  <c r="F4059" i="6"/>
  <c r="G4058" i="6"/>
  <c r="F4058" i="6"/>
  <c r="G4057" i="6"/>
  <c r="F4057" i="6"/>
  <c r="G4056" i="6"/>
  <c r="F4056" i="6"/>
  <c r="G4055" i="6"/>
  <c r="F4055" i="6"/>
  <c r="G4054" i="6"/>
  <c r="F4054" i="6"/>
  <c r="G4053" i="6"/>
  <c r="F4053" i="6"/>
  <c r="G4052" i="6"/>
  <c r="F4052" i="6"/>
  <c r="G4051" i="6"/>
  <c r="F4051" i="6"/>
  <c r="G4050" i="6"/>
  <c r="F4050" i="6"/>
  <c r="G4049" i="6"/>
  <c r="F4049" i="6"/>
  <c r="G4048" i="6"/>
  <c r="F4048" i="6"/>
  <c r="G4047" i="6"/>
  <c r="F4047" i="6"/>
  <c r="G4046" i="6"/>
  <c r="F4046" i="6"/>
  <c r="G4045" i="6"/>
  <c r="F4045" i="6"/>
  <c r="G4044" i="6"/>
  <c r="F4044" i="6"/>
  <c r="G4043" i="6"/>
  <c r="F4043" i="6"/>
  <c r="G4042" i="6"/>
  <c r="F4042" i="6"/>
  <c r="G4041" i="6"/>
  <c r="F4041" i="6"/>
  <c r="G4040" i="6"/>
  <c r="F4040" i="6"/>
  <c r="G4039" i="6"/>
  <c r="F4039" i="6"/>
  <c r="G4038" i="6"/>
  <c r="F4038" i="6"/>
  <c r="G4037" i="6"/>
  <c r="F4037" i="6"/>
  <c r="G4036" i="6"/>
  <c r="F4036" i="6"/>
  <c r="G4035" i="6"/>
  <c r="F4035" i="6"/>
  <c r="G4034" i="6"/>
  <c r="F4034" i="6"/>
  <c r="G4033" i="6"/>
  <c r="F4033" i="6"/>
  <c r="G4032" i="6"/>
  <c r="F4032" i="6"/>
  <c r="G4031" i="6"/>
  <c r="F4031" i="6"/>
  <c r="G4030" i="6"/>
  <c r="F4030" i="6"/>
  <c r="G4029" i="6"/>
  <c r="F4029" i="6"/>
  <c r="G4028" i="6"/>
  <c r="F4028" i="6"/>
  <c r="G4027" i="6"/>
  <c r="F4027" i="6"/>
  <c r="G4026" i="6"/>
  <c r="F4026" i="6"/>
  <c r="G4025" i="6"/>
  <c r="F4025" i="6"/>
  <c r="G4024" i="6"/>
  <c r="F4024" i="6"/>
  <c r="G4023" i="6"/>
  <c r="F4023" i="6"/>
  <c r="G4022" i="6"/>
  <c r="F4022" i="6"/>
  <c r="G4021" i="6"/>
  <c r="F4021" i="6"/>
  <c r="G4020" i="6"/>
  <c r="F4020" i="6"/>
  <c r="G4019" i="6"/>
  <c r="F4019" i="6"/>
  <c r="G4018" i="6"/>
  <c r="F4018" i="6"/>
  <c r="G4017" i="6"/>
  <c r="F4017" i="6"/>
  <c r="G4016" i="6"/>
  <c r="F4016" i="6"/>
  <c r="G4015" i="6"/>
  <c r="F4015" i="6"/>
  <c r="G4014" i="6"/>
  <c r="F4014" i="6"/>
  <c r="G4013" i="6"/>
  <c r="F4013" i="6"/>
  <c r="G4012" i="6"/>
  <c r="F4012" i="6"/>
  <c r="G4011" i="6"/>
  <c r="F4011" i="6"/>
  <c r="G4010" i="6"/>
  <c r="F4010" i="6"/>
  <c r="G4009" i="6"/>
  <c r="F4009" i="6"/>
  <c r="G4008" i="6"/>
  <c r="F4008" i="6"/>
  <c r="G4007" i="6"/>
  <c r="F4007" i="6"/>
  <c r="G4006" i="6"/>
  <c r="F4006" i="6"/>
  <c r="G4005" i="6"/>
  <c r="F4005" i="6"/>
  <c r="G4004" i="6"/>
  <c r="F4004" i="6"/>
  <c r="G4003" i="6"/>
  <c r="F4003" i="6"/>
  <c r="G4002" i="6"/>
  <c r="F4002" i="6"/>
  <c r="G4001" i="6"/>
  <c r="F4001" i="6"/>
  <c r="G4000" i="6"/>
  <c r="F4000" i="6"/>
  <c r="G3999" i="6"/>
  <c r="F3999" i="6"/>
  <c r="G3998" i="6"/>
  <c r="F3998" i="6"/>
  <c r="G3997" i="6"/>
  <c r="F3997" i="6"/>
  <c r="G3996" i="6"/>
  <c r="F3996" i="6"/>
  <c r="G3995" i="6"/>
  <c r="F3995" i="6"/>
  <c r="G3994" i="6"/>
  <c r="F3994" i="6"/>
  <c r="G3993" i="6"/>
  <c r="F3993" i="6"/>
  <c r="G3992" i="6"/>
  <c r="F3992" i="6"/>
  <c r="G3991" i="6"/>
  <c r="F3991" i="6"/>
  <c r="G3990" i="6"/>
  <c r="F3990" i="6"/>
  <c r="G3989" i="6"/>
  <c r="F3989" i="6"/>
  <c r="G3988" i="6"/>
  <c r="F3988" i="6"/>
  <c r="G3987" i="6"/>
  <c r="F3987" i="6"/>
  <c r="G3986" i="6"/>
  <c r="F3986" i="6"/>
  <c r="G3985" i="6"/>
  <c r="F3985" i="6"/>
  <c r="G3984" i="6"/>
  <c r="F3984" i="6"/>
  <c r="G3983" i="6"/>
  <c r="F3983" i="6"/>
  <c r="G3982" i="6"/>
  <c r="F3982" i="6"/>
  <c r="G3981" i="6"/>
  <c r="F3981" i="6"/>
  <c r="G3980" i="6"/>
  <c r="F3980" i="6"/>
  <c r="G3979" i="6"/>
  <c r="F3979" i="6"/>
  <c r="G3978" i="6"/>
  <c r="F3978" i="6"/>
  <c r="G3977" i="6"/>
  <c r="F3977" i="6"/>
  <c r="G3976" i="6"/>
  <c r="F3976" i="6"/>
  <c r="G3975" i="6"/>
  <c r="F3975" i="6"/>
  <c r="G3974" i="6"/>
  <c r="F3974" i="6"/>
  <c r="G3973" i="6"/>
  <c r="F3973" i="6"/>
  <c r="G3972" i="6"/>
  <c r="F3972" i="6"/>
  <c r="G3971" i="6"/>
  <c r="F3971" i="6"/>
  <c r="G3970" i="6"/>
  <c r="F3970" i="6"/>
  <c r="G3969" i="6"/>
  <c r="F3969" i="6"/>
  <c r="G3968" i="6"/>
  <c r="F3968" i="6"/>
  <c r="G3967" i="6"/>
  <c r="F3967" i="6"/>
  <c r="G3966" i="6"/>
  <c r="F3966" i="6"/>
  <c r="G3965" i="6"/>
  <c r="F3965" i="6"/>
  <c r="G3964" i="6"/>
  <c r="F3964" i="6"/>
  <c r="G3963" i="6"/>
  <c r="F3963" i="6"/>
  <c r="G3962" i="6"/>
  <c r="F3962" i="6"/>
  <c r="G3961" i="6"/>
  <c r="F3961" i="6"/>
  <c r="G3960" i="6"/>
  <c r="F3960" i="6"/>
  <c r="G3959" i="6"/>
  <c r="F3959" i="6"/>
  <c r="G3958" i="6"/>
  <c r="F3958" i="6"/>
  <c r="G3957" i="6"/>
  <c r="F3957" i="6"/>
  <c r="G3956" i="6"/>
  <c r="F3956" i="6"/>
  <c r="G3955" i="6"/>
  <c r="F3955" i="6"/>
  <c r="G3954" i="6"/>
  <c r="F3954" i="6"/>
  <c r="G3953" i="6"/>
  <c r="F3953" i="6"/>
  <c r="G3952" i="6"/>
  <c r="F3952" i="6"/>
  <c r="G3951" i="6"/>
  <c r="F3951" i="6"/>
  <c r="G3950" i="6"/>
  <c r="F3950" i="6"/>
  <c r="G3949" i="6"/>
  <c r="F3949" i="6"/>
  <c r="G3948" i="6"/>
  <c r="F3948" i="6"/>
  <c r="G3947" i="6"/>
  <c r="F3947" i="6"/>
  <c r="G3946" i="6"/>
  <c r="F3946" i="6"/>
  <c r="G3945" i="6"/>
  <c r="F3945" i="6"/>
  <c r="G3944" i="6"/>
  <c r="F3944" i="6"/>
  <c r="G3943" i="6"/>
  <c r="F3943" i="6"/>
  <c r="G3942" i="6"/>
  <c r="F3942" i="6"/>
  <c r="G3941" i="6"/>
  <c r="F3941" i="6"/>
  <c r="G3940" i="6"/>
  <c r="F3940" i="6"/>
  <c r="G3939" i="6"/>
  <c r="F3939" i="6"/>
  <c r="G3938" i="6"/>
  <c r="F3938" i="6"/>
  <c r="G3937" i="6"/>
  <c r="F3937" i="6"/>
  <c r="G3936" i="6"/>
  <c r="F3936" i="6"/>
  <c r="G3935" i="6"/>
  <c r="F3935" i="6"/>
  <c r="G3934" i="6"/>
  <c r="F3934" i="6"/>
  <c r="G3933" i="6"/>
  <c r="F3933" i="6"/>
  <c r="G3932" i="6"/>
  <c r="F3932" i="6"/>
  <c r="G3931" i="6"/>
  <c r="F3931" i="6"/>
  <c r="G3930" i="6"/>
  <c r="F3930" i="6"/>
  <c r="G3929" i="6"/>
  <c r="F3929" i="6"/>
  <c r="G3928" i="6"/>
  <c r="F3928" i="6"/>
  <c r="G3927" i="6"/>
  <c r="F3927" i="6"/>
  <c r="G3926" i="6"/>
  <c r="F3926" i="6"/>
  <c r="G3925" i="6"/>
  <c r="F3925" i="6"/>
  <c r="G3924" i="6"/>
  <c r="F3924" i="6"/>
  <c r="G3923" i="6"/>
  <c r="F3923" i="6"/>
  <c r="G3922" i="6"/>
  <c r="F3922" i="6"/>
  <c r="G3921" i="6"/>
  <c r="F3921" i="6"/>
  <c r="G3920" i="6"/>
  <c r="F3920" i="6"/>
  <c r="G3919" i="6"/>
  <c r="F3919" i="6"/>
  <c r="G3918" i="6"/>
  <c r="F3918" i="6"/>
  <c r="G3917" i="6"/>
  <c r="F3917" i="6"/>
  <c r="G3916" i="6"/>
  <c r="F3916" i="6"/>
  <c r="G3915" i="6"/>
  <c r="F3915" i="6"/>
  <c r="G3914" i="6"/>
  <c r="F3914" i="6"/>
  <c r="G3913" i="6"/>
  <c r="F3913" i="6"/>
  <c r="G3912" i="6"/>
  <c r="F3912" i="6"/>
  <c r="G3911" i="6"/>
  <c r="F3911" i="6"/>
  <c r="G3910" i="6"/>
  <c r="F3910" i="6"/>
  <c r="G3909" i="6"/>
  <c r="F3909" i="6"/>
  <c r="G3908" i="6"/>
  <c r="F3908" i="6"/>
  <c r="G3907" i="6"/>
  <c r="F3907" i="6"/>
  <c r="G3906" i="6"/>
  <c r="F3906" i="6"/>
  <c r="G3905" i="6"/>
  <c r="F3905" i="6"/>
  <c r="G3904" i="6"/>
  <c r="F3904" i="6"/>
  <c r="G3903" i="6"/>
  <c r="F3903" i="6"/>
  <c r="G3902" i="6"/>
  <c r="F3902" i="6"/>
  <c r="G3901" i="6"/>
  <c r="F3901" i="6"/>
  <c r="G3900" i="6"/>
  <c r="F3900" i="6"/>
  <c r="G3899" i="6"/>
  <c r="F3899" i="6"/>
  <c r="G3898" i="6"/>
  <c r="F3898" i="6"/>
  <c r="G3897" i="6"/>
  <c r="F3897" i="6"/>
  <c r="G3896" i="6"/>
  <c r="F3896" i="6"/>
  <c r="G3895" i="6"/>
  <c r="F3895" i="6"/>
  <c r="G3894" i="6"/>
  <c r="F3894" i="6"/>
  <c r="G3893" i="6"/>
  <c r="F3893" i="6"/>
  <c r="G3892" i="6"/>
  <c r="F3892" i="6"/>
  <c r="G3891" i="6"/>
  <c r="F3891" i="6"/>
  <c r="G3890" i="6"/>
  <c r="F3890" i="6"/>
  <c r="G3889" i="6"/>
  <c r="F3889" i="6"/>
  <c r="G3888" i="6"/>
  <c r="F3888" i="6"/>
  <c r="G3887" i="6"/>
  <c r="F3887" i="6"/>
  <c r="G3886" i="6"/>
  <c r="F3886" i="6"/>
  <c r="G3885" i="6"/>
  <c r="F3885" i="6"/>
  <c r="G3884" i="6"/>
  <c r="F3884" i="6"/>
  <c r="G3883" i="6"/>
  <c r="F3883" i="6"/>
  <c r="G3882" i="6"/>
  <c r="F3882" i="6"/>
  <c r="G3881" i="6"/>
  <c r="F3881" i="6"/>
  <c r="G3880" i="6"/>
  <c r="F3880" i="6"/>
  <c r="G3879" i="6"/>
  <c r="F3879" i="6"/>
  <c r="G3878" i="6"/>
  <c r="F3878" i="6"/>
  <c r="G3877" i="6"/>
  <c r="F3877" i="6"/>
  <c r="G3876" i="6"/>
  <c r="F3876" i="6"/>
  <c r="G3875" i="6"/>
  <c r="F3875" i="6"/>
  <c r="G3874" i="6"/>
  <c r="F3874" i="6"/>
  <c r="G3873" i="6"/>
  <c r="F3873" i="6"/>
  <c r="G3872" i="6"/>
  <c r="F3872" i="6"/>
  <c r="G3871" i="6"/>
  <c r="F3871" i="6"/>
  <c r="G3870" i="6"/>
  <c r="F3870" i="6"/>
  <c r="G3869" i="6"/>
  <c r="F3869" i="6"/>
  <c r="G3868" i="6"/>
  <c r="F3868" i="6"/>
  <c r="G3867" i="6"/>
  <c r="F3867" i="6"/>
  <c r="G3866" i="6"/>
  <c r="F3866" i="6"/>
  <c r="G3865" i="6"/>
  <c r="F3865" i="6"/>
  <c r="G3864" i="6"/>
  <c r="F3864" i="6"/>
  <c r="G3863" i="6"/>
  <c r="F3863" i="6"/>
  <c r="G3862" i="6"/>
  <c r="F3862" i="6"/>
  <c r="G3861" i="6"/>
  <c r="F3861" i="6"/>
  <c r="G3860" i="6"/>
  <c r="F3860" i="6"/>
  <c r="G3859" i="6"/>
  <c r="F3859" i="6"/>
  <c r="G3858" i="6"/>
  <c r="F3858" i="6"/>
  <c r="G3857" i="6"/>
  <c r="F3857" i="6"/>
  <c r="G3856" i="6"/>
  <c r="F3856" i="6"/>
  <c r="G3855" i="6"/>
  <c r="F3855" i="6"/>
  <c r="G3854" i="6"/>
  <c r="F3854" i="6"/>
  <c r="G3853" i="6"/>
  <c r="F3853" i="6"/>
  <c r="G3852" i="6"/>
  <c r="F3852" i="6"/>
  <c r="G3851" i="6"/>
  <c r="F3851" i="6"/>
  <c r="G3850" i="6"/>
  <c r="F3850" i="6"/>
  <c r="G3849" i="6"/>
  <c r="F3849" i="6"/>
  <c r="G3848" i="6"/>
  <c r="F3848" i="6"/>
  <c r="G3847" i="6"/>
  <c r="F3847" i="6"/>
  <c r="G3846" i="6"/>
  <c r="F3846" i="6"/>
  <c r="G3845" i="6"/>
  <c r="F3845" i="6"/>
  <c r="G3844" i="6"/>
  <c r="F3844" i="6"/>
  <c r="G3843" i="6"/>
  <c r="F3843" i="6"/>
  <c r="G3842" i="6"/>
  <c r="F3842" i="6"/>
  <c r="G3841" i="6"/>
  <c r="F3841" i="6"/>
  <c r="G3840" i="6"/>
  <c r="F3840" i="6"/>
  <c r="G3839" i="6"/>
  <c r="F3839" i="6"/>
  <c r="G3838" i="6"/>
  <c r="F3838" i="6"/>
  <c r="G3837" i="6"/>
  <c r="F3837" i="6"/>
  <c r="G3836" i="6"/>
  <c r="F3836" i="6"/>
  <c r="G3835" i="6"/>
  <c r="F3835" i="6"/>
  <c r="G3834" i="6"/>
  <c r="F3834" i="6"/>
  <c r="G3833" i="6"/>
  <c r="F3833" i="6"/>
  <c r="G3832" i="6"/>
  <c r="F3832" i="6"/>
  <c r="G3831" i="6"/>
  <c r="F3831" i="6"/>
  <c r="G3830" i="6"/>
  <c r="F3830" i="6"/>
  <c r="G3829" i="6"/>
  <c r="F3829" i="6"/>
  <c r="G3828" i="6"/>
  <c r="F3828" i="6"/>
  <c r="G3827" i="6"/>
  <c r="F3827" i="6"/>
  <c r="G3826" i="6"/>
  <c r="F3826" i="6"/>
  <c r="G3825" i="6"/>
  <c r="F3825" i="6"/>
  <c r="G3824" i="6"/>
  <c r="F3824" i="6"/>
  <c r="G3823" i="6"/>
  <c r="F3823" i="6"/>
  <c r="G3822" i="6"/>
  <c r="F3822" i="6"/>
  <c r="G3821" i="6"/>
  <c r="F3821" i="6"/>
  <c r="G3820" i="6"/>
  <c r="F3820" i="6"/>
  <c r="G3819" i="6"/>
  <c r="F3819" i="6"/>
  <c r="G3818" i="6"/>
  <c r="F3818" i="6"/>
  <c r="G3817" i="6"/>
  <c r="F3817" i="6"/>
  <c r="G3816" i="6"/>
  <c r="F3816" i="6"/>
  <c r="G3815" i="6"/>
  <c r="F3815" i="6"/>
  <c r="G3814" i="6"/>
  <c r="F3814" i="6"/>
  <c r="G3813" i="6"/>
  <c r="F3813" i="6"/>
  <c r="G3812" i="6"/>
  <c r="F3812" i="6"/>
  <c r="G3811" i="6"/>
  <c r="F3811" i="6"/>
  <c r="G3810" i="6"/>
  <c r="F3810" i="6"/>
  <c r="G3809" i="6"/>
  <c r="F3809" i="6"/>
  <c r="G3808" i="6"/>
  <c r="F3808" i="6"/>
  <c r="G3807" i="6"/>
  <c r="F3807" i="6"/>
  <c r="G3806" i="6"/>
  <c r="F3806" i="6"/>
  <c r="G3805" i="6"/>
  <c r="F3805" i="6"/>
  <c r="G3804" i="6"/>
  <c r="F3804" i="6"/>
  <c r="G3803" i="6"/>
  <c r="F3803" i="6"/>
  <c r="G3802" i="6"/>
  <c r="F3802" i="6"/>
  <c r="G3801" i="6"/>
  <c r="F3801" i="6"/>
  <c r="G3800" i="6"/>
  <c r="F3800" i="6"/>
  <c r="G3799" i="6"/>
  <c r="F3799" i="6"/>
  <c r="G3798" i="6"/>
  <c r="F3798" i="6"/>
  <c r="G3797" i="6"/>
  <c r="F3797" i="6"/>
  <c r="G3796" i="6"/>
  <c r="F3796" i="6"/>
  <c r="G3795" i="6"/>
  <c r="F3795" i="6"/>
  <c r="G3794" i="6"/>
  <c r="F3794" i="6"/>
  <c r="G3793" i="6"/>
  <c r="F3793" i="6"/>
  <c r="G3792" i="6"/>
  <c r="F3792" i="6"/>
  <c r="G3791" i="6"/>
  <c r="F3791" i="6"/>
  <c r="G3790" i="6"/>
  <c r="F3790" i="6"/>
  <c r="G3789" i="6"/>
  <c r="F3789" i="6"/>
  <c r="G3788" i="6"/>
  <c r="F3788" i="6"/>
  <c r="G3787" i="6"/>
  <c r="F3787" i="6"/>
  <c r="G3786" i="6"/>
  <c r="F3786" i="6"/>
  <c r="G3785" i="6"/>
  <c r="F3785" i="6"/>
  <c r="G3784" i="6"/>
  <c r="F3784" i="6"/>
  <c r="G3783" i="6"/>
  <c r="F3783" i="6"/>
  <c r="G3782" i="6"/>
  <c r="F3782" i="6"/>
  <c r="G3781" i="6"/>
  <c r="F3781" i="6"/>
  <c r="G3780" i="6"/>
  <c r="F3780" i="6"/>
  <c r="G3779" i="6"/>
  <c r="F3779" i="6"/>
  <c r="G3778" i="6"/>
  <c r="F3778" i="6"/>
  <c r="G3777" i="6"/>
  <c r="F3777" i="6"/>
  <c r="G3776" i="6"/>
  <c r="F3776" i="6"/>
  <c r="G3775" i="6"/>
  <c r="F3775" i="6"/>
  <c r="G3774" i="6"/>
  <c r="F3774" i="6"/>
  <c r="G3773" i="6"/>
  <c r="F3773" i="6"/>
  <c r="G3772" i="6"/>
  <c r="F3772" i="6"/>
  <c r="G3771" i="6"/>
  <c r="F3771" i="6"/>
  <c r="G3770" i="6"/>
  <c r="F3770" i="6"/>
  <c r="G3769" i="6"/>
  <c r="F3769" i="6"/>
  <c r="G3768" i="6"/>
  <c r="F3768" i="6"/>
  <c r="G3767" i="6"/>
  <c r="F3767" i="6"/>
  <c r="G3766" i="6"/>
  <c r="F3766" i="6"/>
  <c r="G3765" i="6"/>
  <c r="F3765" i="6"/>
  <c r="G3764" i="6"/>
  <c r="F3764" i="6"/>
  <c r="G3763" i="6"/>
  <c r="F3763" i="6"/>
  <c r="G3762" i="6"/>
  <c r="F3762" i="6"/>
  <c r="G3761" i="6"/>
  <c r="F3761" i="6"/>
  <c r="G3760" i="6"/>
  <c r="F3760" i="6"/>
  <c r="G3759" i="6"/>
  <c r="F3759" i="6"/>
  <c r="G3758" i="6"/>
  <c r="F3758" i="6"/>
  <c r="G3757" i="6"/>
  <c r="F3757" i="6"/>
  <c r="G3756" i="6"/>
  <c r="F3756" i="6"/>
  <c r="G3755" i="6"/>
  <c r="F3755" i="6"/>
  <c r="G3754" i="6"/>
  <c r="F3754" i="6"/>
  <c r="G3753" i="6"/>
  <c r="F3753" i="6"/>
  <c r="G3752" i="6"/>
  <c r="F3752" i="6"/>
  <c r="G3751" i="6"/>
  <c r="F3751" i="6"/>
  <c r="G3750" i="6"/>
  <c r="F3750" i="6"/>
  <c r="G3749" i="6"/>
  <c r="F3749" i="6"/>
  <c r="G3748" i="6"/>
  <c r="F3748" i="6"/>
  <c r="G3747" i="6"/>
  <c r="F3747" i="6"/>
  <c r="G3746" i="6"/>
  <c r="F3746" i="6"/>
  <c r="G3745" i="6"/>
  <c r="F3745" i="6"/>
  <c r="G3744" i="6"/>
  <c r="F3744" i="6"/>
  <c r="G3743" i="6"/>
  <c r="F3743" i="6"/>
  <c r="G3742" i="6"/>
  <c r="F3742" i="6"/>
  <c r="G3741" i="6"/>
  <c r="F3741" i="6"/>
  <c r="G3740" i="6"/>
  <c r="F3740" i="6"/>
  <c r="G3739" i="6"/>
  <c r="F3739" i="6"/>
  <c r="G3738" i="6"/>
  <c r="F3738" i="6"/>
  <c r="G3737" i="6"/>
  <c r="F3737" i="6"/>
  <c r="G3736" i="6"/>
  <c r="F3736" i="6"/>
  <c r="G3735" i="6"/>
  <c r="F3735" i="6"/>
  <c r="G3734" i="6"/>
  <c r="F3734" i="6"/>
  <c r="G3733" i="6"/>
  <c r="F3733" i="6"/>
  <c r="G3732" i="6"/>
  <c r="F3732" i="6"/>
  <c r="G3731" i="6"/>
  <c r="F3731" i="6"/>
  <c r="G3730" i="6"/>
  <c r="F3730" i="6"/>
  <c r="G3729" i="6"/>
  <c r="F3729" i="6"/>
  <c r="G3728" i="6"/>
  <c r="F3728" i="6"/>
  <c r="G3727" i="6"/>
  <c r="F3727" i="6"/>
  <c r="G3726" i="6"/>
  <c r="F3726" i="6"/>
  <c r="G3725" i="6"/>
  <c r="F3725" i="6"/>
  <c r="G3724" i="6"/>
  <c r="F3724" i="6"/>
  <c r="G3723" i="6"/>
  <c r="F3723" i="6"/>
  <c r="G3722" i="6"/>
  <c r="F3722" i="6"/>
  <c r="G3721" i="6"/>
  <c r="F3721" i="6"/>
  <c r="G3720" i="6"/>
  <c r="F3720" i="6"/>
  <c r="G3719" i="6"/>
  <c r="F3719" i="6"/>
  <c r="G3718" i="6"/>
  <c r="F3718" i="6"/>
  <c r="G3717" i="6"/>
  <c r="F3717" i="6"/>
  <c r="G3716" i="6"/>
  <c r="F3716" i="6"/>
  <c r="G3715" i="6"/>
  <c r="F3715" i="6"/>
  <c r="G3714" i="6"/>
  <c r="F3714" i="6"/>
  <c r="G3713" i="6"/>
  <c r="F3713" i="6"/>
  <c r="G3712" i="6"/>
  <c r="F3712" i="6"/>
  <c r="G3711" i="6"/>
  <c r="F3711" i="6"/>
  <c r="G3710" i="6"/>
  <c r="F3710" i="6"/>
  <c r="G3709" i="6"/>
  <c r="F3709" i="6"/>
  <c r="G3708" i="6"/>
  <c r="F3708" i="6"/>
  <c r="G3707" i="6"/>
  <c r="F3707" i="6"/>
  <c r="G3706" i="6"/>
  <c r="F3706" i="6"/>
  <c r="G3705" i="6"/>
  <c r="F3705" i="6"/>
  <c r="G3704" i="6"/>
  <c r="F3704" i="6"/>
  <c r="G3703" i="6"/>
  <c r="F3703" i="6"/>
  <c r="G3702" i="6"/>
  <c r="F3702" i="6"/>
  <c r="G3701" i="6"/>
  <c r="F3701" i="6"/>
  <c r="G3700" i="6"/>
  <c r="F3700" i="6"/>
  <c r="G3699" i="6"/>
  <c r="F3699" i="6"/>
  <c r="G3698" i="6"/>
  <c r="F3698" i="6"/>
  <c r="G3697" i="6"/>
  <c r="F3697" i="6"/>
  <c r="G3696" i="6"/>
  <c r="F3696" i="6"/>
  <c r="G3695" i="6"/>
  <c r="F3695" i="6"/>
  <c r="G3694" i="6"/>
  <c r="F3694" i="6"/>
  <c r="G3693" i="6"/>
  <c r="F3693" i="6"/>
  <c r="G3692" i="6"/>
  <c r="F3692" i="6"/>
  <c r="G3691" i="6"/>
  <c r="F3691" i="6"/>
  <c r="G3690" i="6"/>
  <c r="F3690" i="6"/>
  <c r="G3689" i="6"/>
  <c r="F3689" i="6"/>
  <c r="G3688" i="6"/>
  <c r="F3688" i="6"/>
  <c r="G3687" i="6"/>
  <c r="F3687" i="6"/>
  <c r="G3686" i="6"/>
  <c r="F3686" i="6"/>
  <c r="G3685" i="6"/>
  <c r="F3685" i="6"/>
  <c r="G3684" i="6"/>
  <c r="F3684" i="6"/>
  <c r="G3683" i="6"/>
  <c r="F3683" i="6"/>
  <c r="G3682" i="6"/>
  <c r="F3682" i="6"/>
  <c r="G3681" i="6"/>
  <c r="F3681" i="6"/>
  <c r="G3680" i="6"/>
  <c r="F3680" i="6"/>
  <c r="G3679" i="6"/>
  <c r="F3679" i="6"/>
  <c r="G3678" i="6"/>
  <c r="F3678" i="6"/>
  <c r="G3677" i="6"/>
  <c r="F3677" i="6"/>
  <c r="G3676" i="6"/>
  <c r="F3676" i="6"/>
  <c r="G3675" i="6"/>
  <c r="F3675" i="6"/>
  <c r="G3674" i="6"/>
  <c r="F3674" i="6"/>
  <c r="G3673" i="6"/>
  <c r="F3673" i="6"/>
  <c r="G3672" i="6"/>
  <c r="F3672" i="6"/>
  <c r="G3671" i="6"/>
  <c r="F3671" i="6"/>
  <c r="G3670" i="6"/>
  <c r="F3670" i="6"/>
  <c r="G3669" i="6"/>
  <c r="F3669" i="6"/>
  <c r="G3668" i="6"/>
  <c r="F3668" i="6"/>
  <c r="G3667" i="6"/>
  <c r="F3667" i="6"/>
  <c r="G3666" i="6"/>
  <c r="F3666" i="6"/>
  <c r="G3665" i="6"/>
  <c r="F3665" i="6"/>
  <c r="G3664" i="6"/>
  <c r="F3664" i="6"/>
  <c r="G3663" i="6"/>
  <c r="F3663" i="6"/>
  <c r="G3662" i="6"/>
  <c r="F3662" i="6"/>
  <c r="G3661" i="6"/>
  <c r="F3661" i="6"/>
  <c r="G3660" i="6"/>
  <c r="F3660" i="6"/>
  <c r="G3659" i="6"/>
  <c r="F3659" i="6"/>
  <c r="G3658" i="6"/>
  <c r="F3658" i="6"/>
  <c r="G3657" i="6"/>
  <c r="F3657" i="6"/>
  <c r="G3656" i="6"/>
  <c r="F3656" i="6"/>
  <c r="G3655" i="6"/>
  <c r="F3655" i="6"/>
  <c r="G3654" i="6"/>
  <c r="F3654" i="6"/>
  <c r="G3653" i="6"/>
  <c r="F3653" i="6"/>
  <c r="G3652" i="6"/>
  <c r="F3652" i="6"/>
  <c r="G3651" i="6"/>
  <c r="F3651" i="6"/>
  <c r="G3650" i="6"/>
  <c r="F3650" i="6"/>
  <c r="G3649" i="6"/>
  <c r="F3649" i="6"/>
  <c r="G3648" i="6"/>
  <c r="F3648" i="6"/>
  <c r="G3647" i="6"/>
  <c r="F3647" i="6"/>
  <c r="G3646" i="6"/>
  <c r="F3646" i="6"/>
  <c r="G3645" i="6"/>
  <c r="F3645" i="6"/>
  <c r="G3644" i="6"/>
  <c r="F3644" i="6"/>
  <c r="G3643" i="6"/>
  <c r="F3643" i="6"/>
  <c r="G3642" i="6"/>
  <c r="F3642" i="6"/>
  <c r="G3641" i="6"/>
  <c r="F3641" i="6"/>
  <c r="G3640" i="6"/>
  <c r="F3640" i="6"/>
  <c r="G3639" i="6"/>
  <c r="F3639" i="6"/>
  <c r="G3638" i="6"/>
  <c r="F3638" i="6"/>
  <c r="G3637" i="6"/>
  <c r="F3637" i="6"/>
  <c r="G3636" i="6"/>
  <c r="F3636" i="6"/>
  <c r="G3635" i="6"/>
  <c r="F3635" i="6"/>
  <c r="G3634" i="6"/>
  <c r="F3634" i="6"/>
  <c r="G3633" i="6"/>
  <c r="F3633" i="6"/>
  <c r="G3632" i="6"/>
  <c r="F3632" i="6"/>
  <c r="G3631" i="6"/>
  <c r="F3631" i="6"/>
  <c r="G3630" i="6"/>
  <c r="F3630" i="6"/>
  <c r="G3629" i="6"/>
  <c r="F3629" i="6"/>
  <c r="G3628" i="6"/>
  <c r="F3628" i="6"/>
  <c r="G3627" i="6"/>
  <c r="F3627" i="6"/>
  <c r="G3626" i="6"/>
  <c r="F3626" i="6"/>
  <c r="G3625" i="6"/>
  <c r="F3625" i="6"/>
  <c r="G3624" i="6"/>
  <c r="F3624" i="6"/>
  <c r="G3623" i="6"/>
  <c r="F3623" i="6"/>
  <c r="G3622" i="6"/>
  <c r="F3622" i="6"/>
  <c r="G3621" i="6"/>
  <c r="F3621" i="6"/>
  <c r="G3620" i="6"/>
  <c r="F3620" i="6"/>
  <c r="G3619" i="6"/>
  <c r="F3619" i="6"/>
  <c r="G3618" i="6"/>
  <c r="F3618" i="6"/>
  <c r="G3617" i="6"/>
  <c r="F3617" i="6"/>
  <c r="G3616" i="6"/>
  <c r="F3616" i="6"/>
  <c r="G3615" i="6"/>
  <c r="F3615" i="6"/>
  <c r="G3614" i="6"/>
  <c r="F3614" i="6"/>
  <c r="G3613" i="6"/>
  <c r="F3613" i="6"/>
  <c r="G3612" i="6"/>
  <c r="F3612" i="6"/>
  <c r="G3611" i="6"/>
  <c r="F3611" i="6"/>
  <c r="G3610" i="6"/>
  <c r="F3610" i="6"/>
  <c r="G3609" i="6"/>
  <c r="F3609" i="6"/>
  <c r="G3608" i="6"/>
  <c r="F3608" i="6"/>
  <c r="G3607" i="6"/>
  <c r="F3607" i="6"/>
  <c r="G3606" i="6"/>
  <c r="F3606" i="6"/>
  <c r="G3605" i="6"/>
  <c r="F3605" i="6"/>
  <c r="G3604" i="6"/>
  <c r="F3604" i="6"/>
  <c r="G3603" i="6"/>
  <c r="F3603" i="6"/>
  <c r="G3602" i="6"/>
  <c r="F3602" i="6"/>
  <c r="G3601" i="6"/>
  <c r="F3601" i="6"/>
  <c r="G3600" i="6"/>
  <c r="F3600" i="6"/>
  <c r="G3599" i="6"/>
  <c r="F3599" i="6"/>
  <c r="G3598" i="6"/>
  <c r="F3598" i="6"/>
  <c r="G3597" i="6"/>
  <c r="F3597" i="6"/>
  <c r="G3596" i="6"/>
  <c r="F3596" i="6"/>
  <c r="G3595" i="6"/>
  <c r="F3595" i="6"/>
  <c r="G3594" i="6"/>
  <c r="F3594" i="6"/>
  <c r="G3593" i="6"/>
  <c r="F3593" i="6"/>
  <c r="G3592" i="6"/>
  <c r="F3592" i="6"/>
  <c r="G3591" i="6"/>
  <c r="F3591" i="6"/>
  <c r="G3590" i="6"/>
  <c r="F3590" i="6"/>
  <c r="G3589" i="6"/>
  <c r="F3589" i="6"/>
  <c r="G3588" i="6"/>
  <c r="F3588" i="6"/>
  <c r="G3587" i="6"/>
  <c r="F3587" i="6"/>
  <c r="G3586" i="6"/>
  <c r="F3586" i="6"/>
  <c r="G3585" i="6"/>
  <c r="F3585" i="6"/>
  <c r="G3584" i="6"/>
  <c r="F3584" i="6"/>
  <c r="G3583" i="6"/>
  <c r="F3583" i="6"/>
  <c r="G3582" i="6"/>
  <c r="F3582" i="6"/>
  <c r="G3581" i="6"/>
  <c r="F3581" i="6"/>
  <c r="G3580" i="6"/>
  <c r="F3580" i="6"/>
  <c r="G3579" i="6"/>
  <c r="F3579" i="6"/>
  <c r="G3578" i="6"/>
  <c r="F3578" i="6"/>
  <c r="G3577" i="6"/>
  <c r="F3577" i="6"/>
  <c r="G3576" i="6"/>
  <c r="F3576" i="6"/>
  <c r="G3575" i="6"/>
  <c r="F3575" i="6"/>
  <c r="G3574" i="6"/>
  <c r="F3574" i="6"/>
  <c r="G3573" i="6"/>
  <c r="F3573" i="6"/>
  <c r="G3572" i="6"/>
  <c r="F3572" i="6"/>
  <c r="G3571" i="6"/>
  <c r="F3571" i="6"/>
  <c r="G3570" i="6"/>
  <c r="F3570" i="6"/>
  <c r="G3569" i="6"/>
  <c r="F3569" i="6"/>
  <c r="G3568" i="6"/>
  <c r="F3568" i="6"/>
  <c r="G3567" i="6"/>
  <c r="F3567" i="6"/>
  <c r="G3566" i="6"/>
  <c r="F3566" i="6"/>
  <c r="G3565" i="6"/>
  <c r="F3565" i="6"/>
  <c r="G3564" i="6"/>
  <c r="F3564" i="6"/>
  <c r="G3563" i="6"/>
  <c r="F3563" i="6"/>
  <c r="G3562" i="6"/>
  <c r="F3562" i="6"/>
  <c r="G3561" i="6"/>
  <c r="F3561" i="6"/>
  <c r="G3560" i="6"/>
  <c r="F3560" i="6"/>
  <c r="G3559" i="6"/>
  <c r="F3559" i="6"/>
  <c r="G3558" i="6"/>
  <c r="F3558" i="6"/>
  <c r="G3557" i="6"/>
  <c r="F3557" i="6"/>
  <c r="G3556" i="6"/>
  <c r="F3556" i="6"/>
  <c r="G3555" i="6"/>
  <c r="F3555" i="6"/>
  <c r="G3554" i="6"/>
  <c r="F3554" i="6"/>
  <c r="G3553" i="6"/>
  <c r="F3553" i="6"/>
  <c r="G3552" i="6"/>
  <c r="F3552" i="6"/>
  <c r="G3551" i="6"/>
  <c r="F3551" i="6"/>
  <c r="G3550" i="6"/>
  <c r="F3550" i="6"/>
  <c r="G3549" i="6"/>
  <c r="F3549" i="6"/>
  <c r="G3548" i="6"/>
  <c r="F3548" i="6"/>
  <c r="G3547" i="6"/>
  <c r="F3547" i="6"/>
  <c r="G3546" i="6"/>
  <c r="F3546" i="6"/>
  <c r="G3545" i="6"/>
  <c r="F3545" i="6"/>
  <c r="G3544" i="6"/>
  <c r="F3544" i="6"/>
  <c r="G3543" i="6"/>
  <c r="F3543" i="6"/>
  <c r="G3542" i="6"/>
  <c r="F3542" i="6"/>
  <c r="G3541" i="6"/>
  <c r="F3541" i="6"/>
  <c r="G3540" i="6"/>
  <c r="F3540" i="6"/>
  <c r="G3539" i="6"/>
  <c r="F3539" i="6"/>
  <c r="G3538" i="6"/>
  <c r="F3538" i="6"/>
  <c r="G3537" i="6"/>
  <c r="F3537" i="6"/>
  <c r="G3536" i="6"/>
  <c r="F3536" i="6"/>
  <c r="G3535" i="6"/>
  <c r="F3535" i="6"/>
  <c r="G3534" i="6"/>
  <c r="F3534" i="6"/>
  <c r="G3533" i="6"/>
  <c r="F3533" i="6"/>
  <c r="G3532" i="6"/>
  <c r="F3532" i="6"/>
  <c r="G3531" i="6"/>
  <c r="F3531" i="6"/>
  <c r="G3530" i="6"/>
  <c r="F3530" i="6"/>
  <c r="G3529" i="6"/>
  <c r="F3529" i="6"/>
  <c r="G3528" i="6"/>
  <c r="F3528" i="6"/>
  <c r="G3527" i="6"/>
  <c r="F3527" i="6"/>
  <c r="G3526" i="6"/>
  <c r="F3526" i="6"/>
  <c r="G3525" i="6"/>
  <c r="F3525" i="6"/>
  <c r="G3524" i="6"/>
  <c r="F3524" i="6"/>
  <c r="G3523" i="6"/>
  <c r="F3523" i="6"/>
  <c r="G3522" i="6"/>
  <c r="F3522" i="6"/>
  <c r="G3521" i="6"/>
  <c r="F3521" i="6"/>
  <c r="G3520" i="6"/>
  <c r="F3520" i="6"/>
  <c r="G3519" i="6"/>
  <c r="F3519" i="6"/>
  <c r="G3518" i="6"/>
  <c r="F3518" i="6"/>
  <c r="G3517" i="6"/>
  <c r="F3517" i="6"/>
  <c r="G3516" i="6"/>
  <c r="F3516" i="6"/>
  <c r="G3515" i="6"/>
  <c r="F3515" i="6"/>
  <c r="G3514" i="6"/>
  <c r="F3514" i="6"/>
  <c r="G3513" i="6"/>
  <c r="F3513" i="6"/>
  <c r="G3512" i="6"/>
  <c r="F3512" i="6"/>
  <c r="G3511" i="6"/>
  <c r="F3511" i="6"/>
  <c r="G3510" i="6"/>
  <c r="F3510" i="6"/>
  <c r="G3509" i="6"/>
  <c r="F3509" i="6"/>
  <c r="G3508" i="6"/>
  <c r="F3508" i="6"/>
  <c r="G3507" i="6"/>
  <c r="F3507" i="6"/>
  <c r="G3506" i="6"/>
  <c r="F3506" i="6"/>
  <c r="G3505" i="6"/>
  <c r="F3505" i="6"/>
  <c r="G3504" i="6"/>
  <c r="F3504" i="6"/>
  <c r="G3503" i="6"/>
  <c r="F3503" i="6"/>
  <c r="G3502" i="6"/>
  <c r="F3502" i="6"/>
  <c r="G3501" i="6"/>
  <c r="F3501" i="6"/>
  <c r="G3500" i="6"/>
  <c r="F3500" i="6"/>
  <c r="G3499" i="6"/>
  <c r="F3499" i="6"/>
  <c r="G3498" i="6"/>
  <c r="F3498" i="6"/>
  <c r="G3497" i="6"/>
  <c r="F3497" i="6"/>
  <c r="G3496" i="6"/>
  <c r="F3496" i="6"/>
  <c r="G3495" i="6"/>
  <c r="F3495" i="6"/>
  <c r="G3494" i="6"/>
  <c r="F3494" i="6"/>
  <c r="G3493" i="6"/>
  <c r="F3493" i="6"/>
  <c r="G3492" i="6"/>
  <c r="F3492" i="6"/>
  <c r="G3491" i="6"/>
  <c r="F3491" i="6"/>
  <c r="G3490" i="6"/>
  <c r="F3490" i="6"/>
  <c r="G3489" i="6"/>
  <c r="F3489" i="6"/>
  <c r="G3488" i="6"/>
  <c r="F3488" i="6"/>
  <c r="G3487" i="6"/>
  <c r="F3487" i="6"/>
  <c r="G3486" i="6"/>
  <c r="F3486" i="6"/>
  <c r="G3485" i="6"/>
  <c r="F3485" i="6"/>
  <c r="G3484" i="6"/>
  <c r="F3484" i="6"/>
  <c r="G3483" i="6"/>
  <c r="F3483" i="6"/>
  <c r="G3482" i="6"/>
  <c r="F3482" i="6"/>
  <c r="G3481" i="6"/>
  <c r="F3481" i="6"/>
  <c r="G3480" i="6"/>
  <c r="F3480" i="6"/>
  <c r="G3479" i="6"/>
  <c r="F3479" i="6"/>
  <c r="G3478" i="6"/>
  <c r="F3478" i="6"/>
  <c r="G3477" i="6"/>
  <c r="F3477" i="6"/>
  <c r="G3476" i="6"/>
  <c r="F3476" i="6"/>
  <c r="G3475" i="6"/>
  <c r="F3475" i="6"/>
  <c r="G3474" i="6"/>
  <c r="F3474" i="6"/>
  <c r="G3473" i="6"/>
  <c r="F3473" i="6"/>
  <c r="G3472" i="6"/>
  <c r="F3472" i="6"/>
  <c r="G3471" i="6"/>
  <c r="F3471" i="6"/>
  <c r="G3470" i="6"/>
  <c r="F3470" i="6"/>
  <c r="G3469" i="6"/>
  <c r="F3469" i="6"/>
  <c r="G3468" i="6"/>
  <c r="F3468" i="6"/>
  <c r="G3467" i="6"/>
  <c r="F3467" i="6"/>
  <c r="G3466" i="6"/>
  <c r="F3466" i="6"/>
  <c r="G3465" i="6"/>
  <c r="F3465" i="6"/>
  <c r="G3464" i="6"/>
  <c r="F3464" i="6"/>
  <c r="G3463" i="6"/>
  <c r="F3463" i="6"/>
  <c r="G3462" i="6"/>
  <c r="F3462" i="6"/>
  <c r="G3461" i="6"/>
  <c r="F3461" i="6"/>
  <c r="G3460" i="6"/>
  <c r="F3460" i="6"/>
  <c r="G3459" i="6"/>
  <c r="F3459" i="6"/>
  <c r="G3458" i="6"/>
  <c r="F3458" i="6"/>
  <c r="G3457" i="6"/>
  <c r="F3457" i="6"/>
  <c r="G3456" i="6"/>
  <c r="F3456" i="6"/>
  <c r="G3455" i="6"/>
  <c r="F3455" i="6"/>
  <c r="G3454" i="6"/>
  <c r="F3454" i="6"/>
  <c r="G3453" i="6"/>
  <c r="F3453" i="6"/>
  <c r="G3452" i="6"/>
  <c r="F3452" i="6"/>
  <c r="G3451" i="6"/>
  <c r="F3451" i="6"/>
  <c r="G3450" i="6"/>
  <c r="F3450" i="6"/>
  <c r="G3449" i="6"/>
  <c r="F3449" i="6"/>
  <c r="G3448" i="6"/>
  <c r="F3448" i="6"/>
  <c r="G3447" i="6"/>
  <c r="F3447" i="6"/>
  <c r="G3446" i="6"/>
  <c r="F3446" i="6"/>
  <c r="G3445" i="6"/>
  <c r="F3445" i="6"/>
  <c r="G3444" i="6"/>
  <c r="F3444" i="6"/>
  <c r="G3443" i="6"/>
  <c r="F3443" i="6"/>
  <c r="G3442" i="6"/>
  <c r="F3442" i="6"/>
  <c r="G3441" i="6"/>
  <c r="F3441" i="6"/>
  <c r="G3440" i="6"/>
  <c r="F3440" i="6"/>
  <c r="G3439" i="6"/>
  <c r="F3439" i="6"/>
  <c r="G3438" i="6"/>
  <c r="F3438" i="6"/>
  <c r="G3437" i="6"/>
  <c r="F3437" i="6"/>
  <c r="G3436" i="6"/>
  <c r="F3436" i="6"/>
  <c r="G3435" i="6"/>
  <c r="F3435" i="6"/>
  <c r="G3434" i="6"/>
  <c r="F3434" i="6"/>
  <c r="G3433" i="6"/>
  <c r="F3433" i="6"/>
  <c r="G3432" i="6"/>
  <c r="F3432" i="6"/>
  <c r="G3431" i="6"/>
  <c r="F3431" i="6"/>
  <c r="G3430" i="6"/>
  <c r="F3430" i="6"/>
  <c r="G3429" i="6"/>
  <c r="F3429" i="6"/>
  <c r="G3428" i="6"/>
  <c r="F3428" i="6"/>
  <c r="G3427" i="6"/>
  <c r="F3427" i="6"/>
  <c r="G3426" i="6"/>
  <c r="F3426" i="6"/>
  <c r="G3425" i="6"/>
  <c r="F3425" i="6"/>
  <c r="G3424" i="6"/>
  <c r="F3424" i="6"/>
  <c r="G3423" i="6"/>
  <c r="F3423" i="6"/>
  <c r="G3422" i="6"/>
  <c r="F3422" i="6"/>
  <c r="G3421" i="6"/>
  <c r="F3421" i="6"/>
  <c r="G3420" i="6"/>
  <c r="F3420" i="6"/>
  <c r="G3419" i="6"/>
  <c r="F3419" i="6"/>
  <c r="G3418" i="6"/>
  <c r="F3418" i="6"/>
  <c r="G3417" i="6"/>
  <c r="F3417" i="6"/>
  <c r="G3416" i="6"/>
  <c r="F3416" i="6"/>
  <c r="G3415" i="6"/>
  <c r="F3415" i="6"/>
  <c r="G3414" i="6"/>
  <c r="F3414" i="6"/>
  <c r="G3413" i="6"/>
  <c r="F3413" i="6"/>
  <c r="G3412" i="6"/>
  <c r="F3412" i="6"/>
  <c r="G3411" i="6"/>
  <c r="F3411" i="6"/>
  <c r="G3410" i="6"/>
  <c r="F3410" i="6"/>
  <c r="G3409" i="6"/>
  <c r="F3409" i="6"/>
  <c r="G3408" i="6"/>
  <c r="F3408" i="6"/>
  <c r="G3407" i="6"/>
  <c r="F3407" i="6"/>
  <c r="G3406" i="6"/>
  <c r="F3406" i="6"/>
  <c r="G3405" i="6"/>
  <c r="F3405" i="6"/>
  <c r="G3404" i="6"/>
  <c r="F3404" i="6"/>
  <c r="G3403" i="6"/>
  <c r="F3403" i="6"/>
  <c r="G3402" i="6"/>
  <c r="F3402" i="6"/>
  <c r="G3401" i="6"/>
  <c r="F3401" i="6"/>
  <c r="G3400" i="6"/>
  <c r="F3400" i="6"/>
  <c r="G3399" i="6"/>
  <c r="F3399" i="6"/>
  <c r="G3398" i="6"/>
  <c r="F3398" i="6"/>
  <c r="G3397" i="6"/>
  <c r="F3397" i="6"/>
  <c r="G3396" i="6"/>
  <c r="F3396" i="6"/>
  <c r="G3395" i="6"/>
  <c r="F3395" i="6"/>
  <c r="G3394" i="6"/>
  <c r="F3394" i="6"/>
  <c r="G3393" i="6"/>
  <c r="F3393" i="6"/>
  <c r="G3392" i="6"/>
  <c r="F3392" i="6"/>
  <c r="G3391" i="6"/>
  <c r="F3391" i="6"/>
  <c r="G3390" i="6"/>
  <c r="F3390" i="6"/>
  <c r="G3389" i="6"/>
  <c r="F3389" i="6"/>
  <c r="G3388" i="6"/>
  <c r="F3388" i="6"/>
  <c r="G3387" i="6"/>
  <c r="F3387" i="6"/>
  <c r="G3386" i="6"/>
  <c r="F3386" i="6"/>
  <c r="G3385" i="6"/>
  <c r="F3385" i="6"/>
  <c r="G3384" i="6"/>
  <c r="F3384" i="6"/>
  <c r="G3383" i="6"/>
  <c r="F3383" i="6"/>
  <c r="G3382" i="6"/>
  <c r="F3382" i="6"/>
  <c r="G3381" i="6"/>
  <c r="F3381" i="6"/>
  <c r="G3380" i="6"/>
  <c r="F3380" i="6"/>
  <c r="G3379" i="6"/>
  <c r="F3379" i="6"/>
  <c r="G3378" i="6"/>
  <c r="F3378" i="6"/>
  <c r="G3377" i="6"/>
  <c r="F3377" i="6"/>
  <c r="G3376" i="6"/>
  <c r="F3376" i="6"/>
  <c r="G3375" i="6"/>
  <c r="F3375" i="6"/>
  <c r="G3374" i="6"/>
  <c r="F3374" i="6"/>
  <c r="G3373" i="6"/>
  <c r="F3373" i="6"/>
  <c r="G3372" i="6"/>
  <c r="F3372" i="6"/>
  <c r="G3371" i="6"/>
  <c r="F3371" i="6"/>
  <c r="G3370" i="6"/>
  <c r="F3370" i="6"/>
  <c r="G3369" i="6"/>
  <c r="F3369" i="6"/>
  <c r="G3368" i="6"/>
  <c r="F3368" i="6"/>
  <c r="G3367" i="6"/>
  <c r="F3367" i="6"/>
  <c r="G3366" i="6"/>
  <c r="F3366" i="6"/>
  <c r="G3365" i="6"/>
  <c r="F3365" i="6"/>
  <c r="G3364" i="6"/>
  <c r="F3364" i="6"/>
  <c r="G3363" i="6"/>
  <c r="F3363" i="6"/>
  <c r="G3362" i="6"/>
  <c r="F3362" i="6"/>
  <c r="G3361" i="6"/>
  <c r="F3361" i="6"/>
  <c r="G3360" i="6"/>
  <c r="F3360" i="6"/>
  <c r="G3359" i="6"/>
  <c r="F3359" i="6"/>
  <c r="G3358" i="6"/>
  <c r="F3358" i="6"/>
  <c r="G3357" i="6"/>
  <c r="F3357" i="6"/>
  <c r="G3356" i="6"/>
  <c r="F3356" i="6"/>
  <c r="G3355" i="6"/>
  <c r="F3355" i="6"/>
  <c r="G3354" i="6"/>
  <c r="F3354" i="6"/>
  <c r="G3353" i="6"/>
  <c r="F3353" i="6"/>
  <c r="G3352" i="6"/>
  <c r="F3352" i="6"/>
  <c r="G3351" i="6"/>
  <c r="F3351" i="6"/>
  <c r="G3350" i="6"/>
  <c r="F3350" i="6"/>
  <c r="G3349" i="6"/>
  <c r="F3349" i="6"/>
  <c r="G3348" i="6"/>
  <c r="F3348" i="6"/>
  <c r="G3347" i="6"/>
  <c r="F3347" i="6"/>
  <c r="G3346" i="6"/>
  <c r="F3346" i="6"/>
  <c r="G3345" i="6"/>
  <c r="F3345" i="6"/>
  <c r="G3344" i="6"/>
  <c r="F3344" i="6"/>
  <c r="G3343" i="6"/>
  <c r="F3343" i="6"/>
  <c r="G3342" i="6"/>
  <c r="F3342" i="6"/>
  <c r="G3341" i="6"/>
  <c r="F3341" i="6"/>
  <c r="G3340" i="6"/>
  <c r="F3340" i="6"/>
  <c r="G3339" i="6"/>
  <c r="F3339" i="6"/>
  <c r="G3338" i="6"/>
  <c r="F3338" i="6"/>
  <c r="G3337" i="6"/>
  <c r="F3337" i="6"/>
  <c r="G3336" i="6"/>
  <c r="F3336" i="6"/>
  <c r="G3335" i="6"/>
  <c r="F3335" i="6"/>
  <c r="G3334" i="6"/>
  <c r="F3334" i="6"/>
  <c r="G3333" i="6"/>
  <c r="F3333" i="6"/>
  <c r="G3332" i="6"/>
  <c r="F3332" i="6"/>
  <c r="G3331" i="6"/>
  <c r="F3331" i="6"/>
  <c r="G3330" i="6"/>
  <c r="F3330" i="6"/>
  <c r="G3329" i="6"/>
  <c r="F3329" i="6"/>
  <c r="G3328" i="6"/>
  <c r="F3328" i="6"/>
  <c r="G3327" i="6"/>
  <c r="F3327" i="6"/>
  <c r="G3326" i="6"/>
  <c r="F3326" i="6"/>
  <c r="G3325" i="6"/>
  <c r="F3325" i="6"/>
  <c r="G3324" i="6"/>
  <c r="F3324" i="6"/>
  <c r="G3323" i="6"/>
  <c r="F3323" i="6"/>
  <c r="G3322" i="6"/>
  <c r="F3322" i="6"/>
  <c r="G3321" i="6"/>
  <c r="F3321" i="6"/>
  <c r="G3320" i="6"/>
  <c r="F3320" i="6"/>
  <c r="G3319" i="6"/>
  <c r="F3319" i="6"/>
  <c r="G3318" i="6"/>
  <c r="F3318" i="6"/>
  <c r="G3317" i="6"/>
  <c r="F3317" i="6"/>
  <c r="G3316" i="6"/>
  <c r="F3316" i="6"/>
  <c r="G3315" i="6"/>
  <c r="F3315" i="6"/>
  <c r="G3314" i="6"/>
  <c r="F3314" i="6"/>
  <c r="G3313" i="6"/>
  <c r="F3313" i="6"/>
  <c r="G3312" i="6"/>
  <c r="F3312" i="6"/>
  <c r="G3311" i="6"/>
  <c r="F3311" i="6"/>
  <c r="G3310" i="6"/>
  <c r="F3310" i="6"/>
  <c r="G3309" i="6"/>
  <c r="F3309" i="6"/>
  <c r="G3308" i="6"/>
  <c r="F3308" i="6"/>
  <c r="G3307" i="6"/>
  <c r="F3307" i="6"/>
  <c r="G3306" i="6"/>
  <c r="F3306" i="6"/>
  <c r="G3305" i="6"/>
  <c r="F3305" i="6"/>
  <c r="G3304" i="6"/>
  <c r="F3304" i="6"/>
  <c r="G3303" i="6"/>
  <c r="F3303" i="6"/>
  <c r="G3302" i="6"/>
  <c r="F3302" i="6"/>
  <c r="G3301" i="6"/>
  <c r="F3301" i="6"/>
  <c r="G3300" i="6"/>
  <c r="F3300" i="6"/>
  <c r="G3299" i="6"/>
  <c r="F3299" i="6"/>
  <c r="G3298" i="6"/>
  <c r="F3298" i="6"/>
  <c r="G3297" i="6"/>
  <c r="F3297" i="6"/>
  <c r="G3296" i="6"/>
  <c r="F3296" i="6"/>
  <c r="G3295" i="6"/>
  <c r="F3295" i="6"/>
  <c r="G3294" i="6"/>
  <c r="F3294" i="6"/>
  <c r="G3293" i="6"/>
  <c r="F3293" i="6"/>
  <c r="G3292" i="6"/>
  <c r="F3292" i="6"/>
  <c r="G3291" i="6"/>
  <c r="F3291" i="6"/>
  <c r="G3290" i="6"/>
  <c r="F3290" i="6"/>
  <c r="G3289" i="6"/>
  <c r="F3289" i="6"/>
  <c r="G3288" i="6"/>
  <c r="F3288" i="6"/>
  <c r="G3287" i="6"/>
  <c r="F3287" i="6"/>
  <c r="G3286" i="6"/>
  <c r="F3286" i="6"/>
  <c r="G3285" i="6"/>
  <c r="F3285" i="6"/>
  <c r="G3284" i="6"/>
  <c r="F3284" i="6"/>
  <c r="G3283" i="6"/>
  <c r="F3283" i="6"/>
  <c r="G3282" i="6"/>
  <c r="F3282" i="6"/>
  <c r="G3281" i="6"/>
  <c r="F3281" i="6"/>
  <c r="G3280" i="6"/>
  <c r="F3280" i="6"/>
  <c r="G3279" i="6"/>
  <c r="F3279" i="6"/>
  <c r="G3278" i="6"/>
  <c r="F3278" i="6"/>
  <c r="G3277" i="6"/>
  <c r="F3277" i="6"/>
  <c r="G3276" i="6"/>
  <c r="F3276" i="6"/>
  <c r="G3275" i="6"/>
  <c r="F3275" i="6"/>
  <c r="G3274" i="6"/>
  <c r="F3274" i="6"/>
  <c r="G3273" i="6"/>
  <c r="F3273" i="6"/>
  <c r="G3272" i="6"/>
  <c r="F3272" i="6"/>
  <c r="G3271" i="6"/>
  <c r="F3271" i="6"/>
  <c r="G3270" i="6"/>
  <c r="F3270" i="6"/>
  <c r="G3269" i="6"/>
  <c r="F3269" i="6"/>
  <c r="G3268" i="6"/>
  <c r="F3268" i="6"/>
  <c r="G3267" i="6"/>
  <c r="F3267" i="6"/>
  <c r="G3266" i="6"/>
  <c r="F3266" i="6"/>
  <c r="G3265" i="6"/>
  <c r="F3265" i="6"/>
  <c r="G3264" i="6"/>
  <c r="F3264" i="6"/>
  <c r="G3263" i="6"/>
  <c r="F3263" i="6"/>
  <c r="G3262" i="6"/>
  <c r="F3262" i="6"/>
  <c r="G3261" i="6"/>
  <c r="F3261" i="6"/>
  <c r="G3260" i="6"/>
  <c r="F3260" i="6"/>
  <c r="G3259" i="6"/>
  <c r="F3259" i="6"/>
  <c r="G3258" i="6"/>
  <c r="F3258" i="6"/>
  <c r="G3257" i="6"/>
  <c r="F3257" i="6"/>
  <c r="G3256" i="6"/>
  <c r="F3256" i="6"/>
  <c r="G3255" i="6"/>
  <c r="F3255" i="6"/>
  <c r="G3254" i="6"/>
  <c r="F3254" i="6"/>
  <c r="G3253" i="6"/>
  <c r="F3253" i="6"/>
  <c r="G3252" i="6"/>
  <c r="F3252" i="6"/>
  <c r="G3251" i="6"/>
  <c r="F3251" i="6"/>
  <c r="G3250" i="6"/>
  <c r="F3250" i="6"/>
  <c r="G3249" i="6"/>
  <c r="F3249" i="6"/>
  <c r="G3248" i="6"/>
  <c r="F3248" i="6"/>
  <c r="G3247" i="6"/>
  <c r="F3247" i="6"/>
  <c r="G3246" i="6"/>
  <c r="F3246" i="6"/>
  <c r="G3245" i="6"/>
  <c r="F3245" i="6"/>
  <c r="G3244" i="6"/>
  <c r="F3244" i="6"/>
  <c r="G3243" i="6"/>
  <c r="F3243" i="6"/>
  <c r="G3242" i="6"/>
  <c r="F3242" i="6"/>
  <c r="G3241" i="6"/>
  <c r="F3241" i="6"/>
  <c r="G3240" i="6"/>
  <c r="F3240" i="6"/>
  <c r="G3239" i="6"/>
  <c r="F3239" i="6"/>
  <c r="G3238" i="6"/>
  <c r="F3238" i="6"/>
  <c r="G3237" i="6"/>
  <c r="F3237" i="6"/>
  <c r="G3236" i="6"/>
  <c r="F3236" i="6"/>
  <c r="G3235" i="6"/>
  <c r="F3235" i="6"/>
  <c r="G3234" i="6"/>
  <c r="F3234" i="6"/>
  <c r="G3233" i="6"/>
  <c r="F3233" i="6"/>
  <c r="G3232" i="6"/>
  <c r="F3232" i="6"/>
  <c r="G3231" i="6"/>
  <c r="F3231" i="6"/>
  <c r="G3230" i="6"/>
  <c r="F3230" i="6"/>
  <c r="G3229" i="6"/>
  <c r="F3229" i="6"/>
  <c r="G3228" i="6"/>
  <c r="F3228" i="6"/>
  <c r="G3227" i="6"/>
  <c r="F3227" i="6"/>
  <c r="G3226" i="6"/>
  <c r="F3226" i="6"/>
  <c r="G3225" i="6"/>
  <c r="F3225" i="6"/>
  <c r="G3224" i="6"/>
  <c r="F3224" i="6"/>
  <c r="G3223" i="6"/>
  <c r="F3223" i="6"/>
  <c r="G3222" i="6"/>
  <c r="F3222" i="6"/>
  <c r="G3221" i="6"/>
  <c r="F3221" i="6"/>
  <c r="G3220" i="6"/>
  <c r="F3220" i="6"/>
  <c r="G3219" i="6"/>
  <c r="F3219" i="6"/>
  <c r="G3218" i="6"/>
  <c r="F3218" i="6"/>
  <c r="G3217" i="6"/>
  <c r="F3217" i="6"/>
  <c r="G3216" i="6"/>
  <c r="F3216" i="6"/>
  <c r="G3215" i="6"/>
  <c r="F3215" i="6"/>
  <c r="G3214" i="6"/>
  <c r="F3214" i="6"/>
  <c r="G3213" i="6"/>
  <c r="F3213" i="6"/>
  <c r="G3212" i="6"/>
  <c r="F3212" i="6"/>
  <c r="G3211" i="6"/>
  <c r="F3211" i="6"/>
  <c r="G3210" i="6"/>
  <c r="F3210" i="6"/>
  <c r="G3209" i="6"/>
  <c r="F3209" i="6"/>
  <c r="G3208" i="6"/>
  <c r="F3208" i="6"/>
  <c r="G3207" i="6"/>
  <c r="F3207" i="6"/>
  <c r="G3206" i="6"/>
  <c r="F3206" i="6"/>
  <c r="G3205" i="6"/>
  <c r="F3205" i="6"/>
  <c r="G3204" i="6"/>
  <c r="F3204" i="6"/>
  <c r="G3203" i="6"/>
  <c r="F3203" i="6"/>
  <c r="G3202" i="6"/>
  <c r="F3202" i="6"/>
  <c r="G3201" i="6"/>
  <c r="F3201" i="6"/>
  <c r="G3200" i="6"/>
  <c r="F3200" i="6"/>
  <c r="G3199" i="6"/>
  <c r="F3199" i="6"/>
  <c r="G3198" i="6"/>
  <c r="F3198" i="6"/>
  <c r="G3197" i="6"/>
  <c r="F3197" i="6"/>
  <c r="G3196" i="6"/>
  <c r="F3196" i="6"/>
  <c r="G3195" i="6"/>
  <c r="F3195" i="6"/>
  <c r="G3194" i="6"/>
  <c r="F3194" i="6"/>
  <c r="G3193" i="6"/>
  <c r="F3193" i="6"/>
  <c r="G3192" i="6"/>
  <c r="F3192" i="6"/>
  <c r="G3191" i="6"/>
  <c r="F3191" i="6"/>
  <c r="G3190" i="6"/>
  <c r="F3190" i="6"/>
  <c r="G3189" i="6"/>
  <c r="F3189" i="6"/>
  <c r="G3188" i="6"/>
  <c r="F3188" i="6"/>
  <c r="G3187" i="6"/>
  <c r="F3187" i="6"/>
  <c r="G3186" i="6"/>
  <c r="F3186" i="6"/>
  <c r="G3185" i="6"/>
  <c r="F3185" i="6"/>
  <c r="G3184" i="6"/>
  <c r="F3184" i="6"/>
  <c r="G3183" i="6"/>
  <c r="F3183" i="6"/>
  <c r="G3182" i="6"/>
  <c r="F3182" i="6"/>
  <c r="G3181" i="6"/>
  <c r="F3181" i="6"/>
  <c r="G3180" i="6"/>
  <c r="F3180" i="6"/>
  <c r="G3179" i="6"/>
  <c r="F3179" i="6"/>
  <c r="G3178" i="6"/>
  <c r="F3178" i="6"/>
  <c r="G3177" i="6"/>
  <c r="F3177" i="6"/>
  <c r="G3176" i="6"/>
  <c r="F3176" i="6"/>
  <c r="G3175" i="6"/>
  <c r="F3175" i="6"/>
  <c r="G3174" i="6"/>
  <c r="F3174" i="6"/>
  <c r="G3173" i="6"/>
  <c r="F3173" i="6"/>
  <c r="G3172" i="6"/>
  <c r="F3172" i="6"/>
  <c r="G3171" i="6"/>
  <c r="F3171" i="6"/>
  <c r="G3170" i="6"/>
  <c r="F3170" i="6"/>
  <c r="G3169" i="6"/>
  <c r="F3169" i="6"/>
  <c r="G3168" i="6"/>
  <c r="F3168" i="6"/>
  <c r="G3167" i="6"/>
  <c r="F3167" i="6"/>
  <c r="G3166" i="6"/>
  <c r="F3166" i="6"/>
  <c r="G3165" i="6"/>
  <c r="F3165" i="6"/>
  <c r="G3164" i="6"/>
  <c r="F3164" i="6"/>
  <c r="G3163" i="6"/>
  <c r="F3163" i="6"/>
  <c r="G3162" i="6"/>
  <c r="F3162" i="6"/>
  <c r="G3161" i="6"/>
  <c r="F3161" i="6"/>
  <c r="G3160" i="6"/>
  <c r="F3160" i="6"/>
  <c r="G3159" i="6"/>
  <c r="F3159" i="6"/>
  <c r="G3158" i="6"/>
  <c r="F3158" i="6"/>
  <c r="G3157" i="6"/>
  <c r="F3157" i="6"/>
  <c r="G3156" i="6"/>
  <c r="F3156" i="6"/>
  <c r="G3155" i="6"/>
  <c r="F3155" i="6"/>
  <c r="G3154" i="6"/>
  <c r="F3154" i="6"/>
  <c r="G3153" i="6"/>
  <c r="F3153" i="6"/>
  <c r="G3152" i="6"/>
  <c r="F3152" i="6"/>
  <c r="G3151" i="6"/>
  <c r="F3151" i="6"/>
  <c r="G3150" i="6"/>
  <c r="F3150" i="6"/>
  <c r="G3149" i="6"/>
  <c r="F3149" i="6"/>
  <c r="G3148" i="6"/>
  <c r="F3148" i="6"/>
  <c r="G3147" i="6"/>
  <c r="F3147" i="6"/>
  <c r="G3146" i="6"/>
  <c r="F3146" i="6"/>
  <c r="G3145" i="6"/>
  <c r="F3145" i="6"/>
  <c r="G3144" i="6"/>
  <c r="F3144" i="6"/>
  <c r="G3143" i="6"/>
  <c r="F3143" i="6"/>
  <c r="G3142" i="6"/>
  <c r="F3142" i="6"/>
  <c r="G3141" i="6"/>
  <c r="F3141" i="6"/>
  <c r="G3140" i="6"/>
  <c r="F3140" i="6"/>
  <c r="G3139" i="6"/>
  <c r="F3139" i="6"/>
  <c r="G3138" i="6"/>
  <c r="F3138" i="6"/>
  <c r="G3137" i="6"/>
  <c r="F3137" i="6"/>
  <c r="G3136" i="6"/>
  <c r="F3136" i="6"/>
  <c r="G3135" i="6"/>
  <c r="F3135" i="6"/>
  <c r="G3134" i="6"/>
  <c r="F3134" i="6"/>
  <c r="G3133" i="6"/>
  <c r="F3133" i="6"/>
  <c r="G3132" i="6"/>
  <c r="F3132" i="6"/>
  <c r="G3131" i="6"/>
  <c r="F3131" i="6"/>
  <c r="G3130" i="6"/>
  <c r="F3130" i="6"/>
  <c r="G3129" i="6"/>
  <c r="F3129" i="6"/>
  <c r="G3128" i="6"/>
  <c r="F3128" i="6"/>
  <c r="G3127" i="6"/>
  <c r="F3127" i="6"/>
  <c r="G3126" i="6"/>
  <c r="F3126" i="6"/>
  <c r="G3125" i="6"/>
  <c r="F3125" i="6"/>
  <c r="G3124" i="6"/>
  <c r="F3124" i="6"/>
  <c r="G3123" i="6"/>
  <c r="F3123" i="6"/>
  <c r="G3122" i="6"/>
  <c r="F3122" i="6"/>
  <c r="G3121" i="6"/>
  <c r="F3121" i="6"/>
  <c r="G3120" i="6"/>
  <c r="F3120" i="6"/>
  <c r="G3119" i="6"/>
  <c r="F3119" i="6"/>
  <c r="G3118" i="6"/>
  <c r="F3118" i="6"/>
  <c r="G3117" i="6"/>
  <c r="F3117" i="6"/>
  <c r="G3116" i="6"/>
  <c r="F3116" i="6"/>
  <c r="G3115" i="6"/>
  <c r="F3115" i="6"/>
  <c r="G3114" i="6"/>
  <c r="F3114" i="6"/>
  <c r="G3113" i="6"/>
  <c r="F3113" i="6"/>
  <c r="G3112" i="6"/>
  <c r="F3112" i="6"/>
  <c r="G3111" i="6"/>
  <c r="F3111" i="6"/>
  <c r="G3110" i="6"/>
  <c r="F3110" i="6"/>
  <c r="G3109" i="6"/>
  <c r="F3109" i="6"/>
  <c r="G3108" i="6"/>
  <c r="F3108" i="6"/>
  <c r="G3107" i="6"/>
  <c r="F3107" i="6"/>
  <c r="G3106" i="6"/>
  <c r="F3106" i="6"/>
  <c r="G3105" i="6"/>
  <c r="F3105" i="6"/>
  <c r="G3104" i="6"/>
  <c r="F3104" i="6"/>
  <c r="G3103" i="6"/>
  <c r="F3103" i="6"/>
  <c r="G3102" i="6"/>
  <c r="F3102" i="6"/>
  <c r="G3101" i="6"/>
  <c r="F3101" i="6"/>
  <c r="G3100" i="6"/>
  <c r="F3100" i="6"/>
  <c r="G3099" i="6"/>
  <c r="F3099" i="6"/>
  <c r="G3098" i="6"/>
  <c r="F3098" i="6"/>
  <c r="G3097" i="6"/>
  <c r="F3097" i="6"/>
  <c r="G3096" i="6"/>
  <c r="F3096" i="6"/>
  <c r="G3095" i="6"/>
  <c r="F3095" i="6"/>
  <c r="G3094" i="6"/>
  <c r="F3094" i="6"/>
  <c r="G3093" i="6"/>
  <c r="F3093" i="6"/>
  <c r="G3092" i="6"/>
  <c r="F3092" i="6"/>
  <c r="G3091" i="6"/>
  <c r="F3091" i="6"/>
  <c r="G3090" i="6"/>
  <c r="F3090" i="6"/>
  <c r="G3089" i="6"/>
  <c r="F3089" i="6"/>
  <c r="G3088" i="6"/>
  <c r="F3088" i="6"/>
  <c r="G3087" i="6"/>
  <c r="F3087" i="6"/>
  <c r="G3086" i="6"/>
  <c r="F3086" i="6"/>
  <c r="G3085" i="6"/>
  <c r="F3085" i="6"/>
  <c r="G3084" i="6"/>
  <c r="F3084" i="6"/>
  <c r="G3083" i="6"/>
  <c r="F3083" i="6"/>
  <c r="G3082" i="6"/>
  <c r="F3082" i="6"/>
  <c r="G3081" i="6"/>
  <c r="F3081" i="6"/>
  <c r="G3080" i="6"/>
  <c r="F3080" i="6"/>
  <c r="G3079" i="6"/>
  <c r="F3079" i="6"/>
  <c r="G3078" i="6"/>
  <c r="F3078" i="6"/>
  <c r="G3077" i="6"/>
  <c r="F3077" i="6"/>
  <c r="G3076" i="6"/>
  <c r="F3076" i="6"/>
  <c r="G3075" i="6"/>
  <c r="F3075" i="6"/>
  <c r="G3074" i="6"/>
  <c r="F3074" i="6"/>
  <c r="G3073" i="6"/>
  <c r="F3073" i="6"/>
  <c r="G3072" i="6"/>
  <c r="F3072" i="6"/>
  <c r="G3071" i="6"/>
  <c r="F3071" i="6"/>
  <c r="G3070" i="6"/>
  <c r="F3070" i="6"/>
  <c r="G3069" i="6"/>
  <c r="F3069" i="6"/>
  <c r="G3068" i="6"/>
  <c r="F3068" i="6"/>
  <c r="G3067" i="6"/>
  <c r="F3067" i="6"/>
  <c r="G3066" i="6"/>
  <c r="F3066" i="6"/>
  <c r="G3065" i="6"/>
  <c r="F3065" i="6"/>
  <c r="G3064" i="6"/>
  <c r="F3064" i="6"/>
  <c r="G3063" i="6"/>
  <c r="F3063" i="6"/>
  <c r="G3062" i="6"/>
  <c r="F3062" i="6"/>
  <c r="G3061" i="6"/>
  <c r="F3061" i="6"/>
  <c r="G3060" i="6"/>
  <c r="F3060" i="6"/>
  <c r="G3059" i="6"/>
  <c r="F3059" i="6"/>
  <c r="G3058" i="6"/>
  <c r="F3058" i="6"/>
  <c r="G3057" i="6"/>
  <c r="F3057" i="6"/>
  <c r="G3056" i="6"/>
  <c r="F3056" i="6"/>
  <c r="G3055" i="6"/>
  <c r="F3055" i="6"/>
  <c r="G3054" i="6"/>
  <c r="F3054" i="6"/>
  <c r="G3053" i="6"/>
  <c r="F3053" i="6"/>
  <c r="G3052" i="6"/>
  <c r="F3052" i="6"/>
  <c r="G3051" i="6"/>
  <c r="F3051" i="6"/>
  <c r="G3050" i="6"/>
  <c r="F3050" i="6"/>
  <c r="G3049" i="6"/>
  <c r="F3049" i="6"/>
  <c r="G3048" i="6"/>
  <c r="F3048" i="6"/>
  <c r="G3047" i="6"/>
  <c r="F3047" i="6"/>
  <c r="G3046" i="6"/>
  <c r="F3046" i="6"/>
  <c r="G3045" i="6"/>
  <c r="F3045" i="6"/>
  <c r="G3044" i="6"/>
  <c r="F3044" i="6"/>
  <c r="G3043" i="6"/>
  <c r="F3043" i="6"/>
  <c r="G3042" i="6"/>
  <c r="F3042" i="6"/>
  <c r="G3041" i="6"/>
  <c r="F3041" i="6"/>
  <c r="G3040" i="6"/>
  <c r="F3040" i="6"/>
  <c r="G3039" i="6"/>
  <c r="F3039" i="6"/>
  <c r="G3038" i="6"/>
  <c r="F3038" i="6"/>
  <c r="G3037" i="6"/>
  <c r="F3037" i="6"/>
  <c r="G3036" i="6"/>
  <c r="F3036" i="6"/>
  <c r="G3035" i="6"/>
  <c r="F3035" i="6"/>
  <c r="G3034" i="6"/>
  <c r="F3034" i="6"/>
  <c r="G3033" i="6"/>
  <c r="F3033" i="6"/>
  <c r="G3032" i="6"/>
  <c r="F3032" i="6"/>
  <c r="G3031" i="6"/>
  <c r="F3031" i="6"/>
  <c r="G3030" i="6"/>
  <c r="F3030" i="6"/>
  <c r="G3029" i="6"/>
  <c r="F3029" i="6"/>
  <c r="G3028" i="6"/>
  <c r="F3028" i="6"/>
  <c r="G3027" i="6"/>
  <c r="F3027" i="6"/>
  <c r="G3026" i="6"/>
  <c r="F3026" i="6"/>
  <c r="G3025" i="6"/>
  <c r="F3025" i="6"/>
  <c r="G3024" i="6"/>
  <c r="F3024" i="6"/>
  <c r="G3023" i="6"/>
  <c r="F3023" i="6"/>
  <c r="G3022" i="6"/>
  <c r="F3022" i="6"/>
  <c r="G3021" i="6"/>
  <c r="F3021" i="6"/>
  <c r="G3020" i="6"/>
  <c r="F3020" i="6"/>
  <c r="G3019" i="6"/>
  <c r="F3019" i="6"/>
  <c r="G3018" i="6"/>
  <c r="F3018" i="6"/>
  <c r="G3017" i="6"/>
  <c r="F3017" i="6"/>
  <c r="G3016" i="6"/>
  <c r="F3016" i="6"/>
  <c r="G3015" i="6"/>
  <c r="F3015" i="6"/>
  <c r="G3014" i="6"/>
  <c r="F3014" i="6"/>
  <c r="G3013" i="6"/>
  <c r="F3013" i="6"/>
  <c r="G3012" i="6"/>
  <c r="F3012" i="6"/>
  <c r="G3011" i="6"/>
  <c r="F3011" i="6"/>
  <c r="G3010" i="6"/>
  <c r="F3010" i="6"/>
  <c r="G3009" i="6"/>
  <c r="F3009" i="6"/>
  <c r="G3008" i="6"/>
  <c r="F3008" i="6"/>
  <c r="G3007" i="6"/>
  <c r="F3007" i="6"/>
  <c r="G3006" i="6"/>
  <c r="F3006" i="6"/>
  <c r="G3005" i="6"/>
  <c r="F3005" i="6"/>
  <c r="G3004" i="6"/>
  <c r="F3004" i="6"/>
  <c r="G3003" i="6"/>
  <c r="F3003" i="6"/>
  <c r="G3002" i="6"/>
  <c r="F3002" i="6"/>
  <c r="G3001" i="6"/>
  <c r="F3001" i="6"/>
  <c r="G3000" i="6"/>
  <c r="F3000" i="6"/>
  <c r="G2999" i="6"/>
  <c r="F2999" i="6"/>
  <c r="G2998" i="6"/>
  <c r="F2998" i="6"/>
  <c r="G2997" i="6"/>
  <c r="F2997" i="6"/>
  <c r="G2996" i="6"/>
  <c r="F2996" i="6"/>
  <c r="G2995" i="6"/>
  <c r="F2995" i="6"/>
  <c r="G2994" i="6"/>
  <c r="F2994" i="6"/>
  <c r="G2993" i="6"/>
  <c r="F2993" i="6"/>
  <c r="G2992" i="6"/>
  <c r="F2992" i="6"/>
  <c r="G2991" i="6"/>
  <c r="F2991" i="6"/>
  <c r="G2990" i="6"/>
  <c r="F2990" i="6"/>
  <c r="G2989" i="6"/>
  <c r="F2989" i="6"/>
  <c r="G2988" i="6"/>
  <c r="F2988" i="6"/>
  <c r="G2987" i="6"/>
  <c r="F2987" i="6"/>
  <c r="G2986" i="6"/>
  <c r="F2986" i="6"/>
  <c r="G2985" i="6"/>
  <c r="F2985" i="6"/>
  <c r="G2984" i="6"/>
  <c r="F2984" i="6"/>
  <c r="G2983" i="6"/>
  <c r="F2983" i="6"/>
  <c r="G2982" i="6"/>
  <c r="F2982" i="6"/>
  <c r="G2981" i="6"/>
  <c r="F2981" i="6"/>
  <c r="G2980" i="6"/>
  <c r="F2980" i="6"/>
  <c r="G2979" i="6"/>
  <c r="F2979" i="6"/>
  <c r="G2978" i="6"/>
  <c r="F2978" i="6"/>
  <c r="G2977" i="6"/>
  <c r="F2977" i="6"/>
  <c r="G2976" i="6"/>
  <c r="F2976" i="6"/>
  <c r="G2975" i="6"/>
  <c r="F2975" i="6"/>
  <c r="G2974" i="6"/>
  <c r="F2974" i="6"/>
  <c r="G2973" i="6"/>
  <c r="F2973" i="6"/>
  <c r="G2972" i="6"/>
  <c r="F2972" i="6"/>
  <c r="G2971" i="6"/>
  <c r="F2971" i="6"/>
  <c r="G2970" i="6"/>
  <c r="F2970" i="6"/>
  <c r="G2969" i="6"/>
  <c r="F2969" i="6"/>
  <c r="G2968" i="6"/>
  <c r="F2968" i="6"/>
  <c r="G2967" i="6"/>
  <c r="F2967" i="6"/>
  <c r="G2966" i="6"/>
  <c r="F2966" i="6"/>
  <c r="G2965" i="6"/>
  <c r="F2965" i="6"/>
  <c r="G2964" i="6"/>
  <c r="F2964" i="6"/>
  <c r="G2963" i="6"/>
  <c r="F2963" i="6"/>
  <c r="G2962" i="6"/>
  <c r="F2962" i="6"/>
  <c r="G2961" i="6"/>
  <c r="F2961" i="6"/>
  <c r="G2960" i="6"/>
  <c r="F2960" i="6"/>
  <c r="G2959" i="6"/>
  <c r="F2959" i="6"/>
  <c r="G2958" i="6"/>
  <c r="F2958" i="6"/>
  <c r="G2957" i="6"/>
  <c r="F2957" i="6"/>
  <c r="G2956" i="6"/>
  <c r="F2956" i="6"/>
  <c r="G2955" i="6"/>
  <c r="F2955" i="6"/>
  <c r="G2954" i="6"/>
  <c r="F2954" i="6"/>
  <c r="G2953" i="6"/>
  <c r="F2953" i="6"/>
  <c r="G2952" i="6"/>
  <c r="F2952" i="6"/>
  <c r="G2951" i="6"/>
  <c r="F2951" i="6"/>
  <c r="G2950" i="6"/>
  <c r="F2950" i="6"/>
  <c r="G2949" i="6"/>
  <c r="F2949" i="6"/>
  <c r="G2948" i="6"/>
  <c r="F2948" i="6"/>
  <c r="G2947" i="6"/>
  <c r="F2947" i="6"/>
  <c r="G2946" i="6"/>
  <c r="F2946" i="6"/>
  <c r="G2945" i="6"/>
  <c r="F2945" i="6"/>
  <c r="G2944" i="6"/>
  <c r="F2944" i="6"/>
  <c r="G2943" i="6"/>
  <c r="F2943" i="6"/>
  <c r="G2942" i="6"/>
  <c r="F2942" i="6"/>
  <c r="G2941" i="6"/>
  <c r="F2941" i="6"/>
  <c r="G2940" i="6"/>
  <c r="F2940" i="6"/>
  <c r="G2939" i="6"/>
  <c r="F2939" i="6"/>
  <c r="G2938" i="6"/>
  <c r="F2938" i="6"/>
  <c r="G2937" i="6"/>
  <c r="F2937" i="6"/>
  <c r="G2936" i="6"/>
  <c r="F2936" i="6"/>
  <c r="G2935" i="6"/>
  <c r="F2935" i="6"/>
  <c r="G2934" i="6"/>
  <c r="F2934" i="6"/>
  <c r="G2933" i="6"/>
  <c r="F2933" i="6"/>
  <c r="G2932" i="6"/>
  <c r="F2932" i="6"/>
  <c r="G2931" i="6"/>
  <c r="F2931" i="6"/>
  <c r="G2930" i="6"/>
  <c r="F2930" i="6"/>
  <c r="G2929" i="6"/>
  <c r="F2929" i="6"/>
  <c r="G2928" i="6"/>
  <c r="F2928" i="6"/>
  <c r="G2927" i="6"/>
  <c r="F2927" i="6"/>
  <c r="G2926" i="6"/>
  <c r="F2926" i="6"/>
  <c r="G2925" i="6"/>
  <c r="F2925" i="6"/>
  <c r="G2924" i="6"/>
  <c r="F2924" i="6"/>
  <c r="G2923" i="6"/>
  <c r="F2923" i="6"/>
  <c r="G2922" i="6"/>
  <c r="F2922" i="6"/>
  <c r="G2921" i="6"/>
  <c r="F2921" i="6"/>
  <c r="G2920" i="6"/>
  <c r="F2920" i="6"/>
  <c r="G2919" i="6"/>
  <c r="F2919" i="6"/>
  <c r="G2918" i="6"/>
  <c r="F2918" i="6"/>
  <c r="G2917" i="6"/>
  <c r="F2917" i="6"/>
  <c r="G2916" i="6"/>
  <c r="F2916" i="6"/>
  <c r="G2915" i="6"/>
  <c r="F2915" i="6"/>
  <c r="G2914" i="6"/>
  <c r="F2914" i="6"/>
  <c r="G2913" i="6"/>
  <c r="F2913" i="6"/>
  <c r="G2912" i="6"/>
  <c r="F2912" i="6"/>
  <c r="G2911" i="6"/>
  <c r="F2911" i="6"/>
  <c r="G2910" i="6"/>
  <c r="F2910" i="6"/>
  <c r="G2909" i="6"/>
  <c r="F2909" i="6"/>
  <c r="G2908" i="6"/>
  <c r="F2908" i="6"/>
  <c r="G2907" i="6"/>
  <c r="F2907" i="6"/>
  <c r="G2906" i="6"/>
  <c r="F2906" i="6"/>
  <c r="G2905" i="6"/>
  <c r="F2905" i="6"/>
  <c r="G2904" i="6"/>
  <c r="F2904" i="6"/>
  <c r="G2903" i="6"/>
  <c r="F2903" i="6"/>
  <c r="G2902" i="6"/>
  <c r="F2902" i="6"/>
  <c r="G2901" i="6"/>
  <c r="F2901" i="6"/>
  <c r="G2900" i="6"/>
  <c r="F2900" i="6"/>
  <c r="G2899" i="6"/>
  <c r="F2899" i="6"/>
  <c r="G2898" i="6"/>
  <c r="F2898" i="6"/>
  <c r="G2897" i="6"/>
  <c r="F2897" i="6"/>
  <c r="G2896" i="6"/>
  <c r="F2896" i="6"/>
  <c r="G2895" i="6"/>
  <c r="F2895" i="6"/>
  <c r="G2894" i="6"/>
  <c r="F2894" i="6"/>
  <c r="G2893" i="6"/>
  <c r="F2893" i="6"/>
  <c r="G2892" i="6"/>
  <c r="F2892" i="6"/>
  <c r="G2891" i="6"/>
  <c r="F2891" i="6"/>
  <c r="G2890" i="6"/>
  <c r="F2890" i="6"/>
  <c r="G2889" i="6"/>
  <c r="F2889" i="6"/>
  <c r="G2888" i="6"/>
  <c r="F2888" i="6"/>
  <c r="G2887" i="6"/>
  <c r="F2887" i="6"/>
  <c r="G2886" i="6"/>
  <c r="F2886" i="6"/>
  <c r="G2885" i="6"/>
  <c r="F2885" i="6"/>
  <c r="G2884" i="6"/>
  <c r="F2884" i="6"/>
  <c r="G2883" i="6"/>
  <c r="F2883" i="6"/>
  <c r="G2882" i="6"/>
  <c r="F2882" i="6"/>
  <c r="G2881" i="6"/>
  <c r="F2881" i="6"/>
  <c r="G2880" i="6"/>
  <c r="F2880" i="6"/>
  <c r="G2879" i="6"/>
  <c r="F2879" i="6"/>
  <c r="G2878" i="6"/>
  <c r="F2878" i="6"/>
  <c r="G2877" i="6"/>
  <c r="F2877" i="6"/>
  <c r="G2876" i="6"/>
  <c r="F2876" i="6"/>
  <c r="G2875" i="6"/>
  <c r="F2875" i="6"/>
  <c r="G2874" i="6"/>
  <c r="F2874" i="6"/>
  <c r="G2873" i="6"/>
  <c r="F2873" i="6"/>
  <c r="G2872" i="6"/>
  <c r="F2872" i="6"/>
  <c r="G2871" i="6"/>
  <c r="F2871" i="6"/>
  <c r="G2870" i="6"/>
  <c r="F2870" i="6"/>
  <c r="G2869" i="6"/>
  <c r="F2869" i="6"/>
  <c r="G2868" i="6"/>
  <c r="F2868" i="6"/>
  <c r="G2867" i="6"/>
  <c r="F2867" i="6"/>
  <c r="G2866" i="6"/>
  <c r="F2866" i="6"/>
  <c r="G2865" i="6"/>
  <c r="F2865" i="6"/>
  <c r="G2864" i="6"/>
  <c r="F2864" i="6"/>
  <c r="G2863" i="6"/>
  <c r="F2863" i="6"/>
  <c r="G2862" i="6"/>
  <c r="F2862" i="6"/>
  <c r="G2861" i="6"/>
  <c r="F2861" i="6"/>
  <c r="G2860" i="6"/>
  <c r="F2860" i="6"/>
  <c r="G2859" i="6"/>
  <c r="F2859" i="6"/>
  <c r="G2858" i="6"/>
  <c r="F2858" i="6"/>
  <c r="G2857" i="6"/>
  <c r="F2857" i="6"/>
  <c r="G2856" i="6"/>
  <c r="F2856" i="6"/>
  <c r="G2855" i="6"/>
  <c r="F2855" i="6"/>
  <c r="G2854" i="6"/>
  <c r="F2854" i="6"/>
  <c r="G2853" i="6"/>
  <c r="F2853" i="6"/>
  <c r="G2852" i="6"/>
  <c r="F2852" i="6"/>
  <c r="G2851" i="6"/>
  <c r="F2851" i="6"/>
  <c r="G2850" i="6"/>
  <c r="F2850" i="6"/>
  <c r="G2849" i="6"/>
  <c r="F2849" i="6"/>
  <c r="G2848" i="6"/>
  <c r="F2848" i="6"/>
  <c r="G2847" i="6"/>
  <c r="F2847" i="6"/>
  <c r="G2846" i="6"/>
  <c r="F2846" i="6"/>
  <c r="G2845" i="6"/>
  <c r="F2845" i="6"/>
  <c r="G2844" i="6"/>
  <c r="F2844" i="6"/>
  <c r="G2843" i="6"/>
  <c r="F2843" i="6"/>
  <c r="G2842" i="6"/>
  <c r="F2842" i="6"/>
  <c r="G2841" i="6"/>
  <c r="F2841" i="6"/>
  <c r="G2840" i="6"/>
  <c r="F2840" i="6"/>
  <c r="G2839" i="6"/>
  <c r="F2839" i="6"/>
  <c r="G2838" i="6"/>
  <c r="F2838" i="6"/>
  <c r="G2837" i="6"/>
  <c r="F2837" i="6"/>
  <c r="G2836" i="6"/>
  <c r="F2836" i="6"/>
  <c r="G2835" i="6"/>
  <c r="F2835" i="6"/>
  <c r="G2834" i="6"/>
  <c r="F2834" i="6"/>
  <c r="G2833" i="6"/>
  <c r="F2833" i="6"/>
  <c r="G2832" i="6"/>
  <c r="F2832" i="6"/>
  <c r="G2831" i="6"/>
  <c r="F2831" i="6"/>
  <c r="G2830" i="6"/>
  <c r="F2830" i="6"/>
  <c r="G2829" i="6"/>
  <c r="F2829" i="6"/>
  <c r="G2828" i="6"/>
  <c r="F2828" i="6"/>
  <c r="G2827" i="6"/>
  <c r="F2827" i="6"/>
  <c r="G2826" i="6"/>
  <c r="F2826" i="6"/>
  <c r="G2825" i="6"/>
  <c r="F2825" i="6"/>
  <c r="G2824" i="6"/>
  <c r="F2824" i="6"/>
  <c r="G2823" i="6"/>
  <c r="F2823" i="6"/>
  <c r="G2822" i="6"/>
  <c r="F2822" i="6"/>
  <c r="G2821" i="6"/>
  <c r="F2821" i="6"/>
  <c r="G2820" i="6"/>
  <c r="F2820" i="6"/>
  <c r="G2819" i="6"/>
  <c r="F2819" i="6"/>
  <c r="G2818" i="6"/>
  <c r="F2818" i="6"/>
  <c r="G2817" i="6"/>
  <c r="F2817" i="6"/>
  <c r="G2816" i="6"/>
  <c r="F2816" i="6"/>
  <c r="G2815" i="6"/>
  <c r="F2815" i="6"/>
  <c r="G2814" i="6"/>
  <c r="F2814" i="6"/>
  <c r="G2813" i="6"/>
  <c r="F2813" i="6"/>
  <c r="G2812" i="6"/>
  <c r="F2812" i="6"/>
  <c r="G2811" i="6"/>
  <c r="F2811" i="6"/>
  <c r="G2810" i="6"/>
  <c r="F2810" i="6"/>
  <c r="G2809" i="6"/>
  <c r="F2809" i="6"/>
  <c r="G2808" i="6"/>
  <c r="F2808" i="6"/>
  <c r="G2807" i="6"/>
  <c r="F2807" i="6"/>
  <c r="G2806" i="6"/>
  <c r="F2806" i="6"/>
  <c r="G2805" i="6"/>
  <c r="F2805" i="6"/>
  <c r="G2804" i="6"/>
  <c r="F2804" i="6"/>
  <c r="G2803" i="6"/>
  <c r="F2803" i="6"/>
  <c r="G2802" i="6"/>
  <c r="F2802" i="6"/>
  <c r="G2801" i="6"/>
  <c r="F2801" i="6"/>
  <c r="G2800" i="6"/>
  <c r="F2800" i="6"/>
  <c r="G2799" i="6"/>
  <c r="F2799" i="6"/>
  <c r="G2798" i="6"/>
  <c r="F2798" i="6"/>
  <c r="G2797" i="6"/>
  <c r="F2797" i="6"/>
  <c r="G2796" i="6"/>
  <c r="F2796" i="6"/>
  <c r="G2795" i="6"/>
  <c r="F2795" i="6"/>
  <c r="G2794" i="6"/>
  <c r="F2794" i="6"/>
  <c r="G2793" i="6"/>
  <c r="F2793" i="6"/>
  <c r="G2792" i="6"/>
  <c r="F2792" i="6"/>
  <c r="G2791" i="6"/>
  <c r="F2791" i="6"/>
  <c r="G2790" i="6"/>
  <c r="F2790" i="6"/>
  <c r="G2789" i="6"/>
  <c r="F2789" i="6"/>
  <c r="G2788" i="6"/>
  <c r="F2788" i="6"/>
  <c r="G2787" i="6"/>
  <c r="F2787" i="6"/>
  <c r="G2786" i="6"/>
  <c r="F2786" i="6"/>
  <c r="G2785" i="6"/>
  <c r="F2785" i="6"/>
  <c r="G2784" i="6"/>
  <c r="F2784" i="6"/>
  <c r="G2783" i="6"/>
  <c r="F2783" i="6"/>
  <c r="G2782" i="6"/>
  <c r="F2782" i="6"/>
  <c r="G2781" i="6"/>
  <c r="F2781" i="6"/>
  <c r="G2780" i="6"/>
  <c r="F2780" i="6"/>
  <c r="G2779" i="6"/>
  <c r="F2779" i="6"/>
  <c r="G2778" i="6"/>
  <c r="F2778" i="6"/>
  <c r="G2777" i="6"/>
  <c r="F2777" i="6"/>
  <c r="G2776" i="6"/>
  <c r="F2776" i="6"/>
  <c r="G2775" i="6"/>
  <c r="F2775" i="6"/>
  <c r="G2774" i="6"/>
  <c r="F2774" i="6"/>
  <c r="G2773" i="6"/>
  <c r="F2773" i="6"/>
  <c r="G2772" i="6"/>
  <c r="F2772" i="6"/>
  <c r="G2771" i="6"/>
  <c r="F2771" i="6"/>
  <c r="G2770" i="6"/>
  <c r="F2770" i="6"/>
  <c r="G2769" i="6"/>
  <c r="F2769" i="6"/>
  <c r="G2768" i="6"/>
  <c r="F2768" i="6"/>
  <c r="G2767" i="6"/>
  <c r="F2767" i="6"/>
  <c r="G2766" i="6"/>
  <c r="F2766" i="6"/>
  <c r="G2765" i="6"/>
  <c r="F2765" i="6"/>
  <c r="G2764" i="6"/>
  <c r="F2764" i="6"/>
  <c r="G2763" i="6"/>
  <c r="F2763" i="6"/>
  <c r="G2762" i="6"/>
  <c r="F2762" i="6"/>
  <c r="G2761" i="6"/>
  <c r="F2761" i="6"/>
  <c r="G2760" i="6"/>
  <c r="F2760" i="6"/>
  <c r="G2759" i="6"/>
  <c r="F2759" i="6"/>
  <c r="G2758" i="6"/>
  <c r="F2758" i="6"/>
  <c r="G2757" i="6"/>
  <c r="F2757" i="6"/>
  <c r="G2756" i="6"/>
  <c r="F2756" i="6"/>
  <c r="G2755" i="6"/>
  <c r="F2755" i="6"/>
  <c r="G2754" i="6"/>
  <c r="F2754" i="6"/>
  <c r="G2753" i="6"/>
  <c r="F2753" i="6"/>
  <c r="G2752" i="6"/>
  <c r="F2752" i="6"/>
  <c r="G2751" i="6"/>
  <c r="F2751" i="6"/>
  <c r="G2750" i="6"/>
  <c r="F2750" i="6"/>
  <c r="G2749" i="6"/>
  <c r="F2749" i="6"/>
  <c r="G2748" i="6"/>
  <c r="F2748" i="6"/>
  <c r="G2747" i="6"/>
  <c r="F2747" i="6"/>
  <c r="G2746" i="6"/>
  <c r="F2746" i="6"/>
  <c r="G2745" i="6"/>
  <c r="F2745" i="6"/>
  <c r="G2744" i="6"/>
  <c r="F2744" i="6"/>
  <c r="G2743" i="6"/>
  <c r="F2743" i="6"/>
  <c r="G2742" i="6"/>
  <c r="F2742" i="6"/>
  <c r="G2741" i="6"/>
  <c r="F2741" i="6"/>
  <c r="G2740" i="6"/>
  <c r="F2740" i="6"/>
  <c r="G2739" i="6"/>
  <c r="F2739" i="6"/>
  <c r="G2738" i="6"/>
  <c r="F2738" i="6"/>
  <c r="G2737" i="6"/>
  <c r="F2737" i="6"/>
  <c r="G2736" i="6"/>
  <c r="F2736" i="6"/>
  <c r="G2735" i="6"/>
  <c r="F2735" i="6"/>
  <c r="G2734" i="6"/>
  <c r="F2734" i="6"/>
  <c r="G2733" i="6"/>
  <c r="F2733" i="6"/>
  <c r="G2732" i="6"/>
  <c r="F2732" i="6"/>
  <c r="G2731" i="6"/>
  <c r="F2731" i="6"/>
  <c r="G2730" i="6"/>
  <c r="F2730" i="6"/>
  <c r="G2729" i="6"/>
  <c r="F2729" i="6"/>
  <c r="G2728" i="6"/>
  <c r="F2728" i="6"/>
  <c r="G2727" i="6"/>
  <c r="F2727" i="6"/>
  <c r="G2726" i="6"/>
  <c r="F2726" i="6"/>
  <c r="G2725" i="6"/>
  <c r="F2725" i="6"/>
  <c r="G2724" i="6"/>
  <c r="F2724" i="6"/>
  <c r="G2723" i="6"/>
  <c r="F2723" i="6"/>
  <c r="G2722" i="6"/>
  <c r="F2722" i="6"/>
  <c r="G2721" i="6"/>
  <c r="F2721" i="6"/>
  <c r="G2720" i="6"/>
  <c r="F2720" i="6"/>
  <c r="G2719" i="6"/>
  <c r="F2719" i="6"/>
  <c r="G2718" i="6"/>
  <c r="F2718" i="6"/>
  <c r="G2717" i="6"/>
  <c r="F2717" i="6"/>
  <c r="G2716" i="6"/>
  <c r="F2716" i="6"/>
  <c r="G2715" i="6"/>
  <c r="F2715" i="6"/>
  <c r="G2714" i="6"/>
  <c r="F2714" i="6"/>
  <c r="G2713" i="6"/>
  <c r="F2713" i="6"/>
  <c r="G2712" i="6"/>
  <c r="F2712" i="6"/>
  <c r="G2711" i="6"/>
  <c r="F2711" i="6"/>
  <c r="G2710" i="6"/>
  <c r="F2710" i="6"/>
  <c r="G2709" i="6"/>
  <c r="F2709" i="6"/>
  <c r="G2708" i="6"/>
  <c r="F2708" i="6"/>
  <c r="G2707" i="6"/>
  <c r="F2707" i="6"/>
  <c r="G2706" i="6"/>
  <c r="F2706" i="6"/>
  <c r="G2705" i="6"/>
  <c r="F2705" i="6"/>
  <c r="G2704" i="6"/>
  <c r="F2704" i="6"/>
  <c r="G2703" i="6"/>
  <c r="F2703" i="6"/>
  <c r="G2702" i="6"/>
  <c r="F2702" i="6"/>
  <c r="G2701" i="6"/>
  <c r="F2701" i="6"/>
  <c r="G2700" i="6"/>
  <c r="F2700" i="6"/>
  <c r="G2699" i="6"/>
  <c r="F2699" i="6"/>
  <c r="G2698" i="6"/>
  <c r="F2698" i="6"/>
  <c r="G2697" i="6"/>
  <c r="F2697" i="6"/>
  <c r="G2696" i="6"/>
  <c r="F2696" i="6"/>
  <c r="G2695" i="6"/>
  <c r="F2695" i="6"/>
  <c r="G2694" i="6"/>
  <c r="F2694" i="6"/>
  <c r="G2693" i="6"/>
  <c r="F2693" i="6"/>
  <c r="G2692" i="6"/>
  <c r="F2692" i="6"/>
  <c r="G2691" i="6"/>
  <c r="F2691" i="6"/>
  <c r="G2690" i="6"/>
  <c r="F2690" i="6"/>
  <c r="G2689" i="6"/>
  <c r="F2689" i="6"/>
  <c r="G2688" i="6"/>
  <c r="F2688" i="6"/>
  <c r="G2687" i="6"/>
  <c r="F2687" i="6"/>
  <c r="G2686" i="6"/>
  <c r="F2686" i="6"/>
  <c r="G2685" i="6"/>
  <c r="F2685" i="6"/>
  <c r="G2684" i="6"/>
  <c r="F2684" i="6"/>
  <c r="G2683" i="6"/>
  <c r="F2683" i="6"/>
  <c r="G2682" i="6"/>
  <c r="F2682" i="6"/>
  <c r="G2681" i="6"/>
  <c r="F2681" i="6"/>
  <c r="G2680" i="6"/>
  <c r="F2680" i="6"/>
  <c r="G2679" i="6"/>
  <c r="F2679" i="6"/>
  <c r="G2678" i="6"/>
  <c r="F2678" i="6"/>
  <c r="G2677" i="6"/>
  <c r="F2677" i="6"/>
  <c r="G2676" i="6"/>
  <c r="F2676" i="6"/>
  <c r="G2675" i="6"/>
  <c r="F2675" i="6"/>
  <c r="G2674" i="6"/>
  <c r="F2674" i="6"/>
  <c r="G2673" i="6"/>
  <c r="F2673" i="6"/>
  <c r="G2672" i="6"/>
  <c r="F2672" i="6"/>
  <c r="G2671" i="6"/>
  <c r="F2671" i="6"/>
  <c r="G2670" i="6"/>
  <c r="F2670" i="6"/>
  <c r="G2669" i="6"/>
  <c r="F2669" i="6"/>
  <c r="G2668" i="6"/>
  <c r="F2668" i="6"/>
  <c r="G2667" i="6"/>
  <c r="F2667" i="6"/>
  <c r="G2666" i="6"/>
  <c r="F2666" i="6"/>
  <c r="G2665" i="6"/>
  <c r="F2665" i="6"/>
  <c r="G2664" i="6"/>
  <c r="F2664" i="6"/>
  <c r="G2663" i="6"/>
  <c r="F2663" i="6"/>
  <c r="G2662" i="6"/>
  <c r="F2662" i="6"/>
  <c r="G2661" i="6"/>
  <c r="F2661" i="6"/>
  <c r="G2660" i="6"/>
  <c r="F2660" i="6"/>
  <c r="G2659" i="6"/>
  <c r="F2659" i="6"/>
  <c r="G2658" i="6"/>
  <c r="F2658" i="6"/>
  <c r="G2657" i="6"/>
  <c r="F2657" i="6"/>
  <c r="G2656" i="6"/>
  <c r="F2656" i="6"/>
  <c r="G2655" i="6"/>
  <c r="F2655" i="6"/>
  <c r="G2654" i="6"/>
  <c r="F2654" i="6"/>
  <c r="G2653" i="6"/>
  <c r="F2653" i="6"/>
  <c r="G2652" i="6"/>
  <c r="F2652" i="6"/>
  <c r="G2651" i="6"/>
  <c r="F2651" i="6"/>
  <c r="G2650" i="6"/>
  <c r="F2650" i="6"/>
  <c r="G2649" i="6"/>
  <c r="F2649" i="6"/>
  <c r="G2648" i="6"/>
  <c r="F2648" i="6"/>
  <c r="G2647" i="6"/>
  <c r="F2647" i="6"/>
  <c r="G2646" i="6"/>
  <c r="F2646" i="6"/>
  <c r="G2645" i="6"/>
  <c r="F2645" i="6"/>
  <c r="G2644" i="6"/>
  <c r="F2644" i="6"/>
  <c r="G2643" i="6"/>
  <c r="F2643" i="6"/>
  <c r="G2642" i="6"/>
  <c r="F2642" i="6"/>
  <c r="G2641" i="6"/>
  <c r="F2641" i="6"/>
  <c r="G2640" i="6"/>
  <c r="F2640" i="6"/>
  <c r="G2639" i="6"/>
  <c r="F2639" i="6"/>
  <c r="G2638" i="6"/>
  <c r="F2638" i="6"/>
  <c r="G2637" i="6"/>
  <c r="F2637" i="6"/>
  <c r="G2636" i="6"/>
  <c r="F2636" i="6"/>
  <c r="G2635" i="6"/>
  <c r="F2635" i="6"/>
  <c r="G2634" i="6"/>
  <c r="F2634" i="6"/>
  <c r="G2633" i="6"/>
  <c r="F2633" i="6"/>
  <c r="G2632" i="6"/>
  <c r="F2632" i="6"/>
  <c r="G2631" i="6"/>
  <c r="F2631" i="6"/>
  <c r="G2630" i="6"/>
  <c r="F2630" i="6"/>
  <c r="G2629" i="6"/>
  <c r="F2629" i="6"/>
  <c r="G2628" i="6"/>
  <c r="F2628" i="6"/>
  <c r="G2627" i="6"/>
  <c r="F2627" i="6"/>
  <c r="G2626" i="6"/>
  <c r="F2626" i="6"/>
  <c r="G2625" i="6"/>
  <c r="F2625" i="6"/>
  <c r="G2624" i="6"/>
  <c r="F2624" i="6"/>
  <c r="G2623" i="6"/>
  <c r="F2623" i="6"/>
  <c r="G2622" i="6"/>
  <c r="F2622" i="6"/>
  <c r="G2621" i="6"/>
  <c r="F2621" i="6"/>
  <c r="G2620" i="6"/>
  <c r="F2620" i="6"/>
  <c r="G2619" i="6"/>
  <c r="F2619" i="6"/>
  <c r="G2618" i="6"/>
  <c r="F2618" i="6"/>
  <c r="G2617" i="6"/>
  <c r="F2617" i="6"/>
  <c r="G2616" i="6"/>
  <c r="F2616" i="6"/>
  <c r="G2615" i="6"/>
  <c r="F2615" i="6"/>
  <c r="G2614" i="6"/>
  <c r="F2614" i="6"/>
  <c r="G2613" i="6"/>
  <c r="F2613" i="6"/>
  <c r="G2612" i="6"/>
  <c r="F2612" i="6"/>
  <c r="G2611" i="6"/>
  <c r="F2611" i="6"/>
  <c r="G2610" i="6"/>
  <c r="F2610" i="6"/>
  <c r="G2609" i="6"/>
  <c r="F2609" i="6"/>
  <c r="G2608" i="6"/>
  <c r="F2608" i="6"/>
  <c r="G2607" i="6"/>
  <c r="F2607" i="6"/>
  <c r="G2606" i="6"/>
  <c r="F2606" i="6"/>
  <c r="G2605" i="6"/>
  <c r="F2605" i="6"/>
  <c r="G2604" i="6"/>
  <c r="F2604" i="6"/>
  <c r="G2603" i="6"/>
  <c r="F2603" i="6"/>
  <c r="G2602" i="6"/>
  <c r="F2602" i="6"/>
  <c r="G2601" i="6"/>
  <c r="F2601" i="6"/>
  <c r="G2600" i="6"/>
  <c r="F2600" i="6"/>
  <c r="G2599" i="6"/>
  <c r="F2599" i="6"/>
  <c r="G2598" i="6"/>
  <c r="F2598" i="6"/>
  <c r="G2597" i="6"/>
  <c r="F2597" i="6"/>
  <c r="G2596" i="6"/>
  <c r="F2596" i="6"/>
  <c r="G2595" i="6"/>
  <c r="F2595" i="6"/>
  <c r="G2594" i="6"/>
  <c r="F2594" i="6"/>
  <c r="G2593" i="6"/>
  <c r="F2593" i="6"/>
  <c r="G2592" i="6"/>
  <c r="F2592" i="6"/>
  <c r="G2591" i="6"/>
  <c r="F2591" i="6"/>
  <c r="G2590" i="6"/>
  <c r="F2590" i="6"/>
  <c r="G2589" i="6"/>
  <c r="F2589" i="6"/>
  <c r="G2588" i="6"/>
  <c r="F2588" i="6"/>
  <c r="G2587" i="6"/>
  <c r="F2587" i="6"/>
  <c r="G2586" i="6"/>
  <c r="F2586" i="6"/>
  <c r="G2585" i="6"/>
  <c r="F2585" i="6"/>
  <c r="G2584" i="6"/>
  <c r="F2584" i="6"/>
  <c r="G2583" i="6"/>
  <c r="F2583" i="6"/>
  <c r="G2582" i="6"/>
  <c r="F2582" i="6"/>
  <c r="G2581" i="6"/>
  <c r="F2581" i="6"/>
  <c r="G2580" i="6"/>
  <c r="F2580" i="6"/>
  <c r="G2579" i="6"/>
  <c r="F2579" i="6"/>
  <c r="G2578" i="6"/>
  <c r="F2578" i="6"/>
  <c r="G2577" i="6"/>
  <c r="F2577" i="6"/>
  <c r="G2576" i="6"/>
  <c r="F2576" i="6"/>
  <c r="G2575" i="6"/>
  <c r="F2575" i="6"/>
  <c r="G2574" i="6"/>
  <c r="F2574" i="6"/>
  <c r="G2573" i="6"/>
  <c r="F2573" i="6"/>
  <c r="G2572" i="6"/>
  <c r="F2572" i="6"/>
  <c r="G2571" i="6"/>
  <c r="F2571" i="6"/>
  <c r="G2570" i="6"/>
  <c r="F2570" i="6"/>
  <c r="G2569" i="6"/>
  <c r="F2569" i="6"/>
  <c r="G2568" i="6"/>
  <c r="F2568" i="6"/>
  <c r="G2567" i="6"/>
  <c r="F2567" i="6"/>
  <c r="G2566" i="6"/>
  <c r="F2566" i="6"/>
  <c r="G2565" i="6"/>
  <c r="F2565" i="6"/>
  <c r="G2564" i="6"/>
  <c r="F2564" i="6"/>
  <c r="G2563" i="6"/>
  <c r="F2563" i="6"/>
  <c r="G2562" i="6"/>
  <c r="F2562" i="6"/>
  <c r="G2561" i="6"/>
  <c r="F2561" i="6"/>
  <c r="G2560" i="6"/>
  <c r="F2560" i="6"/>
  <c r="G2559" i="6"/>
  <c r="F2559" i="6"/>
  <c r="G2558" i="6"/>
  <c r="F2558" i="6"/>
  <c r="G2557" i="6"/>
  <c r="F2557" i="6"/>
  <c r="G2556" i="6"/>
  <c r="F2556" i="6"/>
  <c r="G2555" i="6"/>
  <c r="F2555" i="6"/>
  <c r="G2554" i="6"/>
  <c r="F2554" i="6"/>
  <c r="G2553" i="6"/>
  <c r="F2553" i="6"/>
  <c r="G2552" i="6"/>
  <c r="F2552" i="6"/>
  <c r="G2551" i="6"/>
  <c r="F2551" i="6"/>
  <c r="G2550" i="6"/>
  <c r="F2550" i="6"/>
  <c r="G2549" i="6"/>
  <c r="F2549" i="6"/>
  <c r="G2548" i="6"/>
  <c r="F2548" i="6"/>
  <c r="G2547" i="6"/>
  <c r="F2547" i="6"/>
  <c r="G2546" i="6"/>
  <c r="F2546" i="6"/>
  <c r="G2545" i="6"/>
  <c r="F2545" i="6"/>
  <c r="G2544" i="6"/>
  <c r="F2544" i="6"/>
  <c r="G2543" i="6"/>
  <c r="F2543" i="6"/>
  <c r="G2542" i="6"/>
  <c r="F2542" i="6"/>
  <c r="G2541" i="6"/>
  <c r="F2541" i="6"/>
  <c r="G2540" i="6"/>
  <c r="F2540" i="6"/>
  <c r="G2539" i="6"/>
  <c r="F2539" i="6"/>
  <c r="G2538" i="6"/>
  <c r="F2538" i="6"/>
  <c r="G2537" i="6"/>
  <c r="F2537" i="6"/>
  <c r="G2536" i="6"/>
  <c r="F2536" i="6"/>
  <c r="G2535" i="6"/>
  <c r="F2535" i="6"/>
  <c r="G2534" i="6"/>
  <c r="F2534" i="6"/>
  <c r="G2533" i="6"/>
  <c r="F2533" i="6"/>
  <c r="G2532" i="6"/>
  <c r="F2532" i="6"/>
  <c r="G2531" i="6"/>
  <c r="F2531" i="6"/>
  <c r="G2530" i="6"/>
  <c r="F2530" i="6"/>
  <c r="G2529" i="6"/>
  <c r="F2529" i="6"/>
  <c r="G2528" i="6"/>
  <c r="F2528" i="6"/>
  <c r="G2527" i="6"/>
  <c r="F2527" i="6"/>
  <c r="G2526" i="6"/>
  <c r="F2526" i="6"/>
  <c r="G2525" i="6"/>
  <c r="F2525" i="6"/>
  <c r="G2524" i="6"/>
  <c r="F2524" i="6"/>
  <c r="G2523" i="6"/>
  <c r="F2523" i="6"/>
  <c r="G2522" i="6"/>
  <c r="F2522" i="6"/>
  <c r="G2521" i="6"/>
  <c r="F2521" i="6"/>
  <c r="G2520" i="6"/>
  <c r="F2520" i="6"/>
  <c r="G2519" i="6"/>
  <c r="F2519" i="6"/>
  <c r="G2518" i="6"/>
  <c r="F2518" i="6"/>
  <c r="G2517" i="6"/>
  <c r="F2517" i="6"/>
  <c r="G2516" i="6"/>
  <c r="F2516" i="6"/>
  <c r="G2515" i="6"/>
  <c r="F2515" i="6"/>
  <c r="G2514" i="6"/>
  <c r="F2514" i="6"/>
  <c r="G2513" i="6"/>
  <c r="F2513" i="6"/>
  <c r="G2512" i="6"/>
  <c r="F2512" i="6"/>
  <c r="G2511" i="6"/>
  <c r="F2511" i="6"/>
  <c r="G2510" i="6"/>
  <c r="F2510" i="6"/>
  <c r="G2509" i="6"/>
  <c r="F2509" i="6"/>
  <c r="G2508" i="6"/>
  <c r="F2508" i="6"/>
  <c r="G2507" i="6"/>
  <c r="F2507" i="6"/>
  <c r="G2506" i="6"/>
  <c r="F2506" i="6"/>
  <c r="G2505" i="6"/>
  <c r="F2505" i="6"/>
  <c r="G2504" i="6"/>
  <c r="F2504" i="6"/>
  <c r="G2503" i="6"/>
  <c r="F2503" i="6"/>
  <c r="G2502" i="6"/>
  <c r="F2502" i="6"/>
  <c r="G2501" i="6"/>
  <c r="F2501" i="6"/>
  <c r="G2500" i="6"/>
  <c r="F2500" i="6"/>
  <c r="G2499" i="6"/>
  <c r="F2499" i="6"/>
  <c r="G2498" i="6"/>
  <c r="F2498" i="6"/>
  <c r="G2497" i="6"/>
  <c r="F2497" i="6"/>
  <c r="G2496" i="6"/>
  <c r="F2496" i="6"/>
  <c r="G2495" i="6"/>
  <c r="F2495" i="6"/>
  <c r="G2494" i="6"/>
  <c r="F2494" i="6"/>
  <c r="G2493" i="6"/>
  <c r="F2493" i="6"/>
  <c r="G2492" i="6"/>
  <c r="F2492" i="6"/>
  <c r="G2491" i="6"/>
  <c r="F2491" i="6"/>
  <c r="G2490" i="6"/>
  <c r="F2490" i="6"/>
  <c r="G2489" i="6"/>
  <c r="F2489" i="6"/>
  <c r="G2488" i="6"/>
  <c r="F2488" i="6"/>
  <c r="G2487" i="6"/>
  <c r="F2487" i="6"/>
  <c r="G2486" i="6"/>
  <c r="F2486" i="6"/>
  <c r="G2485" i="6"/>
  <c r="F2485" i="6"/>
  <c r="G2484" i="6"/>
  <c r="F2484" i="6"/>
  <c r="G2483" i="6"/>
  <c r="F2483" i="6"/>
  <c r="G2482" i="6"/>
  <c r="F2482" i="6"/>
  <c r="G2481" i="6"/>
  <c r="F2481" i="6"/>
  <c r="G2480" i="6"/>
  <c r="F2480" i="6"/>
  <c r="G2479" i="6"/>
  <c r="F2479" i="6"/>
  <c r="G2478" i="6"/>
  <c r="F2478" i="6"/>
  <c r="G2477" i="6"/>
  <c r="F2477" i="6"/>
  <c r="G2476" i="6"/>
  <c r="F2476" i="6"/>
  <c r="G2475" i="6"/>
  <c r="F2475" i="6"/>
  <c r="G2474" i="6"/>
  <c r="F2474" i="6"/>
  <c r="G2473" i="6"/>
  <c r="F2473" i="6"/>
  <c r="G2472" i="6"/>
  <c r="F2472" i="6"/>
  <c r="G2471" i="6"/>
  <c r="F2471" i="6"/>
  <c r="G2470" i="6"/>
  <c r="F2470" i="6"/>
  <c r="G2469" i="6"/>
  <c r="F2469" i="6"/>
  <c r="G2468" i="6"/>
  <c r="F2468" i="6"/>
  <c r="G2467" i="6"/>
  <c r="F2467" i="6"/>
  <c r="G2466" i="6"/>
  <c r="F2466" i="6"/>
  <c r="G2465" i="6"/>
  <c r="F2465" i="6"/>
  <c r="G2464" i="6"/>
  <c r="F2464" i="6"/>
  <c r="G2463" i="6"/>
  <c r="F2463" i="6"/>
  <c r="G2462" i="6"/>
  <c r="F2462" i="6"/>
  <c r="G2461" i="6"/>
  <c r="F2461" i="6"/>
  <c r="G2460" i="6"/>
  <c r="F2460" i="6"/>
  <c r="G2459" i="6"/>
  <c r="F2459" i="6"/>
  <c r="G2458" i="6"/>
  <c r="F2458" i="6"/>
  <c r="G2457" i="6"/>
  <c r="F2457" i="6"/>
  <c r="G2456" i="6"/>
  <c r="F2456" i="6"/>
  <c r="G2455" i="6"/>
  <c r="F2455" i="6"/>
  <c r="G2454" i="6"/>
  <c r="F2454" i="6"/>
  <c r="G2453" i="6"/>
  <c r="F2453" i="6"/>
  <c r="G2452" i="6"/>
  <c r="F2452" i="6"/>
  <c r="G2451" i="6"/>
  <c r="F2451" i="6"/>
  <c r="G2450" i="6"/>
  <c r="F2450" i="6"/>
  <c r="G2449" i="6"/>
  <c r="F2449" i="6"/>
  <c r="G2448" i="6"/>
  <c r="F2448" i="6"/>
  <c r="G2447" i="6"/>
  <c r="F2447" i="6"/>
  <c r="G2446" i="6"/>
  <c r="F2446" i="6"/>
  <c r="G2445" i="6"/>
  <c r="F2445" i="6"/>
  <c r="G2444" i="6"/>
  <c r="F2444" i="6"/>
  <c r="G2443" i="6"/>
  <c r="F2443" i="6"/>
  <c r="G2442" i="6"/>
  <c r="F2442" i="6"/>
  <c r="G2441" i="6"/>
  <c r="F2441" i="6"/>
  <c r="G2440" i="6"/>
  <c r="F2440" i="6"/>
  <c r="G2439" i="6"/>
  <c r="F2439" i="6"/>
  <c r="G2438" i="6"/>
  <c r="F2438" i="6"/>
  <c r="G2437" i="6"/>
  <c r="F2437" i="6"/>
  <c r="G2436" i="6"/>
  <c r="F2436" i="6"/>
  <c r="G2435" i="6"/>
  <c r="F2435" i="6"/>
  <c r="G2434" i="6"/>
  <c r="F2434" i="6"/>
  <c r="G2433" i="6"/>
  <c r="F2433" i="6"/>
  <c r="G2432" i="6"/>
  <c r="F2432" i="6"/>
  <c r="G2431" i="6"/>
  <c r="F2431" i="6"/>
  <c r="G2430" i="6"/>
  <c r="F2430" i="6"/>
  <c r="G2429" i="6"/>
  <c r="F2429" i="6"/>
  <c r="G2428" i="6"/>
  <c r="F2428" i="6"/>
  <c r="G2427" i="6"/>
  <c r="F2427" i="6"/>
  <c r="G2426" i="6"/>
  <c r="F2426" i="6"/>
  <c r="G2425" i="6"/>
  <c r="F2425" i="6"/>
  <c r="G2424" i="6"/>
  <c r="F2424" i="6"/>
  <c r="G2423" i="6"/>
  <c r="F2423" i="6"/>
  <c r="G2422" i="6"/>
  <c r="F2422" i="6"/>
  <c r="G2421" i="6"/>
  <c r="F2421" i="6"/>
  <c r="G2420" i="6"/>
  <c r="F2420" i="6"/>
  <c r="G2419" i="6"/>
  <c r="F2419" i="6"/>
  <c r="G2418" i="6"/>
  <c r="F2418" i="6"/>
  <c r="G2417" i="6"/>
  <c r="F2417" i="6"/>
  <c r="G2416" i="6"/>
  <c r="F2416" i="6"/>
  <c r="G2415" i="6"/>
  <c r="F2415" i="6"/>
  <c r="G2414" i="6"/>
  <c r="F2414" i="6"/>
  <c r="G2413" i="6"/>
  <c r="F2413" i="6"/>
  <c r="G2412" i="6"/>
  <c r="F2412" i="6"/>
  <c r="G2411" i="6"/>
  <c r="F2411" i="6"/>
  <c r="G2410" i="6"/>
  <c r="F2410" i="6"/>
  <c r="G2409" i="6"/>
  <c r="F2409" i="6"/>
  <c r="G2408" i="6"/>
  <c r="F2408" i="6"/>
  <c r="G2407" i="6"/>
  <c r="F2407" i="6"/>
  <c r="G2406" i="6"/>
  <c r="F2406" i="6"/>
  <c r="G2405" i="6"/>
  <c r="F2405" i="6"/>
  <c r="G2404" i="6"/>
  <c r="F2404" i="6"/>
  <c r="G2403" i="6"/>
  <c r="F2403" i="6"/>
  <c r="G2402" i="6"/>
  <c r="F2402" i="6"/>
  <c r="G2401" i="6"/>
  <c r="F2401" i="6"/>
  <c r="G2400" i="6"/>
  <c r="F2400" i="6"/>
  <c r="G2399" i="6"/>
  <c r="F2399" i="6"/>
  <c r="G2398" i="6"/>
  <c r="F2398" i="6"/>
  <c r="G2397" i="6"/>
  <c r="F2397" i="6"/>
  <c r="G2396" i="6"/>
  <c r="F2396" i="6"/>
  <c r="G2395" i="6"/>
  <c r="F2395" i="6"/>
  <c r="G2394" i="6"/>
  <c r="F2394" i="6"/>
  <c r="G2393" i="6"/>
  <c r="F2393" i="6"/>
  <c r="G2392" i="6"/>
  <c r="F2392" i="6"/>
  <c r="G2391" i="6"/>
  <c r="F2391" i="6"/>
  <c r="G2390" i="6"/>
  <c r="F2390" i="6"/>
  <c r="G2389" i="6"/>
  <c r="F2389" i="6"/>
  <c r="G2388" i="6"/>
  <c r="F2388" i="6"/>
  <c r="G2387" i="6"/>
  <c r="F2387" i="6"/>
  <c r="G2386" i="6"/>
  <c r="F2386" i="6"/>
  <c r="G2385" i="6"/>
  <c r="F2385" i="6"/>
  <c r="G2384" i="6"/>
  <c r="F2384" i="6"/>
  <c r="G2383" i="6"/>
  <c r="F2383" i="6"/>
  <c r="G2382" i="6"/>
  <c r="F2382" i="6"/>
  <c r="G2381" i="6"/>
  <c r="F2381" i="6"/>
  <c r="G2380" i="6"/>
  <c r="F2380" i="6"/>
  <c r="G2379" i="6"/>
  <c r="F2379" i="6"/>
  <c r="G2378" i="6"/>
  <c r="F2378" i="6"/>
  <c r="G2377" i="6"/>
  <c r="F2377" i="6"/>
  <c r="G2376" i="6"/>
  <c r="F2376" i="6"/>
  <c r="G2375" i="6"/>
  <c r="F2375" i="6"/>
  <c r="G2374" i="6"/>
  <c r="F2374" i="6"/>
  <c r="G2373" i="6"/>
  <c r="F2373" i="6"/>
  <c r="G2372" i="6"/>
  <c r="F2372" i="6"/>
  <c r="G2371" i="6"/>
  <c r="F2371" i="6"/>
  <c r="G2370" i="6"/>
  <c r="F2370" i="6"/>
  <c r="G2369" i="6"/>
  <c r="F2369" i="6"/>
  <c r="G2368" i="6"/>
  <c r="F2368" i="6"/>
  <c r="G2367" i="6"/>
  <c r="F2367" i="6"/>
  <c r="G2366" i="6"/>
  <c r="F2366" i="6"/>
  <c r="G2365" i="6"/>
  <c r="F2365" i="6"/>
  <c r="G2364" i="6"/>
  <c r="F2364" i="6"/>
  <c r="G2363" i="6"/>
  <c r="F2363" i="6"/>
  <c r="G2362" i="6"/>
  <c r="F2362" i="6"/>
  <c r="G2361" i="6"/>
  <c r="F2361" i="6"/>
  <c r="G2360" i="6"/>
  <c r="F2360" i="6"/>
  <c r="G2359" i="6"/>
  <c r="F2359" i="6"/>
  <c r="G2358" i="6"/>
  <c r="F2358" i="6"/>
  <c r="G2357" i="6"/>
  <c r="F2357" i="6"/>
  <c r="G2356" i="6"/>
  <c r="F2356" i="6"/>
  <c r="G2355" i="6"/>
  <c r="F2355" i="6"/>
  <c r="G2354" i="6"/>
  <c r="F2354" i="6"/>
  <c r="G2353" i="6"/>
  <c r="F2353" i="6"/>
  <c r="G2352" i="6"/>
  <c r="F2352" i="6"/>
  <c r="G2351" i="6"/>
  <c r="F2351" i="6"/>
  <c r="G2350" i="6"/>
  <c r="F2350" i="6"/>
  <c r="G2349" i="6"/>
  <c r="F2349" i="6"/>
  <c r="G2348" i="6"/>
  <c r="F2348" i="6"/>
  <c r="G2347" i="6"/>
  <c r="F2347" i="6"/>
  <c r="G2346" i="6"/>
  <c r="F2346" i="6"/>
  <c r="G2345" i="6"/>
  <c r="F2345" i="6"/>
  <c r="G2344" i="6"/>
  <c r="F2344" i="6"/>
  <c r="G2343" i="6"/>
  <c r="F2343" i="6"/>
  <c r="G2342" i="6"/>
  <c r="F2342" i="6"/>
  <c r="G2341" i="6"/>
  <c r="F2341" i="6"/>
  <c r="G2340" i="6"/>
  <c r="F2340" i="6"/>
  <c r="G2339" i="6"/>
  <c r="F2339" i="6"/>
  <c r="G2338" i="6"/>
  <c r="F2338" i="6"/>
  <c r="G2337" i="6"/>
  <c r="F2337" i="6"/>
  <c r="G2336" i="6"/>
  <c r="F2336" i="6"/>
  <c r="G2335" i="6"/>
  <c r="F2335" i="6"/>
  <c r="G2334" i="6"/>
  <c r="F2334" i="6"/>
  <c r="G2333" i="6"/>
  <c r="F2333" i="6"/>
  <c r="G2332" i="6"/>
  <c r="F2332" i="6"/>
  <c r="G2331" i="6"/>
  <c r="F2331" i="6"/>
  <c r="G2330" i="6"/>
  <c r="F2330" i="6"/>
  <c r="G2329" i="6"/>
  <c r="F2329" i="6"/>
  <c r="G2328" i="6"/>
  <c r="F2328" i="6"/>
  <c r="G2327" i="6"/>
  <c r="F2327" i="6"/>
  <c r="G2326" i="6"/>
  <c r="F2326" i="6"/>
  <c r="G2325" i="6"/>
  <c r="F2325" i="6"/>
  <c r="G2324" i="6"/>
  <c r="F2324" i="6"/>
  <c r="G2323" i="6"/>
  <c r="F2323" i="6"/>
  <c r="G2322" i="6"/>
  <c r="F2322" i="6"/>
  <c r="G2321" i="6"/>
  <c r="F2321" i="6"/>
  <c r="G2320" i="6"/>
  <c r="F2320" i="6"/>
  <c r="G2319" i="6"/>
  <c r="F2319" i="6"/>
  <c r="G2318" i="6"/>
  <c r="F2318" i="6"/>
  <c r="G2317" i="6"/>
  <c r="F2317" i="6"/>
  <c r="G2316" i="6"/>
  <c r="F2316" i="6"/>
  <c r="G2315" i="6"/>
  <c r="F2315" i="6"/>
  <c r="G2314" i="6"/>
  <c r="F2314" i="6"/>
  <c r="G2313" i="6"/>
  <c r="F2313" i="6"/>
  <c r="G2312" i="6"/>
  <c r="F2312" i="6"/>
  <c r="G2311" i="6"/>
  <c r="F2311" i="6"/>
  <c r="G2310" i="6"/>
  <c r="F2310" i="6"/>
  <c r="G2309" i="6"/>
  <c r="F2309" i="6"/>
  <c r="G2308" i="6"/>
  <c r="F2308" i="6"/>
  <c r="G2307" i="6"/>
  <c r="F2307" i="6"/>
  <c r="G2306" i="6"/>
  <c r="F2306" i="6"/>
  <c r="G2305" i="6"/>
  <c r="F2305" i="6"/>
  <c r="G2304" i="6"/>
  <c r="F2304" i="6"/>
  <c r="G2303" i="6"/>
  <c r="F2303" i="6"/>
  <c r="G2302" i="6"/>
  <c r="F2302" i="6"/>
  <c r="G2301" i="6"/>
  <c r="F2301" i="6"/>
  <c r="G2300" i="6"/>
  <c r="F2300" i="6"/>
  <c r="G2299" i="6"/>
  <c r="F2299" i="6"/>
  <c r="G2298" i="6"/>
  <c r="F2298" i="6"/>
  <c r="G2297" i="6"/>
  <c r="F2297" i="6"/>
  <c r="G2296" i="6"/>
  <c r="F2296" i="6"/>
  <c r="G2295" i="6"/>
  <c r="F2295" i="6"/>
  <c r="G2294" i="6"/>
  <c r="F2294" i="6"/>
  <c r="G2293" i="6"/>
  <c r="F2293" i="6"/>
  <c r="G2292" i="6"/>
  <c r="F2292" i="6"/>
  <c r="G2291" i="6"/>
  <c r="F2291" i="6"/>
  <c r="G2290" i="6"/>
  <c r="F2290" i="6"/>
  <c r="G2289" i="6"/>
  <c r="F2289" i="6"/>
  <c r="G2288" i="6"/>
  <c r="F2288" i="6"/>
  <c r="G2287" i="6"/>
  <c r="F2287" i="6"/>
  <c r="G2286" i="6"/>
  <c r="F2286" i="6"/>
  <c r="G2285" i="6"/>
  <c r="F2285" i="6"/>
  <c r="G2284" i="6"/>
  <c r="F2284" i="6"/>
  <c r="G2283" i="6"/>
  <c r="F2283" i="6"/>
  <c r="G2282" i="6"/>
  <c r="F2282" i="6"/>
  <c r="G2281" i="6"/>
  <c r="F2281" i="6"/>
  <c r="G2280" i="6"/>
  <c r="F2280" i="6"/>
  <c r="G2279" i="6"/>
  <c r="F2279" i="6"/>
  <c r="G2278" i="6"/>
  <c r="F2278" i="6"/>
  <c r="G2277" i="6"/>
  <c r="F2277" i="6"/>
  <c r="G2276" i="6"/>
  <c r="F2276" i="6"/>
  <c r="G2275" i="6"/>
  <c r="F2275" i="6"/>
  <c r="G2274" i="6"/>
  <c r="F2274" i="6"/>
  <c r="G2273" i="6"/>
  <c r="F2273" i="6"/>
  <c r="G2272" i="6"/>
  <c r="F2272" i="6"/>
  <c r="G2271" i="6"/>
  <c r="F2271" i="6"/>
  <c r="G2270" i="6"/>
  <c r="F2270" i="6"/>
  <c r="G2269" i="6"/>
  <c r="F2269" i="6"/>
  <c r="G2268" i="6"/>
  <c r="F2268" i="6"/>
  <c r="G2267" i="6"/>
  <c r="F2267" i="6"/>
  <c r="G2266" i="6"/>
  <c r="F2266" i="6"/>
  <c r="G2265" i="6"/>
  <c r="F2265" i="6"/>
  <c r="G2264" i="6"/>
  <c r="F2264" i="6"/>
  <c r="G2263" i="6"/>
  <c r="F2263" i="6"/>
  <c r="G2262" i="6"/>
  <c r="F2262" i="6"/>
  <c r="G2261" i="6"/>
  <c r="F2261" i="6"/>
  <c r="G2260" i="6"/>
  <c r="F2260" i="6"/>
  <c r="G2259" i="6"/>
  <c r="F2259" i="6"/>
  <c r="G2258" i="6"/>
  <c r="F2258" i="6"/>
  <c r="G2257" i="6"/>
  <c r="F2257" i="6"/>
  <c r="G2256" i="6"/>
  <c r="F2256" i="6"/>
  <c r="G2255" i="6"/>
  <c r="F2255" i="6"/>
  <c r="G2254" i="6"/>
  <c r="F2254" i="6"/>
  <c r="G2253" i="6"/>
  <c r="F2253" i="6"/>
  <c r="G2252" i="6"/>
  <c r="F2252" i="6"/>
  <c r="G2251" i="6"/>
  <c r="F2251" i="6"/>
  <c r="G2250" i="6"/>
  <c r="F2250" i="6"/>
  <c r="G2249" i="6"/>
  <c r="F2249" i="6"/>
  <c r="G2248" i="6"/>
  <c r="F2248" i="6"/>
  <c r="G2247" i="6"/>
  <c r="F2247" i="6"/>
  <c r="G2246" i="6"/>
  <c r="F2246" i="6"/>
  <c r="G2245" i="6"/>
  <c r="F2245" i="6"/>
  <c r="G2244" i="6"/>
  <c r="F2244" i="6"/>
  <c r="G2243" i="6"/>
  <c r="F2243" i="6"/>
  <c r="G2242" i="6"/>
  <c r="F2242" i="6"/>
  <c r="G2241" i="6"/>
  <c r="F2241" i="6"/>
  <c r="G2240" i="6"/>
  <c r="F2240" i="6"/>
  <c r="G2239" i="6"/>
  <c r="F2239" i="6"/>
  <c r="G2238" i="6"/>
  <c r="F2238" i="6"/>
  <c r="G2237" i="6"/>
  <c r="F2237" i="6"/>
  <c r="G2236" i="6"/>
  <c r="F2236" i="6"/>
  <c r="G2235" i="6"/>
  <c r="F2235" i="6"/>
  <c r="G2234" i="6"/>
  <c r="F2234" i="6"/>
  <c r="G2233" i="6"/>
  <c r="F2233" i="6"/>
  <c r="G2232" i="6"/>
  <c r="F2232" i="6"/>
  <c r="G2231" i="6"/>
  <c r="F2231" i="6"/>
  <c r="G2230" i="6"/>
  <c r="F2230" i="6"/>
  <c r="G2229" i="6"/>
  <c r="F2229" i="6"/>
  <c r="G2228" i="6"/>
  <c r="F2228" i="6"/>
  <c r="G2227" i="6"/>
  <c r="F2227" i="6"/>
  <c r="G2226" i="6"/>
  <c r="F2226" i="6"/>
  <c r="G2225" i="6"/>
  <c r="F2225" i="6"/>
  <c r="G2224" i="6"/>
  <c r="F2224" i="6"/>
  <c r="G2223" i="6"/>
  <c r="F2223" i="6"/>
  <c r="G2222" i="6"/>
  <c r="F2222" i="6"/>
  <c r="G2221" i="6"/>
  <c r="F2221" i="6"/>
  <c r="G2220" i="6"/>
  <c r="F2220" i="6"/>
  <c r="G2219" i="6"/>
  <c r="F2219" i="6"/>
  <c r="G2218" i="6"/>
  <c r="F2218" i="6"/>
  <c r="G2217" i="6"/>
  <c r="F2217" i="6"/>
  <c r="G2216" i="6"/>
  <c r="F2216" i="6"/>
  <c r="G2215" i="6"/>
  <c r="F2215" i="6"/>
  <c r="G2214" i="6"/>
  <c r="F2214" i="6"/>
  <c r="G2213" i="6"/>
  <c r="F2213" i="6"/>
  <c r="G2212" i="6"/>
  <c r="F2212" i="6"/>
  <c r="G2211" i="6"/>
  <c r="F2211" i="6"/>
  <c r="G2210" i="6"/>
  <c r="F2210" i="6"/>
  <c r="G2209" i="6"/>
  <c r="F2209" i="6"/>
  <c r="G2208" i="6"/>
  <c r="F2208" i="6"/>
  <c r="G2207" i="6"/>
  <c r="F2207" i="6"/>
  <c r="G2206" i="6"/>
  <c r="F2206" i="6"/>
  <c r="G2205" i="6"/>
  <c r="F2205" i="6"/>
  <c r="G2204" i="6"/>
  <c r="F2204" i="6"/>
  <c r="G2203" i="6"/>
  <c r="F2203" i="6"/>
  <c r="G2202" i="6"/>
  <c r="F2202" i="6"/>
  <c r="G2201" i="6"/>
  <c r="F2201" i="6"/>
  <c r="G2200" i="6"/>
  <c r="F2200" i="6"/>
  <c r="G2199" i="6"/>
  <c r="F2199" i="6"/>
  <c r="G2198" i="6"/>
  <c r="F2198" i="6"/>
  <c r="G2197" i="6"/>
  <c r="F2197" i="6"/>
  <c r="G2196" i="6"/>
  <c r="F2196" i="6"/>
  <c r="G2195" i="6"/>
  <c r="F2195" i="6"/>
  <c r="G2194" i="6"/>
  <c r="F2194" i="6"/>
  <c r="G2193" i="6"/>
  <c r="F2193" i="6"/>
  <c r="G2192" i="6"/>
  <c r="F2192" i="6"/>
  <c r="G2191" i="6"/>
  <c r="F2191" i="6"/>
  <c r="G2190" i="6"/>
  <c r="F2190" i="6"/>
  <c r="G2189" i="6"/>
  <c r="F2189" i="6"/>
  <c r="G2188" i="6"/>
  <c r="F2188" i="6"/>
  <c r="G2187" i="6"/>
  <c r="F2187" i="6"/>
  <c r="G2186" i="6"/>
  <c r="F2186" i="6"/>
  <c r="G2185" i="6"/>
  <c r="F2185" i="6"/>
  <c r="G2184" i="6"/>
  <c r="F2184" i="6"/>
  <c r="G2183" i="6"/>
  <c r="F2183" i="6"/>
  <c r="G2182" i="6"/>
  <c r="F2182" i="6"/>
  <c r="G2181" i="6"/>
  <c r="F2181" i="6"/>
  <c r="G2180" i="6"/>
  <c r="F2180" i="6"/>
  <c r="G2179" i="6"/>
  <c r="F2179" i="6"/>
  <c r="G2178" i="6"/>
  <c r="F2178" i="6"/>
  <c r="G2177" i="6"/>
  <c r="F2177" i="6"/>
  <c r="G2176" i="6"/>
  <c r="F2176" i="6"/>
  <c r="G2175" i="6"/>
  <c r="F2175" i="6"/>
  <c r="G2174" i="6"/>
  <c r="F2174" i="6"/>
  <c r="G2173" i="6"/>
  <c r="F2173" i="6"/>
  <c r="G2172" i="6"/>
  <c r="F2172" i="6"/>
  <c r="G2171" i="6"/>
  <c r="F2171" i="6"/>
  <c r="G2170" i="6"/>
  <c r="F2170" i="6"/>
  <c r="G2169" i="6"/>
  <c r="F2169" i="6"/>
  <c r="G2168" i="6"/>
  <c r="F2168" i="6"/>
  <c r="G2167" i="6"/>
  <c r="F2167" i="6"/>
  <c r="G2166" i="6"/>
  <c r="F2166" i="6"/>
  <c r="G2165" i="6"/>
  <c r="F2165" i="6"/>
  <c r="G2164" i="6"/>
  <c r="F2164" i="6"/>
  <c r="G2163" i="6"/>
  <c r="F2163" i="6"/>
  <c r="G2162" i="6"/>
  <c r="F2162" i="6"/>
  <c r="G2161" i="6"/>
  <c r="F2161" i="6"/>
  <c r="G2160" i="6"/>
  <c r="F2160" i="6"/>
  <c r="G2159" i="6"/>
  <c r="F2159" i="6"/>
  <c r="G2158" i="6"/>
  <c r="F2158" i="6"/>
  <c r="G2157" i="6"/>
  <c r="F2157" i="6"/>
  <c r="G2156" i="6"/>
  <c r="F2156" i="6"/>
  <c r="G2155" i="6"/>
  <c r="F2155" i="6"/>
  <c r="G2154" i="6"/>
  <c r="F2154" i="6"/>
  <c r="G2153" i="6"/>
  <c r="F2153" i="6"/>
  <c r="G2152" i="6"/>
  <c r="F2152" i="6"/>
  <c r="G2151" i="6"/>
  <c r="F2151" i="6"/>
  <c r="G2150" i="6"/>
  <c r="F2150" i="6"/>
  <c r="G2149" i="6"/>
  <c r="F2149" i="6"/>
  <c r="G2148" i="6"/>
  <c r="F2148" i="6"/>
  <c r="G2147" i="6"/>
  <c r="F2147" i="6"/>
  <c r="G2146" i="6"/>
  <c r="F2146" i="6"/>
  <c r="G2145" i="6"/>
  <c r="F2145" i="6"/>
  <c r="G2144" i="6"/>
  <c r="F2144" i="6"/>
  <c r="G2143" i="6"/>
  <c r="F2143" i="6"/>
  <c r="G2142" i="6"/>
  <c r="F2142" i="6"/>
  <c r="G2141" i="6"/>
  <c r="F2141" i="6"/>
  <c r="G2140" i="6"/>
  <c r="F2140" i="6"/>
  <c r="G2139" i="6"/>
  <c r="F2139" i="6"/>
  <c r="G2138" i="6"/>
  <c r="F2138" i="6"/>
  <c r="G2137" i="6"/>
  <c r="F2137" i="6"/>
  <c r="G2136" i="6"/>
  <c r="F2136" i="6"/>
  <c r="G2135" i="6"/>
  <c r="F2135" i="6"/>
  <c r="G2134" i="6"/>
  <c r="F2134" i="6"/>
  <c r="G2133" i="6"/>
  <c r="F2133" i="6"/>
  <c r="G2132" i="6"/>
  <c r="F2132" i="6"/>
  <c r="G2131" i="6"/>
  <c r="F2131" i="6"/>
  <c r="G2130" i="6"/>
  <c r="F2130" i="6"/>
  <c r="G2129" i="6"/>
  <c r="F2129" i="6"/>
  <c r="G2128" i="6"/>
  <c r="F2128" i="6"/>
  <c r="G2127" i="6"/>
  <c r="F2127" i="6"/>
  <c r="G2126" i="6"/>
  <c r="F2126" i="6"/>
  <c r="G2125" i="6"/>
  <c r="F2125" i="6"/>
  <c r="G2124" i="6"/>
  <c r="F2124" i="6"/>
  <c r="G2123" i="6"/>
  <c r="F2123" i="6"/>
  <c r="G2122" i="6"/>
  <c r="F2122" i="6"/>
  <c r="G2121" i="6"/>
  <c r="F2121" i="6"/>
  <c r="G2120" i="6"/>
  <c r="F2120" i="6"/>
  <c r="G2119" i="6"/>
  <c r="F2119" i="6"/>
  <c r="G2118" i="6"/>
  <c r="F2118" i="6"/>
  <c r="G2117" i="6"/>
  <c r="F2117" i="6"/>
  <c r="G2116" i="6"/>
  <c r="F2116" i="6"/>
  <c r="G2115" i="6"/>
  <c r="F2115" i="6"/>
  <c r="G2114" i="6"/>
  <c r="F2114" i="6"/>
  <c r="G2113" i="6"/>
  <c r="F2113" i="6"/>
  <c r="G2112" i="6"/>
  <c r="F2112" i="6"/>
  <c r="G2111" i="6"/>
  <c r="F2111" i="6"/>
  <c r="G2110" i="6"/>
  <c r="F2110" i="6"/>
  <c r="G2109" i="6"/>
  <c r="F2109" i="6"/>
  <c r="G2108" i="6"/>
  <c r="F2108" i="6"/>
  <c r="G2107" i="6"/>
  <c r="F2107" i="6"/>
  <c r="G2106" i="6"/>
  <c r="F2106" i="6"/>
  <c r="G2105" i="6"/>
  <c r="F2105" i="6"/>
  <c r="G2104" i="6"/>
  <c r="F2104" i="6"/>
  <c r="G2103" i="6"/>
  <c r="F2103" i="6"/>
  <c r="G2102" i="6"/>
  <c r="F2102" i="6"/>
  <c r="G2101" i="6"/>
  <c r="F2101" i="6"/>
  <c r="G2100" i="6"/>
  <c r="F2100" i="6"/>
  <c r="G2099" i="6"/>
  <c r="F2099" i="6"/>
  <c r="G2098" i="6"/>
  <c r="F2098" i="6"/>
  <c r="G2097" i="6"/>
  <c r="F2097" i="6"/>
  <c r="G2096" i="6"/>
  <c r="F2096" i="6"/>
  <c r="G2095" i="6"/>
  <c r="F2095" i="6"/>
  <c r="G2094" i="6"/>
  <c r="F2094" i="6"/>
  <c r="G2093" i="6"/>
  <c r="F2093" i="6"/>
  <c r="G2092" i="6"/>
  <c r="F2092" i="6"/>
  <c r="G2091" i="6"/>
  <c r="F2091" i="6"/>
  <c r="G2090" i="6"/>
  <c r="F2090" i="6"/>
  <c r="G2089" i="6"/>
  <c r="F2089" i="6"/>
  <c r="G2088" i="6"/>
  <c r="F2088" i="6"/>
  <c r="G2087" i="6"/>
  <c r="F2087" i="6"/>
  <c r="G2086" i="6"/>
  <c r="F2086" i="6"/>
  <c r="G2085" i="6"/>
  <c r="F2085" i="6"/>
  <c r="G2084" i="6"/>
  <c r="F2084" i="6"/>
  <c r="G2083" i="6"/>
  <c r="F2083" i="6"/>
  <c r="G2082" i="6"/>
  <c r="F2082" i="6"/>
  <c r="G2081" i="6"/>
  <c r="F2081" i="6"/>
  <c r="G2080" i="6"/>
  <c r="F2080" i="6"/>
  <c r="G2079" i="6"/>
  <c r="F2079" i="6"/>
  <c r="G2078" i="6"/>
  <c r="F2078" i="6"/>
  <c r="G2077" i="6"/>
  <c r="F2077" i="6"/>
  <c r="G2076" i="6"/>
  <c r="F2076" i="6"/>
  <c r="G2075" i="6"/>
  <c r="F2075" i="6"/>
  <c r="G2074" i="6"/>
  <c r="F2074" i="6"/>
  <c r="G2073" i="6"/>
  <c r="F2073" i="6"/>
  <c r="G2072" i="6"/>
  <c r="F2072" i="6"/>
  <c r="G2071" i="6"/>
  <c r="F2071" i="6"/>
  <c r="G2070" i="6"/>
  <c r="F2070" i="6"/>
  <c r="G2069" i="6"/>
  <c r="F2069" i="6"/>
  <c r="G2068" i="6"/>
  <c r="F2068" i="6"/>
  <c r="G2067" i="6"/>
  <c r="F2067" i="6"/>
  <c r="G2066" i="6"/>
  <c r="F2066" i="6"/>
  <c r="G2065" i="6"/>
  <c r="F2065" i="6"/>
  <c r="G2064" i="6"/>
  <c r="F2064" i="6"/>
  <c r="G2063" i="6"/>
  <c r="F2063" i="6"/>
  <c r="G2062" i="6"/>
  <c r="F2062" i="6"/>
  <c r="G2061" i="6"/>
  <c r="F2061" i="6"/>
  <c r="G2060" i="6"/>
  <c r="F2060" i="6"/>
  <c r="G2059" i="6"/>
  <c r="F2059" i="6"/>
  <c r="G2058" i="6"/>
  <c r="F2058" i="6"/>
  <c r="G2057" i="6"/>
  <c r="F2057" i="6"/>
  <c r="G2056" i="6"/>
  <c r="F2056" i="6"/>
  <c r="G2055" i="6"/>
  <c r="F2055" i="6"/>
  <c r="G2054" i="6"/>
  <c r="F2054" i="6"/>
  <c r="G2053" i="6"/>
  <c r="F2053" i="6"/>
  <c r="G2052" i="6"/>
  <c r="F2052" i="6"/>
  <c r="G2051" i="6"/>
  <c r="F2051" i="6"/>
  <c r="G2050" i="6"/>
  <c r="F2050" i="6"/>
  <c r="G2049" i="6"/>
  <c r="F2049" i="6"/>
  <c r="G2048" i="6"/>
  <c r="F2048" i="6"/>
  <c r="G2047" i="6"/>
  <c r="F2047" i="6"/>
  <c r="G2046" i="6"/>
  <c r="F2046" i="6"/>
  <c r="G2045" i="6"/>
  <c r="F2045" i="6"/>
  <c r="G2044" i="6"/>
  <c r="F2044" i="6"/>
  <c r="G2043" i="6"/>
  <c r="F2043" i="6"/>
  <c r="G2042" i="6"/>
  <c r="F2042" i="6"/>
  <c r="G2041" i="6"/>
  <c r="F2041" i="6"/>
  <c r="G2040" i="6"/>
  <c r="F2040" i="6"/>
  <c r="G2039" i="6"/>
  <c r="F2039" i="6"/>
  <c r="G2038" i="6"/>
  <c r="F2038" i="6"/>
  <c r="G2037" i="6"/>
  <c r="F2037" i="6"/>
  <c r="G2036" i="6"/>
  <c r="F2036" i="6"/>
  <c r="G2035" i="6"/>
  <c r="F2035" i="6"/>
  <c r="G2034" i="6"/>
  <c r="F2034" i="6"/>
  <c r="G2033" i="6"/>
  <c r="F2033" i="6"/>
  <c r="G2032" i="6"/>
  <c r="F2032" i="6"/>
  <c r="G2031" i="6"/>
  <c r="F2031" i="6"/>
  <c r="G2030" i="6"/>
  <c r="F2030" i="6"/>
  <c r="G2029" i="6"/>
  <c r="F2029" i="6"/>
  <c r="G2028" i="6"/>
  <c r="F2028" i="6"/>
  <c r="G2027" i="6"/>
  <c r="F2027" i="6"/>
  <c r="G2026" i="6"/>
  <c r="F2026" i="6"/>
  <c r="G2025" i="6"/>
  <c r="F2025" i="6"/>
  <c r="G2024" i="6"/>
  <c r="F2024" i="6"/>
  <c r="G2023" i="6"/>
  <c r="F2023" i="6"/>
  <c r="G2022" i="6"/>
  <c r="F2022" i="6"/>
  <c r="G2021" i="6"/>
  <c r="F2021" i="6"/>
  <c r="G2020" i="6"/>
  <c r="F2020" i="6"/>
  <c r="G2019" i="6"/>
  <c r="F2019" i="6"/>
  <c r="G2018" i="6"/>
  <c r="F2018" i="6"/>
  <c r="G2017" i="6"/>
  <c r="F2017" i="6"/>
  <c r="G2016" i="6"/>
  <c r="F2016" i="6"/>
  <c r="G2015" i="6"/>
  <c r="F2015" i="6"/>
  <c r="G2014" i="6"/>
  <c r="F2014" i="6"/>
  <c r="G2013" i="6"/>
  <c r="F2013" i="6"/>
  <c r="G2012" i="6"/>
  <c r="F2012" i="6"/>
  <c r="G2011" i="6"/>
  <c r="F2011" i="6"/>
  <c r="G2010" i="6"/>
  <c r="F2010" i="6"/>
  <c r="G2009" i="6"/>
  <c r="F2009" i="6"/>
  <c r="G2008" i="6"/>
  <c r="F2008" i="6"/>
  <c r="G2007" i="6"/>
  <c r="F2007" i="6"/>
  <c r="G2006" i="6"/>
  <c r="F2006" i="6"/>
  <c r="G2005" i="6"/>
  <c r="F2005" i="6"/>
  <c r="G2004" i="6"/>
  <c r="F2004" i="6"/>
  <c r="G2003" i="6"/>
  <c r="F2003" i="6"/>
  <c r="G2002" i="6"/>
  <c r="F2002" i="6"/>
  <c r="G2001" i="6"/>
  <c r="F2001" i="6"/>
  <c r="G2000" i="6"/>
  <c r="F2000" i="6"/>
  <c r="G1999" i="6"/>
  <c r="F1999" i="6"/>
  <c r="G1998" i="6"/>
  <c r="F1998" i="6"/>
  <c r="G1997" i="6"/>
  <c r="F1997" i="6"/>
  <c r="G1996" i="6"/>
  <c r="F1996" i="6"/>
  <c r="G1995" i="6"/>
  <c r="F1995" i="6"/>
  <c r="G1994" i="6"/>
  <c r="F1994" i="6"/>
  <c r="G1993" i="6"/>
  <c r="F1993" i="6"/>
  <c r="G1992" i="6"/>
  <c r="F1992" i="6"/>
  <c r="G1991" i="6"/>
  <c r="F1991" i="6"/>
  <c r="G1990" i="6"/>
  <c r="F1990" i="6"/>
  <c r="G1989" i="6"/>
  <c r="F1989" i="6"/>
  <c r="G1988" i="6"/>
  <c r="F1988" i="6"/>
  <c r="G1987" i="6"/>
  <c r="F1987" i="6"/>
  <c r="G1986" i="6"/>
  <c r="F1986" i="6"/>
  <c r="G1985" i="6"/>
  <c r="F1985" i="6"/>
  <c r="G1984" i="6"/>
  <c r="F1984" i="6"/>
  <c r="G1983" i="6"/>
  <c r="F1983" i="6"/>
  <c r="G1982" i="6"/>
  <c r="F1982" i="6"/>
  <c r="G1981" i="6"/>
  <c r="F1981" i="6"/>
  <c r="G1980" i="6"/>
  <c r="F1980" i="6"/>
  <c r="G1979" i="6"/>
  <c r="F1979" i="6"/>
  <c r="G1978" i="6"/>
  <c r="F1978" i="6"/>
  <c r="G1977" i="6"/>
  <c r="F1977" i="6"/>
  <c r="G1976" i="6"/>
  <c r="F1976" i="6"/>
  <c r="G1975" i="6"/>
  <c r="F1975" i="6"/>
  <c r="G1974" i="6"/>
  <c r="F1974" i="6"/>
  <c r="G1973" i="6"/>
  <c r="F1973" i="6"/>
  <c r="G1972" i="6"/>
  <c r="F1972" i="6"/>
  <c r="G1971" i="6"/>
  <c r="F1971" i="6"/>
  <c r="G1970" i="6"/>
  <c r="F1970" i="6"/>
  <c r="G1969" i="6"/>
  <c r="F1969" i="6"/>
  <c r="G1968" i="6"/>
  <c r="F1968" i="6"/>
  <c r="G1967" i="6"/>
  <c r="F1967" i="6"/>
  <c r="G1966" i="6"/>
  <c r="F1966" i="6"/>
  <c r="G1965" i="6"/>
  <c r="F1965" i="6"/>
  <c r="G1964" i="6"/>
  <c r="F1964" i="6"/>
  <c r="G1963" i="6"/>
  <c r="F1963" i="6"/>
  <c r="G1962" i="6"/>
  <c r="F1962" i="6"/>
  <c r="G1961" i="6"/>
  <c r="F1961" i="6"/>
  <c r="G1960" i="6"/>
  <c r="F1960" i="6"/>
  <c r="G1959" i="6"/>
  <c r="F1959" i="6"/>
  <c r="G1958" i="6"/>
  <c r="F1958" i="6"/>
  <c r="G1957" i="6"/>
  <c r="F1957" i="6"/>
  <c r="G1956" i="6"/>
  <c r="F1956" i="6"/>
  <c r="G1955" i="6"/>
  <c r="F1955" i="6"/>
  <c r="G1954" i="6"/>
  <c r="F1954" i="6"/>
  <c r="G1953" i="6"/>
  <c r="F1953" i="6"/>
  <c r="G1952" i="6"/>
  <c r="F1952" i="6"/>
  <c r="G1951" i="6"/>
  <c r="F1951" i="6"/>
  <c r="G1950" i="6"/>
  <c r="F1950" i="6"/>
  <c r="G1949" i="6"/>
  <c r="F1949" i="6"/>
  <c r="G1948" i="6"/>
  <c r="F1948" i="6"/>
  <c r="G1947" i="6"/>
  <c r="F1947" i="6"/>
  <c r="G1946" i="6"/>
  <c r="F1946" i="6"/>
  <c r="G1945" i="6"/>
  <c r="F1945" i="6"/>
  <c r="G1944" i="6"/>
  <c r="F1944" i="6"/>
  <c r="G1943" i="6"/>
  <c r="F1943" i="6"/>
  <c r="G1942" i="6"/>
  <c r="F1942" i="6"/>
  <c r="G1941" i="6"/>
  <c r="F1941" i="6"/>
  <c r="G1940" i="6"/>
  <c r="F1940" i="6"/>
  <c r="G1939" i="6"/>
  <c r="F1939" i="6"/>
  <c r="G1938" i="6"/>
  <c r="F1938" i="6"/>
  <c r="G1937" i="6"/>
  <c r="F1937" i="6"/>
  <c r="G1936" i="6"/>
  <c r="F1936" i="6"/>
  <c r="G1935" i="6"/>
  <c r="F1935" i="6"/>
  <c r="G1934" i="6"/>
  <c r="F1934" i="6"/>
  <c r="G1933" i="6"/>
  <c r="F1933" i="6"/>
  <c r="G1932" i="6"/>
  <c r="F1932" i="6"/>
  <c r="G1931" i="6"/>
  <c r="F1931" i="6"/>
  <c r="G1930" i="6"/>
  <c r="F1930" i="6"/>
  <c r="G1929" i="6"/>
  <c r="F1929" i="6"/>
  <c r="G1928" i="6"/>
  <c r="F1928" i="6"/>
  <c r="G1927" i="6"/>
  <c r="F1927" i="6"/>
  <c r="G1926" i="6"/>
  <c r="F1926" i="6"/>
  <c r="G1925" i="6"/>
  <c r="F1925" i="6"/>
  <c r="G1924" i="6"/>
  <c r="F1924" i="6"/>
  <c r="G1923" i="6"/>
  <c r="F1923" i="6"/>
  <c r="G1922" i="6"/>
  <c r="F1922" i="6"/>
  <c r="G1921" i="6"/>
  <c r="F1921" i="6"/>
  <c r="G1920" i="6"/>
  <c r="F1920" i="6"/>
  <c r="G1919" i="6"/>
  <c r="F1919" i="6"/>
  <c r="G1918" i="6"/>
  <c r="F1918" i="6"/>
  <c r="G1917" i="6"/>
  <c r="F1917" i="6"/>
  <c r="G1916" i="6"/>
  <c r="F1916" i="6"/>
  <c r="G1915" i="6"/>
  <c r="F1915" i="6"/>
  <c r="G1914" i="6"/>
  <c r="F1914" i="6"/>
  <c r="G1913" i="6"/>
  <c r="F1913" i="6"/>
  <c r="G1912" i="6"/>
  <c r="F1912" i="6"/>
  <c r="G1911" i="6"/>
  <c r="F1911" i="6"/>
  <c r="G1910" i="6"/>
  <c r="F1910" i="6"/>
  <c r="G1909" i="6"/>
  <c r="F1909" i="6"/>
  <c r="G1908" i="6"/>
  <c r="F1908" i="6"/>
  <c r="G1907" i="6"/>
  <c r="F1907" i="6"/>
  <c r="G1906" i="6"/>
  <c r="F1906" i="6"/>
  <c r="G1905" i="6"/>
  <c r="F1905" i="6"/>
  <c r="G1904" i="6"/>
  <c r="F1904" i="6"/>
  <c r="G1903" i="6"/>
  <c r="F1903" i="6"/>
  <c r="G1902" i="6"/>
  <c r="F1902" i="6"/>
  <c r="G1901" i="6"/>
  <c r="F1901" i="6"/>
  <c r="G1900" i="6"/>
  <c r="F1900" i="6"/>
  <c r="G1899" i="6"/>
  <c r="F1899" i="6"/>
  <c r="G1898" i="6"/>
  <c r="F1898" i="6"/>
  <c r="G1897" i="6"/>
  <c r="F1897" i="6"/>
  <c r="G1896" i="6"/>
  <c r="F1896" i="6"/>
  <c r="G1895" i="6"/>
  <c r="F1895" i="6"/>
  <c r="G1894" i="6"/>
  <c r="F1894" i="6"/>
  <c r="G1893" i="6"/>
  <c r="F1893" i="6"/>
  <c r="G1892" i="6"/>
  <c r="F1892" i="6"/>
  <c r="G1891" i="6"/>
  <c r="F1891" i="6"/>
  <c r="G1890" i="6"/>
  <c r="F1890" i="6"/>
  <c r="G1889" i="6"/>
  <c r="F1889" i="6"/>
  <c r="G1888" i="6"/>
  <c r="F1888" i="6"/>
  <c r="G1887" i="6"/>
  <c r="F1887" i="6"/>
  <c r="G1886" i="6"/>
  <c r="F1886" i="6"/>
  <c r="G1885" i="6"/>
  <c r="F1885" i="6"/>
  <c r="G1884" i="6"/>
  <c r="F1884" i="6"/>
  <c r="G1883" i="6"/>
  <c r="F1883" i="6"/>
  <c r="G1882" i="6"/>
  <c r="F1882" i="6"/>
  <c r="G1881" i="6"/>
  <c r="F1881" i="6"/>
  <c r="G1880" i="6"/>
  <c r="F1880" i="6"/>
  <c r="G1879" i="6"/>
  <c r="F1879" i="6"/>
  <c r="G1878" i="6"/>
  <c r="F1878" i="6"/>
  <c r="G1877" i="6"/>
  <c r="F1877" i="6"/>
  <c r="G1876" i="6"/>
  <c r="F1876" i="6"/>
  <c r="G1875" i="6"/>
  <c r="F1875" i="6"/>
  <c r="G1874" i="6"/>
  <c r="F1874" i="6"/>
  <c r="G1873" i="6"/>
  <c r="F1873" i="6"/>
  <c r="G1872" i="6"/>
  <c r="F1872" i="6"/>
  <c r="G1871" i="6"/>
  <c r="F1871" i="6"/>
  <c r="G1870" i="6"/>
  <c r="F1870" i="6"/>
  <c r="G1869" i="6"/>
  <c r="F1869" i="6"/>
  <c r="G1868" i="6"/>
  <c r="F1868" i="6"/>
  <c r="G1867" i="6"/>
  <c r="F1867" i="6"/>
  <c r="G1866" i="6"/>
  <c r="F1866" i="6"/>
  <c r="G1865" i="6"/>
  <c r="F1865" i="6"/>
  <c r="G1864" i="6"/>
  <c r="F1864" i="6"/>
  <c r="G1863" i="6"/>
  <c r="F1863" i="6"/>
  <c r="G1862" i="6"/>
  <c r="F1862" i="6"/>
  <c r="G1861" i="6"/>
  <c r="F1861" i="6"/>
  <c r="G1860" i="6"/>
  <c r="F1860" i="6"/>
  <c r="G1859" i="6"/>
  <c r="F1859" i="6"/>
  <c r="G1858" i="6"/>
  <c r="F1858" i="6"/>
  <c r="G1857" i="6"/>
  <c r="F1857" i="6"/>
  <c r="G1856" i="6"/>
  <c r="F1856" i="6"/>
  <c r="G1855" i="6"/>
  <c r="F1855" i="6"/>
  <c r="G1854" i="6"/>
  <c r="F1854" i="6"/>
  <c r="G1853" i="6"/>
  <c r="F1853" i="6"/>
  <c r="G1852" i="6"/>
  <c r="F1852" i="6"/>
  <c r="G1851" i="6"/>
  <c r="F1851" i="6"/>
  <c r="G1850" i="6"/>
  <c r="F1850" i="6"/>
  <c r="G1849" i="6"/>
  <c r="F1849" i="6"/>
  <c r="G1848" i="6"/>
  <c r="F1848" i="6"/>
  <c r="G1847" i="6"/>
  <c r="F1847" i="6"/>
  <c r="G1846" i="6"/>
  <c r="F1846" i="6"/>
  <c r="G1845" i="6"/>
  <c r="F1845" i="6"/>
  <c r="G1844" i="6"/>
  <c r="F1844" i="6"/>
  <c r="G1843" i="6"/>
  <c r="F1843" i="6"/>
  <c r="G1842" i="6"/>
  <c r="F1842" i="6"/>
  <c r="G1841" i="6"/>
  <c r="F1841" i="6"/>
  <c r="G1840" i="6"/>
  <c r="F1840" i="6"/>
  <c r="G1839" i="6"/>
  <c r="F1839" i="6"/>
  <c r="G1838" i="6"/>
  <c r="F1838" i="6"/>
  <c r="G1837" i="6"/>
  <c r="F1837" i="6"/>
  <c r="G1836" i="6"/>
  <c r="F1836" i="6"/>
  <c r="G1835" i="6"/>
  <c r="F1835" i="6"/>
  <c r="G1834" i="6"/>
  <c r="F1834" i="6"/>
  <c r="G1833" i="6"/>
  <c r="F1833" i="6"/>
  <c r="G1832" i="6"/>
  <c r="F1832" i="6"/>
  <c r="G1831" i="6"/>
  <c r="F1831" i="6"/>
  <c r="G1830" i="6"/>
  <c r="F1830" i="6"/>
  <c r="G1829" i="6"/>
  <c r="F1829" i="6"/>
  <c r="G1828" i="6"/>
  <c r="F1828" i="6"/>
  <c r="G1827" i="6"/>
  <c r="F1827" i="6"/>
  <c r="G1826" i="6"/>
  <c r="F1826" i="6"/>
  <c r="G1825" i="6"/>
  <c r="F1825" i="6"/>
  <c r="G1824" i="6"/>
  <c r="F1824" i="6"/>
  <c r="G1823" i="6"/>
  <c r="F1823" i="6"/>
  <c r="G1822" i="6"/>
  <c r="F1822" i="6"/>
  <c r="G1821" i="6"/>
  <c r="F1821" i="6"/>
  <c r="G1820" i="6"/>
  <c r="F1820" i="6"/>
  <c r="G1819" i="6"/>
  <c r="F1819" i="6"/>
  <c r="G1818" i="6"/>
  <c r="F1818" i="6"/>
  <c r="G1817" i="6"/>
  <c r="F1817" i="6"/>
  <c r="G1816" i="6"/>
  <c r="F1816" i="6"/>
  <c r="G1815" i="6"/>
  <c r="F1815" i="6"/>
  <c r="G1814" i="6"/>
  <c r="F1814" i="6"/>
  <c r="G1813" i="6"/>
  <c r="F1813" i="6"/>
  <c r="G1812" i="6"/>
  <c r="F1812" i="6"/>
  <c r="G1811" i="6"/>
  <c r="F1811" i="6"/>
  <c r="G1810" i="6"/>
  <c r="F1810" i="6"/>
  <c r="G1809" i="6"/>
  <c r="F1809" i="6"/>
  <c r="G1808" i="6"/>
  <c r="F1808" i="6"/>
  <c r="G1807" i="6"/>
  <c r="F1807" i="6"/>
  <c r="G1806" i="6"/>
  <c r="F1806" i="6"/>
  <c r="G1805" i="6"/>
  <c r="F1805" i="6"/>
  <c r="G1804" i="6"/>
  <c r="F1804" i="6"/>
  <c r="G1803" i="6"/>
  <c r="F1803" i="6"/>
  <c r="G1802" i="6"/>
  <c r="F1802" i="6"/>
  <c r="G1801" i="6"/>
  <c r="F1801" i="6"/>
  <c r="G1800" i="6"/>
  <c r="F1800" i="6"/>
  <c r="G1799" i="6"/>
  <c r="F1799" i="6"/>
  <c r="G1798" i="6"/>
  <c r="F1798" i="6"/>
  <c r="G1797" i="6"/>
  <c r="F1797" i="6"/>
  <c r="G1796" i="6"/>
  <c r="F1796" i="6"/>
  <c r="G1795" i="6"/>
  <c r="F1795" i="6"/>
  <c r="G1794" i="6"/>
  <c r="F1794" i="6"/>
  <c r="G1793" i="6"/>
  <c r="F1793" i="6"/>
  <c r="G1792" i="6"/>
  <c r="F1792" i="6"/>
  <c r="G1791" i="6"/>
  <c r="F1791" i="6"/>
  <c r="G1790" i="6"/>
  <c r="F1790" i="6"/>
  <c r="G1789" i="6"/>
  <c r="F1789" i="6"/>
  <c r="G1788" i="6"/>
  <c r="F1788" i="6"/>
  <c r="G1787" i="6"/>
  <c r="F1787" i="6"/>
  <c r="G1786" i="6"/>
  <c r="F1786" i="6"/>
  <c r="G1785" i="6"/>
  <c r="F1785" i="6"/>
  <c r="G1784" i="6"/>
  <c r="F1784" i="6"/>
  <c r="G1783" i="6"/>
  <c r="F1783" i="6"/>
  <c r="G1782" i="6"/>
  <c r="F1782" i="6"/>
  <c r="G1781" i="6"/>
  <c r="F1781" i="6"/>
  <c r="G1780" i="6"/>
  <c r="F1780" i="6"/>
  <c r="G1779" i="6"/>
  <c r="F1779" i="6"/>
  <c r="G1778" i="6"/>
  <c r="F1778" i="6"/>
  <c r="G1777" i="6"/>
  <c r="F1777" i="6"/>
  <c r="G1776" i="6"/>
  <c r="F1776" i="6"/>
  <c r="G1775" i="6"/>
  <c r="F1775" i="6"/>
  <c r="G1774" i="6"/>
  <c r="F1774" i="6"/>
  <c r="G1773" i="6"/>
  <c r="F1773" i="6"/>
  <c r="G1772" i="6"/>
  <c r="F1772" i="6"/>
  <c r="G1771" i="6"/>
  <c r="F1771" i="6"/>
  <c r="G1770" i="6"/>
  <c r="F1770" i="6"/>
  <c r="G1769" i="6"/>
  <c r="F1769" i="6"/>
  <c r="G1768" i="6"/>
  <c r="F1768" i="6"/>
  <c r="G1767" i="6"/>
  <c r="F1767" i="6"/>
  <c r="G1766" i="6"/>
  <c r="F1766" i="6"/>
  <c r="G1765" i="6"/>
  <c r="F1765" i="6"/>
  <c r="G1764" i="6"/>
  <c r="F1764" i="6"/>
  <c r="G1763" i="6"/>
  <c r="F1763" i="6"/>
  <c r="G1762" i="6"/>
  <c r="F1762" i="6"/>
  <c r="G1761" i="6"/>
  <c r="F1761" i="6"/>
  <c r="G1760" i="6"/>
  <c r="F1760" i="6"/>
  <c r="G1759" i="6"/>
  <c r="F1759" i="6"/>
  <c r="G1758" i="6"/>
  <c r="F1758" i="6"/>
  <c r="G1757" i="6"/>
  <c r="F1757" i="6"/>
  <c r="G1756" i="6"/>
  <c r="F1756" i="6"/>
  <c r="G1755" i="6"/>
  <c r="F1755" i="6"/>
  <c r="G1754" i="6"/>
  <c r="F1754" i="6"/>
  <c r="G1753" i="6"/>
  <c r="F1753" i="6"/>
  <c r="G1752" i="6"/>
  <c r="F1752" i="6"/>
  <c r="G1751" i="6"/>
  <c r="F1751" i="6"/>
  <c r="G1750" i="6"/>
  <c r="F1750" i="6"/>
  <c r="G1749" i="6"/>
  <c r="F1749" i="6"/>
  <c r="G1748" i="6"/>
  <c r="F1748" i="6"/>
  <c r="G1747" i="6"/>
  <c r="F1747" i="6"/>
  <c r="G1746" i="6"/>
  <c r="F1746" i="6"/>
  <c r="G1745" i="6"/>
  <c r="F1745" i="6"/>
  <c r="G1744" i="6"/>
  <c r="F1744" i="6"/>
  <c r="G1743" i="6"/>
  <c r="F1743" i="6"/>
  <c r="G1742" i="6"/>
  <c r="F1742" i="6"/>
  <c r="G1741" i="6"/>
  <c r="F1741" i="6"/>
  <c r="G1740" i="6"/>
  <c r="F1740" i="6"/>
  <c r="G1739" i="6"/>
  <c r="F1739" i="6"/>
  <c r="G1738" i="6"/>
  <c r="F1738" i="6"/>
  <c r="G1737" i="6"/>
  <c r="F1737" i="6"/>
  <c r="G1736" i="6"/>
  <c r="F1736" i="6"/>
  <c r="G1735" i="6"/>
  <c r="F1735" i="6"/>
  <c r="G1734" i="6"/>
  <c r="F1734" i="6"/>
  <c r="G1733" i="6"/>
  <c r="F1733" i="6"/>
  <c r="G1732" i="6"/>
  <c r="F1732" i="6"/>
  <c r="G1731" i="6"/>
  <c r="F1731" i="6"/>
  <c r="G1730" i="6"/>
  <c r="F1730" i="6"/>
  <c r="G1729" i="6"/>
  <c r="F1729" i="6"/>
  <c r="G1728" i="6"/>
  <c r="F1728" i="6"/>
  <c r="G1727" i="6"/>
  <c r="F1727" i="6"/>
  <c r="G1726" i="6"/>
  <c r="F1726" i="6"/>
  <c r="G1725" i="6"/>
  <c r="F1725" i="6"/>
  <c r="G1724" i="6"/>
  <c r="F1724" i="6"/>
  <c r="G1723" i="6"/>
  <c r="F1723" i="6"/>
  <c r="G1722" i="6"/>
  <c r="F1722" i="6"/>
  <c r="G1721" i="6"/>
  <c r="F1721" i="6"/>
  <c r="G1720" i="6"/>
  <c r="F1720" i="6"/>
  <c r="G1719" i="6"/>
  <c r="F1719" i="6"/>
  <c r="G1718" i="6"/>
  <c r="F1718" i="6"/>
  <c r="G1717" i="6"/>
  <c r="F1717" i="6"/>
  <c r="G1716" i="6"/>
  <c r="F1716" i="6"/>
  <c r="G1715" i="6"/>
  <c r="F1715" i="6"/>
  <c r="G1714" i="6"/>
  <c r="F1714" i="6"/>
  <c r="G1713" i="6"/>
  <c r="F1713" i="6"/>
  <c r="G1712" i="6"/>
  <c r="F1712" i="6"/>
  <c r="G1711" i="6"/>
  <c r="F1711" i="6"/>
  <c r="G1710" i="6"/>
  <c r="F1710" i="6"/>
  <c r="G1709" i="6"/>
  <c r="F1709" i="6"/>
  <c r="G1708" i="6"/>
  <c r="F1708" i="6"/>
  <c r="G1707" i="6"/>
  <c r="F1707" i="6"/>
  <c r="G1706" i="6"/>
  <c r="F1706" i="6"/>
  <c r="G1705" i="6"/>
  <c r="F1705" i="6"/>
  <c r="G1704" i="6"/>
  <c r="F1704" i="6"/>
  <c r="G1703" i="6"/>
  <c r="F1703" i="6"/>
  <c r="G1702" i="6"/>
  <c r="F1702" i="6"/>
  <c r="G1701" i="6"/>
  <c r="F1701" i="6"/>
  <c r="G1700" i="6"/>
  <c r="F1700" i="6"/>
  <c r="G1699" i="6"/>
  <c r="F1699" i="6"/>
  <c r="G1698" i="6"/>
  <c r="F1698" i="6"/>
  <c r="G1697" i="6"/>
  <c r="F1697" i="6"/>
  <c r="G1696" i="6"/>
  <c r="F1696" i="6"/>
  <c r="G1695" i="6"/>
  <c r="F1695" i="6"/>
  <c r="G1694" i="6"/>
  <c r="F1694" i="6"/>
  <c r="G1693" i="6"/>
  <c r="F1693" i="6"/>
  <c r="G1692" i="6"/>
  <c r="F1692" i="6"/>
  <c r="G1691" i="6"/>
  <c r="F1691" i="6"/>
  <c r="G1690" i="6"/>
  <c r="F1690" i="6"/>
  <c r="G1689" i="6"/>
  <c r="F1689" i="6"/>
  <c r="G1688" i="6"/>
  <c r="F1688" i="6"/>
  <c r="G1687" i="6"/>
  <c r="F1687" i="6"/>
  <c r="G1686" i="6"/>
  <c r="F1686" i="6"/>
  <c r="G1685" i="6"/>
  <c r="F1685" i="6"/>
  <c r="G1684" i="6"/>
  <c r="F1684" i="6"/>
  <c r="G1683" i="6"/>
  <c r="F1683" i="6"/>
  <c r="G1682" i="6"/>
  <c r="F1682" i="6"/>
  <c r="G1681" i="6"/>
  <c r="F1681" i="6"/>
  <c r="G1680" i="6"/>
  <c r="F1680" i="6"/>
  <c r="G1679" i="6"/>
  <c r="F1679" i="6"/>
  <c r="G1678" i="6"/>
  <c r="F1678" i="6"/>
  <c r="G1677" i="6"/>
  <c r="F1677" i="6"/>
  <c r="G1676" i="6"/>
  <c r="F1676" i="6"/>
  <c r="G1675" i="6"/>
  <c r="F1675" i="6"/>
  <c r="G1674" i="6"/>
  <c r="F1674" i="6"/>
  <c r="G1673" i="6"/>
  <c r="F1673" i="6"/>
  <c r="G1672" i="6"/>
  <c r="F1672" i="6"/>
  <c r="G1671" i="6"/>
  <c r="F1671" i="6"/>
  <c r="G1670" i="6"/>
  <c r="F1670" i="6"/>
  <c r="G1669" i="6"/>
  <c r="F1669" i="6"/>
  <c r="G1668" i="6"/>
  <c r="F1668" i="6"/>
  <c r="G1667" i="6"/>
  <c r="F1667" i="6"/>
  <c r="G1666" i="6"/>
  <c r="F1666" i="6"/>
  <c r="G1665" i="6"/>
  <c r="F1665" i="6"/>
  <c r="G1664" i="6"/>
  <c r="F1664" i="6"/>
  <c r="G1663" i="6"/>
  <c r="F1663" i="6"/>
  <c r="G1662" i="6"/>
  <c r="F1662" i="6"/>
  <c r="G1661" i="6"/>
  <c r="F1661" i="6"/>
  <c r="G1660" i="6"/>
  <c r="F1660" i="6"/>
  <c r="G1659" i="6"/>
  <c r="F1659" i="6"/>
  <c r="G1658" i="6"/>
  <c r="F1658" i="6"/>
  <c r="G1657" i="6"/>
  <c r="F1657" i="6"/>
  <c r="G1656" i="6"/>
  <c r="F1656" i="6"/>
  <c r="G1655" i="6"/>
  <c r="F1655" i="6"/>
  <c r="G1654" i="6"/>
  <c r="F1654" i="6"/>
  <c r="G1653" i="6"/>
  <c r="F1653" i="6"/>
  <c r="G1652" i="6"/>
  <c r="F1652" i="6"/>
  <c r="G1651" i="6"/>
  <c r="F1651" i="6"/>
  <c r="G1650" i="6"/>
  <c r="F1650" i="6"/>
  <c r="G1649" i="6"/>
  <c r="F1649" i="6"/>
  <c r="G1648" i="6"/>
  <c r="F1648" i="6"/>
  <c r="G1647" i="6"/>
  <c r="F1647" i="6"/>
  <c r="G1646" i="6"/>
  <c r="F1646" i="6"/>
  <c r="G1645" i="6"/>
  <c r="F1645" i="6"/>
  <c r="G1644" i="6"/>
  <c r="F1644" i="6"/>
  <c r="G1643" i="6"/>
  <c r="F1643" i="6"/>
  <c r="G1642" i="6"/>
  <c r="F1642" i="6"/>
  <c r="G1641" i="6"/>
  <c r="F1641" i="6"/>
  <c r="G1640" i="6"/>
  <c r="F1640" i="6"/>
  <c r="G1639" i="6"/>
  <c r="F1639" i="6"/>
  <c r="G1638" i="6"/>
  <c r="F1638" i="6"/>
  <c r="G1637" i="6"/>
  <c r="F1637" i="6"/>
  <c r="G1636" i="6"/>
  <c r="F1636" i="6"/>
  <c r="G1635" i="6"/>
  <c r="F1635" i="6"/>
  <c r="G1634" i="6"/>
  <c r="F1634" i="6"/>
  <c r="G1633" i="6"/>
  <c r="F1633" i="6"/>
  <c r="G1632" i="6"/>
  <c r="F1632" i="6"/>
  <c r="G1631" i="6"/>
  <c r="F1631" i="6"/>
  <c r="G1630" i="6"/>
  <c r="F1630" i="6"/>
  <c r="G1629" i="6"/>
  <c r="F1629" i="6"/>
  <c r="G1628" i="6"/>
  <c r="F1628" i="6"/>
  <c r="G1627" i="6"/>
  <c r="F1627" i="6"/>
  <c r="G1626" i="6"/>
  <c r="F1626" i="6"/>
  <c r="G1625" i="6"/>
  <c r="F1625" i="6"/>
  <c r="G1624" i="6"/>
  <c r="F1624" i="6"/>
  <c r="G1623" i="6"/>
  <c r="F1623" i="6"/>
  <c r="G1622" i="6"/>
  <c r="F1622" i="6"/>
  <c r="G1621" i="6"/>
  <c r="F1621" i="6"/>
  <c r="G1620" i="6"/>
  <c r="F1620" i="6"/>
  <c r="G1619" i="6"/>
  <c r="F1619" i="6"/>
  <c r="G1618" i="6"/>
  <c r="F1618" i="6"/>
  <c r="G1617" i="6"/>
  <c r="F1617" i="6"/>
  <c r="G1616" i="6"/>
  <c r="F1616" i="6"/>
  <c r="G1615" i="6"/>
  <c r="F1615" i="6"/>
  <c r="G1614" i="6"/>
  <c r="F1614" i="6"/>
  <c r="G1613" i="6"/>
  <c r="F1613" i="6"/>
  <c r="G1612" i="6"/>
  <c r="F1612" i="6"/>
  <c r="G1611" i="6"/>
  <c r="F1611" i="6"/>
  <c r="G1610" i="6"/>
  <c r="F1610" i="6"/>
  <c r="G1609" i="6"/>
  <c r="F1609" i="6"/>
  <c r="G1608" i="6"/>
  <c r="F1608" i="6"/>
  <c r="G1607" i="6"/>
  <c r="F1607" i="6"/>
  <c r="G1606" i="6"/>
  <c r="F1606" i="6"/>
  <c r="G1605" i="6"/>
  <c r="F1605" i="6"/>
  <c r="G1604" i="6"/>
  <c r="F1604" i="6"/>
  <c r="G1603" i="6"/>
  <c r="F1603" i="6"/>
  <c r="G1602" i="6"/>
  <c r="F1602" i="6"/>
  <c r="G1601" i="6"/>
  <c r="F1601" i="6"/>
  <c r="G1600" i="6"/>
  <c r="F1600" i="6"/>
  <c r="G1599" i="6"/>
  <c r="F1599" i="6"/>
  <c r="G1598" i="6"/>
  <c r="F1598" i="6"/>
  <c r="G1597" i="6"/>
  <c r="F1597" i="6"/>
  <c r="G1596" i="6"/>
  <c r="F1596" i="6"/>
  <c r="G1595" i="6"/>
  <c r="F1595" i="6"/>
  <c r="G1594" i="6"/>
  <c r="F1594" i="6"/>
  <c r="G1593" i="6"/>
  <c r="F1593" i="6"/>
  <c r="G1592" i="6"/>
  <c r="F1592" i="6"/>
  <c r="G1591" i="6"/>
  <c r="F1591" i="6"/>
  <c r="G1590" i="6"/>
  <c r="F1590" i="6"/>
  <c r="G1589" i="6"/>
  <c r="F1589" i="6"/>
  <c r="G1588" i="6"/>
  <c r="F1588" i="6"/>
  <c r="G1587" i="6"/>
  <c r="F1587" i="6"/>
  <c r="G1586" i="6"/>
  <c r="F1586" i="6"/>
  <c r="G1585" i="6"/>
  <c r="F1585" i="6"/>
  <c r="G1584" i="6"/>
  <c r="F1584" i="6"/>
  <c r="G1583" i="6"/>
  <c r="F1583" i="6"/>
  <c r="G1582" i="6"/>
  <c r="F1582" i="6"/>
  <c r="G1581" i="6"/>
  <c r="F1581" i="6"/>
  <c r="G1580" i="6"/>
  <c r="F1580" i="6"/>
  <c r="G1579" i="6"/>
  <c r="F1579" i="6"/>
  <c r="G1578" i="6"/>
  <c r="F1578" i="6"/>
  <c r="G1577" i="6"/>
  <c r="F1577" i="6"/>
  <c r="G1576" i="6"/>
  <c r="F1576" i="6"/>
  <c r="G1575" i="6"/>
  <c r="F1575" i="6"/>
  <c r="G1574" i="6"/>
  <c r="F1574" i="6"/>
  <c r="G1573" i="6"/>
  <c r="F1573" i="6"/>
  <c r="G1572" i="6"/>
  <c r="F1572" i="6"/>
  <c r="G1571" i="6"/>
  <c r="F1571" i="6"/>
  <c r="G1570" i="6"/>
  <c r="F1570" i="6"/>
  <c r="G1569" i="6"/>
  <c r="F1569" i="6"/>
  <c r="G1568" i="6"/>
  <c r="F1568" i="6"/>
  <c r="G1567" i="6"/>
  <c r="F1567" i="6"/>
  <c r="G1566" i="6"/>
  <c r="F1566" i="6"/>
  <c r="G1565" i="6"/>
  <c r="F1565" i="6"/>
  <c r="G1564" i="6"/>
  <c r="F1564" i="6"/>
  <c r="G1563" i="6"/>
  <c r="F1563" i="6"/>
  <c r="G1562" i="6"/>
  <c r="F1562" i="6"/>
  <c r="G1561" i="6"/>
  <c r="F1561" i="6"/>
  <c r="G1560" i="6"/>
  <c r="F1560" i="6"/>
  <c r="G1559" i="6"/>
  <c r="F1559" i="6"/>
  <c r="G1558" i="6"/>
  <c r="F1558" i="6"/>
  <c r="G1557" i="6"/>
  <c r="F1557" i="6"/>
  <c r="G1556" i="6"/>
  <c r="F1556" i="6"/>
  <c r="G1555" i="6"/>
  <c r="F1555" i="6"/>
  <c r="G1554" i="6"/>
  <c r="F1554" i="6"/>
  <c r="G1553" i="6"/>
  <c r="F1553" i="6"/>
  <c r="G1552" i="6"/>
  <c r="F1552" i="6"/>
  <c r="G1551" i="6"/>
  <c r="F1551" i="6"/>
  <c r="G1550" i="6"/>
  <c r="F1550" i="6"/>
  <c r="G1549" i="6"/>
  <c r="F1549" i="6"/>
  <c r="G1548" i="6"/>
  <c r="F1548" i="6"/>
  <c r="G1547" i="6"/>
  <c r="F1547" i="6"/>
  <c r="G1546" i="6"/>
  <c r="F1546" i="6"/>
  <c r="G1545" i="6"/>
  <c r="F1545" i="6"/>
  <c r="G1544" i="6"/>
  <c r="F1544" i="6"/>
  <c r="G1543" i="6"/>
  <c r="F1543" i="6"/>
  <c r="G1542" i="6"/>
  <c r="F1542" i="6"/>
  <c r="G1541" i="6"/>
  <c r="F1541" i="6"/>
  <c r="G1540" i="6"/>
  <c r="F1540" i="6"/>
  <c r="G1539" i="6"/>
  <c r="F1539" i="6"/>
  <c r="G1538" i="6"/>
  <c r="F1538" i="6"/>
  <c r="G1537" i="6"/>
  <c r="F1537" i="6"/>
  <c r="G1536" i="6"/>
  <c r="F1536" i="6"/>
  <c r="G1535" i="6"/>
  <c r="F1535" i="6"/>
  <c r="G1534" i="6"/>
  <c r="F1534" i="6"/>
  <c r="G1533" i="6"/>
  <c r="F1533" i="6"/>
  <c r="G1532" i="6"/>
  <c r="F1532" i="6"/>
  <c r="G1531" i="6"/>
  <c r="F1531" i="6"/>
  <c r="G1530" i="6"/>
  <c r="F1530" i="6"/>
  <c r="G1529" i="6"/>
  <c r="F1529" i="6"/>
  <c r="G1528" i="6"/>
  <c r="F1528" i="6"/>
  <c r="G1527" i="6"/>
  <c r="F1527" i="6"/>
  <c r="G1526" i="6"/>
  <c r="F1526" i="6"/>
  <c r="G1525" i="6"/>
  <c r="F1525" i="6"/>
  <c r="G1524" i="6"/>
  <c r="F1524" i="6"/>
  <c r="G1523" i="6"/>
  <c r="F1523" i="6"/>
  <c r="G1522" i="6"/>
  <c r="F1522" i="6"/>
  <c r="G1521" i="6"/>
  <c r="F1521" i="6"/>
  <c r="G1520" i="6"/>
  <c r="F1520" i="6"/>
  <c r="G1519" i="6"/>
  <c r="F1519" i="6"/>
  <c r="G1518" i="6"/>
  <c r="F1518" i="6"/>
  <c r="G1517" i="6"/>
  <c r="F1517" i="6"/>
  <c r="G1516" i="6"/>
  <c r="F1516" i="6"/>
  <c r="G1515" i="6"/>
  <c r="F1515" i="6"/>
  <c r="G1514" i="6"/>
  <c r="F1514" i="6"/>
  <c r="G1513" i="6"/>
  <c r="F1513" i="6"/>
  <c r="G1512" i="6"/>
  <c r="F1512" i="6"/>
  <c r="G1511" i="6"/>
  <c r="F1511" i="6"/>
  <c r="G1510" i="6"/>
  <c r="F1510" i="6"/>
  <c r="G1509" i="6"/>
  <c r="F1509" i="6"/>
  <c r="G1508" i="6"/>
  <c r="F1508" i="6"/>
  <c r="G1507" i="6"/>
  <c r="F1507" i="6"/>
  <c r="G1506" i="6"/>
  <c r="F1506" i="6"/>
  <c r="G1505" i="6"/>
  <c r="F1505" i="6"/>
  <c r="G1504" i="6"/>
  <c r="F1504" i="6"/>
  <c r="G1503" i="6"/>
  <c r="F1503" i="6"/>
  <c r="G1502" i="6"/>
  <c r="F1502" i="6"/>
  <c r="G1501" i="6"/>
  <c r="F1501" i="6"/>
  <c r="G1500" i="6"/>
  <c r="F1500" i="6"/>
  <c r="G1499" i="6"/>
  <c r="F1499" i="6"/>
  <c r="G1498" i="6"/>
  <c r="F1498" i="6"/>
  <c r="G1497" i="6"/>
  <c r="F1497" i="6"/>
  <c r="G1496" i="6"/>
  <c r="F1496" i="6"/>
  <c r="G1495" i="6"/>
  <c r="F1495" i="6"/>
  <c r="G1494" i="6"/>
  <c r="F1494" i="6"/>
  <c r="G1493" i="6"/>
  <c r="F1493" i="6"/>
  <c r="G1492" i="6"/>
  <c r="F1492" i="6"/>
  <c r="G1491" i="6"/>
  <c r="F1491" i="6"/>
  <c r="G1490" i="6"/>
  <c r="F1490" i="6"/>
  <c r="G1489" i="6"/>
  <c r="F1489" i="6"/>
  <c r="G1488" i="6"/>
  <c r="F1488" i="6"/>
  <c r="G1487" i="6"/>
  <c r="F1487" i="6"/>
  <c r="G1486" i="6"/>
  <c r="F1486" i="6"/>
  <c r="G1485" i="6"/>
  <c r="F1485" i="6"/>
  <c r="G1484" i="6"/>
  <c r="F1484" i="6"/>
  <c r="G1483" i="6"/>
  <c r="F1483" i="6"/>
  <c r="G1482" i="6"/>
  <c r="F1482" i="6"/>
  <c r="G1481" i="6"/>
  <c r="F1481" i="6"/>
  <c r="G1480" i="6"/>
  <c r="F1480" i="6"/>
  <c r="G1479" i="6"/>
  <c r="F1479" i="6"/>
  <c r="G1478" i="6"/>
  <c r="F1478" i="6"/>
  <c r="G1477" i="6"/>
  <c r="F1477" i="6"/>
  <c r="G1476" i="6"/>
  <c r="F1476" i="6"/>
  <c r="G1475" i="6"/>
  <c r="F1475" i="6"/>
  <c r="G1474" i="6"/>
  <c r="F1474" i="6"/>
  <c r="G1473" i="6"/>
  <c r="F1473" i="6"/>
  <c r="G1472" i="6"/>
  <c r="F1472" i="6"/>
  <c r="G1471" i="6"/>
  <c r="F1471" i="6"/>
  <c r="G1470" i="6"/>
  <c r="F1470" i="6"/>
  <c r="G1469" i="6"/>
  <c r="F1469" i="6"/>
  <c r="G1468" i="6"/>
  <c r="F1468" i="6"/>
  <c r="G1467" i="6"/>
  <c r="F1467" i="6"/>
  <c r="G1466" i="6"/>
  <c r="F1466" i="6"/>
  <c r="G1465" i="6"/>
  <c r="F1465" i="6"/>
  <c r="G1464" i="6"/>
  <c r="F1464" i="6"/>
  <c r="G1463" i="6"/>
  <c r="F1463" i="6"/>
  <c r="G1462" i="6"/>
  <c r="F1462" i="6"/>
  <c r="G1461" i="6"/>
  <c r="F1461" i="6"/>
  <c r="G1460" i="6"/>
  <c r="F1460" i="6"/>
  <c r="G1459" i="6"/>
  <c r="F1459" i="6"/>
  <c r="G1458" i="6"/>
  <c r="F1458" i="6"/>
  <c r="G1457" i="6"/>
  <c r="F1457" i="6"/>
  <c r="G1456" i="6"/>
  <c r="F1456" i="6"/>
  <c r="G1455" i="6"/>
  <c r="F1455" i="6"/>
  <c r="G1454" i="6"/>
  <c r="F1454" i="6"/>
  <c r="G1453" i="6"/>
  <c r="F1453" i="6"/>
  <c r="G1452" i="6"/>
  <c r="F1452" i="6"/>
  <c r="G1451" i="6"/>
  <c r="F1451" i="6"/>
  <c r="G1450" i="6"/>
  <c r="F1450" i="6"/>
  <c r="G1449" i="6"/>
  <c r="F1449" i="6"/>
  <c r="G1448" i="6"/>
  <c r="F1448" i="6"/>
  <c r="G1447" i="6"/>
  <c r="F1447" i="6"/>
  <c r="G1446" i="6"/>
  <c r="F1446" i="6"/>
  <c r="G1445" i="6"/>
  <c r="F1445" i="6"/>
  <c r="G1444" i="6"/>
  <c r="F1444" i="6"/>
  <c r="G1443" i="6"/>
  <c r="F1443" i="6"/>
  <c r="G1442" i="6"/>
  <c r="F1442" i="6"/>
  <c r="G1441" i="6"/>
  <c r="F1441" i="6"/>
  <c r="G1440" i="6"/>
  <c r="F1440" i="6"/>
  <c r="G1439" i="6"/>
  <c r="F1439" i="6"/>
  <c r="G1438" i="6"/>
  <c r="F1438" i="6"/>
  <c r="G1437" i="6"/>
  <c r="F1437" i="6"/>
  <c r="G1436" i="6"/>
  <c r="F1436" i="6"/>
  <c r="G1435" i="6"/>
  <c r="F1435" i="6"/>
  <c r="G1434" i="6"/>
  <c r="F1434" i="6"/>
  <c r="G1433" i="6"/>
  <c r="F1433" i="6"/>
  <c r="G1432" i="6"/>
  <c r="F1432" i="6"/>
  <c r="G1431" i="6"/>
  <c r="F1431" i="6"/>
  <c r="G1430" i="6"/>
  <c r="F1430" i="6"/>
  <c r="G1429" i="6"/>
  <c r="F1429" i="6"/>
  <c r="G1428" i="6"/>
  <c r="F1428" i="6"/>
  <c r="G1427" i="6"/>
  <c r="F1427" i="6"/>
  <c r="G1426" i="6"/>
  <c r="F1426" i="6"/>
  <c r="G1425" i="6"/>
  <c r="F1425" i="6"/>
  <c r="G1424" i="6"/>
  <c r="F1424" i="6"/>
  <c r="G1423" i="6"/>
  <c r="F1423" i="6"/>
  <c r="G1422" i="6"/>
  <c r="F1422" i="6"/>
  <c r="G1421" i="6"/>
  <c r="F1421" i="6"/>
  <c r="G1420" i="6"/>
  <c r="F1420" i="6"/>
  <c r="G1419" i="6"/>
  <c r="F1419" i="6"/>
  <c r="G1418" i="6"/>
  <c r="F1418" i="6"/>
  <c r="G1417" i="6"/>
  <c r="F1417" i="6"/>
  <c r="G1416" i="6"/>
  <c r="F1416" i="6"/>
  <c r="G1415" i="6"/>
  <c r="F1415" i="6"/>
  <c r="G1414" i="6"/>
  <c r="F1414" i="6"/>
  <c r="G1413" i="6"/>
  <c r="F1413" i="6"/>
  <c r="G1412" i="6"/>
  <c r="F1412" i="6"/>
  <c r="G1411" i="6"/>
  <c r="F1411" i="6"/>
  <c r="G1410" i="6"/>
  <c r="F1410" i="6"/>
  <c r="G1409" i="6"/>
  <c r="F1409" i="6"/>
  <c r="G1408" i="6"/>
  <c r="F1408" i="6"/>
  <c r="G1407" i="6"/>
  <c r="F1407" i="6"/>
  <c r="G1406" i="6"/>
  <c r="F1406" i="6"/>
  <c r="G1405" i="6"/>
  <c r="F1405" i="6"/>
  <c r="G1404" i="6"/>
  <c r="F1404" i="6"/>
  <c r="G1403" i="6"/>
  <c r="F1403" i="6"/>
  <c r="G1402" i="6"/>
  <c r="F1402" i="6"/>
  <c r="G1401" i="6"/>
  <c r="F1401" i="6"/>
  <c r="G1400" i="6"/>
  <c r="F1400" i="6"/>
  <c r="G1399" i="6"/>
  <c r="F1399" i="6"/>
  <c r="G1398" i="6"/>
  <c r="F1398" i="6"/>
  <c r="G1397" i="6"/>
  <c r="F1397" i="6"/>
  <c r="G1396" i="6"/>
  <c r="F1396" i="6"/>
  <c r="G1395" i="6"/>
  <c r="F1395" i="6"/>
  <c r="G1394" i="6"/>
  <c r="F1394" i="6"/>
  <c r="G1393" i="6"/>
  <c r="F1393" i="6"/>
  <c r="G1392" i="6"/>
  <c r="F1392" i="6"/>
  <c r="G1391" i="6"/>
  <c r="F1391" i="6"/>
  <c r="G1390" i="6"/>
  <c r="F1390" i="6"/>
  <c r="G1389" i="6"/>
  <c r="F1389" i="6"/>
  <c r="G1388" i="6"/>
  <c r="F1388" i="6"/>
  <c r="G1387" i="6"/>
  <c r="F1387" i="6"/>
  <c r="G1386" i="6"/>
  <c r="F1386" i="6"/>
  <c r="G1385" i="6"/>
  <c r="F1385" i="6"/>
  <c r="G1384" i="6"/>
  <c r="F1384" i="6"/>
  <c r="G1383" i="6"/>
  <c r="F1383" i="6"/>
  <c r="G1382" i="6"/>
  <c r="F1382" i="6"/>
  <c r="G1381" i="6"/>
  <c r="F1381" i="6"/>
  <c r="G1380" i="6"/>
  <c r="F1380" i="6"/>
  <c r="G1379" i="6"/>
  <c r="F1379" i="6"/>
  <c r="G1378" i="6"/>
  <c r="F1378" i="6"/>
  <c r="G1377" i="6"/>
  <c r="F1377" i="6"/>
  <c r="G1376" i="6"/>
  <c r="F1376" i="6"/>
  <c r="G1375" i="6"/>
  <c r="F1375" i="6"/>
  <c r="G1374" i="6"/>
  <c r="F1374" i="6"/>
  <c r="G1373" i="6"/>
  <c r="F1373" i="6"/>
  <c r="G1372" i="6"/>
  <c r="F1372" i="6"/>
  <c r="G1371" i="6"/>
  <c r="F1371" i="6"/>
  <c r="G1370" i="6"/>
  <c r="F1370" i="6"/>
  <c r="G1369" i="6"/>
  <c r="F1369" i="6"/>
  <c r="G1368" i="6"/>
  <c r="F1368" i="6"/>
  <c r="G1367" i="6"/>
  <c r="F1367" i="6"/>
  <c r="G1366" i="6"/>
  <c r="F1366" i="6"/>
  <c r="G1365" i="6"/>
  <c r="F1365" i="6"/>
  <c r="G1364" i="6"/>
  <c r="F1364" i="6"/>
  <c r="G1363" i="6"/>
  <c r="F1363" i="6"/>
  <c r="G1362" i="6"/>
  <c r="F1362" i="6"/>
  <c r="G1361" i="6"/>
  <c r="F1361" i="6"/>
  <c r="G1360" i="6"/>
  <c r="F1360" i="6"/>
  <c r="G1359" i="6"/>
  <c r="F1359" i="6"/>
  <c r="G1358" i="6"/>
  <c r="F1358" i="6"/>
  <c r="G1357" i="6"/>
  <c r="F1357" i="6"/>
  <c r="G1356" i="6"/>
  <c r="F1356" i="6"/>
  <c r="G1355" i="6"/>
  <c r="F1355" i="6"/>
  <c r="G1354" i="6"/>
  <c r="F1354" i="6"/>
  <c r="G1353" i="6"/>
  <c r="F1353" i="6"/>
  <c r="G1352" i="6"/>
  <c r="F1352" i="6"/>
  <c r="G1351" i="6"/>
  <c r="F1351" i="6"/>
  <c r="G1350" i="6"/>
  <c r="F1350" i="6"/>
  <c r="G1349" i="6"/>
  <c r="F1349" i="6"/>
  <c r="G1348" i="6"/>
  <c r="F1348" i="6"/>
  <c r="G1347" i="6"/>
  <c r="F1347" i="6"/>
  <c r="G1346" i="6"/>
  <c r="F1346" i="6"/>
  <c r="G1345" i="6"/>
  <c r="F1345" i="6"/>
  <c r="G1344" i="6"/>
  <c r="F1344" i="6"/>
  <c r="G1343" i="6"/>
  <c r="F1343" i="6"/>
  <c r="G1342" i="6"/>
  <c r="F1342" i="6"/>
  <c r="G1341" i="6"/>
  <c r="F1341" i="6"/>
  <c r="G1340" i="6"/>
  <c r="F1340" i="6"/>
  <c r="G1339" i="6"/>
  <c r="F1339" i="6"/>
  <c r="G1338" i="6"/>
  <c r="F1338" i="6"/>
  <c r="G1337" i="6"/>
  <c r="F1337" i="6"/>
  <c r="G1336" i="6"/>
  <c r="F1336" i="6"/>
  <c r="G1335" i="6"/>
  <c r="F1335" i="6"/>
  <c r="G1334" i="6"/>
  <c r="F1334" i="6"/>
  <c r="G1333" i="6"/>
  <c r="F1333" i="6"/>
  <c r="G1332" i="6"/>
  <c r="F1332" i="6"/>
  <c r="G1331" i="6"/>
  <c r="F1331" i="6"/>
  <c r="G1330" i="6"/>
  <c r="F1330" i="6"/>
  <c r="G1329" i="6"/>
  <c r="F1329" i="6"/>
  <c r="G1328" i="6"/>
  <c r="F1328" i="6"/>
  <c r="G1327" i="6"/>
  <c r="F1327" i="6"/>
  <c r="G1326" i="6"/>
  <c r="F1326" i="6"/>
  <c r="G1325" i="6"/>
  <c r="F1325" i="6"/>
  <c r="G1324" i="6"/>
  <c r="F1324" i="6"/>
  <c r="G1323" i="6"/>
  <c r="F1323" i="6"/>
  <c r="G1322" i="6"/>
  <c r="F1322" i="6"/>
  <c r="G1321" i="6"/>
  <c r="F1321" i="6"/>
  <c r="G1320" i="6"/>
  <c r="F1320" i="6"/>
  <c r="G1319" i="6"/>
  <c r="F1319" i="6"/>
  <c r="G1318" i="6"/>
  <c r="F1318" i="6"/>
  <c r="G1317" i="6"/>
  <c r="F1317" i="6"/>
  <c r="G1316" i="6"/>
  <c r="F1316" i="6"/>
  <c r="G1315" i="6"/>
  <c r="F1315" i="6"/>
  <c r="G1314" i="6"/>
  <c r="F1314" i="6"/>
  <c r="G1313" i="6"/>
  <c r="F1313" i="6"/>
  <c r="G1312" i="6"/>
  <c r="F1312" i="6"/>
  <c r="G1311" i="6"/>
  <c r="F1311" i="6"/>
  <c r="G1310" i="6"/>
  <c r="F1310" i="6"/>
  <c r="G1309" i="6"/>
  <c r="F1309" i="6"/>
  <c r="G1308" i="6"/>
  <c r="F1308" i="6"/>
  <c r="G1307" i="6"/>
  <c r="F1307" i="6"/>
  <c r="G1306" i="6"/>
  <c r="F1306" i="6"/>
  <c r="G1305" i="6"/>
  <c r="F1305" i="6"/>
  <c r="G1304" i="6"/>
  <c r="F1304" i="6"/>
  <c r="G1303" i="6"/>
  <c r="F1303" i="6"/>
  <c r="G1302" i="6"/>
  <c r="F1302" i="6"/>
  <c r="G1301" i="6"/>
  <c r="F1301" i="6"/>
  <c r="G1300" i="6"/>
  <c r="F1300" i="6"/>
  <c r="G1299" i="6"/>
  <c r="F1299" i="6"/>
  <c r="G1298" i="6"/>
  <c r="F1298" i="6"/>
  <c r="G1297" i="6"/>
  <c r="F1297" i="6"/>
  <c r="G1296" i="6"/>
  <c r="F1296" i="6"/>
  <c r="G1295" i="6"/>
  <c r="F1295" i="6"/>
  <c r="G1294" i="6"/>
  <c r="F1294" i="6"/>
  <c r="G1293" i="6"/>
  <c r="F1293" i="6"/>
  <c r="G1292" i="6"/>
  <c r="F1292" i="6"/>
  <c r="G1291" i="6"/>
  <c r="F1291" i="6"/>
  <c r="G1290" i="6"/>
  <c r="F1290" i="6"/>
  <c r="G1289" i="6"/>
  <c r="F1289" i="6"/>
  <c r="G1288" i="6"/>
  <c r="F1288" i="6"/>
  <c r="G1287" i="6"/>
  <c r="F1287" i="6"/>
  <c r="G1286" i="6"/>
  <c r="F1286" i="6"/>
  <c r="G1285" i="6"/>
  <c r="F1285" i="6"/>
  <c r="G1284" i="6"/>
  <c r="F1284" i="6"/>
  <c r="G1283" i="6"/>
  <c r="F1283" i="6"/>
  <c r="G1282" i="6"/>
  <c r="F1282" i="6"/>
  <c r="G1281" i="6"/>
  <c r="F1281" i="6"/>
  <c r="G1280" i="6"/>
  <c r="F1280" i="6"/>
  <c r="G1279" i="6"/>
  <c r="F1279" i="6"/>
  <c r="G1278" i="6"/>
  <c r="F1278" i="6"/>
  <c r="G1277" i="6"/>
  <c r="F1277" i="6"/>
  <c r="G1276" i="6"/>
  <c r="F1276" i="6"/>
  <c r="G1275" i="6"/>
  <c r="F1275" i="6"/>
  <c r="G1274" i="6"/>
  <c r="F1274" i="6"/>
  <c r="G1273" i="6"/>
  <c r="F1273" i="6"/>
  <c r="G1272" i="6"/>
  <c r="F1272" i="6"/>
  <c r="G1271" i="6"/>
  <c r="F1271" i="6"/>
  <c r="G1270" i="6"/>
  <c r="F1270" i="6"/>
  <c r="G1269" i="6"/>
  <c r="F1269" i="6"/>
  <c r="G1268" i="6"/>
  <c r="F1268" i="6"/>
  <c r="G1267" i="6"/>
  <c r="F1267" i="6"/>
  <c r="G1266" i="6"/>
  <c r="F1266" i="6"/>
  <c r="G1265" i="6"/>
  <c r="F1265" i="6"/>
  <c r="G1264" i="6"/>
  <c r="F1264" i="6"/>
  <c r="G1263" i="6"/>
  <c r="F1263" i="6"/>
  <c r="G1262" i="6"/>
  <c r="F1262" i="6"/>
  <c r="G1261" i="6"/>
  <c r="F1261" i="6"/>
  <c r="G1260" i="6"/>
  <c r="F1260" i="6"/>
  <c r="G1259" i="6"/>
  <c r="F1259" i="6"/>
  <c r="G1258" i="6"/>
  <c r="F1258" i="6"/>
  <c r="G1257" i="6"/>
  <c r="F1257" i="6"/>
  <c r="G1256" i="6"/>
  <c r="F1256" i="6"/>
  <c r="G1255" i="6"/>
  <c r="F1255" i="6"/>
  <c r="G1254" i="6"/>
  <c r="F1254" i="6"/>
  <c r="G1253" i="6"/>
  <c r="F1253" i="6"/>
  <c r="G1252" i="6"/>
  <c r="F1252" i="6"/>
  <c r="G1251" i="6"/>
  <c r="F1251" i="6"/>
  <c r="G1250" i="6"/>
  <c r="F1250" i="6"/>
  <c r="G1249" i="6"/>
  <c r="F1249" i="6"/>
  <c r="G1248" i="6"/>
  <c r="F1248" i="6"/>
  <c r="G1247" i="6"/>
  <c r="F1247" i="6"/>
  <c r="G1246" i="6"/>
  <c r="F1246" i="6"/>
  <c r="G1245" i="6"/>
  <c r="F1245" i="6"/>
  <c r="G1244" i="6"/>
  <c r="F1244" i="6"/>
  <c r="G1243" i="6"/>
  <c r="F1243" i="6"/>
  <c r="G1242" i="6"/>
  <c r="F1242" i="6"/>
  <c r="G1241" i="6"/>
  <c r="F1241" i="6"/>
  <c r="G1240" i="6"/>
  <c r="F1240" i="6"/>
  <c r="G1239" i="6"/>
  <c r="F1239" i="6"/>
  <c r="G1238" i="6"/>
  <c r="F1238" i="6"/>
  <c r="G1237" i="6"/>
  <c r="F1237" i="6"/>
  <c r="G1236" i="6"/>
  <c r="F1236" i="6"/>
  <c r="G1235" i="6"/>
  <c r="F1235" i="6"/>
  <c r="G1234" i="6"/>
  <c r="F1234" i="6"/>
  <c r="G1233" i="6"/>
  <c r="F1233" i="6"/>
  <c r="G1232" i="6"/>
  <c r="F1232" i="6"/>
  <c r="G1231" i="6"/>
  <c r="F1231" i="6"/>
  <c r="G1230" i="6"/>
  <c r="F1230" i="6"/>
  <c r="G1229" i="6"/>
  <c r="F1229" i="6"/>
  <c r="G1228" i="6"/>
  <c r="F1228" i="6"/>
  <c r="G1227" i="6"/>
  <c r="F1227" i="6"/>
  <c r="G1226" i="6"/>
  <c r="F1226" i="6"/>
  <c r="G1225" i="6"/>
  <c r="F1225" i="6"/>
  <c r="G1224" i="6"/>
  <c r="F1224" i="6"/>
  <c r="G1223" i="6"/>
  <c r="F1223" i="6"/>
  <c r="G1222" i="6"/>
  <c r="F1222" i="6"/>
  <c r="G1221" i="6"/>
  <c r="F1221" i="6"/>
  <c r="G1220" i="6"/>
  <c r="F1220" i="6"/>
  <c r="G1219" i="6"/>
  <c r="F1219" i="6"/>
  <c r="G1218" i="6"/>
  <c r="F1218" i="6"/>
  <c r="G1217" i="6"/>
  <c r="F1217" i="6"/>
  <c r="G1216" i="6"/>
  <c r="F1216" i="6"/>
  <c r="G1215" i="6"/>
  <c r="F1215" i="6"/>
  <c r="G1214" i="6"/>
  <c r="F1214" i="6"/>
  <c r="G1213" i="6"/>
  <c r="F1213" i="6"/>
  <c r="G1212" i="6"/>
  <c r="F1212" i="6"/>
  <c r="G1211" i="6"/>
  <c r="F1211" i="6"/>
  <c r="G1210" i="6"/>
  <c r="F1210" i="6"/>
  <c r="G1209" i="6"/>
  <c r="F1209" i="6"/>
  <c r="G1208" i="6"/>
  <c r="F1208" i="6"/>
  <c r="G1207" i="6"/>
  <c r="F1207" i="6"/>
  <c r="G1206" i="6"/>
  <c r="F1206" i="6"/>
  <c r="G1205" i="6"/>
  <c r="F1205" i="6"/>
  <c r="G1204" i="6"/>
  <c r="F1204" i="6"/>
  <c r="G1203" i="6"/>
  <c r="F1203" i="6"/>
  <c r="G1202" i="6"/>
  <c r="F1202" i="6"/>
  <c r="G1201" i="6"/>
  <c r="F1201" i="6"/>
  <c r="G1200" i="6"/>
  <c r="F1200" i="6"/>
  <c r="G1199" i="6"/>
  <c r="F1199" i="6"/>
  <c r="G1198" i="6"/>
  <c r="F1198" i="6"/>
  <c r="G1197" i="6"/>
  <c r="F1197" i="6"/>
  <c r="G1196" i="6"/>
  <c r="F1196" i="6"/>
  <c r="G1195" i="6"/>
  <c r="F1195" i="6"/>
  <c r="G1194" i="6"/>
  <c r="F1194" i="6"/>
  <c r="G1193" i="6"/>
  <c r="F1193" i="6"/>
  <c r="G1192" i="6"/>
  <c r="F1192" i="6"/>
  <c r="G1191" i="6"/>
  <c r="F1191" i="6"/>
  <c r="G1190" i="6"/>
  <c r="F1190" i="6"/>
  <c r="G1189" i="6"/>
  <c r="F1189" i="6"/>
  <c r="G1188" i="6"/>
  <c r="F1188" i="6"/>
  <c r="G1187" i="6"/>
  <c r="F1187" i="6"/>
  <c r="G1186" i="6"/>
  <c r="F1186" i="6"/>
  <c r="G1185" i="6"/>
  <c r="F1185" i="6"/>
  <c r="G1184" i="6"/>
  <c r="F1184" i="6"/>
  <c r="G1183" i="6"/>
  <c r="F1183" i="6"/>
  <c r="G1182" i="6"/>
  <c r="F1182" i="6"/>
  <c r="G1181" i="6"/>
  <c r="F1181" i="6"/>
  <c r="G1180" i="6"/>
  <c r="F1180" i="6"/>
  <c r="G1179" i="6"/>
  <c r="F1179" i="6"/>
  <c r="G1178" i="6"/>
  <c r="F1178" i="6"/>
  <c r="G1177" i="6"/>
  <c r="F1177" i="6"/>
  <c r="G1176" i="6"/>
  <c r="F1176" i="6"/>
  <c r="G1175" i="6"/>
  <c r="F1175" i="6"/>
  <c r="G1174" i="6"/>
  <c r="F1174" i="6"/>
  <c r="G1173" i="6"/>
  <c r="F1173" i="6"/>
  <c r="G1172" i="6"/>
  <c r="F1172" i="6"/>
  <c r="G1171" i="6"/>
  <c r="F1171" i="6"/>
  <c r="G1170" i="6"/>
  <c r="F1170" i="6"/>
  <c r="G1169" i="6"/>
  <c r="F1169" i="6"/>
  <c r="G1168" i="6"/>
  <c r="F1168" i="6"/>
  <c r="G1167" i="6"/>
  <c r="F1167" i="6"/>
  <c r="G1166" i="6"/>
  <c r="F1166" i="6"/>
  <c r="G1165" i="6"/>
  <c r="F1165" i="6"/>
  <c r="G1164" i="6"/>
  <c r="F1164" i="6"/>
  <c r="G1163" i="6"/>
  <c r="F1163" i="6"/>
  <c r="G1162" i="6"/>
  <c r="F1162" i="6"/>
  <c r="G1161" i="6"/>
  <c r="F1161" i="6"/>
  <c r="G1160" i="6"/>
  <c r="F1160" i="6"/>
  <c r="G1159" i="6"/>
  <c r="F1159" i="6"/>
  <c r="G1158" i="6"/>
  <c r="F1158" i="6"/>
  <c r="G1157" i="6"/>
  <c r="F1157" i="6"/>
  <c r="G1156" i="6"/>
  <c r="F1156" i="6"/>
  <c r="G1155" i="6"/>
  <c r="F1155" i="6"/>
  <c r="G1154" i="6"/>
  <c r="F1154" i="6"/>
  <c r="G1153" i="6"/>
  <c r="F1153" i="6"/>
  <c r="G1152" i="6"/>
  <c r="F1152" i="6"/>
  <c r="G1151" i="6"/>
  <c r="F1151" i="6"/>
  <c r="G1150" i="6"/>
  <c r="F1150" i="6"/>
  <c r="G1149" i="6"/>
  <c r="F1149" i="6"/>
  <c r="G1148" i="6"/>
  <c r="F1148" i="6"/>
  <c r="G1147" i="6"/>
  <c r="F1147" i="6"/>
  <c r="G1146" i="6"/>
  <c r="F1146" i="6"/>
  <c r="G1145" i="6"/>
  <c r="F1145" i="6"/>
  <c r="G1144" i="6"/>
  <c r="F1144" i="6"/>
  <c r="G1143" i="6"/>
  <c r="F1143" i="6"/>
  <c r="G1142" i="6"/>
  <c r="F1142" i="6"/>
  <c r="G1141" i="6"/>
  <c r="F1141" i="6"/>
  <c r="G1140" i="6"/>
  <c r="F1140" i="6"/>
  <c r="G1139" i="6"/>
  <c r="F1139" i="6"/>
  <c r="G1138" i="6"/>
  <c r="F1138" i="6"/>
  <c r="G1137" i="6"/>
  <c r="F1137" i="6"/>
  <c r="G1136" i="6"/>
  <c r="F1136" i="6"/>
  <c r="G1135" i="6"/>
  <c r="F1135" i="6"/>
  <c r="G1134" i="6"/>
  <c r="F1134" i="6"/>
  <c r="G1133" i="6"/>
  <c r="F1133" i="6"/>
  <c r="G1132" i="6"/>
  <c r="F1132" i="6"/>
  <c r="G1131" i="6"/>
  <c r="F1131" i="6"/>
  <c r="G1130" i="6"/>
  <c r="F1130" i="6"/>
  <c r="G1129" i="6"/>
  <c r="F1129" i="6"/>
  <c r="G1128" i="6"/>
  <c r="F1128" i="6"/>
  <c r="G1127" i="6"/>
  <c r="F1127" i="6"/>
  <c r="G1126" i="6"/>
  <c r="F1126" i="6"/>
  <c r="G1125" i="6"/>
  <c r="F1125" i="6"/>
  <c r="G1124" i="6"/>
  <c r="F1124" i="6"/>
  <c r="G1123" i="6"/>
  <c r="F1123" i="6"/>
  <c r="G1122" i="6"/>
  <c r="F1122" i="6"/>
  <c r="G1121" i="6"/>
  <c r="F1121" i="6"/>
  <c r="G1120" i="6"/>
  <c r="F1120" i="6"/>
  <c r="G1119" i="6"/>
  <c r="F1119" i="6"/>
  <c r="G1118" i="6"/>
  <c r="F1118" i="6"/>
  <c r="G1117" i="6"/>
  <c r="F1117" i="6"/>
  <c r="G1116" i="6"/>
  <c r="F1116" i="6"/>
  <c r="G1115" i="6"/>
  <c r="F1115" i="6"/>
  <c r="G1114" i="6"/>
  <c r="F1114" i="6"/>
  <c r="G1113" i="6"/>
  <c r="F1113" i="6"/>
  <c r="G1112" i="6"/>
  <c r="F1112" i="6"/>
  <c r="G1111" i="6"/>
  <c r="F1111" i="6"/>
  <c r="G1110" i="6"/>
  <c r="F1110" i="6"/>
  <c r="G1109" i="6"/>
  <c r="F1109" i="6"/>
  <c r="G1108" i="6"/>
  <c r="F1108" i="6"/>
  <c r="G1107" i="6"/>
  <c r="F1107" i="6"/>
  <c r="G1106" i="6"/>
  <c r="F1106" i="6"/>
  <c r="G1105" i="6"/>
  <c r="F1105" i="6"/>
  <c r="G1104" i="6"/>
  <c r="F1104" i="6"/>
  <c r="G1103" i="6"/>
  <c r="F1103" i="6"/>
  <c r="G1102" i="6"/>
  <c r="F1102" i="6"/>
  <c r="G1101" i="6"/>
  <c r="F1101" i="6"/>
  <c r="G1100" i="6"/>
  <c r="F1100" i="6"/>
  <c r="G1099" i="6"/>
  <c r="F1099" i="6"/>
  <c r="G1098" i="6"/>
  <c r="F1098" i="6"/>
  <c r="G1097" i="6"/>
  <c r="F1097" i="6"/>
  <c r="G1096" i="6"/>
  <c r="F1096" i="6"/>
  <c r="G1095" i="6"/>
  <c r="F1095" i="6"/>
  <c r="G1094" i="6"/>
  <c r="F1094" i="6"/>
  <c r="G1093" i="6"/>
  <c r="F1093" i="6"/>
  <c r="G1092" i="6"/>
  <c r="F1092" i="6"/>
  <c r="G1091" i="6"/>
  <c r="F1091" i="6"/>
  <c r="G1090" i="6"/>
  <c r="F1090" i="6"/>
  <c r="G1089" i="6"/>
  <c r="F1089" i="6"/>
  <c r="G1088" i="6"/>
  <c r="F1088" i="6"/>
  <c r="G1087" i="6"/>
  <c r="F1087" i="6"/>
  <c r="G1086" i="6"/>
  <c r="F1086" i="6"/>
  <c r="G1085" i="6"/>
  <c r="F1085" i="6"/>
  <c r="G1084" i="6"/>
  <c r="F1084" i="6"/>
  <c r="G1083" i="6"/>
  <c r="F1083" i="6"/>
  <c r="G1082" i="6"/>
  <c r="F1082" i="6"/>
  <c r="G1081" i="6"/>
  <c r="F1081" i="6"/>
  <c r="G1080" i="6"/>
  <c r="F1080" i="6"/>
  <c r="G1079" i="6"/>
  <c r="F1079" i="6"/>
  <c r="G1078" i="6"/>
  <c r="F1078" i="6"/>
  <c r="G1077" i="6"/>
  <c r="F1077" i="6"/>
  <c r="G1076" i="6"/>
  <c r="F1076" i="6"/>
  <c r="G1075" i="6"/>
  <c r="F1075" i="6"/>
  <c r="G1074" i="6"/>
  <c r="F1074" i="6"/>
  <c r="G1073" i="6"/>
  <c r="F1073" i="6"/>
  <c r="G1072" i="6"/>
  <c r="F1072" i="6"/>
  <c r="G1071" i="6"/>
  <c r="F1071" i="6"/>
  <c r="G1070" i="6"/>
  <c r="F1070" i="6"/>
  <c r="G1069" i="6"/>
  <c r="F1069" i="6"/>
  <c r="G1068" i="6"/>
  <c r="F1068" i="6"/>
  <c r="G1067" i="6"/>
  <c r="F1067" i="6"/>
  <c r="G1066" i="6"/>
  <c r="F1066" i="6"/>
  <c r="G1065" i="6"/>
  <c r="F1065" i="6"/>
  <c r="G1064" i="6"/>
  <c r="F1064" i="6"/>
  <c r="G1063" i="6"/>
  <c r="F1063" i="6"/>
  <c r="G1062" i="6"/>
  <c r="F1062" i="6"/>
  <c r="G1061" i="6"/>
  <c r="F1061" i="6"/>
  <c r="G1060" i="6"/>
  <c r="F1060" i="6"/>
  <c r="G1059" i="6"/>
  <c r="F1059" i="6"/>
  <c r="G1058" i="6"/>
  <c r="F1058" i="6"/>
  <c r="G1057" i="6"/>
  <c r="F1057" i="6"/>
  <c r="G1056" i="6"/>
  <c r="F1056" i="6"/>
  <c r="G1055" i="6"/>
  <c r="F1055" i="6"/>
  <c r="G1054" i="6"/>
  <c r="F1054" i="6"/>
  <c r="G1053" i="6"/>
  <c r="F1053" i="6"/>
  <c r="G1052" i="6"/>
  <c r="F1052" i="6"/>
  <c r="G1051" i="6"/>
  <c r="F1051" i="6"/>
  <c r="G1050" i="6"/>
  <c r="F1050" i="6"/>
  <c r="G1049" i="6"/>
  <c r="F1049" i="6"/>
  <c r="G1048" i="6"/>
  <c r="F1048" i="6"/>
  <c r="G1047" i="6"/>
  <c r="F1047" i="6"/>
  <c r="G1046" i="6"/>
  <c r="F1046" i="6"/>
  <c r="G1045" i="6"/>
  <c r="F1045" i="6"/>
  <c r="G1044" i="6"/>
  <c r="F1044" i="6"/>
  <c r="G1043" i="6"/>
  <c r="F1043" i="6"/>
  <c r="G1042" i="6"/>
  <c r="F1042" i="6"/>
  <c r="G1041" i="6"/>
  <c r="F1041" i="6"/>
  <c r="G1040" i="6"/>
  <c r="F1040" i="6"/>
  <c r="G1039" i="6"/>
  <c r="F1039" i="6"/>
  <c r="G1038" i="6"/>
  <c r="F1038" i="6"/>
  <c r="G1037" i="6"/>
  <c r="F1037" i="6"/>
  <c r="G1036" i="6"/>
  <c r="F1036" i="6"/>
  <c r="G1035" i="6"/>
  <c r="F1035" i="6"/>
  <c r="G1034" i="6"/>
  <c r="F1034" i="6"/>
  <c r="G1033" i="6"/>
  <c r="F1033" i="6"/>
  <c r="G1032" i="6"/>
  <c r="F1032" i="6"/>
  <c r="G1031" i="6"/>
  <c r="F1031" i="6"/>
  <c r="G1030" i="6"/>
  <c r="F1030" i="6"/>
  <c r="G1029" i="6"/>
  <c r="F1029" i="6"/>
  <c r="G1028" i="6"/>
  <c r="F1028" i="6"/>
  <c r="G1027" i="6"/>
  <c r="F1027" i="6"/>
  <c r="G1026" i="6"/>
  <c r="F1026" i="6"/>
  <c r="G1025" i="6"/>
  <c r="F1025" i="6"/>
  <c r="G1024" i="6"/>
  <c r="F1024" i="6"/>
  <c r="G1023" i="6"/>
  <c r="F1023" i="6"/>
  <c r="G1022" i="6"/>
  <c r="F1022" i="6"/>
  <c r="G1021" i="6"/>
  <c r="F1021" i="6"/>
  <c r="G1020" i="6"/>
  <c r="F1020" i="6"/>
  <c r="G1019" i="6"/>
  <c r="F1019" i="6"/>
  <c r="G1018" i="6"/>
  <c r="F1018" i="6"/>
  <c r="G1017" i="6"/>
  <c r="F1017" i="6"/>
  <c r="G1016" i="6"/>
  <c r="F1016" i="6"/>
  <c r="G1015" i="6"/>
  <c r="F1015" i="6"/>
  <c r="G1014" i="6"/>
  <c r="F1014" i="6"/>
  <c r="G1013" i="6"/>
  <c r="F1013" i="6"/>
  <c r="G1012" i="6"/>
  <c r="F1012" i="6"/>
  <c r="G1011" i="6"/>
  <c r="F1011" i="6"/>
  <c r="G1010" i="6"/>
  <c r="F1010" i="6"/>
  <c r="G1009" i="6"/>
  <c r="F1009" i="6"/>
  <c r="G1008" i="6"/>
  <c r="F1008" i="6"/>
  <c r="G1007" i="6"/>
  <c r="F1007" i="6"/>
  <c r="G1006" i="6"/>
  <c r="F1006" i="6"/>
  <c r="G1005" i="6"/>
  <c r="F1005" i="6"/>
  <c r="G1004" i="6"/>
  <c r="F1004" i="6"/>
  <c r="G1003" i="6"/>
  <c r="F1003" i="6"/>
  <c r="G1002" i="6"/>
  <c r="F1002" i="6"/>
  <c r="G1001" i="6"/>
  <c r="F1001" i="6"/>
  <c r="G1000" i="6"/>
  <c r="F1000" i="6"/>
  <c r="G999" i="6"/>
  <c r="F999" i="6"/>
  <c r="G998" i="6"/>
  <c r="F998" i="6"/>
  <c r="G997" i="6"/>
  <c r="F997" i="6"/>
  <c r="G996" i="6"/>
  <c r="F996" i="6"/>
  <c r="G995" i="6"/>
  <c r="F995" i="6"/>
  <c r="G994" i="6"/>
  <c r="F994" i="6"/>
  <c r="G993" i="6"/>
  <c r="F993" i="6"/>
  <c r="G992" i="6"/>
  <c r="F992" i="6"/>
  <c r="G991" i="6"/>
  <c r="F991" i="6"/>
  <c r="G990" i="6"/>
  <c r="F990" i="6"/>
  <c r="G989" i="6"/>
  <c r="F989" i="6"/>
  <c r="G988" i="6"/>
  <c r="F988" i="6"/>
  <c r="G987" i="6"/>
  <c r="F987" i="6"/>
  <c r="G986" i="6"/>
  <c r="F986" i="6"/>
  <c r="G985" i="6"/>
  <c r="F985" i="6"/>
  <c r="G984" i="6"/>
  <c r="F984" i="6"/>
  <c r="G983" i="6"/>
  <c r="F983" i="6"/>
  <c r="G982" i="6"/>
  <c r="F982" i="6"/>
  <c r="G981" i="6"/>
  <c r="F981" i="6"/>
  <c r="G980" i="6"/>
  <c r="F980" i="6"/>
  <c r="G979" i="6"/>
  <c r="F979" i="6"/>
  <c r="G978" i="6"/>
  <c r="F978" i="6"/>
  <c r="G977" i="6"/>
  <c r="F977" i="6"/>
  <c r="G976" i="6"/>
  <c r="F976" i="6"/>
  <c r="G975" i="6"/>
  <c r="F975" i="6"/>
  <c r="G974" i="6"/>
  <c r="F974" i="6"/>
  <c r="G973" i="6"/>
  <c r="F973" i="6"/>
  <c r="G972" i="6"/>
  <c r="F972" i="6"/>
  <c r="G971" i="6"/>
  <c r="F971" i="6"/>
  <c r="G970" i="6"/>
  <c r="F970" i="6"/>
  <c r="G969" i="6"/>
  <c r="F969" i="6"/>
  <c r="G968" i="6"/>
  <c r="F968" i="6"/>
  <c r="G967" i="6"/>
  <c r="F967" i="6"/>
  <c r="G966" i="6"/>
  <c r="F966" i="6"/>
  <c r="G965" i="6"/>
  <c r="F965" i="6"/>
  <c r="G964" i="6"/>
  <c r="F964" i="6"/>
  <c r="G963" i="6"/>
  <c r="F963" i="6"/>
  <c r="G962" i="6"/>
  <c r="F962" i="6"/>
  <c r="G961" i="6"/>
  <c r="F961" i="6"/>
  <c r="G960" i="6"/>
  <c r="F960" i="6"/>
  <c r="G959" i="6"/>
  <c r="F959" i="6"/>
  <c r="G958" i="6"/>
  <c r="F958" i="6"/>
  <c r="G957" i="6"/>
  <c r="F957" i="6"/>
  <c r="G956" i="6"/>
  <c r="F956" i="6"/>
  <c r="G955" i="6"/>
  <c r="F955" i="6"/>
  <c r="G954" i="6"/>
  <c r="F954" i="6"/>
  <c r="G953" i="6"/>
  <c r="F953" i="6"/>
  <c r="G952" i="6"/>
  <c r="F952" i="6"/>
  <c r="G951" i="6"/>
  <c r="F951" i="6"/>
  <c r="G950" i="6"/>
  <c r="F950" i="6"/>
  <c r="G949" i="6"/>
  <c r="F949" i="6"/>
  <c r="G948" i="6"/>
  <c r="F948" i="6"/>
  <c r="G947" i="6"/>
  <c r="F947" i="6"/>
  <c r="G946" i="6"/>
  <c r="F946" i="6"/>
  <c r="G945" i="6"/>
  <c r="F945" i="6"/>
  <c r="G944" i="6"/>
  <c r="F944" i="6"/>
  <c r="G943" i="6"/>
  <c r="F943" i="6"/>
  <c r="G942" i="6"/>
  <c r="F942" i="6"/>
  <c r="G941" i="6"/>
  <c r="F941" i="6"/>
  <c r="G940" i="6"/>
  <c r="F940" i="6"/>
  <c r="G939" i="6"/>
  <c r="F939" i="6"/>
  <c r="G938" i="6"/>
  <c r="F938" i="6"/>
  <c r="G937" i="6"/>
  <c r="F937" i="6"/>
  <c r="G936" i="6"/>
  <c r="F936" i="6"/>
  <c r="G935" i="6"/>
  <c r="F935" i="6"/>
  <c r="G934" i="6"/>
  <c r="F934" i="6"/>
  <c r="G933" i="6"/>
  <c r="F933" i="6"/>
  <c r="G932" i="6"/>
  <c r="F932" i="6"/>
  <c r="G931" i="6"/>
  <c r="F931" i="6"/>
  <c r="G930" i="6"/>
  <c r="F930" i="6"/>
  <c r="G929" i="6"/>
  <c r="F929" i="6"/>
  <c r="G928" i="6"/>
  <c r="F928" i="6"/>
  <c r="G927" i="6"/>
  <c r="F927" i="6"/>
  <c r="G926" i="6"/>
  <c r="F926" i="6"/>
  <c r="G925" i="6"/>
  <c r="F925" i="6"/>
  <c r="G924" i="6"/>
  <c r="F924" i="6"/>
  <c r="G923" i="6"/>
  <c r="F923" i="6"/>
  <c r="G922" i="6"/>
  <c r="F922" i="6"/>
  <c r="G921" i="6"/>
  <c r="F921" i="6"/>
  <c r="G920" i="6"/>
  <c r="F920" i="6"/>
  <c r="G919" i="6"/>
  <c r="F919" i="6"/>
  <c r="G918" i="6"/>
  <c r="F918" i="6"/>
  <c r="G917" i="6"/>
  <c r="F917" i="6"/>
  <c r="G916" i="6"/>
  <c r="F916" i="6"/>
  <c r="G915" i="6"/>
  <c r="F915" i="6"/>
  <c r="G914" i="6"/>
  <c r="F914" i="6"/>
  <c r="G913" i="6"/>
  <c r="F913" i="6"/>
  <c r="G912" i="6"/>
  <c r="F912" i="6"/>
  <c r="G911" i="6"/>
  <c r="F911" i="6"/>
  <c r="G910" i="6"/>
  <c r="F910" i="6"/>
  <c r="G909" i="6"/>
  <c r="F909" i="6"/>
  <c r="G908" i="6"/>
  <c r="F908" i="6"/>
  <c r="G907" i="6"/>
  <c r="F907" i="6"/>
  <c r="G906" i="6"/>
  <c r="F906" i="6"/>
  <c r="G905" i="6"/>
  <c r="F905" i="6"/>
  <c r="G904" i="6"/>
  <c r="F904" i="6"/>
  <c r="G903" i="6"/>
  <c r="F903" i="6"/>
  <c r="G902" i="6"/>
  <c r="F902" i="6"/>
  <c r="G901" i="6"/>
  <c r="F901" i="6"/>
  <c r="G900" i="6"/>
  <c r="F900" i="6"/>
  <c r="G899" i="6"/>
  <c r="F899" i="6"/>
  <c r="G898" i="6"/>
  <c r="F898" i="6"/>
  <c r="G897" i="6"/>
  <c r="F897" i="6"/>
  <c r="G896" i="6"/>
  <c r="F896" i="6"/>
  <c r="G895" i="6"/>
  <c r="F895" i="6"/>
  <c r="G894" i="6"/>
  <c r="F894" i="6"/>
  <c r="G893" i="6"/>
  <c r="F893" i="6"/>
  <c r="G892" i="6"/>
  <c r="F892" i="6"/>
  <c r="G891" i="6"/>
  <c r="F891" i="6"/>
  <c r="G890" i="6"/>
  <c r="F890" i="6"/>
  <c r="G889" i="6"/>
  <c r="F889" i="6"/>
  <c r="G888" i="6"/>
  <c r="F888" i="6"/>
  <c r="G887" i="6"/>
  <c r="F887" i="6"/>
  <c r="G886" i="6"/>
  <c r="F886" i="6"/>
  <c r="G885" i="6"/>
  <c r="F885" i="6"/>
  <c r="G884" i="6"/>
  <c r="F884" i="6"/>
  <c r="G883" i="6"/>
  <c r="F883" i="6"/>
  <c r="G882" i="6"/>
  <c r="F882" i="6"/>
  <c r="G881" i="6"/>
  <c r="F881" i="6"/>
  <c r="G880" i="6"/>
  <c r="F880" i="6"/>
  <c r="G879" i="6"/>
  <c r="F879" i="6"/>
  <c r="G878" i="6"/>
  <c r="F878" i="6"/>
  <c r="G877" i="6"/>
  <c r="F877" i="6"/>
  <c r="G876" i="6"/>
  <c r="F876" i="6"/>
  <c r="G875" i="6"/>
  <c r="F875" i="6"/>
  <c r="G874" i="6"/>
  <c r="F874" i="6"/>
  <c r="G873" i="6"/>
  <c r="F873" i="6"/>
  <c r="G872" i="6"/>
  <c r="F872" i="6"/>
  <c r="G871" i="6"/>
  <c r="F871" i="6"/>
  <c r="G870" i="6"/>
  <c r="F870" i="6"/>
  <c r="G869" i="6"/>
  <c r="F869" i="6"/>
  <c r="G868" i="6"/>
  <c r="F868" i="6"/>
  <c r="G867" i="6"/>
  <c r="F867" i="6"/>
  <c r="G866" i="6"/>
  <c r="F866" i="6"/>
  <c r="G865" i="6"/>
  <c r="F865" i="6"/>
  <c r="G864" i="6"/>
  <c r="F864" i="6"/>
  <c r="G863" i="6"/>
  <c r="F863" i="6"/>
  <c r="G862" i="6"/>
  <c r="F862" i="6"/>
  <c r="G861" i="6"/>
  <c r="F861" i="6"/>
  <c r="G860" i="6"/>
  <c r="F860" i="6"/>
  <c r="G859" i="6"/>
  <c r="F859" i="6"/>
  <c r="G858" i="6"/>
  <c r="F858" i="6"/>
  <c r="G857" i="6"/>
  <c r="F857" i="6"/>
  <c r="G856" i="6"/>
  <c r="F856" i="6"/>
  <c r="G855" i="6"/>
  <c r="F855" i="6"/>
  <c r="G854" i="6"/>
  <c r="F854" i="6"/>
  <c r="G853" i="6"/>
  <c r="F853" i="6"/>
  <c r="G852" i="6"/>
  <c r="F852" i="6"/>
  <c r="G851" i="6"/>
  <c r="F851" i="6"/>
  <c r="G850" i="6"/>
  <c r="F850" i="6"/>
  <c r="G849" i="6"/>
  <c r="F849" i="6"/>
  <c r="G848" i="6"/>
  <c r="F848" i="6"/>
  <c r="G847" i="6"/>
  <c r="F847" i="6"/>
  <c r="G846" i="6"/>
  <c r="F846" i="6"/>
  <c r="G845" i="6"/>
  <c r="F845" i="6"/>
  <c r="G844" i="6"/>
  <c r="F844" i="6"/>
  <c r="G843" i="6"/>
  <c r="F843" i="6"/>
  <c r="G842" i="6"/>
  <c r="F842" i="6"/>
  <c r="G841" i="6"/>
  <c r="F841" i="6"/>
  <c r="G840" i="6"/>
  <c r="F840" i="6"/>
  <c r="G839" i="6"/>
  <c r="F839" i="6"/>
  <c r="G838" i="6"/>
  <c r="F838" i="6"/>
  <c r="G837" i="6"/>
  <c r="F837" i="6"/>
  <c r="G836" i="6"/>
  <c r="F836" i="6"/>
  <c r="G835" i="6"/>
  <c r="F835" i="6"/>
  <c r="G834" i="6"/>
  <c r="F834" i="6"/>
  <c r="G833" i="6"/>
  <c r="F833" i="6"/>
  <c r="G832" i="6"/>
  <c r="F832" i="6"/>
  <c r="G831" i="6"/>
  <c r="F831" i="6"/>
  <c r="G830" i="6"/>
  <c r="F830" i="6"/>
  <c r="G829" i="6"/>
  <c r="F829" i="6"/>
  <c r="G828" i="6"/>
  <c r="F828" i="6"/>
  <c r="G827" i="6"/>
  <c r="F827" i="6"/>
  <c r="G826" i="6"/>
  <c r="F826" i="6"/>
  <c r="G825" i="6"/>
  <c r="F825" i="6"/>
  <c r="G824" i="6"/>
  <c r="F824" i="6"/>
  <c r="G823" i="6"/>
  <c r="F823" i="6"/>
  <c r="G822" i="6"/>
  <c r="F822" i="6"/>
  <c r="G821" i="6"/>
  <c r="F821" i="6"/>
  <c r="G820" i="6"/>
  <c r="F820" i="6"/>
  <c r="G819" i="6"/>
  <c r="F819" i="6"/>
  <c r="G818" i="6"/>
  <c r="F818" i="6"/>
  <c r="G817" i="6"/>
  <c r="F817" i="6"/>
  <c r="G816" i="6"/>
  <c r="F816" i="6"/>
  <c r="G815" i="6"/>
  <c r="F815" i="6"/>
  <c r="G814" i="6"/>
  <c r="F814" i="6"/>
  <c r="G813" i="6"/>
  <c r="F813" i="6"/>
  <c r="G812" i="6"/>
  <c r="F812" i="6"/>
  <c r="G811" i="6"/>
  <c r="F811" i="6"/>
  <c r="G810" i="6"/>
  <c r="F810" i="6"/>
  <c r="G809" i="6"/>
  <c r="F809" i="6"/>
  <c r="G808" i="6"/>
  <c r="F808" i="6"/>
  <c r="G807" i="6"/>
  <c r="F807" i="6"/>
  <c r="G806" i="6"/>
  <c r="F806" i="6"/>
  <c r="G805" i="6"/>
  <c r="F805" i="6"/>
  <c r="G804" i="6"/>
  <c r="F804" i="6"/>
  <c r="G803" i="6"/>
  <c r="F803" i="6"/>
  <c r="G802" i="6"/>
  <c r="F802" i="6"/>
  <c r="G801" i="6"/>
  <c r="F801" i="6"/>
  <c r="G800" i="6"/>
  <c r="F800" i="6"/>
  <c r="G799" i="6"/>
  <c r="F799" i="6"/>
  <c r="G798" i="6"/>
  <c r="F798" i="6"/>
  <c r="G797" i="6"/>
  <c r="F797" i="6"/>
  <c r="G796" i="6"/>
  <c r="F796" i="6"/>
  <c r="G795" i="6"/>
  <c r="F795" i="6"/>
  <c r="G794" i="6"/>
  <c r="F794" i="6"/>
  <c r="G793" i="6"/>
  <c r="F793" i="6"/>
  <c r="G792" i="6"/>
  <c r="F792" i="6"/>
  <c r="G791" i="6"/>
  <c r="F791" i="6"/>
  <c r="G790" i="6"/>
  <c r="F790" i="6"/>
  <c r="G789" i="6"/>
  <c r="F789" i="6"/>
  <c r="G788" i="6"/>
  <c r="F788" i="6"/>
  <c r="G787" i="6"/>
  <c r="F787" i="6"/>
  <c r="G786" i="6"/>
  <c r="F786" i="6"/>
  <c r="G785" i="6"/>
  <c r="F785" i="6"/>
  <c r="G784" i="6"/>
  <c r="F784" i="6"/>
  <c r="G783" i="6"/>
  <c r="F783" i="6"/>
  <c r="G782" i="6"/>
  <c r="F782" i="6"/>
  <c r="G781" i="6"/>
  <c r="F781" i="6"/>
  <c r="G780" i="6"/>
  <c r="F780" i="6"/>
  <c r="G779" i="6"/>
  <c r="F779" i="6"/>
  <c r="G778" i="6"/>
  <c r="F778" i="6"/>
  <c r="G777" i="6"/>
  <c r="F777" i="6"/>
  <c r="G776" i="6"/>
  <c r="F776" i="6"/>
  <c r="G775" i="6"/>
  <c r="F775" i="6"/>
  <c r="G774" i="6"/>
  <c r="F774" i="6"/>
  <c r="G773" i="6"/>
  <c r="F773" i="6"/>
  <c r="G772" i="6"/>
  <c r="F772" i="6"/>
  <c r="G771" i="6"/>
  <c r="F771" i="6"/>
  <c r="G770" i="6"/>
  <c r="F770" i="6"/>
  <c r="G769" i="6"/>
  <c r="F769" i="6"/>
  <c r="G768" i="6"/>
  <c r="F768" i="6"/>
  <c r="G767" i="6"/>
  <c r="F767" i="6"/>
  <c r="G766" i="6"/>
  <c r="F766" i="6"/>
  <c r="G765" i="6"/>
  <c r="F765" i="6"/>
  <c r="G764" i="6"/>
  <c r="F764" i="6"/>
  <c r="G763" i="6"/>
  <c r="F763" i="6"/>
  <c r="G762" i="6"/>
  <c r="F762" i="6"/>
  <c r="G761" i="6"/>
  <c r="F761" i="6"/>
  <c r="G760" i="6"/>
  <c r="F760" i="6"/>
  <c r="G759" i="6"/>
  <c r="F759" i="6"/>
  <c r="G758" i="6"/>
  <c r="F758" i="6"/>
  <c r="G757" i="6"/>
  <c r="F757" i="6"/>
  <c r="G756" i="6"/>
  <c r="F756" i="6"/>
  <c r="G755" i="6"/>
  <c r="F755" i="6"/>
  <c r="G754" i="6"/>
  <c r="F754" i="6"/>
  <c r="G753" i="6"/>
  <c r="F753" i="6"/>
  <c r="G752" i="6"/>
  <c r="F752" i="6"/>
  <c r="G751" i="6"/>
  <c r="F751" i="6"/>
  <c r="G750" i="6"/>
  <c r="F750" i="6"/>
  <c r="G749" i="6"/>
  <c r="F749" i="6"/>
  <c r="G748" i="6"/>
  <c r="F748" i="6"/>
  <c r="G747" i="6"/>
  <c r="F747" i="6"/>
  <c r="G746" i="6"/>
  <c r="F746" i="6"/>
  <c r="G745" i="6"/>
  <c r="F745" i="6"/>
  <c r="G744" i="6"/>
  <c r="F744" i="6"/>
  <c r="G743" i="6"/>
  <c r="F743" i="6"/>
  <c r="G742" i="6"/>
  <c r="F742" i="6"/>
  <c r="G741" i="6"/>
  <c r="F741" i="6"/>
  <c r="G740" i="6"/>
  <c r="F740" i="6"/>
  <c r="G739" i="6"/>
  <c r="F739" i="6"/>
  <c r="G738" i="6"/>
  <c r="F738" i="6"/>
  <c r="G737" i="6"/>
  <c r="F737" i="6"/>
  <c r="G736" i="6"/>
  <c r="F736" i="6"/>
  <c r="G735" i="6"/>
  <c r="F735" i="6"/>
  <c r="G734" i="6"/>
  <c r="F734" i="6"/>
  <c r="G733" i="6"/>
  <c r="F733" i="6"/>
  <c r="G732" i="6"/>
  <c r="F732" i="6"/>
  <c r="G731" i="6"/>
  <c r="F731" i="6"/>
  <c r="G730" i="6"/>
  <c r="F730" i="6"/>
  <c r="G729" i="6"/>
  <c r="F729" i="6"/>
  <c r="G728" i="6"/>
  <c r="F728" i="6"/>
  <c r="G727" i="6"/>
  <c r="F727" i="6"/>
  <c r="G726" i="6"/>
  <c r="F726" i="6"/>
  <c r="G725" i="6"/>
  <c r="F725" i="6"/>
  <c r="G724" i="6"/>
  <c r="F724" i="6"/>
  <c r="G723" i="6"/>
  <c r="F723" i="6"/>
  <c r="G722" i="6"/>
  <c r="F722" i="6"/>
  <c r="G721" i="6"/>
  <c r="F721" i="6"/>
  <c r="G720" i="6"/>
  <c r="F720" i="6"/>
  <c r="G719" i="6"/>
  <c r="F719" i="6"/>
  <c r="G718" i="6"/>
  <c r="F718" i="6"/>
  <c r="G717" i="6"/>
  <c r="F717" i="6"/>
  <c r="G716" i="6"/>
  <c r="F716" i="6"/>
  <c r="G715" i="6"/>
  <c r="F715" i="6"/>
  <c r="G714" i="6"/>
  <c r="F714" i="6"/>
  <c r="G713" i="6"/>
  <c r="F713" i="6"/>
  <c r="G712" i="6"/>
  <c r="F712" i="6"/>
  <c r="G711" i="6"/>
  <c r="F711" i="6"/>
  <c r="G710" i="6"/>
  <c r="F710" i="6"/>
  <c r="G709" i="6"/>
  <c r="F709" i="6"/>
  <c r="G708" i="6"/>
  <c r="F708" i="6"/>
  <c r="G707" i="6"/>
  <c r="F707" i="6"/>
  <c r="G706" i="6"/>
  <c r="F706" i="6"/>
  <c r="G705" i="6"/>
  <c r="F705" i="6"/>
  <c r="G704" i="6"/>
  <c r="F704" i="6"/>
  <c r="G703" i="6"/>
  <c r="F703" i="6"/>
  <c r="G702" i="6"/>
  <c r="F702" i="6"/>
  <c r="G701" i="6"/>
  <c r="F701" i="6"/>
  <c r="G700" i="6"/>
  <c r="F700" i="6"/>
  <c r="G699" i="6"/>
  <c r="F699" i="6"/>
  <c r="G698" i="6"/>
  <c r="F698" i="6"/>
  <c r="G697" i="6"/>
  <c r="F697" i="6"/>
  <c r="G696" i="6"/>
  <c r="F696" i="6"/>
  <c r="G695" i="6"/>
  <c r="F695" i="6"/>
  <c r="G694" i="6"/>
  <c r="F694" i="6"/>
  <c r="G693" i="6"/>
  <c r="F693" i="6"/>
  <c r="G692" i="6"/>
  <c r="F692" i="6"/>
  <c r="G691" i="6"/>
  <c r="F691" i="6"/>
  <c r="G690" i="6"/>
  <c r="F690" i="6"/>
  <c r="G689" i="6"/>
  <c r="F689" i="6"/>
  <c r="G688" i="6"/>
  <c r="F688" i="6"/>
  <c r="G687" i="6"/>
  <c r="F687" i="6"/>
  <c r="G686" i="6"/>
  <c r="F686" i="6"/>
  <c r="G685" i="6"/>
  <c r="F685" i="6"/>
  <c r="G684" i="6"/>
  <c r="F684" i="6"/>
  <c r="G683" i="6"/>
  <c r="F683" i="6"/>
  <c r="G682" i="6"/>
  <c r="F682" i="6"/>
  <c r="G681" i="6"/>
  <c r="F681" i="6"/>
  <c r="G680" i="6"/>
  <c r="F680" i="6"/>
  <c r="G679" i="6"/>
  <c r="F679" i="6"/>
  <c r="G678" i="6"/>
  <c r="F678" i="6"/>
  <c r="G677" i="6"/>
  <c r="F677" i="6"/>
  <c r="G676" i="6"/>
  <c r="F676" i="6"/>
  <c r="G675" i="6"/>
  <c r="F675" i="6"/>
  <c r="G674" i="6"/>
  <c r="F674" i="6"/>
  <c r="G673" i="6"/>
  <c r="F673" i="6"/>
  <c r="G672" i="6"/>
  <c r="F672" i="6"/>
  <c r="G671" i="6"/>
  <c r="F671" i="6"/>
  <c r="G670" i="6"/>
  <c r="F670" i="6"/>
  <c r="G669" i="6"/>
  <c r="F669" i="6"/>
  <c r="G668" i="6"/>
  <c r="F668" i="6"/>
  <c r="G667" i="6"/>
  <c r="F667" i="6"/>
  <c r="G666" i="6"/>
  <c r="F666" i="6"/>
  <c r="G665" i="6"/>
  <c r="F665" i="6"/>
  <c r="G664" i="6"/>
  <c r="F664" i="6"/>
  <c r="G663" i="6"/>
  <c r="F663" i="6"/>
  <c r="G662" i="6"/>
  <c r="F662" i="6"/>
  <c r="G661" i="6"/>
  <c r="F661" i="6"/>
  <c r="G660" i="6"/>
  <c r="F660" i="6"/>
  <c r="G659" i="6"/>
  <c r="F659" i="6"/>
  <c r="G658" i="6"/>
  <c r="F658" i="6"/>
  <c r="G657" i="6"/>
  <c r="F657" i="6"/>
  <c r="G656" i="6"/>
  <c r="F656" i="6"/>
  <c r="G655" i="6"/>
  <c r="F655" i="6"/>
  <c r="G654" i="6"/>
  <c r="F654" i="6"/>
  <c r="G653" i="6"/>
  <c r="F653" i="6"/>
  <c r="G652" i="6"/>
  <c r="F652" i="6"/>
  <c r="G651" i="6"/>
  <c r="F651" i="6"/>
  <c r="G650" i="6"/>
  <c r="F650" i="6"/>
  <c r="G649" i="6"/>
  <c r="F649" i="6"/>
  <c r="G648" i="6"/>
  <c r="F648" i="6"/>
  <c r="G647" i="6"/>
  <c r="F647" i="6"/>
  <c r="G646" i="6"/>
  <c r="F646" i="6"/>
  <c r="G645" i="6"/>
  <c r="F645" i="6"/>
  <c r="G644" i="6"/>
  <c r="F644" i="6"/>
  <c r="G643" i="6"/>
  <c r="F643" i="6"/>
  <c r="G642" i="6"/>
  <c r="F642" i="6"/>
  <c r="G641" i="6"/>
  <c r="F641" i="6"/>
  <c r="G640" i="6"/>
  <c r="F640" i="6"/>
  <c r="G639" i="6"/>
  <c r="F639" i="6"/>
  <c r="G638" i="6"/>
  <c r="F638" i="6"/>
  <c r="G637" i="6"/>
  <c r="F637" i="6"/>
  <c r="G636" i="6"/>
  <c r="F636" i="6"/>
  <c r="G635" i="6"/>
  <c r="F635" i="6"/>
  <c r="G634" i="6"/>
  <c r="F634" i="6"/>
  <c r="G633" i="6"/>
  <c r="F633" i="6"/>
  <c r="G632" i="6"/>
  <c r="F632" i="6"/>
  <c r="G631" i="6"/>
  <c r="F631" i="6"/>
  <c r="G630" i="6"/>
  <c r="F630" i="6"/>
  <c r="G629" i="6"/>
  <c r="F629" i="6"/>
  <c r="G628" i="6"/>
  <c r="F628" i="6"/>
  <c r="G627" i="6"/>
  <c r="F627" i="6"/>
  <c r="G626" i="6"/>
  <c r="F626" i="6"/>
  <c r="G625" i="6"/>
  <c r="F625" i="6"/>
  <c r="G624" i="6"/>
  <c r="F624" i="6"/>
  <c r="G623" i="6"/>
  <c r="F623" i="6"/>
  <c r="G622" i="6"/>
  <c r="F622" i="6"/>
  <c r="G621" i="6"/>
  <c r="F621" i="6"/>
  <c r="G620" i="6"/>
  <c r="F620" i="6"/>
  <c r="G619" i="6"/>
  <c r="F619" i="6"/>
  <c r="G618" i="6"/>
  <c r="F618" i="6"/>
  <c r="G617" i="6"/>
  <c r="F617" i="6"/>
  <c r="G616" i="6"/>
  <c r="F616" i="6"/>
  <c r="G615" i="6"/>
  <c r="F615" i="6"/>
  <c r="G614" i="6"/>
  <c r="F614" i="6"/>
  <c r="G613" i="6"/>
  <c r="F613" i="6"/>
  <c r="G612" i="6"/>
  <c r="F612" i="6"/>
  <c r="G611" i="6"/>
  <c r="F611" i="6"/>
  <c r="G610" i="6"/>
  <c r="F610" i="6"/>
  <c r="G609" i="6"/>
  <c r="F609" i="6"/>
  <c r="G608" i="6"/>
  <c r="F608" i="6"/>
  <c r="G607" i="6"/>
  <c r="F607" i="6"/>
  <c r="G606" i="6"/>
  <c r="F606" i="6"/>
  <c r="G605" i="6"/>
  <c r="F605" i="6"/>
  <c r="G604" i="6"/>
  <c r="F604" i="6"/>
  <c r="G603" i="6"/>
  <c r="F603" i="6"/>
  <c r="G602" i="6"/>
  <c r="F602" i="6"/>
  <c r="G601" i="6"/>
  <c r="F601" i="6"/>
  <c r="G600" i="6"/>
  <c r="F600" i="6"/>
  <c r="G599" i="6"/>
  <c r="F599" i="6"/>
  <c r="G598" i="6"/>
  <c r="F598" i="6"/>
  <c r="G597" i="6"/>
  <c r="F597" i="6"/>
  <c r="G596" i="6"/>
  <c r="F596" i="6"/>
  <c r="G595" i="6"/>
  <c r="F595" i="6"/>
  <c r="G594" i="6"/>
  <c r="F594" i="6"/>
  <c r="G593" i="6"/>
  <c r="F593" i="6"/>
  <c r="G592" i="6"/>
  <c r="F592" i="6"/>
  <c r="G591" i="6"/>
  <c r="F591" i="6"/>
  <c r="G590" i="6"/>
  <c r="F590" i="6"/>
  <c r="G589" i="6"/>
  <c r="F589" i="6"/>
  <c r="G588" i="6"/>
  <c r="F588" i="6"/>
  <c r="G587" i="6"/>
  <c r="F587" i="6"/>
  <c r="G586" i="6"/>
  <c r="F586" i="6"/>
  <c r="G585" i="6"/>
  <c r="F585" i="6"/>
  <c r="G584" i="6"/>
  <c r="F584" i="6"/>
  <c r="G583" i="6"/>
  <c r="F583" i="6"/>
  <c r="G582" i="6"/>
  <c r="F582" i="6"/>
  <c r="G581" i="6"/>
  <c r="F581" i="6"/>
  <c r="G580" i="6"/>
  <c r="F580" i="6"/>
  <c r="G579" i="6"/>
  <c r="F579" i="6"/>
  <c r="G578" i="6"/>
  <c r="F578" i="6"/>
  <c r="G577" i="6"/>
  <c r="F577" i="6"/>
  <c r="G576" i="6"/>
  <c r="F576" i="6"/>
  <c r="G575" i="6"/>
  <c r="F575" i="6"/>
  <c r="G574" i="6"/>
  <c r="F574" i="6"/>
  <c r="G573" i="6"/>
  <c r="F573" i="6"/>
  <c r="G572" i="6"/>
  <c r="F572" i="6"/>
  <c r="G571" i="6"/>
  <c r="F571" i="6"/>
  <c r="G570" i="6"/>
  <c r="F570" i="6"/>
  <c r="G569" i="6"/>
  <c r="F569" i="6"/>
  <c r="G568" i="6"/>
  <c r="F568" i="6"/>
  <c r="G567" i="6"/>
  <c r="F567" i="6"/>
  <c r="G566" i="6"/>
  <c r="F566" i="6"/>
  <c r="G565" i="6"/>
  <c r="F565" i="6"/>
  <c r="G564" i="6"/>
  <c r="F564" i="6"/>
  <c r="G563" i="6"/>
  <c r="F563" i="6"/>
  <c r="G562" i="6"/>
  <c r="F562" i="6"/>
  <c r="G561" i="6"/>
  <c r="F561" i="6"/>
  <c r="G560" i="6"/>
  <c r="F560" i="6"/>
  <c r="G559" i="6"/>
  <c r="F559" i="6"/>
  <c r="G558" i="6"/>
  <c r="F558" i="6"/>
  <c r="G557" i="6"/>
  <c r="F557" i="6"/>
  <c r="G556" i="6"/>
  <c r="F556" i="6"/>
  <c r="G555" i="6"/>
  <c r="F555" i="6"/>
  <c r="G554" i="6"/>
  <c r="F554" i="6"/>
  <c r="G553" i="6"/>
  <c r="F553" i="6"/>
  <c r="G552" i="6"/>
  <c r="F552" i="6"/>
  <c r="G551" i="6"/>
  <c r="F551" i="6"/>
  <c r="G550" i="6"/>
  <c r="F550" i="6"/>
  <c r="G549" i="6"/>
  <c r="F549" i="6"/>
  <c r="G548" i="6"/>
  <c r="F548" i="6"/>
  <c r="G547" i="6"/>
  <c r="F547" i="6"/>
  <c r="G546" i="6"/>
  <c r="F546" i="6"/>
  <c r="G545" i="6"/>
  <c r="F545" i="6"/>
  <c r="G544" i="6"/>
  <c r="F544" i="6"/>
  <c r="G543" i="6"/>
  <c r="F543" i="6"/>
  <c r="G542" i="6"/>
  <c r="F542" i="6"/>
  <c r="G541" i="6"/>
  <c r="F541" i="6"/>
  <c r="G540" i="6"/>
  <c r="F540" i="6"/>
  <c r="G539" i="6"/>
  <c r="F539" i="6"/>
  <c r="G538" i="6"/>
  <c r="F538" i="6"/>
  <c r="G537" i="6"/>
  <c r="F537" i="6"/>
  <c r="G536" i="6"/>
  <c r="F536" i="6"/>
  <c r="G535" i="6"/>
  <c r="F535" i="6"/>
  <c r="G534" i="6"/>
  <c r="F534" i="6"/>
  <c r="G533" i="6"/>
  <c r="F533" i="6"/>
  <c r="G532" i="6"/>
  <c r="F532" i="6"/>
  <c r="G531" i="6"/>
  <c r="F531" i="6"/>
  <c r="G530" i="6"/>
  <c r="F530" i="6"/>
  <c r="G529" i="6"/>
  <c r="F529" i="6"/>
  <c r="G528" i="6"/>
  <c r="F528" i="6"/>
  <c r="G527" i="6"/>
  <c r="F527" i="6"/>
  <c r="G526" i="6"/>
  <c r="F526" i="6"/>
  <c r="G525" i="6"/>
  <c r="F525" i="6"/>
  <c r="G524" i="6"/>
  <c r="F524" i="6"/>
  <c r="G523" i="6"/>
  <c r="F523" i="6"/>
  <c r="G522" i="6"/>
  <c r="F522" i="6"/>
  <c r="G521" i="6"/>
  <c r="F521" i="6"/>
  <c r="G520" i="6"/>
  <c r="F520" i="6"/>
  <c r="G519" i="6"/>
  <c r="F519" i="6"/>
  <c r="G518" i="6"/>
  <c r="F518" i="6"/>
  <c r="G517" i="6"/>
  <c r="F517" i="6"/>
  <c r="G516" i="6"/>
  <c r="F516" i="6"/>
  <c r="G515" i="6"/>
  <c r="F515" i="6"/>
  <c r="G514" i="6"/>
  <c r="F514" i="6"/>
  <c r="G513" i="6"/>
  <c r="F513" i="6"/>
  <c r="G512" i="6"/>
  <c r="F512" i="6"/>
  <c r="G511" i="6"/>
  <c r="F511" i="6"/>
  <c r="G510" i="6"/>
  <c r="F510" i="6"/>
  <c r="G509" i="6"/>
  <c r="F509" i="6"/>
  <c r="G508" i="6"/>
  <c r="F508" i="6"/>
  <c r="G507" i="6"/>
  <c r="F507" i="6"/>
  <c r="G506" i="6"/>
  <c r="F506" i="6"/>
  <c r="G505" i="6"/>
  <c r="F505" i="6"/>
  <c r="G504" i="6"/>
  <c r="F504" i="6"/>
  <c r="G503" i="6"/>
  <c r="F503" i="6"/>
  <c r="G502" i="6"/>
  <c r="F502" i="6"/>
  <c r="G501" i="6"/>
  <c r="F501" i="6"/>
  <c r="G500" i="6"/>
  <c r="F500" i="6"/>
  <c r="G499" i="6"/>
  <c r="F499" i="6"/>
  <c r="G498" i="6"/>
  <c r="F498" i="6"/>
  <c r="G497" i="6"/>
  <c r="F497" i="6"/>
  <c r="G496" i="6"/>
  <c r="F496" i="6"/>
  <c r="G495" i="6"/>
  <c r="F495" i="6"/>
  <c r="G494" i="6"/>
  <c r="F494" i="6"/>
  <c r="G493" i="6"/>
  <c r="F493" i="6"/>
  <c r="G492" i="6"/>
  <c r="F492" i="6"/>
  <c r="G491" i="6"/>
  <c r="F491" i="6"/>
  <c r="G490" i="6"/>
  <c r="F490" i="6"/>
  <c r="G489" i="6"/>
  <c r="F489" i="6"/>
  <c r="G488" i="6"/>
  <c r="F488" i="6"/>
  <c r="G487" i="6"/>
  <c r="F487" i="6"/>
  <c r="G486" i="6"/>
  <c r="F486" i="6"/>
  <c r="G485" i="6"/>
  <c r="F485" i="6"/>
  <c r="G484" i="6"/>
  <c r="F484" i="6"/>
  <c r="G483" i="6"/>
  <c r="F483" i="6"/>
  <c r="G482" i="6"/>
  <c r="F482" i="6"/>
  <c r="G481" i="6"/>
  <c r="F481" i="6"/>
  <c r="G480" i="6"/>
  <c r="F480" i="6"/>
  <c r="G479" i="6"/>
  <c r="F479" i="6"/>
  <c r="G478" i="6"/>
  <c r="F478" i="6"/>
  <c r="G477" i="6"/>
  <c r="F477" i="6"/>
  <c r="G476" i="6"/>
  <c r="F476" i="6"/>
  <c r="G475" i="6"/>
  <c r="F475" i="6"/>
  <c r="G474" i="6"/>
  <c r="F474" i="6"/>
  <c r="G473" i="6"/>
  <c r="F473" i="6"/>
  <c r="G472" i="6"/>
  <c r="F472" i="6"/>
  <c r="G471" i="6"/>
  <c r="F471" i="6"/>
  <c r="G470" i="6"/>
  <c r="F470" i="6"/>
  <c r="G469" i="6"/>
  <c r="F469" i="6"/>
  <c r="G468" i="6"/>
  <c r="F468" i="6"/>
  <c r="G467" i="6"/>
  <c r="F467" i="6"/>
  <c r="G466" i="6"/>
  <c r="F466" i="6"/>
  <c r="G465" i="6"/>
  <c r="F465" i="6"/>
  <c r="G464" i="6"/>
  <c r="F464" i="6"/>
  <c r="G463" i="6"/>
  <c r="F463" i="6"/>
  <c r="G462" i="6"/>
  <c r="F462" i="6"/>
  <c r="G461" i="6"/>
  <c r="F461" i="6"/>
  <c r="G460" i="6"/>
  <c r="F460" i="6"/>
  <c r="G459" i="6"/>
  <c r="F459" i="6"/>
  <c r="G458" i="6"/>
  <c r="F458" i="6"/>
  <c r="G457" i="6"/>
  <c r="F457" i="6"/>
  <c r="G456" i="6"/>
  <c r="F456" i="6"/>
  <c r="G455" i="6"/>
  <c r="F455" i="6"/>
  <c r="G454" i="6"/>
  <c r="F454" i="6"/>
  <c r="G453" i="6"/>
  <c r="F453" i="6"/>
  <c r="G452" i="6"/>
  <c r="F452" i="6"/>
  <c r="G451" i="6"/>
  <c r="F451" i="6"/>
  <c r="G450" i="6"/>
  <c r="F450" i="6"/>
  <c r="G449" i="6"/>
  <c r="F449" i="6"/>
  <c r="G448" i="6"/>
  <c r="F448" i="6"/>
  <c r="G447" i="6"/>
  <c r="F447" i="6"/>
  <c r="G446" i="6"/>
  <c r="F446" i="6"/>
  <c r="G445" i="6"/>
  <c r="F445" i="6"/>
  <c r="G444" i="6"/>
  <c r="F444" i="6"/>
  <c r="G443" i="6"/>
  <c r="F443" i="6"/>
  <c r="G442" i="6"/>
  <c r="F442" i="6"/>
  <c r="G441" i="6"/>
  <c r="F441" i="6"/>
  <c r="G440" i="6"/>
  <c r="F440" i="6"/>
  <c r="G439" i="6"/>
  <c r="F439" i="6"/>
  <c r="G438" i="6"/>
  <c r="F438" i="6"/>
  <c r="G437" i="6"/>
  <c r="F437" i="6"/>
  <c r="G436" i="6"/>
  <c r="F436" i="6"/>
  <c r="G435" i="6"/>
  <c r="F435" i="6"/>
  <c r="G434" i="6"/>
  <c r="F434" i="6"/>
  <c r="G433" i="6"/>
  <c r="F433" i="6"/>
  <c r="G432" i="6"/>
  <c r="F432" i="6"/>
  <c r="G431" i="6"/>
  <c r="F431" i="6"/>
  <c r="G430" i="6"/>
  <c r="F430" i="6"/>
  <c r="G429" i="6"/>
  <c r="F429" i="6"/>
  <c r="G428" i="6"/>
  <c r="F428" i="6"/>
  <c r="G427" i="6"/>
  <c r="F427" i="6"/>
  <c r="G426" i="6"/>
  <c r="F426" i="6"/>
  <c r="G425" i="6"/>
  <c r="F425" i="6"/>
  <c r="G424" i="6"/>
  <c r="F424" i="6"/>
  <c r="G423" i="6"/>
  <c r="F423" i="6"/>
  <c r="G422" i="6"/>
  <c r="F422" i="6"/>
  <c r="G421" i="6"/>
  <c r="F421" i="6"/>
  <c r="G420" i="6"/>
  <c r="F420" i="6"/>
  <c r="G419" i="6"/>
  <c r="F419" i="6"/>
  <c r="G418" i="6"/>
  <c r="F418" i="6"/>
  <c r="G417" i="6"/>
  <c r="F417" i="6"/>
  <c r="G416" i="6"/>
  <c r="F416" i="6"/>
  <c r="G415" i="6"/>
  <c r="F415" i="6"/>
  <c r="G414" i="6"/>
  <c r="F414" i="6"/>
  <c r="G413" i="6"/>
  <c r="F413" i="6"/>
  <c r="G412" i="6"/>
  <c r="F412" i="6"/>
  <c r="G411" i="6"/>
  <c r="F411" i="6"/>
  <c r="G410" i="6"/>
  <c r="F410" i="6"/>
  <c r="G409" i="6"/>
  <c r="F409" i="6"/>
  <c r="G408" i="6"/>
  <c r="F408" i="6"/>
  <c r="G407" i="6"/>
  <c r="F407" i="6"/>
  <c r="G406" i="6"/>
  <c r="F406" i="6"/>
  <c r="G405" i="6"/>
  <c r="F405" i="6"/>
  <c r="G404" i="6"/>
  <c r="F404" i="6"/>
  <c r="G403" i="6"/>
  <c r="F403" i="6"/>
  <c r="G402" i="6"/>
  <c r="F402" i="6"/>
  <c r="G401" i="6"/>
  <c r="F401" i="6"/>
  <c r="G400" i="6"/>
  <c r="F400" i="6"/>
  <c r="G399" i="6"/>
  <c r="F399" i="6"/>
  <c r="G398" i="6"/>
  <c r="F398" i="6"/>
  <c r="G397" i="6"/>
  <c r="F397" i="6"/>
  <c r="G396" i="6"/>
  <c r="F396" i="6"/>
  <c r="G395" i="6"/>
  <c r="F395" i="6"/>
  <c r="G394" i="6"/>
  <c r="F394" i="6"/>
  <c r="G393" i="6"/>
  <c r="F393" i="6"/>
  <c r="G392" i="6"/>
  <c r="F392" i="6"/>
  <c r="G391" i="6"/>
  <c r="F391" i="6"/>
  <c r="G390" i="6"/>
  <c r="F390" i="6"/>
  <c r="G389" i="6"/>
  <c r="F389" i="6"/>
  <c r="G388" i="6"/>
  <c r="F388" i="6"/>
  <c r="G387" i="6"/>
  <c r="F387" i="6"/>
  <c r="G386" i="6"/>
  <c r="F386" i="6"/>
  <c r="G385" i="6"/>
  <c r="F385" i="6"/>
  <c r="G384" i="6"/>
  <c r="F384" i="6"/>
  <c r="G383" i="6"/>
  <c r="F383" i="6"/>
  <c r="G382" i="6"/>
  <c r="F382" i="6"/>
  <c r="G381" i="6"/>
  <c r="F381" i="6"/>
  <c r="G380" i="6"/>
  <c r="F380" i="6"/>
  <c r="G379" i="6"/>
  <c r="F379" i="6"/>
  <c r="G378" i="6"/>
  <c r="F378" i="6"/>
  <c r="G377" i="6"/>
  <c r="F377" i="6"/>
  <c r="G376" i="6"/>
  <c r="F376" i="6"/>
  <c r="G375" i="6"/>
  <c r="F375" i="6"/>
  <c r="G374" i="6"/>
  <c r="F374" i="6"/>
  <c r="G373" i="6"/>
  <c r="F373" i="6"/>
  <c r="G372" i="6"/>
  <c r="F372" i="6"/>
  <c r="G371" i="6"/>
  <c r="F371" i="6"/>
  <c r="G370" i="6"/>
  <c r="F370" i="6"/>
  <c r="G369" i="6"/>
  <c r="F369" i="6"/>
  <c r="G368" i="6"/>
  <c r="F368" i="6"/>
  <c r="G367" i="6"/>
  <c r="F367" i="6"/>
  <c r="G366" i="6"/>
  <c r="F366" i="6"/>
  <c r="G365" i="6"/>
  <c r="F365" i="6"/>
  <c r="G364" i="6"/>
  <c r="F364" i="6"/>
  <c r="G363" i="6"/>
  <c r="F363" i="6"/>
  <c r="G362" i="6"/>
  <c r="F362" i="6"/>
  <c r="G361" i="6"/>
  <c r="F361" i="6"/>
  <c r="G360" i="6"/>
  <c r="F360" i="6"/>
  <c r="G359" i="6"/>
  <c r="F359" i="6"/>
  <c r="G358" i="6"/>
  <c r="F358" i="6"/>
  <c r="G357" i="6"/>
  <c r="F357" i="6"/>
  <c r="G356" i="6"/>
  <c r="F356" i="6"/>
  <c r="G355" i="6"/>
  <c r="F355" i="6"/>
  <c r="G354" i="6"/>
  <c r="F354" i="6"/>
  <c r="G353" i="6"/>
  <c r="F353" i="6"/>
  <c r="G352" i="6"/>
  <c r="F352" i="6"/>
  <c r="G351" i="6"/>
  <c r="F351" i="6"/>
  <c r="G350" i="6"/>
  <c r="F350" i="6"/>
  <c r="G349" i="6"/>
  <c r="F349" i="6"/>
  <c r="G348" i="6"/>
  <c r="F348" i="6"/>
  <c r="G347" i="6"/>
  <c r="F347" i="6"/>
  <c r="G346" i="6"/>
  <c r="F346" i="6"/>
  <c r="G345" i="6"/>
  <c r="F345" i="6"/>
  <c r="G344" i="6"/>
  <c r="F344" i="6"/>
  <c r="G343" i="6"/>
  <c r="F343" i="6"/>
  <c r="G342" i="6"/>
  <c r="F342" i="6"/>
  <c r="G341" i="6"/>
  <c r="F341" i="6"/>
  <c r="G340" i="6"/>
  <c r="F340" i="6"/>
  <c r="G339" i="6"/>
  <c r="F339" i="6"/>
  <c r="G338" i="6"/>
  <c r="F338" i="6"/>
  <c r="G337" i="6"/>
  <c r="F337" i="6"/>
  <c r="G336" i="6"/>
  <c r="F336" i="6"/>
  <c r="G335" i="6"/>
  <c r="F335" i="6"/>
  <c r="G334" i="6"/>
  <c r="F334" i="6"/>
  <c r="G333" i="6"/>
  <c r="F333" i="6"/>
  <c r="G332" i="6"/>
  <c r="F332" i="6"/>
  <c r="G331" i="6"/>
  <c r="F331" i="6"/>
  <c r="G330" i="6"/>
  <c r="F330" i="6"/>
  <c r="G329" i="6"/>
  <c r="F329" i="6"/>
  <c r="G328" i="6"/>
  <c r="F328" i="6"/>
  <c r="G327" i="6"/>
  <c r="F327" i="6"/>
  <c r="G326" i="6"/>
  <c r="F326" i="6"/>
  <c r="G325" i="6"/>
  <c r="F325" i="6"/>
  <c r="G324" i="6"/>
  <c r="F324" i="6"/>
  <c r="G323" i="6"/>
  <c r="F323" i="6"/>
  <c r="G322" i="6"/>
  <c r="F322" i="6"/>
  <c r="G321" i="6"/>
  <c r="F321" i="6"/>
  <c r="G320" i="6"/>
  <c r="F320" i="6"/>
  <c r="G319" i="6"/>
  <c r="F319" i="6"/>
  <c r="G318" i="6"/>
  <c r="F318" i="6"/>
  <c r="G317" i="6"/>
  <c r="F317" i="6"/>
  <c r="G316" i="6"/>
  <c r="F316" i="6"/>
  <c r="G315" i="6"/>
  <c r="F315" i="6"/>
  <c r="G314" i="6"/>
  <c r="F314" i="6"/>
  <c r="G313" i="6"/>
  <c r="F313" i="6"/>
  <c r="G312" i="6"/>
  <c r="F312" i="6"/>
  <c r="G311" i="6"/>
  <c r="F311" i="6"/>
  <c r="G310" i="6"/>
  <c r="F310" i="6"/>
  <c r="G309" i="6"/>
  <c r="F309" i="6"/>
  <c r="G308" i="6"/>
  <c r="F308" i="6"/>
  <c r="G307" i="6"/>
  <c r="F307" i="6"/>
  <c r="G306" i="6"/>
  <c r="F306" i="6"/>
  <c r="G305" i="6"/>
  <c r="F305" i="6"/>
  <c r="G304" i="6"/>
  <c r="F304" i="6"/>
  <c r="G303" i="6"/>
  <c r="F303" i="6"/>
  <c r="G302" i="6"/>
  <c r="F302" i="6"/>
  <c r="G301" i="6"/>
  <c r="F301" i="6"/>
  <c r="G300" i="6"/>
  <c r="F300" i="6"/>
  <c r="G299" i="6"/>
  <c r="F299" i="6"/>
  <c r="G298" i="6"/>
  <c r="F298" i="6"/>
  <c r="G297" i="6"/>
  <c r="F297" i="6"/>
  <c r="G296" i="6"/>
  <c r="F296" i="6"/>
  <c r="G295" i="6"/>
  <c r="F295" i="6"/>
  <c r="G294" i="6"/>
  <c r="F294" i="6"/>
  <c r="G293" i="6"/>
  <c r="F293" i="6"/>
  <c r="G292" i="6"/>
  <c r="F292" i="6"/>
  <c r="G291" i="6"/>
  <c r="F291" i="6"/>
  <c r="G290" i="6"/>
  <c r="F290" i="6"/>
  <c r="G289" i="6"/>
  <c r="F289" i="6"/>
  <c r="G288" i="6"/>
  <c r="F288" i="6"/>
  <c r="G287" i="6"/>
  <c r="F287" i="6"/>
  <c r="G286" i="6"/>
  <c r="F286" i="6"/>
  <c r="G285" i="6"/>
  <c r="F285" i="6"/>
  <c r="G284" i="6"/>
  <c r="F284" i="6"/>
  <c r="G283" i="6"/>
  <c r="F283" i="6"/>
  <c r="G282" i="6"/>
  <c r="F282" i="6"/>
  <c r="G281" i="6"/>
  <c r="F281" i="6"/>
  <c r="G280" i="6"/>
  <c r="F280" i="6"/>
  <c r="G279" i="6"/>
  <c r="F279" i="6"/>
  <c r="G278" i="6"/>
  <c r="F278" i="6"/>
  <c r="G277" i="6"/>
  <c r="F277" i="6"/>
  <c r="G276" i="6"/>
  <c r="F276" i="6"/>
  <c r="G275" i="6"/>
  <c r="F275" i="6"/>
  <c r="G274" i="6"/>
  <c r="F274" i="6"/>
  <c r="G273" i="6"/>
  <c r="F273" i="6"/>
  <c r="G272" i="6"/>
  <c r="F272" i="6"/>
  <c r="G271" i="6"/>
  <c r="F271" i="6"/>
  <c r="G270" i="6"/>
  <c r="F270" i="6"/>
  <c r="G269" i="6"/>
  <c r="F269" i="6"/>
  <c r="G268" i="6"/>
  <c r="F268" i="6"/>
  <c r="G267" i="6"/>
  <c r="F267" i="6"/>
  <c r="G266" i="6"/>
  <c r="F266" i="6"/>
  <c r="G265" i="6"/>
  <c r="F265" i="6"/>
  <c r="G264" i="6"/>
  <c r="F264" i="6"/>
  <c r="G263" i="6"/>
  <c r="F263" i="6"/>
  <c r="G262" i="6"/>
  <c r="F262" i="6"/>
  <c r="G261" i="6"/>
  <c r="F261" i="6"/>
  <c r="G260" i="6"/>
  <c r="F260" i="6"/>
  <c r="G259" i="6"/>
  <c r="F259" i="6"/>
  <c r="G258" i="6"/>
  <c r="F258" i="6"/>
  <c r="G257" i="6"/>
  <c r="F257" i="6"/>
  <c r="G256" i="6"/>
  <c r="F256" i="6"/>
  <c r="G255" i="6"/>
  <c r="F255" i="6"/>
  <c r="G254" i="6"/>
  <c r="F254" i="6"/>
  <c r="G253" i="6"/>
  <c r="F253" i="6"/>
  <c r="G252" i="6"/>
  <c r="F252" i="6"/>
  <c r="G251" i="6"/>
  <c r="F251" i="6"/>
  <c r="G250" i="6"/>
  <c r="F250" i="6"/>
  <c r="G249" i="6"/>
  <c r="F249" i="6"/>
  <c r="G248" i="6"/>
  <c r="F248" i="6"/>
  <c r="G247" i="6"/>
  <c r="F247" i="6"/>
  <c r="G246" i="6"/>
  <c r="F246" i="6"/>
  <c r="G245" i="6"/>
  <c r="F245" i="6"/>
  <c r="G244" i="6"/>
  <c r="F244" i="6"/>
  <c r="G243" i="6"/>
  <c r="F243" i="6"/>
  <c r="G242" i="6"/>
  <c r="F242" i="6"/>
  <c r="G241" i="6"/>
  <c r="F241" i="6"/>
  <c r="G240" i="6"/>
  <c r="F240" i="6"/>
  <c r="G239" i="6"/>
  <c r="F239" i="6"/>
  <c r="G238" i="6"/>
  <c r="F238" i="6"/>
  <c r="G237" i="6"/>
  <c r="F237" i="6"/>
  <c r="G236" i="6"/>
  <c r="F236" i="6"/>
  <c r="G235" i="6"/>
  <c r="F235" i="6"/>
  <c r="G234" i="6"/>
  <c r="F234" i="6"/>
  <c r="G233" i="6"/>
  <c r="F233" i="6"/>
  <c r="G232" i="6"/>
  <c r="F232" i="6"/>
  <c r="G231" i="6"/>
  <c r="F231" i="6"/>
  <c r="G230" i="6"/>
  <c r="F230" i="6"/>
  <c r="G229" i="6"/>
  <c r="F229" i="6"/>
  <c r="G228" i="6"/>
  <c r="F228" i="6"/>
  <c r="G227" i="6"/>
  <c r="F227" i="6"/>
  <c r="G226" i="6"/>
  <c r="F226" i="6"/>
  <c r="G225" i="6"/>
  <c r="F225" i="6"/>
  <c r="G224" i="6"/>
  <c r="F224" i="6"/>
  <c r="G223" i="6"/>
  <c r="F223" i="6"/>
  <c r="G222" i="6"/>
  <c r="F222" i="6"/>
  <c r="G221" i="6"/>
  <c r="F221" i="6"/>
  <c r="G220" i="6"/>
  <c r="F220" i="6"/>
  <c r="G219" i="6"/>
  <c r="F219" i="6"/>
  <c r="G218" i="6"/>
  <c r="F218" i="6"/>
  <c r="G217" i="6"/>
  <c r="F217" i="6"/>
  <c r="G216" i="6"/>
  <c r="F216" i="6"/>
  <c r="G215" i="6"/>
  <c r="F215" i="6"/>
  <c r="G214" i="6"/>
  <c r="F214" i="6"/>
  <c r="G213" i="6"/>
  <c r="F213" i="6"/>
  <c r="G212" i="6"/>
  <c r="F212" i="6"/>
  <c r="G211" i="6"/>
  <c r="F211" i="6"/>
  <c r="G210" i="6"/>
  <c r="F210" i="6"/>
  <c r="G209" i="6"/>
  <c r="F209" i="6"/>
  <c r="G208" i="6"/>
  <c r="F208" i="6"/>
  <c r="G207" i="6"/>
  <c r="F207" i="6"/>
  <c r="G206" i="6"/>
  <c r="F206" i="6"/>
  <c r="G205" i="6"/>
  <c r="F205" i="6"/>
  <c r="G204" i="6"/>
  <c r="F204" i="6"/>
  <c r="G203" i="6"/>
  <c r="F203" i="6"/>
  <c r="G202" i="6"/>
  <c r="F202" i="6"/>
  <c r="G201" i="6"/>
  <c r="F201" i="6"/>
  <c r="G200" i="6"/>
  <c r="F200" i="6"/>
  <c r="G199" i="6"/>
  <c r="F199" i="6"/>
  <c r="G198" i="6"/>
  <c r="F198" i="6"/>
  <c r="G197" i="6"/>
  <c r="F197" i="6"/>
  <c r="G196" i="6"/>
  <c r="F196" i="6"/>
  <c r="G195" i="6"/>
  <c r="F195" i="6"/>
  <c r="G194" i="6"/>
  <c r="F194" i="6"/>
  <c r="G193" i="6"/>
  <c r="F193" i="6"/>
  <c r="G192" i="6"/>
  <c r="F192" i="6"/>
  <c r="G191" i="6"/>
  <c r="F191" i="6"/>
  <c r="G190" i="6"/>
  <c r="F190" i="6"/>
  <c r="G189" i="6"/>
  <c r="F189" i="6"/>
  <c r="G188" i="6"/>
  <c r="F188" i="6"/>
  <c r="G187" i="6"/>
  <c r="F187" i="6"/>
  <c r="G186" i="6"/>
  <c r="F186" i="6"/>
  <c r="G185" i="6"/>
  <c r="F185" i="6"/>
  <c r="G184" i="6"/>
  <c r="F184" i="6"/>
  <c r="G183" i="6"/>
  <c r="F183" i="6"/>
  <c r="G182" i="6"/>
  <c r="F182" i="6"/>
  <c r="G181" i="6"/>
  <c r="F181" i="6"/>
  <c r="G180" i="6"/>
  <c r="F180" i="6"/>
  <c r="G179" i="6"/>
  <c r="F179" i="6"/>
  <c r="G178" i="6"/>
  <c r="F178" i="6"/>
  <c r="G177" i="6"/>
  <c r="F177" i="6"/>
  <c r="G176" i="6"/>
  <c r="F176" i="6"/>
  <c r="G175" i="6"/>
  <c r="F175" i="6"/>
  <c r="G174" i="6"/>
  <c r="F174" i="6"/>
  <c r="G173" i="6"/>
  <c r="F173" i="6"/>
  <c r="G172" i="6"/>
  <c r="F172" i="6"/>
  <c r="G171" i="6"/>
  <c r="F171" i="6"/>
  <c r="G170" i="6"/>
  <c r="F170" i="6"/>
  <c r="G169" i="6"/>
  <c r="F169" i="6"/>
  <c r="G168" i="6"/>
  <c r="F168" i="6"/>
  <c r="G167" i="6"/>
  <c r="F167" i="6"/>
  <c r="G166" i="6"/>
  <c r="F166" i="6"/>
  <c r="G165" i="6"/>
  <c r="F165" i="6"/>
  <c r="G164" i="6"/>
  <c r="F164" i="6"/>
  <c r="G163" i="6"/>
  <c r="F163" i="6"/>
  <c r="G162" i="6"/>
  <c r="F162" i="6"/>
  <c r="G161" i="6"/>
  <c r="F161" i="6"/>
  <c r="G160" i="6"/>
  <c r="F160" i="6"/>
  <c r="G159" i="6"/>
  <c r="F159" i="6"/>
  <c r="G158" i="6"/>
  <c r="F158" i="6"/>
  <c r="G157" i="6"/>
  <c r="F157" i="6"/>
  <c r="G156" i="6"/>
  <c r="F156" i="6"/>
  <c r="G155" i="6"/>
  <c r="F155" i="6"/>
  <c r="G154" i="6"/>
  <c r="F154" i="6"/>
  <c r="G153" i="6"/>
  <c r="F153" i="6"/>
  <c r="G152" i="6"/>
  <c r="F152" i="6"/>
  <c r="G151" i="6"/>
  <c r="F151" i="6"/>
  <c r="G150" i="6"/>
  <c r="F150" i="6"/>
  <c r="G149" i="6"/>
  <c r="F149" i="6"/>
  <c r="G148" i="6"/>
  <c r="F148" i="6"/>
  <c r="G147" i="6"/>
  <c r="F147" i="6"/>
  <c r="G146" i="6"/>
  <c r="F146" i="6"/>
  <c r="G145" i="6"/>
  <c r="F145" i="6"/>
  <c r="G144" i="6"/>
  <c r="F144" i="6"/>
  <c r="G143" i="6"/>
  <c r="F143" i="6"/>
  <c r="G142" i="6"/>
  <c r="F142" i="6"/>
  <c r="G141" i="6"/>
  <c r="F141" i="6"/>
  <c r="G140" i="6"/>
  <c r="F140" i="6"/>
  <c r="G139" i="6"/>
  <c r="F139" i="6"/>
  <c r="G138" i="6"/>
  <c r="F138" i="6"/>
  <c r="G137" i="6"/>
  <c r="F137" i="6"/>
  <c r="G136" i="6"/>
  <c r="F136" i="6"/>
  <c r="G135" i="6"/>
  <c r="F135" i="6"/>
  <c r="G134" i="6"/>
  <c r="F134" i="6"/>
  <c r="G133" i="6"/>
  <c r="F133" i="6"/>
  <c r="G132" i="6"/>
  <c r="F132" i="6"/>
  <c r="G131" i="6"/>
  <c r="F131" i="6"/>
  <c r="G130" i="6"/>
  <c r="F130" i="6"/>
  <c r="G129" i="6"/>
  <c r="F129" i="6"/>
  <c r="G128" i="6"/>
  <c r="F128" i="6"/>
  <c r="G127" i="6"/>
  <c r="F127" i="6"/>
  <c r="G126" i="6"/>
  <c r="F126" i="6"/>
  <c r="G125" i="6"/>
  <c r="F125" i="6"/>
  <c r="G124" i="6"/>
  <c r="F124" i="6"/>
  <c r="G123" i="6"/>
  <c r="F123" i="6"/>
  <c r="G122" i="6"/>
  <c r="F122" i="6"/>
  <c r="G121" i="6"/>
  <c r="F121" i="6"/>
  <c r="G120" i="6"/>
  <c r="F120" i="6"/>
  <c r="G119" i="6"/>
  <c r="F119" i="6"/>
  <c r="G118" i="6"/>
  <c r="F118" i="6"/>
  <c r="G117" i="6"/>
  <c r="F117" i="6"/>
  <c r="G116" i="6"/>
  <c r="F116" i="6"/>
  <c r="G115" i="6"/>
  <c r="F115" i="6"/>
  <c r="G114" i="6"/>
  <c r="F114" i="6"/>
  <c r="G113" i="6"/>
  <c r="F113" i="6"/>
  <c r="G112" i="6"/>
  <c r="F112" i="6"/>
  <c r="G111" i="6"/>
  <c r="F111" i="6"/>
  <c r="G110" i="6"/>
  <c r="F110" i="6"/>
  <c r="G109" i="6"/>
  <c r="F109" i="6"/>
  <c r="G108" i="6"/>
  <c r="F108" i="6"/>
  <c r="G107" i="6"/>
  <c r="F107" i="6"/>
  <c r="G106" i="6"/>
  <c r="F106" i="6"/>
  <c r="G105" i="6"/>
  <c r="F105" i="6"/>
  <c r="G104" i="6"/>
  <c r="F104" i="6"/>
  <c r="G103" i="6"/>
  <c r="F103" i="6"/>
  <c r="G102" i="6"/>
  <c r="F102" i="6"/>
  <c r="G101" i="6"/>
  <c r="F101" i="6"/>
  <c r="G100" i="6"/>
  <c r="F100" i="6"/>
  <c r="G99" i="6"/>
  <c r="F99" i="6"/>
  <c r="G98" i="6"/>
  <c r="F98" i="6"/>
  <c r="G97" i="6"/>
  <c r="F97" i="6"/>
  <c r="G96" i="6"/>
  <c r="F96" i="6"/>
  <c r="G95" i="6"/>
  <c r="F95" i="6"/>
  <c r="G94" i="6"/>
  <c r="F94" i="6"/>
  <c r="G93" i="6"/>
  <c r="F93" i="6"/>
  <c r="G92" i="6"/>
  <c r="F92" i="6"/>
  <c r="G91" i="6"/>
  <c r="F91" i="6"/>
  <c r="G90" i="6"/>
  <c r="F90" i="6"/>
  <c r="G89" i="6"/>
  <c r="F89" i="6"/>
  <c r="G88" i="6"/>
  <c r="F88" i="6"/>
  <c r="G87" i="6"/>
  <c r="F87" i="6"/>
  <c r="G86" i="6"/>
  <c r="F86" i="6"/>
  <c r="G85" i="6"/>
  <c r="F85" i="6"/>
  <c r="G84" i="6"/>
  <c r="F84" i="6"/>
  <c r="G83" i="6"/>
  <c r="F83" i="6"/>
  <c r="G82" i="6"/>
  <c r="F82" i="6"/>
  <c r="G81" i="6"/>
  <c r="F81" i="6"/>
  <c r="G80" i="6"/>
  <c r="F80" i="6"/>
  <c r="G79" i="6"/>
  <c r="F79" i="6"/>
  <c r="G78" i="6"/>
  <c r="F78" i="6"/>
  <c r="G77" i="6"/>
  <c r="F77" i="6"/>
  <c r="G76" i="6"/>
  <c r="F76" i="6"/>
  <c r="G75" i="6"/>
  <c r="F75" i="6"/>
  <c r="G74" i="6"/>
  <c r="F74" i="6"/>
  <c r="G73" i="6"/>
  <c r="F73" i="6"/>
  <c r="G72" i="6"/>
  <c r="F72" i="6"/>
  <c r="G71" i="6"/>
  <c r="F71" i="6"/>
  <c r="G70" i="6"/>
  <c r="F70" i="6"/>
  <c r="G69" i="6"/>
  <c r="F69" i="6"/>
  <c r="G68" i="6"/>
  <c r="F68" i="6"/>
  <c r="G67" i="6"/>
  <c r="F67" i="6"/>
  <c r="G66" i="6"/>
  <c r="F66" i="6"/>
  <c r="G65" i="6"/>
  <c r="F65" i="6"/>
  <c r="G64" i="6"/>
  <c r="F64" i="6"/>
  <c r="G63" i="6"/>
  <c r="F63" i="6"/>
  <c r="G62" i="6"/>
  <c r="F62" i="6"/>
  <c r="G61" i="6"/>
  <c r="F61" i="6"/>
  <c r="G60" i="6"/>
  <c r="F60" i="6"/>
  <c r="G59" i="6"/>
  <c r="F59" i="6"/>
  <c r="G58" i="6"/>
  <c r="F58" i="6"/>
  <c r="G57" i="6"/>
  <c r="F57" i="6"/>
  <c r="G56" i="6"/>
  <c r="F56" i="6"/>
  <c r="G55" i="6"/>
  <c r="F55" i="6"/>
  <c r="G54" i="6"/>
  <c r="F54" i="6"/>
  <c r="G53" i="6"/>
  <c r="F53" i="6"/>
  <c r="G52" i="6"/>
  <c r="F52" i="6"/>
  <c r="G51" i="6"/>
  <c r="F51" i="6"/>
  <c r="G50" i="6"/>
  <c r="F50" i="6"/>
  <c r="G49" i="6"/>
  <c r="F49" i="6"/>
  <c r="G48" i="6"/>
  <c r="F48" i="6"/>
  <c r="G47" i="6"/>
  <c r="F47" i="6"/>
  <c r="G46" i="6"/>
  <c r="F46" i="6"/>
  <c r="G45" i="6"/>
  <c r="F45" i="6"/>
  <c r="G44" i="6"/>
  <c r="F44" i="6"/>
  <c r="G43" i="6"/>
  <c r="F43" i="6"/>
  <c r="G42" i="6"/>
  <c r="F42" i="6"/>
  <c r="G41" i="6"/>
  <c r="F41" i="6"/>
  <c r="G40" i="6"/>
  <c r="F40" i="6"/>
  <c r="G39" i="6"/>
  <c r="F39" i="6"/>
  <c r="G38" i="6"/>
  <c r="F38" i="6"/>
  <c r="G37" i="6"/>
  <c r="F37" i="6"/>
  <c r="G36" i="6"/>
  <c r="F36" i="6"/>
  <c r="G35" i="6"/>
  <c r="F35" i="6"/>
  <c r="G34" i="6"/>
  <c r="F34" i="6"/>
  <c r="G33" i="6"/>
  <c r="F33" i="6"/>
  <c r="G32" i="6"/>
  <c r="F32" i="6"/>
  <c r="G31" i="6"/>
  <c r="F31" i="6"/>
  <c r="G30" i="6"/>
  <c r="F30" i="6"/>
  <c r="G29" i="6"/>
  <c r="F29" i="6"/>
  <c r="G28" i="6"/>
  <c r="F28" i="6"/>
  <c r="G27" i="6"/>
  <c r="F27" i="6"/>
  <c r="G26" i="6"/>
  <c r="F26" i="6"/>
  <c r="G25" i="6"/>
  <c r="F25" i="6"/>
  <c r="G24" i="6"/>
  <c r="F24" i="6"/>
  <c r="G23" i="6"/>
  <c r="F23" i="6"/>
  <c r="G22" i="6"/>
  <c r="F22"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247" i="1"/>
  <c r="H247" i="1"/>
  <c r="I246" i="1"/>
  <c r="H246" i="1"/>
  <c r="I245" i="1"/>
  <c r="H245" i="1"/>
  <c r="I244" i="1"/>
  <c r="H244" i="1"/>
  <c r="I243" i="1"/>
  <c r="H243" i="1"/>
  <c r="I242" i="1"/>
  <c r="H242" i="1"/>
  <c r="I241" i="1"/>
  <c r="H241" i="1"/>
  <c r="I240" i="1"/>
  <c r="H240" i="1"/>
  <c r="I239" i="1"/>
  <c r="H239" i="1"/>
  <c r="I238" i="1"/>
  <c r="H238" i="1"/>
  <c r="I237" i="1"/>
  <c r="H237" i="1"/>
  <c r="I236" i="1"/>
  <c r="H236" i="1"/>
  <c r="I235" i="1"/>
  <c r="H235" i="1"/>
  <c r="I234" i="1"/>
  <c r="H234" i="1"/>
  <c r="I233" i="1"/>
  <c r="H233" i="1"/>
  <c r="I232" i="1"/>
  <c r="H232" i="1"/>
  <c r="I231" i="1"/>
  <c r="H231" i="1"/>
  <c r="I230" i="1"/>
  <c r="H230" i="1"/>
  <c r="I229" i="1"/>
  <c r="H229" i="1"/>
  <c r="I228" i="1"/>
  <c r="H228" i="1"/>
  <c r="I227" i="1"/>
  <c r="H227" i="1"/>
  <c r="I226" i="1"/>
  <c r="H226" i="1"/>
  <c r="I225" i="1"/>
  <c r="H225" i="1"/>
  <c r="I224" i="1"/>
  <c r="H224" i="1"/>
  <c r="I223" i="1"/>
  <c r="H223" i="1"/>
  <c r="I222" i="1"/>
  <c r="H222"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I180" i="1"/>
  <c r="H180" i="1"/>
  <c r="I179" i="1"/>
  <c r="H179"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I162" i="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I7" i="1"/>
  <c r="H7" i="1"/>
  <c r="I6" i="1"/>
  <c r="H6" i="1"/>
  <c r="I5" i="1"/>
  <c r="H5" i="1"/>
  <c r="I4" i="1"/>
  <c r="H4" i="1"/>
  <c r="I3" i="1"/>
  <c r="H3" i="1"/>
  <c r="I2" i="1"/>
  <c r="H2" i="1"/>
</calcChain>
</file>

<file path=xl/sharedStrings.xml><?xml version="1.0" encoding="utf-8"?>
<sst xmlns="http://schemas.openxmlformats.org/spreadsheetml/2006/main" count="17427" uniqueCount="12057">
  <si>
    <t>Name</t>
  </si>
  <si>
    <t>Short Name</t>
  </si>
  <si>
    <t>Full Name</t>
  </si>
  <si>
    <t>Notes</t>
  </si>
  <si>
    <t>Overview</t>
  </si>
  <si>
    <t>Overview:</t>
  </si>
  <si>
    <t>Usage Notes:</t>
  </si>
  <si>
    <t>Column</t>
  </si>
  <si>
    <t>Purpose</t>
  </si>
  <si>
    <t>http://www.gwg.nga.mil/ccwg.php</t>
  </si>
  <si>
    <t>CCWG Resource:</t>
  </si>
  <si>
    <t>Release Notes:</t>
  </si>
  <si>
    <t>GENC Resource:</t>
  </si>
  <si>
    <t>2-character Code</t>
  </si>
  <si>
    <t>3-character Code</t>
  </si>
  <si>
    <t>Numeric Code</t>
  </si>
  <si>
    <r>
      <t xml:space="preserve">GENC Registry Page
</t>
    </r>
    <r>
      <rPr>
        <i/>
        <sz val="10"/>
        <color rgb="FF0000CC"/>
        <rFont val="Arial"/>
        <family val="2"/>
      </rPr>
      <t>(link)</t>
    </r>
  </si>
  <si>
    <r>
      <t>For example: "GB".  In the case that no 2-character code is specified, then this cell states</t>
    </r>
    <r>
      <rPr>
        <i/>
        <sz val="10"/>
        <rFont val="Arial"/>
        <family val="2"/>
      </rPr>
      <t xml:space="preserve"> </t>
    </r>
    <r>
      <rPr>
        <b/>
        <i/>
        <sz val="10"/>
        <color indexed="23"/>
        <rFont val="Arial"/>
        <family val="2"/>
      </rPr>
      <t>[None]</t>
    </r>
    <r>
      <rPr>
        <sz val="10"/>
        <rFont val="Arial"/>
        <family val="2"/>
      </rPr>
      <t>.</t>
    </r>
  </si>
  <si>
    <t>For example: "GBR".</t>
  </si>
  <si>
    <r>
      <t xml:space="preserve">For example: "826".  In the case that no 3-digit code is specified, then this cell states </t>
    </r>
    <r>
      <rPr>
        <b/>
        <i/>
        <sz val="10"/>
        <color indexed="23"/>
        <rFont val="Arial"/>
        <family val="2"/>
      </rPr>
      <t>[None]</t>
    </r>
    <r>
      <rPr>
        <sz val="10"/>
        <rFont val="Arial"/>
        <family val="2"/>
      </rPr>
      <t>.</t>
    </r>
  </si>
  <si>
    <t>For example: "UNITED KINGDOM".</t>
  </si>
  <si>
    <t>The short name of the geopolitical entity.</t>
  </si>
  <si>
    <t>This is a mixed-case character string, for example: "United Kingdom of Great Britain and Northern Ireland".</t>
  </si>
  <si>
    <t>The full name of the geopolitical entity.</t>
  </si>
  <si>
    <t>This is a mixed-case character string, for example: "United Kingdom".</t>
  </si>
  <si>
    <t>The short name of the geopolitical entity, in all capital letters with diacritical marks where applicable.</t>
  </si>
  <si>
    <t>http://nsgreg.nga.mil/genc</t>
  </si>
  <si>
    <t xml:space="preserve">If your workbook opens in Microsoft Excel without left-arrow/right-arrow control icons in one of your command bars, use the right-mouse menu while selecting an empty command bar area to the right of the header display (generally under the "Type a question for help" box) and select/enable the Web command bar.  
</t>
  </si>
  <si>
    <t>6-character Code</t>
  </si>
  <si>
    <t>Recommended</t>
  </si>
  <si>
    <t>Subdivision Category</t>
  </si>
  <si>
    <t xml:space="preserve">GENC Codespace URL: </t>
  </si>
  <si>
    <t xml:space="preserve">GENC Codespace URN: </t>
  </si>
  <si>
    <r>
      <t xml:space="preserve">Geopolitical Entity
</t>
    </r>
    <r>
      <rPr>
        <i/>
        <sz val="10"/>
        <color rgb="FF0000CC"/>
        <rFont val="Arial"/>
        <family val="2"/>
      </rPr>
      <t>(linked to corresponding specification)</t>
    </r>
  </si>
  <si>
    <r>
      <t xml:space="preserve">AS
</t>
    </r>
    <r>
      <rPr>
        <i/>
        <sz val="10"/>
        <color rgb="FF0000CC"/>
        <rFont val="Arial"/>
        <family val="2"/>
      </rPr>
      <t>(link)</t>
    </r>
  </si>
  <si>
    <r>
      <rPr>
        <b/>
        <sz val="10"/>
        <color rgb="FF0000CC"/>
        <rFont val="Arial"/>
        <family val="2"/>
      </rPr>
      <t>Administrative Subdivisions</t>
    </r>
    <r>
      <rPr>
        <b/>
        <sz val="10"/>
        <color theme="5" tint="-0.499984740745262"/>
        <rFont val="Arial"/>
        <family val="2"/>
      </rPr>
      <t xml:space="preserve">
</t>
    </r>
    <r>
      <rPr>
        <i/>
        <sz val="10"/>
        <color rgb="FF0000CC"/>
        <rFont val="Arial"/>
        <family val="2"/>
      </rPr>
      <t>(link)</t>
    </r>
  </si>
  <si>
    <t>If there are no administrative subdivisions then the link is absent and the cell is gray-filled.</t>
  </si>
  <si>
    <t>The alphanumeric 6-character code that is used to designate the administrative subdivision.</t>
  </si>
  <si>
    <t>For example: "Badakhshān".</t>
  </si>
  <si>
    <t>For example: "AF-DBS".</t>
  </si>
  <si>
    <r>
      <t xml:space="preserve">Geopolitical Entity
</t>
    </r>
    <r>
      <rPr>
        <i/>
        <sz val="10"/>
        <color rgb="FF0000CC"/>
        <rFont val="Arial"/>
        <family val="2"/>
      </rPr>
      <t>(link)</t>
    </r>
  </si>
  <si>
    <t xml:space="preserve">For example: "AFGHANISTAN". </t>
  </si>
  <si>
    <t>The type of the regional administrative subdivisions of the geopolitical entity of this administrative subdivision.  The subdivision category is based on similar governmental structure, administrative authority, and responsibilities in each administrative subdivision belonging to the category.
NOTE: Administrative subdivisions belonging to the same category do not overlap in territory.</t>
  </si>
  <si>
    <t>An indication that the administrative subdivision is considered by the U.S. BGN Foreign Names Committee to be a primary administrative division of a geopolitical entity.
NOTE: It is not required that all “recommended” administrative subdivisions within a geopolitical entity have the same subdivision category.</t>
  </si>
  <si>
    <r>
      <t xml:space="preserve">For example: TRUE. If the value is FALSE then the text font is </t>
    </r>
    <r>
      <rPr>
        <sz val="10"/>
        <color theme="0" tint="-0.34998626667073579"/>
        <rFont val="Arial"/>
        <family val="2"/>
      </rPr>
      <t>gray</t>
    </r>
    <r>
      <rPr>
        <sz val="10"/>
        <rFont val="Arial"/>
        <family val="2"/>
      </rPr>
      <t>.</t>
    </r>
  </si>
  <si>
    <r>
      <t xml:space="preserve">For example: U.S. "state", French "department", or Japanese "prefecture". If the value of </t>
    </r>
    <r>
      <rPr>
        <b/>
        <sz val="10"/>
        <rFont val="Arial"/>
        <family val="2"/>
      </rPr>
      <t>Recommended</t>
    </r>
    <r>
      <rPr>
        <sz val="10"/>
        <rFont val="Arial"/>
        <family val="2"/>
      </rPr>
      <t xml:space="preserve"> is FALSE then the text font is </t>
    </r>
    <r>
      <rPr>
        <sz val="10"/>
        <color theme="0" tint="-0.34998626667073579"/>
        <rFont val="Arial"/>
        <family val="2"/>
      </rPr>
      <t>gray</t>
    </r>
    <r>
      <rPr>
        <sz val="10"/>
        <rFont val="Arial"/>
        <family val="2"/>
      </rPr>
      <t>.</t>
    </r>
  </si>
  <si>
    <t>Preferred Name</t>
  </si>
  <si>
    <t>The preferred name of the administrative subdivision, with diacritical marks where applicable.  Among the names specified for an administrative subdivision, the preferred name takes precedence, although any or all of the names may be used (except ‘Variant Name’).</t>
  </si>
  <si>
    <t>The short name of the geopolitical entity, hyperlinked to the corresponding complete browser-based presentation of the GENC Standard information content for the geopolitical entity.</t>
  </si>
  <si>
    <r>
      <t xml:space="preserve">For example: "UNITED KINGDOM" with hyperlink </t>
    </r>
    <r>
      <rPr>
        <u/>
        <sz val="10"/>
        <color rgb="FF0000CC"/>
        <rFont val="Arial"/>
        <family val="2"/>
      </rPr>
      <t>http://nsgreg.nga.mil/genc/view?v=200004</t>
    </r>
  </si>
  <si>
    <r>
      <rPr>
        <b/>
        <sz val="10"/>
        <color theme="5" tint="-0.499984740745262"/>
        <rFont val="Arial"/>
        <family val="2"/>
      </rPr>
      <t xml:space="preserve">Short URN-based Identifier
</t>
    </r>
    <r>
      <rPr>
        <sz val="10"/>
        <color theme="5" tint="-0.499984740745262"/>
        <rFont val="Arial"/>
        <family val="2"/>
      </rPr>
      <t>(3-character code)</t>
    </r>
    <r>
      <rPr>
        <b/>
        <i/>
        <sz val="10"/>
        <color theme="5" tint="-0.499984740745262"/>
        <rFont val="Arial"/>
        <family val="2"/>
      </rPr>
      <t xml:space="preserve">
</t>
    </r>
    <r>
      <rPr>
        <i/>
        <sz val="10"/>
        <color rgb="FF0000CC"/>
        <rFont val="Arial"/>
        <family val="2"/>
      </rPr>
      <t>(XML Resource link)</t>
    </r>
  </si>
  <si>
    <t>The codespace-code combination (based on the short URN-based codespace identifier and 3-character code) unique identifier for the geopolitical entity in the specified content baseline, hyperlinked to the corresponding complete XML-based encoding of the GENC Standard information content for the geopolitical entity.
NOTE: The scope of uniqueness is limited to the GENC Registry.</t>
  </si>
  <si>
    <r>
      <t xml:space="preserve">For additional information see the GENC Standard, Edition 3.0, Section 5.4.
For example: "ge:GENC:3:ed3:AFG" with hyperlink </t>
    </r>
    <r>
      <rPr>
        <u/>
        <sz val="10"/>
        <color rgb="FF0000CC"/>
        <rFont val="Arial"/>
        <family val="2"/>
      </rPr>
      <t>http://api.nsgreg.nga.mil/geo-political/GENC/3/ed3/AFG</t>
    </r>
  </si>
  <si>
    <r>
      <t>A link to the specification of the set of administrative subdivisions, if any, of the geopolitical entity. This specification is documented in the</t>
    </r>
    <r>
      <rPr>
        <b/>
        <sz val="10"/>
        <color rgb="FF0070C0"/>
        <rFont val="Arial"/>
        <family val="2"/>
      </rPr>
      <t xml:space="preserve"> Codes_for_AS_Names </t>
    </r>
    <r>
      <rPr>
        <sz val="10"/>
        <rFont val="Arial"/>
        <family val="2"/>
      </rPr>
      <t>tab/worksheet.</t>
    </r>
  </si>
  <si>
    <r>
      <t xml:space="preserve">Codes used for the representation of the name(s) of a geopolitical entity.
    </t>
    </r>
    <r>
      <rPr>
        <sz val="10"/>
        <color indexed="12"/>
        <rFont val="Arial"/>
        <family val="2"/>
      </rPr>
      <t>A geopolitical entity is a region controlled by a political community having an organized government and possessing internal and
    external sovereignty, most often as a State but sometimes having a dependent relationship on another political authority
    or a special sovereignty status.
    NOTE: The degree of sovereignty may be limited in specific areas (for example: matters of economic, administrative, legislative,
    judicial, military and/or foreign policy). The region controlled by a sovereign geopolitical entity is commonly referred to as a "country".</t>
    </r>
  </si>
  <si>
    <t>For example, the code 'GBR' for the name "UNITED KINGDOM".</t>
  </si>
  <si>
    <t>Codes for Names of
Geopolitical Entities</t>
  </si>
  <si>
    <t>The alphanumeric 3-character code that is used to designate the names of the geopolitical entity.</t>
  </si>
  <si>
    <t>The alphanumeric 2-character code that is used to designate the names of the geopolitical entity.</t>
  </si>
  <si>
    <t>The 3-digit numeric code that is used to designate the names of the geopolitical entity.</t>
  </si>
  <si>
    <r>
      <t xml:space="preserve">Codes used for the representation of the name(s) of an administratively subordinate division of a geopolitical entity.
    </t>
    </r>
    <r>
      <rPr>
        <sz val="10"/>
        <color indexed="12"/>
        <rFont val="Arial"/>
        <family val="2"/>
      </rPr>
      <t>NOTE: A geopolitical entity (country) is typically divided into first-, second-, and lower-order administrative subdivisions.
    First-order administrative subdivisions are immediately subordinate to the government of the geopolitical entity,
    with second- and lower-order subdivisions subordinate to those above them. For example, (first-order) a U.S. state,
    a French region, a Japanese prefecture; a Canadian province; (second-order) a U.S. county, a French department;
    (third-order) a U.S. township, a French arrondissement; (lower-levels) a French commune.</t>
    </r>
  </si>
  <si>
    <t>For example, the code 'US-VA' for the name "Virginia".</t>
  </si>
  <si>
    <r>
      <t xml:space="preserve">The name of the geopolitical entity to which this administrative subdivision is subordinate, linked to its specification in the </t>
    </r>
    <r>
      <rPr>
        <b/>
        <sz val="10"/>
        <color rgb="FF0070C0"/>
        <rFont val="Arial"/>
        <family val="2"/>
      </rPr>
      <t>Codes_for_GE_Names</t>
    </r>
    <r>
      <rPr>
        <sz val="10"/>
        <color theme="1"/>
        <rFont val="Arial"/>
        <family val="2"/>
      </rPr>
      <t xml:space="preserve"> tab/worksheet.</t>
    </r>
  </si>
  <si>
    <t>The preferred name of the administrative subdivision, hyperlinked to the corresponding complete browser-based presentation of the GENC Standard information content for the administrative subdivision.</t>
  </si>
  <si>
    <r>
      <t xml:space="preserve">For example: "Badakhshān" with hyperlink </t>
    </r>
    <r>
      <rPr>
        <u/>
        <sz val="10"/>
        <color rgb="FF0000CC"/>
        <rFont val="Arial"/>
        <family val="2"/>
      </rPr>
      <t>http://nsgreg.nga.mil/genc/view?v=106346</t>
    </r>
  </si>
  <si>
    <r>
      <rPr>
        <b/>
        <sz val="10"/>
        <color theme="5" tint="-0.499984740745262"/>
        <rFont val="Arial"/>
        <family val="2"/>
      </rPr>
      <t>Short URN-based Identifier</t>
    </r>
    <r>
      <rPr>
        <b/>
        <i/>
        <sz val="10"/>
        <color theme="5" tint="-0.499984740745262"/>
        <rFont val="Arial"/>
        <family val="2"/>
      </rPr>
      <t xml:space="preserve">
</t>
    </r>
    <r>
      <rPr>
        <i/>
        <sz val="10"/>
        <color rgb="FF0000CC"/>
        <rFont val="Arial"/>
        <family val="2"/>
      </rPr>
      <t>(XML Resource link)</t>
    </r>
  </si>
  <si>
    <t>The codespace-code combination (based on the short URN-based codespace identifier and 6-character code) unique identifier for the administrative subdivision in the specified content baseline, hyperlinked to the corresponding complete XML-based encoding of the GENC Standard information content for the administrative subdivision.
NOTE: The scope of uniqueness is limited to the GENC Registry.</t>
  </si>
  <si>
    <r>
      <t xml:space="preserve">For additional information see the GENC Standard, Edition 3.0, Section 5.4.
For example: "as:GENC:6:ed3:AF-BDS" with hyperlink </t>
    </r>
    <r>
      <rPr>
        <u/>
        <sz val="10"/>
        <color rgb="FF0000CC"/>
        <rFont val="Arial"/>
        <family val="2"/>
      </rPr>
      <t>http://api.nsgreg.nga.mil/geo-division/GENC/6/ed3/AF-BDS</t>
    </r>
  </si>
  <si>
    <t>Codes for Names of
Administrative Subdivisions</t>
  </si>
  <si>
    <r>
      <t>Short URN-based Identifier</t>
    </r>
    <r>
      <rPr>
        <sz val="10"/>
        <color rgb="FF0000CC"/>
        <rFont val="Arial"/>
        <family val="2"/>
      </rPr>
      <t xml:space="preserve"> (3-character code)</t>
    </r>
    <r>
      <rPr>
        <b/>
        <sz val="10"/>
        <color rgb="FF0000CC"/>
        <rFont val="Arial"/>
        <family val="2"/>
      </rPr>
      <t xml:space="preserve">
</t>
    </r>
    <r>
      <rPr>
        <i/>
        <sz val="10"/>
        <color rgb="FF0000CC"/>
        <rFont val="Arial"/>
        <family val="2"/>
      </rPr>
      <t>(XML Resource link)</t>
    </r>
  </si>
  <si>
    <r>
      <t xml:space="preserve">Short URN-based Identifier
</t>
    </r>
    <r>
      <rPr>
        <i/>
        <sz val="10"/>
        <color rgb="FF0000CC"/>
        <rFont val="Arial"/>
        <family val="2"/>
      </rPr>
      <t>(XML Resource link)</t>
    </r>
  </si>
  <si>
    <t>[workbook prepared 12 August 2019, 12:47 AM]</t>
  </si>
  <si>
    <t>Informative: GENC Standard, Edition 3.0, Update 11, Index Workbook</t>
  </si>
  <si>
    <t>This informative workbook presents a core subset of the content of the Geopolitical Entities, Names, and Codes (GENC) Standard. The subset presented in this workbook is limited to the assigned names and codes for each item.  The online, dynamic information resource that is the GENC Registry (http://nsgreg.nga.mil/genc) is the single authoritative source for the geopolitical entities (and administrative subdivisions), names, and code content of the GENC Standard; it supports multiple online data access mechanisms and downloadable (offline) information products (e.g., XML files)._x000D_
This workbook consists of this cover sheet, a tab/sheet listing Geopolitical Entities, and a tab/sheet listing Administrative Subdivisions.  Hyperlinks are used to relate individual items in this workbook to each other, and to the corresponding complete online information resource in the GENC Registry.  The content of the GENC Registry as of [8/12/2019 12:47:35 AM] was used in the preparation of this workbook. The content of both the GENC Registry and the GENC Standard is managed by the Country Codes Working Group (CCWG).</t>
  </si>
  <si>
    <t>AFG</t>
  </si>
  <si>
    <t>AF</t>
  </si>
  <si>
    <t>004</t>
  </si>
  <si>
    <t>AFGHANISTAN</t>
  </si>
  <si>
    <t>Afghanistan</t>
  </si>
  <si>
    <t>Islamic Republic of Afghanistan</t>
  </si>
  <si>
    <t>XQZ</t>
  </si>
  <si>
    <t>QZ</t>
  </si>
  <si>
    <t>900</t>
  </si>
  <si>
    <t>AKROTIRI</t>
  </si>
  <si>
    <t>Akrotiri</t>
  </si>
  <si>
    <t>ALB</t>
  </si>
  <si>
    <t>AL</t>
  </si>
  <si>
    <t>008</t>
  </si>
  <si>
    <t>ALBANIA</t>
  </si>
  <si>
    <t>Albania</t>
  </si>
  <si>
    <t>Republic of Albania</t>
  </si>
  <si>
    <t>DZA</t>
  </si>
  <si>
    <t>DZ</t>
  </si>
  <si>
    <t>012</t>
  </si>
  <si>
    <t>ALGERIA</t>
  </si>
  <si>
    <t>Algeria</t>
  </si>
  <si>
    <t>People’s Democratic Republic of Algeria</t>
  </si>
  <si>
    <t>AG</t>
  </si>
  <si>
    <t>ASM</t>
  </si>
  <si>
    <t>AS</t>
  </si>
  <si>
    <t>016</t>
  </si>
  <si>
    <t>AMERICAN SAMOA</t>
  </si>
  <si>
    <t>American Samoa</t>
  </si>
  <si>
    <t>Territory of American Samoa</t>
  </si>
  <si>
    <t>AQ</t>
  </si>
  <si>
    <t>AND</t>
  </si>
  <si>
    <t>AD</t>
  </si>
  <si>
    <t>020</t>
  </si>
  <si>
    <t>ANDORRA</t>
  </si>
  <si>
    <t>Andorra</t>
  </si>
  <si>
    <t>Principality of Andorra</t>
  </si>
  <si>
    <t>AGO</t>
  </si>
  <si>
    <t>AO</t>
  </si>
  <si>
    <t>024</t>
  </si>
  <si>
    <t>ANGOLA</t>
  </si>
  <si>
    <t>Angola</t>
  </si>
  <si>
    <t>Republic of Angola</t>
  </si>
  <si>
    <t>AIA</t>
  </si>
  <si>
    <t>AI</t>
  </si>
  <si>
    <t>660</t>
  </si>
  <si>
    <t>ANGUILLA</t>
  </si>
  <si>
    <t>Anguilla</t>
  </si>
  <si>
    <t>ATA</t>
  </si>
  <si>
    <t>010</t>
  </si>
  <si>
    <t>ANTARCTICA</t>
  </si>
  <si>
    <t>Antarctica</t>
  </si>
  <si>
    <t>ATG</t>
  </si>
  <si>
    <t>028</t>
  </si>
  <si>
    <t>ANTIGUA AND BARBUDA</t>
  </si>
  <si>
    <t>Antigua and Barbuda</t>
  </si>
  <si>
    <t>ARG</t>
  </si>
  <si>
    <t>AR</t>
  </si>
  <si>
    <t>032</t>
  </si>
  <si>
    <t>ARGENTINA</t>
  </si>
  <si>
    <t>Argentina</t>
  </si>
  <si>
    <t>Argentine Republic</t>
  </si>
  <si>
    <t>ARM</t>
  </si>
  <si>
    <t>AM</t>
  </si>
  <si>
    <t>051</t>
  </si>
  <si>
    <t>ARMENIA</t>
  </si>
  <si>
    <t>Armenia</t>
  </si>
  <si>
    <t>Republic of Armenia</t>
  </si>
  <si>
    <t>ABW</t>
  </si>
  <si>
    <t>AW</t>
  </si>
  <si>
    <t>533</t>
  </si>
  <si>
    <t>ARUBA</t>
  </si>
  <si>
    <t>Aruba</t>
  </si>
  <si>
    <t>XAC</t>
  </si>
  <si>
    <t>XA</t>
  </si>
  <si>
    <t>902</t>
  </si>
  <si>
    <t>ASHMORE AND CARTIER ISLANDS</t>
  </si>
  <si>
    <t>Ashmore and Cartier Islands</t>
  </si>
  <si>
    <t>Territory of Ashmore and Cartier Islands</t>
  </si>
  <si>
    <t>AT</t>
  </si>
  <si>
    <t>AUS</t>
  </si>
  <si>
    <t>AU</t>
  </si>
  <si>
    <t>036</t>
  </si>
  <si>
    <t>AUSTRALIA</t>
  </si>
  <si>
    <t>Australia</t>
  </si>
  <si>
    <t>Commonwealth of Australia</t>
  </si>
  <si>
    <t>AUT</t>
  </si>
  <si>
    <t>040</t>
  </si>
  <si>
    <t>AUSTRIA</t>
  </si>
  <si>
    <t>Austria</t>
  </si>
  <si>
    <t>Republic of Austria</t>
  </si>
  <si>
    <t>AZE</t>
  </si>
  <si>
    <t>AZ</t>
  </si>
  <si>
    <t>031</t>
  </si>
  <si>
    <t>AZERBAIJAN</t>
  </si>
  <si>
    <t>Azerbaijan</t>
  </si>
  <si>
    <t>Republic of Azerbaijan</t>
  </si>
  <si>
    <t>BHS</t>
  </si>
  <si>
    <t>BS</t>
  </si>
  <si>
    <t>044</t>
  </si>
  <si>
    <t>BAHAMAS, THE</t>
  </si>
  <si>
    <t>Bahamas, The</t>
  </si>
  <si>
    <t>Commonwealth of The Bahamas</t>
  </si>
  <si>
    <t>BF</t>
  </si>
  <si>
    <t>BHR</t>
  </si>
  <si>
    <t>BH</t>
  </si>
  <si>
    <t>048</t>
  </si>
  <si>
    <t>BAHRAIN</t>
  </si>
  <si>
    <t>Bahrain</t>
  </si>
  <si>
    <t>Kingdom of Bahrain</t>
  </si>
  <si>
    <t>BA</t>
  </si>
  <si>
    <t>XBK</t>
  </si>
  <si>
    <t>XB</t>
  </si>
  <si>
    <t>903</t>
  </si>
  <si>
    <t>BAKER ISLAND</t>
  </si>
  <si>
    <t>Baker Island</t>
  </si>
  <si>
    <t>BGD</t>
  </si>
  <si>
    <t>BD</t>
  </si>
  <si>
    <t>050</t>
  </si>
  <si>
    <t>BANGLADESH</t>
  </si>
  <si>
    <t>Bangladesh</t>
  </si>
  <si>
    <t>People’s Republic of Bangladesh</t>
  </si>
  <si>
    <t>BG</t>
  </si>
  <si>
    <t>BRB</t>
  </si>
  <si>
    <t>BB</t>
  </si>
  <si>
    <t>052</t>
  </si>
  <si>
    <t>BARBADOS</t>
  </si>
  <si>
    <t>Barbados</t>
  </si>
  <si>
    <t>XBI</t>
  </si>
  <si>
    <t>QS</t>
  </si>
  <si>
    <t>904</t>
  </si>
  <si>
    <t>BASSAS DA INDIA</t>
  </si>
  <si>
    <t>Bassas da India</t>
  </si>
  <si>
    <t>BLR</t>
  </si>
  <si>
    <t>BY</t>
  </si>
  <si>
    <t>112</t>
  </si>
  <si>
    <t>BELARUS</t>
  </si>
  <si>
    <t>Belarus</t>
  </si>
  <si>
    <t>Republic of Belarus</t>
  </si>
  <si>
    <t>BO</t>
  </si>
  <si>
    <t>BEL</t>
  </si>
  <si>
    <t>BE</t>
  </si>
  <si>
    <t>056</t>
  </si>
  <si>
    <t>BELGIUM</t>
  </si>
  <si>
    <t>Belgium</t>
  </si>
  <si>
    <t>Kingdom of Belgium</t>
  </si>
  <si>
    <t>BLZ</t>
  </si>
  <si>
    <t>BZ</t>
  </si>
  <si>
    <t>084</t>
  </si>
  <si>
    <t>BELIZE</t>
  </si>
  <si>
    <t>Belize</t>
  </si>
  <si>
    <t>BEN</t>
  </si>
  <si>
    <t>BJ</t>
  </si>
  <si>
    <t>204</t>
  </si>
  <si>
    <t>BENIN</t>
  </si>
  <si>
    <t>Benin</t>
  </si>
  <si>
    <t>Republic of Benin</t>
  </si>
  <si>
    <t>BN</t>
  </si>
  <si>
    <t>BMU</t>
  </si>
  <si>
    <t>BM</t>
  </si>
  <si>
    <t>060</t>
  </si>
  <si>
    <t>BERMUDA</t>
  </si>
  <si>
    <t>Bermuda</t>
  </si>
  <si>
    <t>BTN</t>
  </si>
  <si>
    <t>BT</t>
  </si>
  <si>
    <t>064</t>
  </si>
  <si>
    <t>BHUTAN</t>
  </si>
  <si>
    <t>Bhutan</t>
  </si>
  <si>
    <t>Kingdom of Bhutan</t>
  </si>
  <si>
    <t>BOL</t>
  </si>
  <si>
    <t>068</t>
  </si>
  <si>
    <t>BOLIVIA</t>
  </si>
  <si>
    <t>Bolivia</t>
  </si>
  <si>
    <t>Plurinational State of Bolivia</t>
  </si>
  <si>
    <t>BL</t>
  </si>
  <si>
    <t>BES</t>
  </si>
  <si>
    <t>BQ</t>
  </si>
  <si>
    <t>535</t>
  </si>
  <si>
    <t>BONAIRE, SINT EUSTATIUS, AND SABA</t>
  </si>
  <si>
    <t>Bonaire, Sint Eustatius, and Saba</t>
  </si>
  <si>
    <t>BIH</t>
  </si>
  <si>
    <t>070</t>
  </si>
  <si>
    <t>BOSNIA AND HERZEGOVINA</t>
  </si>
  <si>
    <t>Bosnia and Herzegovina</t>
  </si>
  <si>
    <t>BWA</t>
  </si>
  <si>
    <t>BW</t>
  </si>
  <si>
    <t>072</t>
  </si>
  <si>
    <t>BOTSWANA</t>
  </si>
  <si>
    <t>Botswana</t>
  </si>
  <si>
    <t>Republic of Botswana</t>
  </si>
  <si>
    <t>BVT</t>
  </si>
  <si>
    <t>BV</t>
  </si>
  <si>
    <t>074</t>
  </si>
  <si>
    <t>BOUVET ISLAND</t>
  </si>
  <si>
    <t>Bouvet Island</t>
  </si>
  <si>
    <t>BRA</t>
  </si>
  <si>
    <t>BR</t>
  </si>
  <si>
    <t>076</t>
  </si>
  <si>
    <t>BRAZIL</t>
  </si>
  <si>
    <t>Brazil</t>
  </si>
  <si>
    <t>Federative Republic of Brazil</t>
  </si>
  <si>
    <t>IOT</t>
  </si>
  <si>
    <t>IO</t>
  </si>
  <si>
    <t>086</t>
  </si>
  <si>
    <t>BRITISH INDIAN OCEAN TERRITORY</t>
  </si>
  <si>
    <t>British Indian Ocean Territory</t>
  </si>
  <si>
    <t>BRN</t>
  </si>
  <si>
    <t>096</t>
  </si>
  <si>
    <t>BRUNEI</t>
  </si>
  <si>
    <t>Brunei</t>
  </si>
  <si>
    <t>Brunei Darussalam</t>
  </si>
  <si>
    <t>BGR</t>
  </si>
  <si>
    <t>100</t>
  </si>
  <si>
    <t>BULGARIA</t>
  </si>
  <si>
    <t>Bulgaria</t>
  </si>
  <si>
    <t>Republic of Bulgaria</t>
  </si>
  <si>
    <t>BFA</t>
  </si>
  <si>
    <t>854</t>
  </si>
  <si>
    <t>BURKINA FASO</t>
  </si>
  <si>
    <t>Burkina Faso</t>
  </si>
  <si>
    <t>MMR</t>
  </si>
  <si>
    <t>MM</t>
  </si>
  <si>
    <t>104</t>
  </si>
  <si>
    <t>BURMA</t>
  </si>
  <si>
    <t>Burma</t>
  </si>
  <si>
    <t>Union of Burma</t>
  </si>
  <si>
    <t>BDI</t>
  </si>
  <si>
    <t>BI</t>
  </si>
  <si>
    <t>108</t>
  </si>
  <si>
    <t>BURUNDI</t>
  </si>
  <si>
    <t>Burundi</t>
  </si>
  <si>
    <t>Republic of Burundi</t>
  </si>
  <si>
    <t>CPV</t>
  </si>
  <si>
    <t>CV</t>
  </si>
  <si>
    <t>132</t>
  </si>
  <si>
    <t>CABO VERDE</t>
  </si>
  <si>
    <t>Cabo Verde</t>
  </si>
  <si>
    <t>Republic of Cabo Verde</t>
  </si>
  <si>
    <t>KHM</t>
  </si>
  <si>
    <t>KH</t>
  </si>
  <si>
    <t>116</t>
  </si>
  <si>
    <t>CAMBODIA</t>
  </si>
  <si>
    <t>Cambodia</t>
  </si>
  <si>
    <t>Kingdom of Cambodia</t>
  </si>
  <si>
    <t>CMR</t>
  </si>
  <si>
    <t>CM</t>
  </si>
  <si>
    <t>120</t>
  </si>
  <si>
    <t>CAMEROON</t>
  </si>
  <si>
    <t>Cameroon</t>
  </si>
  <si>
    <t>Republic of Cameroon</t>
  </si>
  <si>
    <t>CAN</t>
  </si>
  <si>
    <t>CA</t>
  </si>
  <si>
    <t>124</t>
  </si>
  <si>
    <t>CANADA</t>
  </si>
  <si>
    <t>Canada</t>
  </si>
  <si>
    <t>CYM</t>
  </si>
  <si>
    <t>KY</t>
  </si>
  <si>
    <t>136</t>
  </si>
  <si>
    <t>CAYMAN ISLANDS</t>
  </si>
  <si>
    <t>Cayman Islands</t>
  </si>
  <si>
    <t>CAF</t>
  </si>
  <si>
    <t>CF</t>
  </si>
  <si>
    <t>140</t>
  </si>
  <si>
    <t>CENTRAL AFRICAN REPUBLIC</t>
  </si>
  <si>
    <t>Central African Republic</t>
  </si>
  <si>
    <t>TCD</t>
  </si>
  <si>
    <t>TD</t>
  </si>
  <si>
    <t>148</t>
  </si>
  <si>
    <t>CHAD</t>
  </si>
  <si>
    <t>Chad</t>
  </si>
  <si>
    <t>Republic of Chad</t>
  </si>
  <si>
    <t>CD</t>
  </si>
  <si>
    <t>CHL</t>
  </si>
  <si>
    <t>CL</t>
  </si>
  <si>
    <t>152</t>
  </si>
  <si>
    <t>CHILE</t>
  </si>
  <si>
    <t>Chile</t>
  </si>
  <si>
    <t>Republic of Chile</t>
  </si>
  <si>
    <t>CI</t>
  </si>
  <si>
    <t>CHN</t>
  </si>
  <si>
    <t>CN</t>
  </si>
  <si>
    <t>156</t>
  </si>
  <si>
    <t>CHINA</t>
  </si>
  <si>
    <t>China</t>
  </si>
  <si>
    <t>People’s Republic of China</t>
  </si>
  <si>
    <t>CH</t>
  </si>
  <si>
    <t>CXR</t>
  </si>
  <si>
    <t>CX</t>
  </si>
  <si>
    <t>162</t>
  </si>
  <si>
    <t>CHRISTMAS ISLAND</t>
  </si>
  <si>
    <t>Christmas Island</t>
  </si>
  <si>
    <t>Territory of Christmas Island</t>
  </si>
  <si>
    <t>CPT</t>
  </si>
  <si>
    <t>CP</t>
  </si>
  <si>
    <t>905</t>
  </si>
  <si>
    <t>CLIPPERTON ISLAND</t>
  </si>
  <si>
    <t>Clipperton Island</t>
  </si>
  <si>
    <t>CCK</t>
  </si>
  <si>
    <t>CC</t>
  </si>
  <si>
    <t>166</t>
  </si>
  <si>
    <t>COCOS (KEELING) ISLANDS</t>
  </si>
  <si>
    <t>Cocos (Keeling) Islands</t>
  </si>
  <si>
    <t>Territory of Cocos (Keeling) Islands</t>
  </si>
  <si>
    <t>CK</t>
  </si>
  <si>
    <t>COL</t>
  </si>
  <si>
    <t>CO</t>
  </si>
  <si>
    <t>170</t>
  </si>
  <si>
    <t>COLOMBIA</t>
  </si>
  <si>
    <t>Colombia</t>
  </si>
  <si>
    <t>Republic of Colombia</t>
  </si>
  <si>
    <t>COM</t>
  </si>
  <si>
    <t>KM</t>
  </si>
  <si>
    <t>174</t>
  </si>
  <si>
    <t>COMOROS</t>
  </si>
  <si>
    <t>Comoros</t>
  </si>
  <si>
    <t>Union of the Comoros</t>
  </si>
  <si>
    <t>COG</t>
  </si>
  <si>
    <t>CG</t>
  </si>
  <si>
    <t>178</t>
  </si>
  <si>
    <t>CONGO (BRAZZAVILLE)</t>
  </si>
  <si>
    <t>Congo (Brazzaville)</t>
  </si>
  <si>
    <t>Republic of the Congo</t>
  </si>
  <si>
    <t>COD</t>
  </si>
  <si>
    <t>180</t>
  </si>
  <si>
    <t>CONGO (KINSHASA)</t>
  </si>
  <si>
    <t>Congo (Kinshasa)</t>
  </si>
  <si>
    <t>Democratic Republic of the Congo</t>
  </si>
  <si>
    <t>COK</t>
  </si>
  <si>
    <t>184</t>
  </si>
  <si>
    <t>COOK ISLANDS</t>
  </si>
  <si>
    <t>Cook Islands</t>
  </si>
  <si>
    <t>CW</t>
  </si>
  <si>
    <t>XCS</t>
  </si>
  <si>
    <t>XC</t>
  </si>
  <si>
    <t>906</t>
  </si>
  <si>
    <t>CORAL SEA ISLANDS</t>
  </si>
  <si>
    <t>Coral Sea Islands</t>
  </si>
  <si>
    <t>Coral Sea Islands Territory</t>
  </si>
  <si>
    <t>CR</t>
  </si>
  <si>
    <t>CRI</t>
  </si>
  <si>
    <t>188</t>
  </si>
  <si>
    <t>COSTA RICA</t>
  </si>
  <si>
    <t>Costa Rica</t>
  </si>
  <si>
    <t>Republic of Costa Rica</t>
  </si>
  <si>
    <t>CIV</t>
  </si>
  <si>
    <t>384</t>
  </si>
  <si>
    <t>CÔTE D’IVOIRE</t>
  </si>
  <si>
    <t>Côte d’Ivoire</t>
  </si>
  <si>
    <t>Republic of Côte d’Ivoire</t>
  </si>
  <si>
    <t>HRV</t>
  </si>
  <si>
    <t>HR</t>
  </si>
  <si>
    <t>191</t>
  </si>
  <si>
    <t>CROATIA</t>
  </si>
  <si>
    <t>Croatia</t>
  </si>
  <si>
    <t>Republic of Croatia</t>
  </si>
  <si>
    <t>CUB</t>
  </si>
  <si>
    <t>CU</t>
  </si>
  <si>
    <t>192</t>
  </si>
  <si>
    <t>CUBA</t>
  </si>
  <si>
    <t>Cuba</t>
  </si>
  <si>
    <t>Republic of Cuba</t>
  </si>
  <si>
    <t>CUW</t>
  </si>
  <si>
    <t>531</t>
  </si>
  <si>
    <t>CURAÇAO</t>
  </si>
  <si>
    <t>Curaçao</t>
  </si>
  <si>
    <t>CYP</t>
  </si>
  <si>
    <t>CY</t>
  </si>
  <si>
    <t>196</t>
  </si>
  <si>
    <t>CYPRUS</t>
  </si>
  <si>
    <t>Cyprus</t>
  </si>
  <si>
    <t>Republic of Cyprus</t>
  </si>
  <si>
    <t>CZE</t>
  </si>
  <si>
    <t>CZ</t>
  </si>
  <si>
    <t>203</t>
  </si>
  <si>
    <t>CZECHIA</t>
  </si>
  <si>
    <t>Czechia</t>
  </si>
  <si>
    <t>Czech Republic</t>
  </si>
  <si>
    <t>DNK</t>
  </si>
  <si>
    <t>DK</t>
  </si>
  <si>
    <t>208</t>
  </si>
  <si>
    <t>DENMARK</t>
  </si>
  <si>
    <t>Denmark</t>
  </si>
  <si>
    <t>Kingdom of Denmark</t>
  </si>
  <si>
    <t>XXD</t>
  </si>
  <si>
    <t>XD</t>
  </si>
  <si>
    <t>907</t>
  </si>
  <si>
    <t>DHEKELIA</t>
  </si>
  <si>
    <t>Dhekelia</t>
  </si>
  <si>
    <t>DGA</t>
  </si>
  <si>
    <t>DG</t>
  </si>
  <si>
    <t>908</t>
  </si>
  <si>
    <t>DIEGO GARCIA</t>
  </si>
  <si>
    <t>Diego Garcia</t>
  </si>
  <si>
    <t>DJI</t>
  </si>
  <si>
    <t>DJ</t>
  </si>
  <si>
    <t>262</t>
  </si>
  <si>
    <t>DJIBOUTI</t>
  </si>
  <si>
    <t>Djibouti</t>
  </si>
  <si>
    <t>Republic of Djibouti</t>
  </si>
  <si>
    <t>DMA</t>
  </si>
  <si>
    <t>DM</t>
  </si>
  <si>
    <t>212</t>
  </si>
  <si>
    <t>DOMINICA</t>
  </si>
  <si>
    <t>Dominica</t>
  </si>
  <si>
    <t>Commonwealth of Dominica</t>
  </si>
  <si>
    <t>DO</t>
  </si>
  <si>
    <t>DOM</t>
  </si>
  <si>
    <t>214</t>
  </si>
  <si>
    <t>DOMINICAN REPUBLIC</t>
  </si>
  <si>
    <t>Dominican Republic</t>
  </si>
  <si>
    <t>ECU</t>
  </si>
  <si>
    <t>EC</t>
  </si>
  <si>
    <t>218</t>
  </si>
  <si>
    <t>ECUADOR</t>
  </si>
  <si>
    <t>Ecuador</t>
  </si>
  <si>
    <t>Republic of Ecuador</t>
  </si>
  <si>
    <t>EGY</t>
  </si>
  <si>
    <t>EG</t>
  </si>
  <si>
    <t>818</t>
  </si>
  <si>
    <t>EGYPT</t>
  </si>
  <si>
    <t>Egypt</t>
  </si>
  <si>
    <t>Arab Republic of Egypt</t>
  </si>
  <si>
    <t>SLV</t>
  </si>
  <si>
    <t>SV</t>
  </si>
  <si>
    <t>222</t>
  </si>
  <si>
    <t>EL SALVADOR</t>
  </si>
  <si>
    <t>El Salvador</t>
  </si>
  <si>
    <t>Republic of El Salvador</t>
  </si>
  <si>
    <t>ES</t>
  </si>
  <si>
    <t>XAZ</t>
  </si>
  <si>
    <t>[None]</t>
  </si>
  <si>
    <t>909</t>
  </si>
  <si>
    <t>ENTITY 1</t>
  </si>
  <si>
    <t>Entity 1</t>
  </si>
  <si>
    <t>XCR</t>
  </si>
  <si>
    <t>910</t>
  </si>
  <si>
    <t>ENTITY 2</t>
  </si>
  <si>
    <t>Entity 2</t>
  </si>
  <si>
    <t>XCY</t>
  </si>
  <si>
    <t>911</t>
  </si>
  <si>
    <t>ENTITY 3</t>
  </si>
  <si>
    <t>Entity 3</t>
  </si>
  <si>
    <t>XKM</t>
  </si>
  <si>
    <t>912</t>
  </si>
  <si>
    <t>ENTITY 4</t>
  </si>
  <si>
    <t>Entity 4</t>
  </si>
  <si>
    <t>XKN</t>
  </si>
  <si>
    <t>913</t>
  </si>
  <si>
    <t>ENTITY 5</t>
  </si>
  <si>
    <t>Entity 5</t>
  </si>
  <si>
    <t>AX3</t>
  </si>
  <si>
    <t>A3</t>
  </si>
  <si>
    <t>914</t>
  </si>
  <si>
    <t>ENTITY 6</t>
  </si>
  <si>
    <t>Entity 6</t>
  </si>
  <si>
    <t>GNQ</t>
  </si>
  <si>
    <t>GQ</t>
  </si>
  <si>
    <t>226</t>
  </si>
  <si>
    <t>EQUATORIAL GUINEA</t>
  </si>
  <si>
    <t>Equatorial Guinea</t>
  </si>
  <si>
    <t>Republic of Equatorial Guinea</t>
  </si>
  <si>
    <t>ERI</t>
  </si>
  <si>
    <t>ER</t>
  </si>
  <si>
    <t>232</t>
  </si>
  <si>
    <t>ERITREA</t>
  </si>
  <si>
    <t>Eritrea</t>
  </si>
  <si>
    <t>State of Eritrea</t>
  </si>
  <si>
    <t>EST</t>
  </si>
  <si>
    <t>EE</t>
  </si>
  <si>
    <t>233</t>
  </si>
  <si>
    <t>ESTONIA</t>
  </si>
  <si>
    <t>Estonia</t>
  </si>
  <si>
    <t>Republic of Estonia</t>
  </si>
  <si>
    <t>SWZ</t>
  </si>
  <si>
    <t>SZ</t>
  </si>
  <si>
    <t>748</t>
  </si>
  <si>
    <t>ESWATINI</t>
  </si>
  <si>
    <t>Eswatini</t>
  </si>
  <si>
    <t>Kingdom of Eswatini</t>
  </si>
  <si>
    <t>ETH</t>
  </si>
  <si>
    <t>ET</t>
  </si>
  <si>
    <t>231</t>
  </si>
  <si>
    <t>ETHIOPIA</t>
  </si>
  <si>
    <t>Ethiopia</t>
  </si>
  <si>
    <t>Federal Democratic Republic of Ethiopia</t>
  </si>
  <si>
    <t>XEU</t>
  </si>
  <si>
    <t>XE</t>
  </si>
  <si>
    <t>915</t>
  </si>
  <si>
    <t>EUROPA ISLAND</t>
  </si>
  <si>
    <t>Europa Island</t>
  </si>
  <si>
    <t>FLK</t>
  </si>
  <si>
    <t>FK</t>
  </si>
  <si>
    <t>238</t>
  </si>
  <si>
    <t>FALKLAND ISLANDS (ISLAS MALVINAS)</t>
  </si>
  <si>
    <t>Falkland Islands (Islas Malvinas)</t>
  </si>
  <si>
    <t>FRO</t>
  </si>
  <si>
    <t>FO</t>
  </si>
  <si>
    <t>234</t>
  </si>
  <si>
    <t>FAROE ISLANDS</t>
  </si>
  <si>
    <t>Faroe Islands</t>
  </si>
  <si>
    <t>FJI</t>
  </si>
  <si>
    <t>FJ</t>
  </si>
  <si>
    <t>242</t>
  </si>
  <si>
    <t>FIJI</t>
  </si>
  <si>
    <t>Fiji</t>
  </si>
  <si>
    <t>Republic of Fiji</t>
  </si>
  <si>
    <t>FIN</t>
  </si>
  <si>
    <t>FI</t>
  </si>
  <si>
    <t>246</t>
  </si>
  <si>
    <t>FINLAND</t>
  </si>
  <si>
    <t>Finland</t>
  </si>
  <si>
    <t>Republic of Finland</t>
  </si>
  <si>
    <t>FRA</t>
  </si>
  <si>
    <t>FR</t>
  </si>
  <si>
    <t>250</t>
  </si>
  <si>
    <t>FRANCE</t>
  </si>
  <si>
    <t>France</t>
  </si>
  <si>
    <t>French Republic</t>
  </si>
  <si>
    <t>GUF</t>
  </si>
  <si>
    <t>GF</t>
  </si>
  <si>
    <t>254</t>
  </si>
  <si>
    <t>FRENCH GUIANA</t>
  </si>
  <si>
    <t>French Guiana</t>
  </si>
  <si>
    <t>Territorial Collectivity of Guiana</t>
  </si>
  <si>
    <t>PYF</t>
  </si>
  <si>
    <t>PF</t>
  </si>
  <si>
    <t>258</t>
  </si>
  <si>
    <t>FRENCH POLYNESIA</t>
  </si>
  <si>
    <t>French Polynesia</t>
  </si>
  <si>
    <t>ATF</t>
  </si>
  <si>
    <t>TF</t>
  </si>
  <si>
    <t>260</t>
  </si>
  <si>
    <t>FRENCH SOUTHERN AND ANTARCTIC LANDS</t>
  </si>
  <si>
    <t>French Southern and Antarctic Lands</t>
  </si>
  <si>
    <t>GAB</t>
  </si>
  <si>
    <t>GA</t>
  </si>
  <si>
    <t>266</t>
  </si>
  <si>
    <t>GABON</t>
  </si>
  <si>
    <t>Gabon</t>
  </si>
  <si>
    <t>Gabonese Republic</t>
  </si>
  <si>
    <t>GB</t>
  </si>
  <si>
    <t>GMB</t>
  </si>
  <si>
    <t>GM</t>
  </si>
  <si>
    <t>270</t>
  </si>
  <si>
    <t>GAMBIA, THE</t>
  </si>
  <si>
    <t>Gambia, The</t>
  </si>
  <si>
    <t>Republic of The Gambia</t>
  </si>
  <si>
    <t>XGZ</t>
  </si>
  <si>
    <t>XG</t>
  </si>
  <si>
    <t>916</t>
  </si>
  <si>
    <t>GAZA STRIP</t>
  </si>
  <si>
    <t>Gaza Strip</t>
  </si>
  <si>
    <t>GEO</t>
  </si>
  <si>
    <t>GE</t>
  </si>
  <si>
    <t>268</t>
  </si>
  <si>
    <t>GEORGIA</t>
  </si>
  <si>
    <t>Georgia</t>
  </si>
  <si>
    <t>GG</t>
  </si>
  <si>
    <t>DEU</t>
  </si>
  <si>
    <t>DE</t>
  </si>
  <si>
    <t>276</t>
  </si>
  <si>
    <t>GERMANY</t>
  </si>
  <si>
    <t>Germany</t>
  </si>
  <si>
    <t>Federal Republic of Germany</t>
  </si>
  <si>
    <t>GHA</t>
  </si>
  <si>
    <t>GH</t>
  </si>
  <si>
    <t>288</t>
  </si>
  <si>
    <t>GHANA</t>
  </si>
  <si>
    <t>Ghana</t>
  </si>
  <si>
    <t>Republic of Ghana</t>
  </si>
  <si>
    <t>GIB</t>
  </si>
  <si>
    <t>GI</t>
  </si>
  <si>
    <t>292</t>
  </si>
  <si>
    <t>GIBRALTAR</t>
  </si>
  <si>
    <t>Gibraltar</t>
  </si>
  <si>
    <t>XGL</t>
  </si>
  <si>
    <t>QX</t>
  </si>
  <si>
    <t>917</t>
  </si>
  <si>
    <t>GLORIOSO ISLANDS</t>
  </si>
  <si>
    <t>Glorioso Islands</t>
  </si>
  <si>
    <t>GRC</t>
  </si>
  <si>
    <t>GR</t>
  </si>
  <si>
    <t>300</t>
  </si>
  <si>
    <t>GREECE</t>
  </si>
  <si>
    <t>Greece</t>
  </si>
  <si>
    <t>Hellenic Republic</t>
  </si>
  <si>
    <t>GRL</t>
  </si>
  <si>
    <t>GL</t>
  </si>
  <si>
    <t>304</t>
  </si>
  <si>
    <t>GREENLAND</t>
  </si>
  <si>
    <t>Greenland</t>
  </si>
  <si>
    <t>GRD</t>
  </si>
  <si>
    <t>GD</t>
  </si>
  <si>
    <t>308</t>
  </si>
  <si>
    <t>GRENADA</t>
  </si>
  <si>
    <t>Grenada</t>
  </si>
  <si>
    <t>GLP</t>
  </si>
  <si>
    <t>GP</t>
  </si>
  <si>
    <t>312</t>
  </si>
  <si>
    <t>GUADELOUPE</t>
  </si>
  <si>
    <t>Guadeloupe</t>
  </si>
  <si>
    <t>Region of Guadeloupe</t>
  </si>
  <si>
    <t>GUM</t>
  </si>
  <si>
    <t>GU</t>
  </si>
  <si>
    <t>316</t>
  </si>
  <si>
    <t>GUAM</t>
  </si>
  <si>
    <t>Guam</t>
  </si>
  <si>
    <t>Territory of Guam</t>
  </si>
  <si>
    <t>AX2</t>
  </si>
  <si>
    <t>A2</t>
  </si>
  <si>
    <t>918</t>
  </si>
  <si>
    <t>GUANTANAMO BAY NAVAL BASE</t>
  </si>
  <si>
    <t>Guantanamo Bay Naval Base</t>
  </si>
  <si>
    <t>GTM</t>
  </si>
  <si>
    <t>GT</t>
  </si>
  <si>
    <t>320</t>
  </si>
  <si>
    <t>GUATEMALA</t>
  </si>
  <si>
    <t>Guatemala</t>
  </si>
  <si>
    <t>Republic of Guatemala</t>
  </si>
  <si>
    <t>GGY</t>
  </si>
  <si>
    <t>831</t>
  </si>
  <si>
    <t>GUERNSEY</t>
  </si>
  <si>
    <t>Guernsey</t>
  </si>
  <si>
    <t>Bailiwick of Guernsey</t>
  </si>
  <si>
    <t>GIN</t>
  </si>
  <si>
    <t>GN</t>
  </si>
  <si>
    <t>324</t>
  </si>
  <si>
    <t>GUINEA</t>
  </si>
  <si>
    <t>Guinea</t>
  </si>
  <si>
    <t>Republic of Guinea</t>
  </si>
  <si>
    <t>GNB</t>
  </si>
  <si>
    <t>GW</t>
  </si>
  <si>
    <t>624</t>
  </si>
  <si>
    <t>GUINEA-BISSAU</t>
  </si>
  <si>
    <t>Guinea-Bissau</t>
  </si>
  <si>
    <t>Republic of Guinea-Bissau</t>
  </si>
  <si>
    <t>GUY</t>
  </si>
  <si>
    <t>GY</t>
  </si>
  <si>
    <t>328</t>
  </si>
  <si>
    <t>GUYANA</t>
  </si>
  <si>
    <t>Guyana</t>
  </si>
  <si>
    <t>Co-operative Republic of Guyana</t>
  </si>
  <si>
    <t>HTI</t>
  </si>
  <si>
    <t>HT</t>
  </si>
  <si>
    <t>332</t>
  </si>
  <si>
    <t>HAITI</t>
  </si>
  <si>
    <t>Haiti</t>
  </si>
  <si>
    <t>Republic of Haiti</t>
  </si>
  <si>
    <t>HMD</t>
  </si>
  <si>
    <t>HM</t>
  </si>
  <si>
    <t>334</t>
  </si>
  <si>
    <t>HEARD ISLAND AND MCDONALD ISLANDS</t>
  </si>
  <si>
    <t>Heard Island and McDonald Islands</t>
  </si>
  <si>
    <t>Territory of Heard Island and McDonald Islands</t>
  </si>
  <si>
    <t>HND</t>
  </si>
  <si>
    <t>HN</t>
  </si>
  <si>
    <t>340</t>
  </si>
  <si>
    <t>HONDURAS</t>
  </si>
  <si>
    <t>Honduras</t>
  </si>
  <si>
    <t>Republic of Honduras</t>
  </si>
  <si>
    <t>HKG</t>
  </si>
  <si>
    <t>HK</t>
  </si>
  <si>
    <t>344</t>
  </si>
  <si>
    <t>HONG KONG</t>
  </si>
  <si>
    <t>Hong Kong</t>
  </si>
  <si>
    <t>Hong Kong Special Administrative Region</t>
  </si>
  <si>
    <t>XHO</t>
  </si>
  <si>
    <t>XH</t>
  </si>
  <si>
    <t>919</t>
  </si>
  <si>
    <t>HOWLAND ISLAND</t>
  </si>
  <si>
    <t>Howland Island</t>
  </si>
  <si>
    <t>HUN</t>
  </si>
  <si>
    <t>HU</t>
  </si>
  <si>
    <t>348</t>
  </si>
  <si>
    <t>HUNGARY</t>
  </si>
  <si>
    <t>Hungary</t>
  </si>
  <si>
    <t>ISL</t>
  </si>
  <si>
    <t>IS</t>
  </si>
  <si>
    <t>352</t>
  </si>
  <si>
    <t>ICELAND</t>
  </si>
  <si>
    <t>Iceland</t>
  </si>
  <si>
    <t>Republic of Iceland</t>
  </si>
  <si>
    <t>IND</t>
  </si>
  <si>
    <t>IN</t>
  </si>
  <si>
    <t>356</t>
  </si>
  <si>
    <t>INDIA</t>
  </si>
  <si>
    <t>India</t>
  </si>
  <si>
    <t>Republic of India</t>
  </si>
  <si>
    <t>IDN</t>
  </si>
  <si>
    <t>ID</t>
  </si>
  <si>
    <t>360</t>
  </si>
  <si>
    <t>INDONESIA</t>
  </si>
  <si>
    <t>Indonesia</t>
  </si>
  <si>
    <t>Republic of Indonesia</t>
  </si>
  <si>
    <t>IRN</t>
  </si>
  <si>
    <t>IR</t>
  </si>
  <si>
    <t>364</t>
  </si>
  <si>
    <t>IRAN</t>
  </si>
  <si>
    <t>Iran</t>
  </si>
  <si>
    <t>Islamic Republic of Iran</t>
  </si>
  <si>
    <t>IRQ</t>
  </si>
  <si>
    <t>IQ</t>
  </si>
  <si>
    <t>368</t>
  </si>
  <si>
    <t>IRAQ</t>
  </si>
  <si>
    <t>Iraq</t>
  </si>
  <si>
    <t>Republic of Iraq</t>
  </si>
  <si>
    <t>IRL</t>
  </si>
  <si>
    <t>IE</t>
  </si>
  <si>
    <t>372</t>
  </si>
  <si>
    <t>IRELAND</t>
  </si>
  <si>
    <t>Ireland</t>
  </si>
  <si>
    <t>IMN</t>
  </si>
  <si>
    <t>IM</t>
  </si>
  <si>
    <t>833</t>
  </si>
  <si>
    <t>ISLE OF MAN</t>
  </si>
  <si>
    <t>Isle of Man</t>
  </si>
  <si>
    <t>ISR</t>
  </si>
  <si>
    <t>IL</t>
  </si>
  <si>
    <t>376</t>
  </si>
  <si>
    <t>ISRAEL</t>
  </si>
  <si>
    <t>Israel</t>
  </si>
  <si>
    <t>State of Israel</t>
  </si>
  <si>
    <t>ITA</t>
  </si>
  <si>
    <t>IT</t>
  </si>
  <si>
    <t>380</t>
  </si>
  <si>
    <t>ITALY</t>
  </si>
  <si>
    <t>Italy</t>
  </si>
  <si>
    <t>Italian Republic</t>
  </si>
  <si>
    <t>JAM</t>
  </si>
  <si>
    <t>JM</t>
  </si>
  <si>
    <t>388</t>
  </si>
  <si>
    <t>JAMAICA</t>
  </si>
  <si>
    <t>Jamaica</t>
  </si>
  <si>
    <t>XJM</t>
  </si>
  <si>
    <t>XJ</t>
  </si>
  <si>
    <t>920</t>
  </si>
  <si>
    <t>JAN MAYEN</t>
  </si>
  <si>
    <t>Jan Mayen</t>
  </si>
  <si>
    <t>JPN</t>
  </si>
  <si>
    <t>JP</t>
  </si>
  <si>
    <t>392</t>
  </si>
  <si>
    <t>JAPAN</t>
  </si>
  <si>
    <t>Japan</t>
  </si>
  <si>
    <t>XJV</t>
  </si>
  <si>
    <t>XQ</t>
  </si>
  <si>
    <t>921</t>
  </si>
  <si>
    <t>JARVIS ISLAND</t>
  </si>
  <si>
    <t>Jarvis Island</t>
  </si>
  <si>
    <t>JEY</t>
  </si>
  <si>
    <t>JE</t>
  </si>
  <si>
    <t>832</t>
  </si>
  <si>
    <t>JERSEY</t>
  </si>
  <si>
    <t>Jersey</t>
  </si>
  <si>
    <t>Bailiwick of Jersey</t>
  </si>
  <si>
    <t>XJA</t>
  </si>
  <si>
    <t>XU</t>
  </si>
  <si>
    <t>922</t>
  </si>
  <si>
    <t>JOHNSTON ATOLL</t>
  </si>
  <si>
    <t>Johnston Atoll</t>
  </si>
  <si>
    <t>JOR</t>
  </si>
  <si>
    <t>JO</t>
  </si>
  <si>
    <t>400</t>
  </si>
  <si>
    <t>JORDAN</t>
  </si>
  <si>
    <t>Jordan</t>
  </si>
  <si>
    <t>Hashemite Kingdom of Jordan</t>
  </si>
  <si>
    <t>XJN</t>
  </si>
  <si>
    <t>QU</t>
  </si>
  <si>
    <t>923</t>
  </si>
  <si>
    <t>JUAN DE NOVA ISLAND</t>
  </si>
  <si>
    <t>Juan de Nova Island</t>
  </si>
  <si>
    <t>KAZ</t>
  </si>
  <si>
    <t>KZ</t>
  </si>
  <si>
    <t>398</t>
  </si>
  <si>
    <t>KAZAKHSTAN</t>
  </si>
  <si>
    <t>Kazakhstan</t>
  </si>
  <si>
    <t>Republic of Kazakhstan</t>
  </si>
  <si>
    <t>KEN</t>
  </si>
  <si>
    <t>KE</t>
  </si>
  <si>
    <t>404</t>
  </si>
  <si>
    <t>KENYA</t>
  </si>
  <si>
    <t>Kenya</t>
  </si>
  <si>
    <t>Republic of Kenya</t>
  </si>
  <si>
    <t>XKR</t>
  </si>
  <si>
    <t>XM</t>
  </si>
  <si>
    <t>924</t>
  </si>
  <si>
    <t>KINGMAN REEF</t>
  </si>
  <si>
    <t>Kingman Reef</t>
  </si>
  <si>
    <t>KIR</t>
  </si>
  <si>
    <t>KI</t>
  </si>
  <si>
    <t>296</t>
  </si>
  <si>
    <t>KIRIBATI</t>
  </si>
  <si>
    <t>Kiribati</t>
  </si>
  <si>
    <t>Republic of Kiribati</t>
  </si>
  <si>
    <t>KR</t>
  </si>
  <si>
    <t>PRK</t>
  </si>
  <si>
    <t>KP</t>
  </si>
  <si>
    <t>408</t>
  </si>
  <si>
    <t>KOREA, NORTH</t>
  </si>
  <si>
    <t>Korea, North</t>
  </si>
  <si>
    <t>Democratic People’s Republic of Korea</t>
  </si>
  <si>
    <t>KN</t>
  </si>
  <si>
    <t>KOR</t>
  </si>
  <si>
    <t>410</t>
  </si>
  <si>
    <t>KOREA, SOUTH</t>
  </si>
  <si>
    <t>Korea, South</t>
  </si>
  <si>
    <t>Republic of Korea</t>
  </si>
  <si>
    <t>XKS</t>
  </si>
  <si>
    <t>XK</t>
  </si>
  <si>
    <t>901</t>
  </si>
  <si>
    <t>KOSOVO</t>
  </si>
  <si>
    <t>Kosovo</t>
  </si>
  <si>
    <t>Republic of Kosovo</t>
  </si>
  <si>
    <t>KWT</t>
  </si>
  <si>
    <t>KW</t>
  </si>
  <si>
    <t>414</t>
  </si>
  <si>
    <t>KUWAIT</t>
  </si>
  <si>
    <t>Kuwait</t>
  </si>
  <si>
    <t>State of Kuwait</t>
  </si>
  <si>
    <t>KGZ</t>
  </si>
  <si>
    <t>KG</t>
  </si>
  <si>
    <t>417</t>
  </si>
  <si>
    <t>KYRGYZSTAN</t>
  </si>
  <si>
    <t>Kyrgyzstan</t>
  </si>
  <si>
    <t>Kyrgyz Republic</t>
  </si>
  <si>
    <t>LAO</t>
  </si>
  <si>
    <t>LA</t>
  </si>
  <si>
    <t>418</t>
  </si>
  <si>
    <t>LAOS</t>
  </si>
  <si>
    <t>Laos</t>
  </si>
  <si>
    <t>Lao People’s Democratic Republic</t>
  </si>
  <si>
    <t>LVA</t>
  </si>
  <si>
    <t>LV</t>
  </si>
  <si>
    <t>428</t>
  </si>
  <si>
    <t>LATVIA</t>
  </si>
  <si>
    <t>Latvia</t>
  </si>
  <si>
    <t>Republic of Latvia</t>
  </si>
  <si>
    <t>LBN</t>
  </si>
  <si>
    <t>LB</t>
  </si>
  <si>
    <t>422</t>
  </si>
  <si>
    <t>LEBANON</t>
  </si>
  <si>
    <t>Lebanon</t>
  </si>
  <si>
    <t>Lebanese Republic</t>
  </si>
  <si>
    <t>LSO</t>
  </si>
  <si>
    <t>LS</t>
  </si>
  <si>
    <t>426</t>
  </si>
  <si>
    <t>LESOTHO</t>
  </si>
  <si>
    <t>Lesotho</t>
  </si>
  <si>
    <t>Kingdom of Lesotho</t>
  </si>
  <si>
    <t>LT</t>
  </si>
  <si>
    <t>LBR</t>
  </si>
  <si>
    <t>LR</t>
  </si>
  <si>
    <t>430</t>
  </si>
  <si>
    <t>LIBERIA</t>
  </si>
  <si>
    <t>Liberia</t>
  </si>
  <si>
    <t>Republic of Liberia</t>
  </si>
  <si>
    <t>LI</t>
  </si>
  <si>
    <t>LBY</t>
  </si>
  <si>
    <t>LY</t>
  </si>
  <si>
    <t>434</t>
  </si>
  <si>
    <t>LIBYA</t>
  </si>
  <si>
    <t>Libya</t>
  </si>
  <si>
    <t>State of Libya</t>
  </si>
  <si>
    <t>LIE</t>
  </si>
  <si>
    <t>438</t>
  </si>
  <si>
    <t>LIECHTENSTEIN</t>
  </si>
  <si>
    <t>Liechtenstein</t>
  </si>
  <si>
    <t>Principality of Liechtenstein</t>
  </si>
  <si>
    <t>LTU</t>
  </si>
  <si>
    <t>440</t>
  </si>
  <si>
    <t>LITHUANIA</t>
  </si>
  <si>
    <t>Lithuania</t>
  </si>
  <si>
    <t>Republic of Lithuania</t>
  </si>
  <si>
    <t>LUX</t>
  </si>
  <si>
    <t>LU</t>
  </si>
  <si>
    <t>442</t>
  </si>
  <si>
    <t>LUXEMBOURG</t>
  </si>
  <si>
    <t>Luxembourg</t>
  </si>
  <si>
    <t>Grand Duchy of Luxembourg</t>
  </si>
  <si>
    <t>MAC</t>
  </si>
  <si>
    <t>MO</t>
  </si>
  <si>
    <t>446</t>
  </si>
  <si>
    <t>MACAU</t>
  </si>
  <si>
    <t>Macau</t>
  </si>
  <si>
    <t>Macau Special Administrative Region</t>
  </si>
  <si>
    <t>MC</t>
  </si>
  <si>
    <t>MDG</t>
  </si>
  <si>
    <t>MG</t>
  </si>
  <si>
    <t>450</t>
  </si>
  <si>
    <t>MADAGASCAR</t>
  </si>
  <si>
    <t>Madagascar</t>
  </si>
  <si>
    <t>Republic of Madagascar</t>
  </si>
  <si>
    <t>MA</t>
  </si>
  <si>
    <t>MWI</t>
  </si>
  <si>
    <t>MW</t>
  </si>
  <si>
    <t>454</t>
  </si>
  <si>
    <t>MALAWI</t>
  </si>
  <si>
    <t>Malawi</t>
  </si>
  <si>
    <t>Republic of Malawi</t>
  </si>
  <si>
    <t>MYS</t>
  </si>
  <si>
    <t>MY</t>
  </si>
  <si>
    <t>458</t>
  </si>
  <si>
    <t>MALAYSIA</t>
  </si>
  <si>
    <t>Malaysia</t>
  </si>
  <si>
    <t>MDV</t>
  </si>
  <si>
    <t>MV</t>
  </si>
  <si>
    <t>462</t>
  </si>
  <si>
    <t>MALDIVES</t>
  </si>
  <si>
    <t>Maldives</t>
  </si>
  <si>
    <t>Republic of Maldives</t>
  </si>
  <si>
    <t>MLI</t>
  </si>
  <si>
    <t>ML</t>
  </si>
  <si>
    <t>466</t>
  </si>
  <si>
    <t>MALI</t>
  </si>
  <si>
    <t>Mali</t>
  </si>
  <si>
    <t>Republic of Mali</t>
  </si>
  <si>
    <t>MLT</t>
  </si>
  <si>
    <t>MT</t>
  </si>
  <si>
    <t>470</t>
  </si>
  <si>
    <t>MALTA</t>
  </si>
  <si>
    <t>Malta</t>
  </si>
  <si>
    <t>Republic of Malta</t>
  </si>
  <si>
    <t>MHL</t>
  </si>
  <si>
    <t>MH</t>
  </si>
  <si>
    <t>584</t>
  </si>
  <si>
    <t>MARSHALL ISLANDS</t>
  </si>
  <si>
    <t>Marshall Islands</t>
  </si>
  <si>
    <t>Republic of the Marshall Islands</t>
  </si>
  <si>
    <t>MTQ</t>
  </si>
  <si>
    <t>MQ</t>
  </si>
  <si>
    <t>474</t>
  </si>
  <si>
    <t>MARTINIQUE</t>
  </si>
  <si>
    <t>Martinique</t>
  </si>
  <si>
    <t>Territorial Collectivity of Martinique</t>
  </si>
  <si>
    <t>MRT</t>
  </si>
  <si>
    <t>MR</t>
  </si>
  <si>
    <t>478</t>
  </si>
  <si>
    <t>MAURITANIA</t>
  </si>
  <si>
    <t>Mauritania</t>
  </si>
  <si>
    <t>Islamic Republic of Mauritania</t>
  </si>
  <si>
    <t>MUS</t>
  </si>
  <si>
    <t>MU</t>
  </si>
  <si>
    <t>480</t>
  </si>
  <si>
    <t>MAURITIUS</t>
  </si>
  <si>
    <t>Mauritius</t>
  </si>
  <si>
    <t>Republic of Mauritius</t>
  </si>
  <si>
    <t>MP</t>
  </si>
  <si>
    <t>MYT</t>
  </si>
  <si>
    <t>YT</t>
  </si>
  <si>
    <t>175</t>
  </si>
  <si>
    <t>MAYOTTE</t>
  </si>
  <si>
    <t>Mayotte</t>
  </si>
  <si>
    <t>Department of Mayotte</t>
  </si>
  <si>
    <t>MF</t>
  </si>
  <si>
    <t>MEX</t>
  </si>
  <si>
    <t>MX</t>
  </si>
  <si>
    <t>484</t>
  </si>
  <si>
    <t>MEXICO</t>
  </si>
  <si>
    <t>Mexico</t>
  </si>
  <si>
    <t>United Mexican States</t>
  </si>
  <si>
    <t>FSM</t>
  </si>
  <si>
    <t>FM</t>
  </si>
  <si>
    <t>583</t>
  </si>
  <si>
    <t>MICRONESIA, FEDERATED STATES OF</t>
  </si>
  <si>
    <t>Micronesia, Federated States of</t>
  </si>
  <si>
    <t>Federated States of Micronesia</t>
  </si>
  <si>
    <t>XMW</t>
  </si>
  <si>
    <t>QM</t>
  </si>
  <si>
    <t>925</t>
  </si>
  <si>
    <t>MIDWAY ISLANDS</t>
  </si>
  <si>
    <t>Midway Islands</t>
  </si>
  <si>
    <t>MDA</t>
  </si>
  <si>
    <t>MD</t>
  </si>
  <si>
    <t>498</t>
  </si>
  <si>
    <t>MOLDOVA</t>
  </si>
  <si>
    <t>Moldova</t>
  </si>
  <si>
    <t>Republic of Moldova</t>
  </si>
  <si>
    <t>MCO</t>
  </si>
  <si>
    <t>492</t>
  </si>
  <si>
    <t>MONACO</t>
  </si>
  <si>
    <t>Monaco</t>
  </si>
  <si>
    <t>Principality of Monaco</t>
  </si>
  <si>
    <t>MN</t>
  </si>
  <si>
    <t>MNG</t>
  </si>
  <si>
    <t>496</t>
  </si>
  <si>
    <t>MONGOLIA</t>
  </si>
  <si>
    <t>Mongolia</t>
  </si>
  <si>
    <t>MNE</t>
  </si>
  <si>
    <t>ME</t>
  </si>
  <si>
    <t>499</t>
  </si>
  <si>
    <t>MONTENEGRO</t>
  </si>
  <si>
    <t>Montenegro</t>
  </si>
  <si>
    <t>MSR</t>
  </si>
  <si>
    <t>MS</t>
  </si>
  <si>
    <t>500</t>
  </si>
  <si>
    <t>MONTSERRAT</t>
  </si>
  <si>
    <t>Montserrat</t>
  </si>
  <si>
    <t>MAR</t>
  </si>
  <si>
    <t>504</t>
  </si>
  <si>
    <t>MOROCCO</t>
  </si>
  <si>
    <t>Morocco</t>
  </si>
  <si>
    <t>Kingdom of Morocco</t>
  </si>
  <si>
    <t>MOZ</t>
  </si>
  <si>
    <t>MZ</t>
  </si>
  <si>
    <t>508</t>
  </si>
  <si>
    <t>MOZAMBIQUE</t>
  </si>
  <si>
    <t>Mozambique</t>
  </si>
  <si>
    <t>Republic of Mozambique</t>
  </si>
  <si>
    <t>NAM</t>
  </si>
  <si>
    <t>NA</t>
  </si>
  <si>
    <t>516</t>
  </si>
  <si>
    <t>NAMIBIA</t>
  </si>
  <si>
    <t>Namibia</t>
  </si>
  <si>
    <t>Republic of Namibia</t>
  </si>
  <si>
    <t>NRU</t>
  </si>
  <si>
    <t>NR</t>
  </si>
  <si>
    <t>520</t>
  </si>
  <si>
    <t>NAURU</t>
  </si>
  <si>
    <t>Nauru</t>
  </si>
  <si>
    <t>Republic of Nauru</t>
  </si>
  <si>
    <t>XNV</t>
  </si>
  <si>
    <t>XV</t>
  </si>
  <si>
    <t>926</t>
  </si>
  <si>
    <t>NAVASSA ISLAND</t>
  </si>
  <si>
    <t>Navassa Island</t>
  </si>
  <si>
    <t>NPL</t>
  </si>
  <si>
    <t>NP</t>
  </si>
  <si>
    <t>524</t>
  </si>
  <si>
    <t>NEPAL</t>
  </si>
  <si>
    <t>Nepal</t>
  </si>
  <si>
    <t>Federal Democratic Republic of Nepal</t>
  </si>
  <si>
    <t>NLD</t>
  </si>
  <si>
    <t>NL</t>
  </si>
  <si>
    <t>528</t>
  </si>
  <si>
    <t>NETHERLANDS</t>
  </si>
  <si>
    <t>Netherlands</t>
  </si>
  <si>
    <t>Kingdom of the Netherlands</t>
  </si>
  <si>
    <t>NCL</t>
  </si>
  <si>
    <t>NC</t>
  </si>
  <si>
    <t>540</t>
  </si>
  <si>
    <t>NEW CALEDONIA</t>
  </si>
  <si>
    <t>New Caledonia</t>
  </si>
  <si>
    <t>NZL</t>
  </si>
  <si>
    <t>NZ</t>
  </si>
  <si>
    <t>554</t>
  </si>
  <si>
    <t>NEW ZEALAND</t>
  </si>
  <si>
    <t>New Zealand</t>
  </si>
  <si>
    <t>NIC</t>
  </si>
  <si>
    <t>NI</t>
  </si>
  <si>
    <t>558</t>
  </si>
  <si>
    <t>NICARAGUA</t>
  </si>
  <si>
    <t>Nicaragua</t>
  </si>
  <si>
    <t>Republic of Nicaragua</t>
  </si>
  <si>
    <t>NU</t>
  </si>
  <si>
    <t>NER</t>
  </si>
  <si>
    <t>NE</t>
  </si>
  <si>
    <t>562</t>
  </si>
  <si>
    <t>NIGER</t>
  </si>
  <si>
    <t>Niger</t>
  </si>
  <si>
    <t>Republic of Niger</t>
  </si>
  <si>
    <t>NG</t>
  </si>
  <si>
    <t>NGA</t>
  </si>
  <si>
    <t>566</t>
  </si>
  <si>
    <t>NIGERIA</t>
  </si>
  <si>
    <t>Nigeria</t>
  </si>
  <si>
    <t>Federal Republic of Nigeria</t>
  </si>
  <si>
    <t>NIU</t>
  </si>
  <si>
    <t>570</t>
  </si>
  <si>
    <t>NIUE</t>
  </si>
  <si>
    <t>Niue</t>
  </si>
  <si>
    <t>NFK</t>
  </si>
  <si>
    <t>NF</t>
  </si>
  <si>
    <t>574</t>
  </si>
  <si>
    <t>NORFOLK ISLAND</t>
  </si>
  <si>
    <t>Norfolk Island</t>
  </si>
  <si>
    <t>Territory of Norfolk Island</t>
  </si>
  <si>
    <t>MKD</t>
  </si>
  <si>
    <t>MK</t>
  </si>
  <si>
    <t>807</t>
  </si>
  <si>
    <t>NORTH MACEDONIA</t>
  </si>
  <si>
    <t>North Macedonia</t>
  </si>
  <si>
    <t>Republic of North Macedonia</t>
  </si>
  <si>
    <t>MNP</t>
  </si>
  <si>
    <t>580</t>
  </si>
  <si>
    <t>NORTHERN MARIANA ISLANDS</t>
  </si>
  <si>
    <t>Northern Mariana Islands</t>
  </si>
  <si>
    <t>Commonwealth of the Northern Mariana Islands</t>
  </si>
  <si>
    <t>NOR</t>
  </si>
  <si>
    <t>NO</t>
  </si>
  <si>
    <t>578</t>
  </si>
  <si>
    <t>NORWAY</t>
  </si>
  <si>
    <t>Norway</t>
  </si>
  <si>
    <t>Kingdom of Norway</t>
  </si>
  <si>
    <t>OMN</t>
  </si>
  <si>
    <t>OM</t>
  </si>
  <si>
    <t>512</t>
  </si>
  <si>
    <t>OMAN</t>
  </si>
  <si>
    <t>Oman</t>
  </si>
  <si>
    <t>Sultanate of Oman</t>
  </si>
  <si>
    <t>PAK</t>
  </si>
  <si>
    <t>PK</t>
  </si>
  <si>
    <t>586</t>
  </si>
  <si>
    <t>PAKISTAN</t>
  </si>
  <si>
    <t>Pakistan</t>
  </si>
  <si>
    <t>Islamic Republic of Pakistan</t>
  </si>
  <si>
    <t>PLW</t>
  </si>
  <si>
    <t>PW</t>
  </si>
  <si>
    <t>585</t>
  </si>
  <si>
    <t>PALAU</t>
  </si>
  <si>
    <t>Palau</t>
  </si>
  <si>
    <t>Republic of Palau</t>
  </si>
  <si>
    <t>XPL</t>
  </si>
  <si>
    <t>XL</t>
  </si>
  <si>
    <t>927</t>
  </si>
  <si>
    <t>PALMYRA ATOLL</t>
  </si>
  <si>
    <t>Palmyra Atoll</t>
  </si>
  <si>
    <t>PAN</t>
  </si>
  <si>
    <t>PA</t>
  </si>
  <si>
    <t>591</t>
  </si>
  <si>
    <t>PANAMA</t>
  </si>
  <si>
    <t>Panama</t>
  </si>
  <si>
    <t>Republic of Panama</t>
  </si>
  <si>
    <t>PM</t>
  </si>
  <si>
    <t>PNG</t>
  </si>
  <si>
    <t>PG</t>
  </si>
  <si>
    <t>598</t>
  </si>
  <si>
    <t>PAPUA NEW GUINEA</t>
  </si>
  <si>
    <t>Papua New Guinea</t>
  </si>
  <si>
    <t>Independent State of Papua New Guinea</t>
  </si>
  <si>
    <t>XPR</t>
  </si>
  <si>
    <t>XP</t>
  </si>
  <si>
    <t>928</t>
  </si>
  <si>
    <t>PARACEL ISLANDS</t>
  </si>
  <si>
    <t>Paracel Islands</t>
  </si>
  <si>
    <t>PRY</t>
  </si>
  <si>
    <t>PY</t>
  </si>
  <si>
    <t>600</t>
  </si>
  <si>
    <t>PARAGUAY</t>
  </si>
  <si>
    <t>Paraguay</t>
  </si>
  <si>
    <t>Republic of Paraguay</t>
  </si>
  <si>
    <t>PER</t>
  </si>
  <si>
    <t>PE</t>
  </si>
  <si>
    <t>604</t>
  </si>
  <si>
    <t>PERU</t>
  </si>
  <si>
    <t>Peru</t>
  </si>
  <si>
    <t>Republic of Peru</t>
  </si>
  <si>
    <t>PHL</t>
  </si>
  <si>
    <t>PH</t>
  </si>
  <si>
    <t>608</t>
  </si>
  <si>
    <t>PHILIPPINES</t>
  </si>
  <si>
    <t>Philippines</t>
  </si>
  <si>
    <t>Republic of the Philippines</t>
  </si>
  <si>
    <t>PCN</t>
  </si>
  <si>
    <t>PN</t>
  </si>
  <si>
    <t>612</t>
  </si>
  <si>
    <t>PITCAIRN ISLANDS</t>
  </si>
  <si>
    <t>Pitcairn Islands</t>
  </si>
  <si>
    <t>Pitcairn, Henderson, Ducie, and Oeno Islands</t>
  </si>
  <si>
    <t>POL</t>
  </si>
  <si>
    <t>PL</t>
  </si>
  <si>
    <t>616</t>
  </si>
  <si>
    <t>POLAND</t>
  </si>
  <si>
    <t>Poland</t>
  </si>
  <si>
    <t>Republic of Poland</t>
  </si>
  <si>
    <t>PRT</t>
  </si>
  <si>
    <t>PT</t>
  </si>
  <si>
    <t>620</t>
  </si>
  <si>
    <t>PORTUGAL</t>
  </si>
  <si>
    <t>Portugal</t>
  </si>
  <si>
    <t>Portuguese Republic</t>
  </si>
  <si>
    <t>PRI</t>
  </si>
  <si>
    <t>PR</t>
  </si>
  <si>
    <t>630</t>
  </si>
  <si>
    <t>PUERTO RICO</t>
  </si>
  <si>
    <t>Puerto Rico</t>
  </si>
  <si>
    <t>Commonwealth of Puerto Rico</t>
  </si>
  <si>
    <t>QAT</t>
  </si>
  <si>
    <t>QA</t>
  </si>
  <si>
    <t>634</t>
  </si>
  <si>
    <t>QATAR</t>
  </si>
  <si>
    <t>Qatar</t>
  </si>
  <si>
    <t>State of Qatar</t>
  </si>
  <si>
    <t>REU</t>
  </si>
  <si>
    <t>RE</t>
  </si>
  <si>
    <t>638</t>
  </si>
  <si>
    <t>REUNION</t>
  </si>
  <si>
    <t>Reunion</t>
  </si>
  <si>
    <t>Region of Reunion</t>
  </si>
  <si>
    <t>ROU</t>
  </si>
  <si>
    <t>RO</t>
  </si>
  <si>
    <t>642</t>
  </si>
  <si>
    <t>ROMANIA</t>
  </si>
  <si>
    <t>Romania</t>
  </si>
  <si>
    <t>RUS</t>
  </si>
  <si>
    <t>RU</t>
  </si>
  <si>
    <t>643</t>
  </si>
  <si>
    <t>RUSSIA</t>
  </si>
  <si>
    <t>Russia</t>
  </si>
  <si>
    <t>Russian Federation</t>
  </si>
  <si>
    <t>RS</t>
  </si>
  <si>
    <t>RWA</t>
  </si>
  <si>
    <t>RW</t>
  </si>
  <si>
    <t>646</t>
  </si>
  <si>
    <t>RWANDA</t>
  </si>
  <si>
    <t>Rwanda</t>
  </si>
  <si>
    <t>Republic of Rwanda</t>
  </si>
  <si>
    <t>BLM</t>
  </si>
  <si>
    <t>652</t>
  </si>
  <si>
    <t>SAINT BARTHELEMY</t>
  </si>
  <si>
    <t>Saint Barthelemy</t>
  </si>
  <si>
    <t>SHN</t>
  </si>
  <si>
    <t>SH</t>
  </si>
  <si>
    <t>654</t>
  </si>
  <si>
    <t>SAINT HELENA, ASCENSION, AND TRISTAN DA CUNHA</t>
  </si>
  <si>
    <t>Saint Helena, Ascension, and Tristan da Cunha</t>
  </si>
  <si>
    <t>KNA</t>
  </si>
  <si>
    <t>659</t>
  </si>
  <si>
    <t>SAINT KITTS AND NEVIS</t>
  </si>
  <si>
    <t>Saint Kitts and Nevis</t>
  </si>
  <si>
    <t>Federation of Saint Kitts and Nevis</t>
  </si>
  <si>
    <t>SC</t>
  </si>
  <si>
    <t>LCA</t>
  </si>
  <si>
    <t>LC</t>
  </si>
  <si>
    <t>662</t>
  </si>
  <si>
    <t>SAINT LUCIA</t>
  </si>
  <si>
    <t>Saint Lucia</t>
  </si>
  <si>
    <t>ST</t>
  </si>
  <si>
    <t>MAF</t>
  </si>
  <si>
    <t>663</t>
  </si>
  <si>
    <t>SAINT MARTIN</t>
  </si>
  <si>
    <t>Saint Martin</t>
  </si>
  <si>
    <t>SPM</t>
  </si>
  <si>
    <t>666</t>
  </si>
  <si>
    <t>SAINT PIERRE AND MIQUELON</t>
  </si>
  <si>
    <t>Saint Pierre and Miquelon</t>
  </si>
  <si>
    <t>Territorial Collectivity of Saint Pierre and Miquelon</t>
  </si>
  <si>
    <t>SB</t>
  </si>
  <si>
    <t>VCT</t>
  </si>
  <si>
    <t>VC</t>
  </si>
  <si>
    <t>670</t>
  </si>
  <si>
    <t>SAINT VINCENT AND THE GRENADINES</t>
  </si>
  <si>
    <t>Saint Vincent and the Grenadines</t>
  </si>
  <si>
    <t>WSM</t>
  </si>
  <si>
    <t>WS</t>
  </si>
  <si>
    <t>882</t>
  </si>
  <si>
    <t>SAMOA</t>
  </si>
  <si>
    <t>Samoa</t>
  </si>
  <si>
    <t>Independent State of Samoa</t>
  </si>
  <si>
    <t>SMR</t>
  </si>
  <si>
    <t>SM</t>
  </si>
  <si>
    <t>674</t>
  </si>
  <si>
    <t>SAN MARINO</t>
  </si>
  <si>
    <t>San Marino</t>
  </si>
  <si>
    <t>Republic of San Marino</t>
  </si>
  <si>
    <t>STP</t>
  </si>
  <si>
    <t>678</t>
  </si>
  <si>
    <t>SAO TOME AND PRINCIPE</t>
  </si>
  <si>
    <t>Sao Tome and Principe</t>
  </si>
  <si>
    <t>Democratic Republic of Sao Tome and Principe</t>
  </si>
  <si>
    <t>SAU</t>
  </si>
  <si>
    <t>SA</t>
  </si>
  <si>
    <t>682</t>
  </si>
  <si>
    <t>SAUDI ARABIA</t>
  </si>
  <si>
    <t>Saudi Arabia</t>
  </si>
  <si>
    <t>Kingdom of Saudi Arabia</t>
  </si>
  <si>
    <t>SEN</t>
  </si>
  <si>
    <t>SN</t>
  </si>
  <si>
    <t>686</t>
  </si>
  <si>
    <t>SENEGAL</t>
  </si>
  <si>
    <t>Senegal</t>
  </si>
  <si>
    <t>Republic of Senegal</t>
  </si>
  <si>
    <t>SG</t>
  </si>
  <si>
    <t>SRB</t>
  </si>
  <si>
    <t>688</t>
  </si>
  <si>
    <t>SERBIA</t>
  </si>
  <si>
    <t>Serbia</t>
  </si>
  <si>
    <t>Republic of Serbia</t>
  </si>
  <si>
    <t>SYC</t>
  </si>
  <si>
    <t>690</t>
  </si>
  <si>
    <t>SEYCHELLES</t>
  </si>
  <si>
    <t>Seychelles</t>
  </si>
  <si>
    <t>Republic of Seychelles</t>
  </si>
  <si>
    <t>SE</t>
  </si>
  <si>
    <t>SLE</t>
  </si>
  <si>
    <t>SL</t>
  </si>
  <si>
    <t>694</t>
  </si>
  <si>
    <t>SIERRA LEONE</t>
  </si>
  <si>
    <t>Sierra Leone</t>
  </si>
  <si>
    <t>Republic of Sierra Leone</t>
  </si>
  <si>
    <t>SGP</t>
  </si>
  <si>
    <t>702</t>
  </si>
  <si>
    <t>SINGAPORE</t>
  </si>
  <si>
    <t>Singapore</t>
  </si>
  <si>
    <t>Republic of Singapore</t>
  </si>
  <si>
    <t>SXM</t>
  </si>
  <si>
    <t>SX</t>
  </si>
  <si>
    <t>534</t>
  </si>
  <si>
    <t>SINT MAARTEN</t>
  </si>
  <si>
    <t>Sint Maarten</t>
  </si>
  <si>
    <t>SVK</t>
  </si>
  <si>
    <t>SK</t>
  </si>
  <si>
    <t>703</t>
  </si>
  <si>
    <t>SLOVAKIA</t>
  </si>
  <si>
    <t>Slovakia</t>
  </si>
  <si>
    <t>Slovak Republic</t>
  </si>
  <si>
    <t>SVN</t>
  </si>
  <si>
    <t>SI</t>
  </si>
  <si>
    <t>705</t>
  </si>
  <si>
    <t>SLOVENIA</t>
  </si>
  <si>
    <t>Slovenia</t>
  </si>
  <si>
    <t>Republic of Slovenia</t>
  </si>
  <si>
    <t>SLB</t>
  </si>
  <si>
    <t>090</t>
  </si>
  <si>
    <t>SOLOMON ISLANDS</t>
  </si>
  <si>
    <t>Solomon Islands</t>
  </si>
  <si>
    <t>SOM</t>
  </si>
  <si>
    <t>SO</t>
  </si>
  <si>
    <t>706</t>
  </si>
  <si>
    <t>SOMALIA</t>
  </si>
  <si>
    <t>Somalia</t>
  </si>
  <si>
    <t>Federal Republic of Somalia</t>
  </si>
  <si>
    <t>ZAF</t>
  </si>
  <si>
    <t>ZA</t>
  </si>
  <si>
    <t>710</t>
  </si>
  <si>
    <t>SOUTH AFRICA</t>
  </si>
  <si>
    <t>South Africa</t>
  </si>
  <si>
    <t>Republic of South Africa</t>
  </si>
  <si>
    <t>SGS</t>
  </si>
  <si>
    <t>GS</t>
  </si>
  <si>
    <t>239</t>
  </si>
  <si>
    <t>SOUTH GEORGIA AND SOUTH SANDWICH ISLANDS</t>
  </si>
  <si>
    <t>South Georgia and South Sandwich Islands</t>
  </si>
  <si>
    <t>South Georgia and the South Sandwich Islands</t>
  </si>
  <si>
    <t>SSD</t>
  </si>
  <si>
    <t>SS</t>
  </si>
  <si>
    <t>728</t>
  </si>
  <si>
    <t>SOUTH SUDAN</t>
  </si>
  <si>
    <t>South Sudan</t>
  </si>
  <si>
    <t>Republic of South Sudan</t>
  </si>
  <si>
    <t>ESP</t>
  </si>
  <si>
    <t>724</t>
  </si>
  <si>
    <t>SPAIN</t>
  </si>
  <si>
    <t>Spain</t>
  </si>
  <si>
    <t>Kingdom of Spain</t>
  </si>
  <si>
    <t>XSP</t>
  </si>
  <si>
    <t>XS</t>
  </si>
  <si>
    <t>929</t>
  </si>
  <si>
    <t>SPRATLY ISLANDS</t>
  </si>
  <si>
    <t>Spratly Islands</t>
  </si>
  <si>
    <t>LKA</t>
  </si>
  <si>
    <t>LK</t>
  </si>
  <si>
    <t>144</t>
  </si>
  <si>
    <t>SRI LANKA</t>
  </si>
  <si>
    <t>Sri Lanka</t>
  </si>
  <si>
    <t>Democratic Socialist Republic of Sri Lanka</t>
  </si>
  <si>
    <t>SDN</t>
  </si>
  <si>
    <t>SD</t>
  </si>
  <si>
    <t>729</t>
  </si>
  <si>
    <t>SUDAN</t>
  </si>
  <si>
    <t>Sudan</t>
  </si>
  <si>
    <t>Republic of the Sudan</t>
  </si>
  <si>
    <t>SUR</t>
  </si>
  <si>
    <t>SR</t>
  </si>
  <si>
    <t>740</t>
  </si>
  <si>
    <t>SURINAME</t>
  </si>
  <si>
    <t>Suriname</t>
  </si>
  <si>
    <t>Republic of Suriname</t>
  </si>
  <si>
    <t>XSV</t>
  </si>
  <si>
    <t>XR</t>
  </si>
  <si>
    <t>930</t>
  </si>
  <si>
    <t>SVALBARD</t>
  </si>
  <si>
    <t>Svalbard</t>
  </si>
  <si>
    <t>SWE</t>
  </si>
  <si>
    <t>752</t>
  </si>
  <si>
    <t>SWEDEN</t>
  </si>
  <si>
    <t>Sweden</t>
  </si>
  <si>
    <t>Kingdom of Sweden</t>
  </si>
  <si>
    <t>CHE</t>
  </si>
  <si>
    <t>756</t>
  </si>
  <si>
    <t>SWITZERLAND</t>
  </si>
  <si>
    <t>Switzerland</t>
  </si>
  <si>
    <t>Swiss Confederation</t>
  </si>
  <si>
    <t>SYR</t>
  </si>
  <si>
    <t>SY</t>
  </si>
  <si>
    <t>760</t>
  </si>
  <si>
    <t>SYRIA</t>
  </si>
  <si>
    <t>Syria</t>
  </si>
  <si>
    <t>Syrian Arab Republic</t>
  </si>
  <si>
    <t>TWN</t>
  </si>
  <si>
    <t>TW</t>
  </si>
  <si>
    <t>158</t>
  </si>
  <si>
    <t>TAIWAN</t>
  </si>
  <si>
    <t>Taiwan</t>
  </si>
  <si>
    <t>TJK</t>
  </si>
  <si>
    <t>TJ</t>
  </si>
  <si>
    <t>762</t>
  </si>
  <si>
    <t>TAJIKISTAN</t>
  </si>
  <si>
    <t>Tajikistan</t>
  </si>
  <si>
    <t>Republic of Tajikistan</t>
  </si>
  <si>
    <t>TZA</t>
  </si>
  <si>
    <t>TZ</t>
  </si>
  <si>
    <t>834</t>
  </si>
  <si>
    <t>TANZANIA</t>
  </si>
  <si>
    <t>Tanzania</t>
  </si>
  <si>
    <t>United Republic of Tanzania</t>
  </si>
  <si>
    <t>THA</t>
  </si>
  <si>
    <t>TH</t>
  </si>
  <si>
    <t>764</t>
  </si>
  <si>
    <t>THAILAND</t>
  </si>
  <si>
    <t>Thailand</t>
  </si>
  <si>
    <t>Kingdom of Thailand</t>
  </si>
  <si>
    <t>TLS</t>
  </si>
  <si>
    <t>TL</t>
  </si>
  <si>
    <t>626</t>
  </si>
  <si>
    <t>TIMOR-LESTE</t>
  </si>
  <si>
    <t>Timor-Leste</t>
  </si>
  <si>
    <t>Democratic Republic of Timor-Leste</t>
  </si>
  <si>
    <t>TT</t>
  </si>
  <si>
    <t>TGO</t>
  </si>
  <si>
    <t>TG</t>
  </si>
  <si>
    <t>768</t>
  </si>
  <si>
    <t>TOGO</t>
  </si>
  <si>
    <t>Togo</t>
  </si>
  <si>
    <t>Togolese Republic</t>
  </si>
  <si>
    <t>TO</t>
  </si>
  <si>
    <t>TKL</t>
  </si>
  <si>
    <t>TK</t>
  </si>
  <si>
    <t>772</t>
  </si>
  <si>
    <t>TOKELAU</t>
  </si>
  <si>
    <t>Tokelau</t>
  </si>
  <si>
    <t>TON</t>
  </si>
  <si>
    <t>776</t>
  </si>
  <si>
    <t>TONGA</t>
  </si>
  <si>
    <t>Tonga</t>
  </si>
  <si>
    <t>Kingdom of Tonga</t>
  </si>
  <si>
    <t>TN</t>
  </si>
  <si>
    <t>TTO</t>
  </si>
  <si>
    <t>780</t>
  </si>
  <si>
    <t>TRINIDAD AND TOBAGO</t>
  </si>
  <si>
    <t>Trinidad and Tobago</t>
  </si>
  <si>
    <t>Republic of Trinidad and Tobago</t>
  </si>
  <si>
    <t>XTR</t>
  </si>
  <si>
    <t>XT</t>
  </si>
  <si>
    <t>931</t>
  </si>
  <si>
    <t>TROMELIN ISLAND</t>
  </si>
  <si>
    <t>Tromelin Island</t>
  </si>
  <si>
    <t>TUN</t>
  </si>
  <si>
    <t>788</t>
  </si>
  <si>
    <t>TUNISIA</t>
  </si>
  <si>
    <t>Tunisia</t>
  </si>
  <si>
    <t>Republic of Tunisia</t>
  </si>
  <si>
    <t>TUR</t>
  </si>
  <si>
    <t>TR</t>
  </si>
  <si>
    <t>792</t>
  </si>
  <si>
    <t>TURKEY</t>
  </si>
  <si>
    <t>Turkey</t>
  </si>
  <si>
    <t>Republic of Turkey</t>
  </si>
  <si>
    <t>TKM</t>
  </si>
  <si>
    <t>TM</t>
  </si>
  <si>
    <t>795</t>
  </si>
  <si>
    <t>TURKMENISTAN</t>
  </si>
  <si>
    <t>Turkmenistan</t>
  </si>
  <si>
    <t>TCA</t>
  </si>
  <si>
    <t>TC</t>
  </si>
  <si>
    <t>796</t>
  </si>
  <si>
    <t>TURKS AND CAICOS ISLANDS</t>
  </si>
  <si>
    <t>Turks and Caicos Islands</t>
  </si>
  <si>
    <t>TUV</t>
  </si>
  <si>
    <t>TV</t>
  </si>
  <si>
    <t>798</t>
  </si>
  <si>
    <t>TUVALU</t>
  </si>
  <si>
    <t>Tuvalu</t>
  </si>
  <si>
    <t>UGA</t>
  </si>
  <si>
    <t>UG</t>
  </si>
  <si>
    <t>800</t>
  </si>
  <si>
    <t>UGANDA</t>
  </si>
  <si>
    <t>Uganda</t>
  </si>
  <si>
    <t>Republic of Uganda</t>
  </si>
  <si>
    <t>UKR</t>
  </si>
  <si>
    <t>UA</t>
  </si>
  <si>
    <t>804</t>
  </si>
  <si>
    <t>UKRAINE</t>
  </si>
  <si>
    <t>Ukraine</t>
  </si>
  <si>
    <t>ARE</t>
  </si>
  <si>
    <t>AE</t>
  </si>
  <si>
    <t>784</t>
  </si>
  <si>
    <t>UNITED ARAB EMIRATES</t>
  </si>
  <si>
    <t>United Arab Emirates</t>
  </si>
  <si>
    <t>GBR</t>
  </si>
  <si>
    <t>826</t>
  </si>
  <si>
    <t>UNITED KINGDOM</t>
  </si>
  <si>
    <t>United Kingdom</t>
  </si>
  <si>
    <t>United Kingdom of Great Britain and Northern Ireland</t>
  </si>
  <si>
    <t>USA</t>
  </si>
  <si>
    <t>US</t>
  </si>
  <si>
    <t>840</t>
  </si>
  <si>
    <t>UNITED STATES</t>
  </si>
  <si>
    <t>United States</t>
  </si>
  <si>
    <t>United States of America</t>
  </si>
  <si>
    <t>AX1</t>
  </si>
  <si>
    <t>A1</t>
  </si>
  <si>
    <t>932</t>
  </si>
  <si>
    <t>UNKNOWN</t>
  </si>
  <si>
    <t>Unknown</t>
  </si>
  <si>
    <t>URY</t>
  </si>
  <si>
    <t>UY</t>
  </si>
  <si>
    <t>858</t>
  </si>
  <si>
    <t>URUGUAY</t>
  </si>
  <si>
    <t>Uruguay</t>
  </si>
  <si>
    <t>Oriental Republic of Uruguay</t>
  </si>
  <si>
    <t>UZB</t>
  </si>
  <si>
    <t>UZ</t>
  </si>
  <si>
    <t>860</t>
  </si>
  <si>
    <t>UZBEKISTAN</t>
  </si>
  <si>
    <t>Uzbekistan</t>
  </si>
  <si>
    <t>Republic of Uzbekistan</t>
  </si>
  <si>
    <t>VUT</t>
  </si>
  <si>
    <t>VU</t>
  </si>
  <si>
    <t>548</t>
  </si>
  <si>
    <t>VANUATU</t>
  </si>
  <si>
    <t>Vanuatu</t>
  </si>
  <si>
    <t>Republic of Vanuatu</t>
  </si>
  <si>
    <t>VAT</t>
  </si>
  <si>
    <t>VA</t>
  </si>
  <si>
    <t>336</t>
  </si>
  <si>
    <t>VATICAN CITY</t>
  </si>
  <si>
    <t>Vatican City</t>
  </si>
  <si>
    <t>State of the Vatican City</t>
  </si>
  <si>
    <t>VEN</t>
  </si>
  <si>
    <t>VE</t>
  </si>
  <si>
    <t>862</t>
  </si>
  <si>
    <t>VENEZUELA</t>
  </si>
  <si>
    <t>Venezuela</t>
  </si>
  <si>
    <t>Bolivarian Republic of Venezuela</t>
  </si>
  <si>
    <t>VNM</t>
  </si>
  <si>
    <t>VN</t>
  </si>
  <si>
    <t>704</t>
  </si>
  <si>
    <t>VIETNAM</t>
  </si>
  <si>
    <t>Vietnam</t>
  </si>
  <si>
    <t>Socialist Republic of Vietnam</t>
  </si>
  <si>
    <t>VGB</t>
  </si>
  <si>
    <t>VG</t>
  </si>
  <si>
    <t>092</t>
  </si>
  <si>
    <t>VIRGIN ISLANDS, BRITISH</t>
  </si>
  <si>
    <t>Virgin Islands, British</t>
  </si>
  <si>
    <t>British Virgin Islands</t>
  </si>
  <si>
    <t>VI</t>
  </si>
  <si>
    <t>VIR</t>
  </si>
  <si>
    <t>850</t>
  </si>
  <si>
    <t>VIRGIN ISLANDS, U.S.</t>
  </si>
  <si>
    <t>Virgin Islands, U.S.</t>
  </si>
  <si>
    <t>United States Virgin Islands</t>
  </si>
  <si>
    <t>XWK</t>
  </si>
  <si>
    <t>QW</t>
  </si>
  <si>
    <t>933</t>
  </si>
  <si>
    <t>WAKE ISLAND</t>
  </si>
  <si>
    <t>Wake Island</t>
  </si>
  <si>
    <t>WLF</t>
  </si>
  <si>
    <t>WF</t>
  </si>
  <si>
    <t>876</t>
  </si>
  <si>
    <t>WALLIS AND FUTUNA</t>
  </si>
  <si>
    <t>Wallis and Futuna</t>
  </si>
  <si>
    <t>XWB</t>
  </si>
  <si>
    <t>XW</t>
  </si>
  <si>
    <t>934</t>
  </si>
  <si>
    <t>WEST BANK</t>
  </si>
  <si>
    <t>West Bank</t>
  </si>
  <si>
    <t>ESH</t>
  </si>
  <si>
    <t>EH</t>
  </si>
  <si>
    <t>732</t>
  </si>
  <si>
    <t>WESTERN SAHARA</t>
  </si>
  <si>
    <t>Western Sahara</t>
  </si>
  <si>
    <t>YEM</t>
  </si>
  <si>
    <t>YE</t>
  </si>
  <si>
    <t>887</t>
  </si>
  <si>
    <t>YEMEN</t>
  </si>
  <si>
    <t>Yemen</t>
  </si>
  <si>
    <t>Republic of Yemen</t>
  </si>
  <si>
    <t>ZMB</t>
  </si>
  <si>
    <t>ZM</t>
  </si>
  <si>
    <t>894</t>
  </si>
  <si>
    <t>ZAMBIA</t>
  </si>
  <si>
    <t>Zambia</t>
  </si>
  <si>
    <t>Republic of Zambia</t>
  </si>
  <si>
    <t>ZWE</t>
  </si>
  <si>
    <t>ZW</t>
  </si>
  <si>
    <t>716</t>
  </si>
  <si>
    <t>ZIMBABWE</t>
  </si>
  <si>
    <t>Zimbabwe</t>
  </si>
  <si>
    <t>Republic of Zimbabwe</t>
  </si>
  <si>
    <t>(30 June 2019)   GENC Standard Codes for Names of Administrative Subdivisions, Edition 3.0, Update 11</t>
  </si>
  <si>
    <t>http://api.nsgreg.nga.mil/geo-division/GENC/6/3-11</t>
  </si>
  <si>
    <t>urn:us:gov:dod:nga:def:geo-division:GENC:6:3-11</t>
  </si>
  <si>
    <t>AF-BDS</t>
  </si>
  <si>
    <t>Badakhshān</t>
  </si>
  <si>
    <t>province</t>
  </si>
  <si>
    <t>AF-BDG</t>
  </si>
  <si>
    <t>Bādghīs</t>
  </si>
  <si>
    <t>AF-BGL</t>
  </si>
  <si>
    <t>Baghlān</t>
  </si>
  <si>
    <t>AF-BAL</t>
  </si>
  <si>
    <t>Balkh</t>
  </si>
  <si>
    <t>AF-BAM</t>
  </si>
  <si>
    <t>Bāmyān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</si>
  <si>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</si>
  <si>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</si>
  <si>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</si>
  <si>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</si>
  <si>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</si>
  <si>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</si>
  <si>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</si>
  <si>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</si>
  <si>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</si>
  <si>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</si>
  <si>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</si>
  <si>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</si>
  <si>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</si>
  <si>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</si>
  <si>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</si>
  <si>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</si>
  <si>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</si>
  <si>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</si>
  <si>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</si>
  <si>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</si>
  <si>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</si>
  <si>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</si>
  <si>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AF-KHO</t>
  </si>
  <si>
    <t>Khōst</t>
  </si>
  <si>
    <t>AF-KNR</t>
  </si>
  <si>
    <t>Kunaṟ</t>
  </si>
  <si>
    <t>AF-KDZ</t>
  </si>
  <si>
    <t>Kunduz</t>
  </si>
  <si>
    <t>AF-LAG</t>
  </si>
  <si>
    <t>Laghmān</t>
  </si>
  <si>
    <t>AF-LOG</t>
  </si>
  <si>
    <t>Lōgar</t>
  </si>
  <si>
    <t>AF-NAN</t>
  </si>
  <si>
    <t>Nangarhār</t>
  </si>
  <si>
    <t>AF-NIM</t>
  </si>
  <si>
    <t>Nīmrōz</t>
  </si>
  <si>
    <t>AF-NUR</t>
  </si>
  <si>
    <t>Nūristān</t>
  </si>
  <si>
    <t>AF-PKA</t>
  </si>
  <si>
    <t>Paktīkā</t>
  </si>
  <si>
    <t>AF-PIA</t>
  </si>
  <si>
    <t>Paktiyā</t>
  </si>
  <si>
    <t>AF-PAN</t>
  </si>
  <si>
    <t>Panjshir</t>
  </si>
  <si>
    <t>AF-PAR</t>
  </si>
  <si>
    <t>Parwān</t>
  </si>
  <si>
    <t>AF-SAM</t>
  </si>
  <si>
    <t>Samangān</t>
  </si>
  <si>
    <t>AF-SAR</t>
  </si>
  <si>
    <t>Sar-e Pul</t>
  </si>
  <si>
    <t>AF-TAK</t>
  </si>
  <si>
    <t>Takhār</t>
  </si>
  <si>
    <t>AF-URU</t>
  </si>
  <si>
    <t>Uruzgān</t>
  </si>
  <si>
    <t>AF-WAR</t>
  </si>
  <si>
    <t>Wardak</t>
  </si>
  <si>
    <t>AF-ZAB</t>
  </si>
  <si>
    <t>Zābul</t>
  </si>
  <si>
    <t>AL-01</t>
  </si>
  <si>
    <t>Berat</t>
  </si>
  <si>
    <t>county</t>
  </si>
  <si>
    <t>AL-09</t>
  </si>
  <si>
    <t>Dibër</t>
  </si>
  <si>
    <t>AL-02</t>
  </si>
  <si>
    <t>Durrës</t>
  </si>
  <si>
    <t>AL-03</t>
  </si>
  <si>
    <t>Elbasan</t>
  </si>
  <si>
    <t>AL-04</t>
  </si>
  <si>
    <t>Fier</t>
  </si>
  <si>
    <t>AL-05</t>
  </si>
  <si>
    <t>Gjirokastër</t>
  </si>
  <si>
    <t>AL-06</t>
  </si>
  <si>
    <t>Korçë</t>
  </si>
  <si>
    <t>AL-07</t>
  </si>
  <si>
    <t>Kukës</t>
  </si>
  <si>
    <t>AL-08</t>
  </si>
  <si>
    <t>Lezhë</t>
  </si>
  <si>
    <t>AL-10</t>
  </si>
  <si>
    <t>Shkodër</t>
  </si>
  <si>
    <t>AL-11</t>
  </si>
  <si>
    <t>Tiranë</t>
  </si>
  <si>
    <t>AL-12</t>
  </si>
  <si>
    <t>Vlorë</t>
  </si>
  <si>
    <t>DZ-01</t>
  </si>
  <si>
    <t>Adrar</t>
  </si>
  <si>
    <t>DZ-44</t>
  </si>
  <si>
    <t>Aïn Defla</t>
  </si>
  <si>
    <t>DZ-46</t>
  </si>
  <si>
    <t>Aïn Temouchent</t>
  </si>
  <si>
    <t>DZ-16</t>
  </si>
  <si>
    <t>Alger</t>
  </si>
  <si>
    <t>DZ-23</t>
  </si>
  <si>
    <t>Annaba</t>
  </si>
  <si>
    <t>DZ-05</t>
  </si>
  <si>
    <t>Batna</t>
  </si>
  <si>
    <t>DZ-08</t>
  </si>
  <si>
    <t>Béchar</t>
  </si>
  <si>
    <t>DZ-06</t>
  </si>
  <si>
    <t>Bejaïa</t>
  </si>
  <si>
    <t>DZ-07</t>
  </si>
  <si>
    <t>Biskra</t>
  </si>
  <si>
    <t>DZ-09</t>
  </si>
  <si>
    <t>Blida</t>
  </si>
  <si>
    <t>DZ-34</t>
  </si>
  <si>
    <t>Bordj Bou Arréridj</t>
  </si>
  <si>
    <t>DZ-10</t>
  </si>
  <si>
    <t>Bouira</t>
  </si>
  <si>
    <t>DZ-35</t>
  </si>
  <si>
    <t>Boumerdes</t>
  </si>
  <si>
    <t>DZ-02</t>
  </si>
  <si>
    <t>Chlef</t>
  </si>
  <si>
    <t>DZ-25</t>
  </si>
  <si>
    <t>Constantine</t>
  </si>
  <si>
    <t>DZ-17</t>
  </si>
  <si>
    <t>Djelfa</t>
  </si>
  <si>
    <t>DZ-32</t>
  </si>
  <si>
    <t>El Bayadh</t>
  </si>
  <si>
    <t>DZ-39</t>
  </si>
  <si>
    <t>El Oued</t>
  </si>
  <si>
    <t>DZ-36</t>
  </si>
  <si>
    <t>El Tarf</t>
  </si>
  <si>
    <t>DZ-47</t>
  </si>
  <si>
    <t>Ghardaïa</t>
  </si>
  <si>
    <t>DZ-24</t>
  </si>
  <si>
    <t>Guelma</t>
  </si>
  <si>
    <t>DZ-33</t>
  </si>
  <si>
    <t>Illizi</t>
  </si>
  <si>
    <t>DZ-18</t>
  </si>
  <si>
    <t>Jijel</t>
  </si>
  <si>
    <t>DZ-40</t>
  </si>
  <si>
    <t>Khenchela</t>
  </si>
  <si>
    <t>DZ-03</t>
  </si>
  <si>
    <t>Laghouat</t>
  </si>
  <si>
    <t>DZ-29</t>
  </si>
  <si>
    <t>Mascara</t>
  </si>
  <si>
    <t>DZ-26</t>
  </si>
  <si>
    <t>Médéa</t>
  </si>
  <si>
    <t>DZ-43</t>
  </si>
  <si>
    <t>Mila</t>
  </si>
  <si>
    <t>DZ-27</t>
  </si>
  <si>
    <t>Mostaganem</t>
  </si>
  <si>
    <t>DZ-28</t>
  </si>
  <si>
    <t>M’sila</t>
  </si>
  <si>
    <t>DZ-45</t>
  </si>
  <si>
    <t>Naama</t>
  </si>
  <si>
    <t>DZ-31</t>
  </si>
  <si>
    <t>Oran</t>
  </si>
  <si>
    <t>DZ-30</t>
  </si>
  <si>
    <t>Ouargla</t>
  </si>
  <si>
    <t>DZ-04</t>
  </si>
  <si>
    <t>Oum el Bouaghi</t>
  </si>
  <si>
    <t>DZ-48</t>
  </si>
  <si>
    <t>Relizane</t>
  </si>
  <si>
    <t>DZ-20</t>
  </si>
  <si>
    <t>Saïda</t>
  </si>
  <si>
    <t>DZ-19</t>
  </si>
  <si>
    <t>Sétif</t>
  </si>
  <si>
    <t>DZ-22</t>
  </si>
  <si>
    <t>Sidi Bel Abbès</t>
  </si>
  <si>
    <t>DZ-21</t>
  </si>
  <si>
    <t>Skikda</t>
  </si>
  <si>
    <t>DZ-41</t>
  </si>
  <si>
    <t>Souk Ahras</t>
  </si>
  <si>
    <t>DZ-11</t>
  </si>
  <si>
    <t>Tamanrasset</t>
  </si>
  <si>
    <t>DZ-12</t>
  </si>
  <si>
    <t>Tébessa</t>
  </si>
  <si>
    <t>DZ-14</t>
  </si>
  <si>
    <t>Tiaret</t>
  </si>
  <si>
    <t>DZ-37</t>
  </si>
  <si>
    <t>Tindouf</t>
  </si>
  <si>
    <t>DZ-42</t>
  </si>
  <si>
    <t>Tipaza</t>
  </si>
  <si>
    <t>DZ-38</t>
  </si>
  <si>
    <t>Tissemsilt</t>
  </si>
  <si>
    <t>DZ-15</t>
  </si>
  <si>
    <t>Tizi Ouzou</t>
  </si>
  <si>
    <t>DZ-13</t>
  </si>
  <si>
    <t>Tlemcen</t>
  </si>
  <si>
    <t>AD-07</t>
  </si>
  <si>
    <t>Andorra la Vella</t>
  </si>
  <si>
    <t>parish</t>
  </si>
  <si>
    <t>AD-02</t>
  </si>
  <si>
    <t>Canillo</t>
  </si>
  <si>
    <t>AD-03</t>
  </si>
  <si>
    <t>Encamp</t>
  </si>
  <si>
    <t>AD-08</t>
  </si>
  <si>
    <t>Escaldes-Engordany</t>
  </si>
  <si>
    <t>AD-04</t>
  </si>
  <si>
    <t>La Massana</t>
  </si>
  <si>
    <t>AD-05</t>
  </si>
  <si>
    <t>Ordino</t>
  </si>
  <si>
    <t>AD-06</t>
  </si>
  <si>
    <t>Sant Julià de Lòria</t>
  </si>
  <si>
    <t>AO-BGO</t>
  </si>
  <si>
    <t>Bengo</t>
  </si>
  <si>
    <t>AO-BGU</t>
  </si>
  <si>
    <t>Benguela</t>
  </si>
  <si>
    <t>AO-BIE</t>
  </si>
  <si>
    <t>Bié</t>
  </si>
  <si>
    <t>AO-CAB</t>
  </si>
  <si>
    <t>Cabinda</t>
  </si>
  <si>
    <t>AO-CNN</t>
  </si>
  <si>
    <t>Cunene</t>
  </si>
  <si>
    <t>AO-HUA</t>
  </si>
  <si>
    <t>Huambo</t>
  </si>
  <si>
    <t>AO-HUI</t>
  </si>
  <si>
    <t>Huíla</t>
  </si>
  <si>
    <t>AO-CCU</t>
  </si>
  <si>
    <t>Kuando Kubango</t>
  </si>
  <si>
    <t>AO-CNO</t>
  </si>
  <si>
    <t>Kwanza Norte</t>
  </si>
  <si>
    <t>AO-CUS</t>
  </si>
  <si>
    <t>Kwanza Sul</t>
  </si>
  <si>
    <t>AO-LUA</t>
  </si>
  <si>
    <t>Luanda</t>
  </si>
  <si>
    <t>AO-LNO</t>
  </si>
  <si>
    <t>Lunda Norte</t>
  </si>
  <si>
    <t>AO-LSU</t>
  </si>
  <si>
    <t>Lunda Sul</t>
  </si>
  <si>
    <t>AO-MAL</t>
  </si>
  <si>
    <t>Malanje</t>
  </si>
  <si>
    <t>AO-MOX</t>
  </si>
  <si>
    <t>Moxico</t>
  </si>
  <si>
    <t>AO-NAM</t>
  </si>
  <si>
    <t>Namibe</t>
  </si>
  <si>
    <t>AO-UIG</t>
  </si>
  <si>
    <t>Uíge</t>
  </si>
  <si>
    <t>AO-ZAI</t>
  </si>
  <si>
    <t>Zaire</t>
  </si>
  <si>
    <t>AG-10</t>
  </si>
  <si>
    <t>Barbuda</t>
  </si>
  <si>
    <t>dependency</t>
  </si>
  <si>
    <t>AG-11</t>
  </si>
  <si>
    <t>Redonda</t>
  </si>
  <si>
    <t>AG-03</t>
  </si>
  <si>
    <t>Saint George</t>
  </si>
  <si>
    <t>AG-04</t>
  </si>
  <si>
    <t>Saint John</t>
  </si>
  <si>
    <t>AG-05</t>
  </si>
  <si>
    <t>Saint Mary</t>
  </si>
  <si>
    <t>AG-06</t>
  </si>
  <si>
    <t>Saint Paul</t>
  </si>
  <si>
    <t>AG-07</t>
  </si>
  <si>
    <t>Saint Peter</t>
  </si>
  <si>
    <t>AG-08</t>
  </si>
  <si>
    <t>Saint Philip</t>
  </si>
  <si>
    <t>AR-B</t>
  </si>
  <si>
    <t>Buenos Aires</t>
  </si>
  <si>
    <t>AR-C</t>
  </si>
  <si>
    <t>Buenos Aires, Ciudad Autónoma de</t>
  </si>
  <si>
    <t>autonomous city</t>
  </si>
  <si>
    <t>AR-K</t>
  </si>
  <si>
    <t>Catamarca</t>
  </si>
  <si>
    <t>AR-H</t>
  </si>
  <si>
    <t>Chaco</t>
  </si>
  <si>
    <t>AR-U</t>
  </si>
  <si>
    <t>Chubut</t>
  </si>
  <si>
    <t>AR-X</t>
  </si>
  <si>
    <t>Córdoba</t>
  </si>
  <si>
    <t>AR-W</t>
  </si>
  <si>
    <t>Corrientes</t>
  </si>
  <si>
    <t>AR-E</t>
  </si>
  <si>
    <t>Entre Ríos</t>
  </si>
  <si>
    <t>AR-P</t>
  </si>
  <si>
    <t>Formosa</t>
  </si>
  <si>
    <t>AR-Y</t>
  </si>
  <si>
    <t>Jujuy</t>
  </si>
  <si>
    <t>AR-L</t>
  </si>
  <si>
    <t>La Pampa</t>
  </si>
  <si>
    <t>AR-F</t>
  </si>
  <si>
    <t>La Rioja</t>
  </si>
  <si>
    <t>AR-M</t>
  </si>
  <si>
    <t>Mendoza</t>
  </si>
  <si>
    <t>AR-N</t>
  </si>
  <si>
    <t>Misiones</t>
  </si>
  <si>
    <t>AR-Q</t>
  </si>
  <si>
    <t>Neuquén</t>
  </si>
  <si>
    <t>AR-R</t>
  </si>
  <si>
    <t>Río Negro</t>
  </si>
  <si>
    <t>AR-A</t>
  </si>
  <si>
    <t>Salta</t>
  </si>
  <si>
    <t>AR-J</t>
  </si>
  <si>
    <t>San Juan</t>
  </si>
  <si>
    <t>AR-D</t>
  </si>
  <si>
    <t>San Luis</t>
  </si>
  <si>
    <t>AR-Z</t>
  </si>
  <si>
    <t>Santa Cruz</t>
  </si>
  <si>
    <t>AR-S</t>
  </si>
  <si>
    <t>Santa Fe</t>
  </si>
  <si>
    <t>AR-G</t>
  </si>
  <si>
    <t>Santiago del Estero</t>
  </si>
  <si>
    <t>AR-V</t>
  </si>
  <si>
    <t>Tierra del Fuego, Antártida e Islas del Atlántico Sur</t>
  </si>
  <si>
    <t>AR-T</t>
  </si>
  <si>
    <t>Tucumán</t>
  </si>
  <si>
    <t>AM-AG</t>
  </si>
  <si>
    <t>Aragatsotn</t>
  </si>
  <si>
    <t>region</t>
  </si>
  <si>
    <t>AM-AR</t>
  </si>
  <si>
    <t>Ararat</t>
  </si>
  <si>
    <t>AM-AV</t>
  </si>
  <si>
    <t>Armavir</t>
  </si>
  <si>
    <t>AM-GR</t>
  </si>
  <si>
    <t>Geghark’unik’</t>
  </si>
  <si>
    <t>AM-KT</t>
  </si>
  <si>
    <t>Kotayk’</t>
  </si>
  <si>
    <t>AM-LO</t>
  </si>
  <si>
    <t>Lorri</t>
  </si>
  <si>
    <t>AM-SH</t>
  </si>
  <si>
    <t>Shirak</t>
  </si>
  <si>
    <t>AM-SU</t>
  </si>
  <si>
    <t>Syunik’</t>
  </si>
  <si>
    <t>AM-TV</t>
  </si>
  <si>
    <t>Tavush</t>
  </si>
  <si>
    <t>AM-VD</t>
  </si>
  <si>
    <t>Vayots’ Dzor</t>
  </si>
  <si>
    <t>AM-ER</t>
  </si>
  <si>
    <t>Yerevan</t>
  </si>
  <si>
    <t>city</t>
  </si>
  <si>
    <t>AU-ACT</t>
  </si>
  <si>
    <t>Australian Capital Territory</t>
  </si>
  <si>
    <t>territory</t>
  </si>
  <si>
    <t>AU-NSW</t>
  </si>
  <si>
    <t>New South Wales</t>
  </si>
  <si>
    <t>state</t>
  </si>
  <si>
    <t>AU-NT</t>
  </si>
  <si>
    <t>Northern Territory</t>
  </si>
  <si>
    <t>AU-QLD</t>
  </si>
  <si>
    <t>Queensland</t>
  </si>
  <si>
    <t>AU-SA</t>
  </si>
  <si>
    <t>South Australia</t>
  </si>
  <si>
    <t>AU-TAS</t>
  </si>
  <si>
    <t>Tasmania</t>
  </si>
  <si>
    <t>AU-VIC</t>
  </si>
  <si>
    <t>Victoria</t>
  </si>
  <si>
    <t>AU-WA</t>
  </si>
  <si>
    <t>Western Australia</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</si>
  <si>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</si>
  <si>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</si>
  <si>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</si>
  <si>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</si>
  <si>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</si>
  <si>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</si>
  <si>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</si>
  <si>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</si>
  <si>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</si>
  <si>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</si>
  <si>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</si>
  <si>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</si>
  <si>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</si>
  <si>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</si>
  <si>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</si>
  <si>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</si>
  <si>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</si>
  <si>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</si>
  <si>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AZ-ABS</t>
  </si>
  <si>
    <t>Abşeron</t>
  </si>
  <si>
    <t>district</t>
  </si>
  <si>
    <t>AZ-AGC</t>
  </si>
  <si>
    <t>Ağcabədi</t>
  </si>
  <si>
    <t>AZ-AGM</t>
  </si>
  <si>
    <t>Ağdam</t>
  </si>
  <si>
    <t>AZ-AGS</t>
  </si>
  <si>
    <t>Ağdaş</t>
  </si>
  <si>
    <t>AZ-AGA</t>
  </si>
  <si>
    <t>Ağstafa</t>
  </si>
  <si>
    <t>AZ-AGU</t>
  </si>
  <si>
    <t>Ağsu</t>
  </si>
  <si>
    <t>AZ-AST</t>
  </si>
  <si>
    <t>Astara</t>
  </si>
  <si>
    <t>AZ-BA</t>
  </si>
  <si>
    <t>Bakı</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</si>
  <si>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</si>
  <si>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</si>
  <si>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</si>
  <si>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</si>
  <si>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</si>
  <si>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</si>
  <si>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</si>
  <si>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</si>
  <si>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</si>
  <si>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</si>
  <si>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</si>
  <si>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</si>
  <si>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</si>
  <si>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</si>
  <si>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</si>
  <si>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</si>
  <si>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</si>
  <si>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</si>
  <si>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AZ-GA</t>
  </si>
  <si>
    <t>Gəncə</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</si>
  <si>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</si>
  <si>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</si>
  <si>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</si>
  <si>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</si>
  <si>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</si>
  <si>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</si>
  <si>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</si>
  <si>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</si>
  <si>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</si>
  <si>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</si>
  <si>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</si>
  <si>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</si>
  <si>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</si>
  <si>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</si>
  <si>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</si>
  <si>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</si>
  <si>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</si>
  <si>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</si>
  <si>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t>
  </si>
  <si>
    <t>Lənkəran</t>
  </si>
  <si>
    <t>AZ-LAN</t>
  </si>
  <si>
    <t>AZ-LER</t>
  </si>
  <si>
    <t>Lerik</t>
  </si>
  <si>
    <t>AZ-MAS</t>
  </si>
  <si>
    <t>Masallı</t>
  </si>
  <si>
    <t>AZ-MI</t>
  </si>
  <si>
    <t>Mingəçevir</t>
  </si>
  <si>
    <t>AZ-NA</t>
  </si>
  <si>
    <t>Naftalan</t>
  </si>
  <si>
    <t>AZ-NX</t>
  </si>
  <si>
    <t>Naxçıvan</t>
  </si>
  <si>
    <t>autonomous republic</t>
  </si>
  <si>
    <t>AZ-BAB</t>
  </si>
  <si>
    <t xml:space="preserve">     Babək</t>
  </si>
  <si>
    <t>AZ-CUL</t>
  </si>
  <si>
    <t xml:space="preserve">     Culfa</t>
  </si>
  <si>
    <t>AZ-KAN</t>
  </si>
  <si>
    <t xml:space="preserve">     Kəngərli</t>
  </si>
  <si>
    <t>AZ-NV</t>
  </si>
  <si>
    <t xml:space="preserve">     Naxçıvan</t>
  </si>
  <si>
    <t>AZ-ORD</t>
  </si>
  <si>
    <t xml:space="preserve">     Ordubad</t>
  </si>
  <si>
    <t>AZ-SAH</t>
  </si>
  <si>
    <t xml:space="preserve">     Şahbuz</t>
  </si>
  <si>
    <t>AZ-SAD</t>
  </si>
  <si>
    <t xml:space="preserve">     Sədərək</t>
  </si>
  <si>
    <t>AZ-SAR</t>
  </si>
  <si>
    <t xml:space="preserve">     Şərur</t>
  </si>
  <si>
    <t>AZ-NEF</t>
  </si>
  <si>
    <t>Neftçala</t>
  </si>
  <si>
    <t>AZ-OGU</t>
  </si>
  <si>
    <t>Oğuz</t>
  </si>
  <si>
    <t>AZ-QAB</t>
  </si>
  <si>
    <t>Qəbələ</t>
  </si>
  <si>
    <t>AZ-QAX</t>
  </si>
  <si>
    <t>Qax</t>
  </si>
  <si>
    <t>AZ-QAZ</t>
  </si>
  <si>
    <t>Qazax</t>
  </si>
  <si>
    <t>AZ-QOB</t>
  </si>
  <si>
    <t>Qobustan</t>
  </si>
  <si>
    <t>AZ-QBA</t>
  </si>
  <si>
    <t>Quba</t>
  </si>
  <si>
    <t>AZ-QBI</t>
  </si>
  <si>
    <t>Qubadlı</t>
  </si>
  <si>
    <t>AZ-QUS</t>
  </si>
  <si>
    <t>Qusar</t>
  </si>
  <si>
    <t>AZ-SAT</t>
  </si>
  <si>
    <t>Saatlı</t>
  </si>
  <si>
    <t>AZ-SAB</t>
  </si>
  <si>
    <t>Sabirabad</t>
  </si>
  <si>
    <t>AZ-SBN</t>
  </si>
  <si>
    <t>Şabran</t>
  </si>
  <si>
    <t>AZ-SA</t>
  </si>
  <si>
    <t>Şəki</t>
  </si>
  <si>
    <t>AZ-SAK</t>
  </si>
  <si>
    <t>AZ-SAL</t>
  </si>
  <si>
    <t>Salyan</t>
  </si>
  <si>
    <t>AZ-SMI</t>
  </si>
  <si>
    <t>Şamaxı</t>
  </si>
  <si>
    <t>AZ-SKR</t>
  </si>
  <si>
    <t>Şəmkir</t>
  </si>
  <si>
    <t>AZ-SMX</t>
  </si>
  <si>
    <t>Samux</t>
  </si>
  <si>
    <t>AZ-SR</t>
  </si>
  <si>
    <t>Şirvan</t>
  </si>
  <si>
    <t>AZ-SIY</t>
  </si>
  <si>
    <t>Siyəzən</t>
  </si>
  <si>
    <t>AZ-SM</t>
  </si>
  <si>
    <t>Sumqayıt</t>
  </si>
  <si>
    <t>AZ-SUS</t>
  </si>
  <si>
    <t>Şuşa</t>
  </si>
  <si>
    <t>AZ-TAR</t>
  </si>
  <si>
    <t>Tərtər</t>
  </si>
  <si>
    <t>AZ-TOV</t>
  </si>
  <si>
    <t>Tovuz</t>
  </si>
  <si>
    <t>AZ-UCA</t>
  </si>
  <si>
    <t>Ucar</t>
  </si>
  <si>
    <t>AZ-XAC</t>
  </si>
  <si>
    <t>Xaçmaz</t>
  </si>
  <si>
    <t>AZ-XA</t>
  </si>
  <si>
    <t>Xankəndi</t>
  </si>
  <si>
    <t>AZ-XIZ</t>
  </si>
  <si>
    <t>Xızı</t>
  </si>
  <si>
    <t>AZ-XCI</t>
  </si>
  <si>
    <t>Xocalı</t>
  </si>
  <si>
    <t>AZ-XVD</t>
  </si>
  <si>
    <t>Xocavənd</t>
  </si>
  <si>
    <t>AZ-YAR</t>
  </si>
  <si>
    <t>Yardımlı</t>
  </si>
  <si>
    <t>AZ-YE</t>
  </si>
  <si>
    <t>Yevlax</t>
  </si>
  <si>
    <t>AZ-YEV</t>
  </si>
  <si>
    <t>AZ-ZAN</t>
  </si>
  <si>
    <t>Zəngilan</t>
  </si>
  <si>
    <t>AZ-ZAQ</t>
  </si>
  <si>
    <t>Zaqatala</t>
  </si>
  <si>
    <t>AZ-ZAR</t>
  </si>
  <si>
    <t>Zərdab</t>
  </si>
  <si>
    <t>BS-AK</t>
  </si>
  <si>
    <t>Acklins</t>
  </si>
  <si>
    <t>BS-BY</t>
  </si>
  <si>
    <t>Berry Islands</t>
  </si>
  <si>
    <t>BS-BI</t>
  </si>
  <si>
    <t>Bimini</t>
  </si>
  <si>
    <t>BS-BP</t>
  </si>
  <si>
    <t>Black Point</t>
  </si>
  <si>
    <t>BS-CI</t>
  </si>
  <si>
    <t>Cat Island</t>
  </si>
  <si>
    <t>BS-CO</t>
  </si>
  <si>
    <t>Central Abaco</t>
  </si>
  <si>
    <t>BS-CS</t>
  </si>
  <si>
    <t>Central Andros</t>
  </si>
  <si>
    <t>BS-CE</t>
  </si>
  <si>
    <t>Central Eleuthera</t>
  </si>
  <si>
    <t>BS-FP</t>
  </si>
  <si>
    <t>City of Freeport</t>
  </si>
  <si>
    <t>BS-CK</t>
  </si>
  <si>
    <t>Crooked Island and Long Cay</t>
  </si>
  <si>
    <t>BS-EG</t>
  </si>
  <si>
    <t>East Grand Bahama</t>
  </si>
  <si>
    <t>BS-EX</t>
  </si>
  <si>
    <t>Exuma</t>
  </si>
  <si>
    <t>BS-GC</t>
  </si>
  <si>
    <t>Grand Cay</t>
  </si>
  <si>
    <t>BS-HI</t>
  </si>
  <si>
    <t>Harbour Island</t>
  </si>
  <si>
    <t>BS-HT</t>
  </si>
  <si>
    <t>Hope Town</t>
  </si>
  <si>
    <t>BS-IN</t>
  </si>
  <si>
    <t>Inagua</t>
  </si>
  <si>
    <t>BS-LI</t>
  </si>
  <si>
    <t>Long Island</t>
  </si>
  <si>
    <t>BS-MC</t>
  </si>
  <si>
    <t>Mangrove Cay</t>
  </si>
  <si>
    <t>BS-MG</t>
  </si>
  <si>
    <t>Mayaguana</t>
  </si>
  <si>
    <t>BS-MI</t>
  </si>
  <si>
    <t>Moore’s Island</t>
  </si>
  <si>
    <t>BS-NP</t>
  </si>
  <si>
    <t>New Providence</t>
  </si>
  <si>
    <t>island</t>
  </si>
  <si>
    <t>BS-NO</t>
  </si>
  <si>
    <t>North Abaco</t>
  </si>
  <si>
    <t>BS-NS</t>
  </si>
  <si>
    <t>North Andros</t>
  </si>
  <si>
    <t>BS-NE</t>
  </si>
  <si>
    <t>North Eleuthera</t>
  </si>
  <si>
    <t>BS-RI</t>
  </si>
  <si>
    <t>Ragged Island</t>
  </si>
  <si>
    <t>BS-RC</t>
  </si>
  <si>
    <t>Rum Cay</t>
  </si>
  <si>
    <t>BS-SS</t>
  </si>
  <si>
    <t>San Salvador</t>
  </si>
  <si>
    <t>BS-SO</t>
  </si>
  <si>
    <t>South Abaco</t>
  </si>
  <si>
    <t>BS-SA</t>
  </si>
  <si>
    <t>South Andros</t>
  </si>
  <si>
    <t>BS-SE</t>
  </si>
  <si>
    <t>South Eleuthera</t>
  </si>
  <si>
    <t>BS-SW</t>
  </si>
  <si>
    <t>Spanish Wells</t>
  </si>
  <si>
    <t>BS-WG</t>
  </si>
  <si>
    <t>West Grand Bahama</t>
  </si>
  <si>
    <t>BH-13</t>
  </si>
  <si>
    <t>Al ‘Āşimah</t>
  </si>
  <si>
    <t>governorate</t>
  </si>
  <si>
    <t>BH-14</t>
  </si>
  <si>
    <t>Al Janūbīyah</t>
  </si>
  <si>
    <t>BH-15</t>
  </si>
  <si>
    <t>Al Muḩarraq</t>
  </si>
  <si>
    <t>BH-17</t>
  </si>
  <si>
    <t>Ash Shamālīyah</t>
  </si>
  <si>
    <t>BD-A</t>
  </si>
  <si>
    <t>Barisāl</t>
  </si>
  <si>
    <t>division</t>
  </si>
  <si>
    <t>BD-02</t>
  </si>
  <si>
    <t xml:space="preserve">     Barguna</t>
  </si>
  <si>
    <t>BD-06</t>
  </si>
  <si>
    <t xml:space="preserve">     Barisāl</t>
  </si>
  <si>
    <t>BD-07</t>
  </si>
  <si>
    <t xml:space="preserve">     Bhola</t>
  </si>
  <si>
    <t>BD-25</t>
  </si>
  <si>
    <t xml:space="preserve">     Jhālakāti</t>
  </si>
  <si>
    <t>BD-51</t>
  </si>
  <si>
    <t xml:space="preserve">     Patuākhāli</t>
  </si>
  <si>
    <t>BD-50</t>
  </si>
  <si>
    <t xml:space="preserve">     Pirojpur</t>
  </si>
  <si>
    <t>BD-B</t>
  </si>
  <si>
    <t>Chittagong</t>
  </si>
  <si>
    <t>BD-01</t>
  </si>
  <si>
    <t xml:space="preserve">     Bandarban</t>
  </si>
  <si>
    <t>BD-04</t>
  </si>
  <si>
    <t xml:space="preserve">     Brāhmanbāria</t>
  </si>
  <si>
    <t>BD-09</t>
  </si>
  <si>
    <t xml:space="preserve">     Chāndpur</t>
  </si>
  <si>
    <t>BD-10</t>
  </si>
  <si>
    <t xml:space="preserve">     Chittagong</t>
  </si>
  <si>
    <t>BD-08</t>
  </si>
  <si>
    <t xml:space="preserve">     Comilla</t>
  </si>
  <si>
    <t>BD-11</t>
  </si>
  <si>
    <t xml:space="preserve">     Cox’s Bāzār</t>
  </si>
  <si>
    <t>BD-16</t>
  </si>
  <si>
    <t xml:space="preserve">     Feni</t>
  </si>
  <si>
    <t>BD-29</t>
  </si>
  <si>
    <t xml:space="preserve">     Khagrāchari</t>
  </si>
  <si>
    <t>BD-31</t>
  </si>
  <si>
    <t xml:space="preserve">     Lakshmipur</t>
  </si>
  <si>
    <t>BD-47</t>
  </si>
  <si>
    <t xml:space="preserve">     Noākhāli</t>
  </si>
  <si>
    <t>BD-56</t>
  </si>
  <si>
    <t xml:space="preserve">     Rangamati</t>
  </si>
  <si>
    <t>BD-C</t>
  </si>
  <si>
    <t>Dhaka</t>
  </si>
  <si>
    <t>BD-13</t>
  </si>
  <si>
    <t xml:space="preserve">     Dhaka</t>
  </si>
  <si>
    <t>BD-15</t>
  </si>
  <si>
    <t xml:space="preserve">     Farīdpur</t>
  </si>
  <si>
    <t>BD-18</t>
  </si>
  <si>
    <t xml:space="preserve">     Gāzipur</t>
  </si>
  <si>
    <t>BD-17</t>
  </si>
  <si>
    <t xml:space="preserve">     Gopālganj</t>
  </si>
  <si>
    <t>BD-26</t>
  </si>
  <si>
    <t xml:space="preserve">     Kishorganj</t>
  </si>
  <si>
    <t>BD-36</t>
  </si>
  <si>
    <t xml:space="preserve">     Mādārīpur</t>
  </si>
  <si>
    <t>BD-33</t>
  </si>
  <si>
    <t xml:space="preserve">     Mānikganj</t>
  </si>
  <si>
    <t>BD-35</t>
  </si>
  <si>
    <t xml:space="preserve">     Munshiganj</t>
  </si>
  <si>
    <t>BD-40</t>
  </si>
  <si>
    <t xml:space="preserve">     Nārāyanganj</t>
  </si>
  <si>
    <t>BD-42</t>
  </si>
  <si>
    <t xml:space="preserve">     Narsingdi</t>
  </si>
  <si>
    <t>BD-53</t>
  </si>
  <si>
    <t xml:space="preserve">     Rājbāri</t>
  </si>
  <si>
    <t>BD-62</t>
  </si>
  <si>
    <t xml:space="preserve">     Shariyatpur</t>
  </si>
  <si>
    <t>BD-63</t>
  </si>
  <si>
    <t xml:space="preserve">     Tangail</t>
  </si>
  <si>
    <t>BD-D</t>
  </si>
  <si>
    <t>Khulna</t>
  </si>
  <si>
    <t>BD-05</t>
  </si>
  <si>
    <t xml:space="preserve">     Bāgerhāt</t>
  </si>
  <si>
    <t>BD-12</t>
  </si>
  <si>
    <t xml:space="preserve">     Chuādānga</t>
  </si>
  <si>
    <t>BD-22</t>
  </si>
  <si>
    <t xml:space="preserve">     Jessore</t>
  </si>
  <si>
    <t>BD-23</t>
  </si>
  <si>
    <t xml:space="preserve">     Jhenaidah</t>
  </si>
  <si>
    <t>BD-27</t>
  </si>
  <si>
    <t xml:space="preserve">     Khulna</t>
  </si>
  <si>
    <t>BD-30</t>
  </si>
  <si>
    <t xml:space="preserve">     Kushtia</t>
  </si>
  <si>
    <t>BD-37</t>
  </si>
  <si>
    <t xml:space="preserve">     Māgura</t>
  </si>
  <si>
    <t>BD-39</t>
  </si>
  <si>
    <t xml:space="preserve">     Meherpur</t>
  </si>
  <si>
    <t>BD-43</t>
  </si>
  <si>
    <t xml:space="preserve">     Narail</t>
  </si>
  <si>
    <t>BD-58</t>
  </si>
  <si>
    <t xml:space="preserve">     Sātkhira</t>
  </si>
  <si>
    <t>BD-H</t>
  </si>
  <si>
    <t>Mymensingh</t>
  </si>
  <si>
    <t>BD-21</t>
  </si>
  <si>
    <t xml:space="preserve">     Jamālpur</t>
  </si>
  <si>
    <t>BD-34</t>
  </si>
  <si>
    <t xml:space="preserve">     Mymensingh</t>
  </si>
  <si>
    <t>BD-41</t>
  </si>
  <si>
    <t xml:space="preserve">     Netrakona</t>
  </si>
  <si>
    <t>BD-57</t>
  </si>
  <si>
    <t xml:space="preserve">     Sherpur</t>
  </si>
  <si>
    <t>BD-E</t>
  </si>
  <si>
    <t>Rājshāhi</t>
  </si>
  <si>
    <t>BD-03</t>
  </si>
  <si>
    <t xml:space="preserve">     Bogra</t>
  </si>
  <si>
    <t>BD-45</t>
  </si>
  <si>
    <t xml:space="preserve">     Chapai Nawābganj</t>
  </si>
  <si>
    <t>BD-24</t>
  </si>
  <si>
    <t xml:space="preserve">     Jaipurhāt</t>
  </si>
  <si>
    <t>BD-48</t>
  </si>
  <si>
    <t xml:space="preserve">     Naogaon</t>
  </si>
  <si>
    <t>BD-44</t>
  </si>
  <si>
    <t xml:space="preserve">     Nator</t>
  </si>
  <si>
    <t>BD-49</t>
  </si>
  <si>
    <t xml:space="preserve">     Pābna</t>
  </si>
  <si>
    <t>BD-54</t>
  </si>
  <si>
    <t xml:space="preserve">     Rājshāhi</t>
  </si>
  <si>
    <t>BD-59</t>
  </si>
  <si>
    <t xml:space="preserve">     Sirājganj</t>
  </si>
  <si>
    <t>BD-F</t>
  </si>
  <si>
    <t>Rangpur</t>
  </si>
  <si>
    <t>BD-14</t>
  </si>
  <si>
    <t xml:space="preserve">     Dinājpur</t>
  </si>
  <si>
    <t>BD-19</t>
  </si>
  <si>
    <t xml:space="preserve">     Gaibandha</t>
  </si>
  <si>
    <t>BD-28</t>
  </si>
  <si>
    <t xml:space="preserve">     Kurīgrām</t>
  </si>
  <si>
    <t>BD-32</t>
  </si>
  <si>
    <t xml:space="preserve">     Lālmonirhāt</t>
  </si>
  <si>
    <t>BD-46</t>
  </si>
  <si>
    <t xml:space="preserve">     Nilphāmāri</t>
  </si>
  <si>
    <t>BD-52</t>
  </si>
  <si>
    <t xml:space="preserve">     Panchāgarh</t>
  </si>
  <si>
    <t>BD-55</t>
  </si>
  <si>
    <t xml:space="preserve">     Rangpur</t>
  </si>
  <si>
    <t>BD-64</t>
  </si>
  <si>
    <t xml:space="preserve">     Thākurgaon</t>
  </si>
  <si>
    <t>BD-G</t>
  </si>
  <si>
    <t>Sylhet</t>
  </si>
  <si>
    <t>BD-20</t>
  </si>
  <si>
    <t xml:space="preserve">     Habiganj</t>
  </si>
  <si>
    <t>BD-38</t>
  </si>
  <si>
    <t xml:space="preserve">     Moulvibāzār</t>
  </si>
  <si>
    <t>BD-61</t>
  </si>
  <si>
    <t xml:space="preserve">     Sunāmganj</t>
  </si>
  <si>
    <t>BD-60</t>
  </si>
  <si>
    <t xml:space="preserve">     Sylhet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</si>
  <si>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</si>
  <si>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</si>
  <si>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</si>
  <si>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</si>
  <si>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</si>
  <si>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</si>
  <si>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</si>
  <si>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</si>
  <si>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</si>
  <si>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</si>
  <si>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</si>
  <si>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</si>
  <si>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</si>
  <si>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</si>
  <si>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</si>
  <si>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</si>
  <si>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</si>
  <si>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</si>
  <si>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BY-BR</t>
  </si>
  <si>
    <t>Brestskaya Voblasts’</t>
  </si>
  <si>
    <t>BY-HO</t>
  </si>
  <si>
    <t>Homyel’skaya Voblasts’</t>
  </si>
  <si>
    <t>BY-HR</t>
  </si>
  <si>
    <t>Hrodzyenskaya Voblasts’</t>
  </si>
  <si>
    <t>BY-MA</t>
  </si>
  <si>
    <t>Mahilyowskaya Voblasts’</t>
  </si>
  <si>
    <t>BY-HM</t>
  </si>
  <si>
    <t>Minsk</t>
  </si>
  <si>
    <t>BY-MI</t>
  </si>
  <si>
    <t>Minskaya Voblasts’</t>
  </si>
  <si>
    <t>BY-VI</t>
  </si>
  <si>
    <t>Vitsyebskaya Voblasts’</t>
  </si>
  <si>
    <t>BE-BRU</t>
  </si>
  <si>
    <t>Brussels-Capital Region</t>
  </si>
  <si>
    <t>BE-VLG</t>
  </si>
  <si>
    <t>Flanders</t>
  </si>
  <si>
    <t>BE-VAN</t>
  </si>
  <si>
    <t xml:space="preserve">     Antwerpen</t>
  </si>
  <si>
    <t>BE-VLI</t>
  </si>
  <si>
    <t xml:space="preserve">     Limburg</t>
  </si>
  <si>
    <t>BE-VOV</t>
  </si>
  <si>
    <t xml:space="preserve">     Oost-Vlaanderen</t>
  </si>
  <si>
    <t>BE-VBR</t>
  </si>
  <si>
    <t xml:space="preserve">     Vlaams Brabant</t>
  </si>
  <si>
    <t>BE-VWV</t>
  </si>
  <si>
    <t xml:space="preserve">     West-Vlaanderen</t>
  </si>
  <si>
    <t>BE-WAL</t>
  </si>
  <si>
    <t>Wallonia</t>
  </si>
  <si>
    <t>BE-WBR</t>
  </si>
  <si>
    <t xml:space="preserve">     Brabant Wallon</t>
  </si>
  <si>
    <t>BE-WHT</t>
  </si>
  <si>
    <t xml:space="preserve">     Hainaut</t>
  </si>
  <si>
    <t>BE-WLG</t>
  </si>
  <si>
    <t xml:space="preserve">     Liège</t>
  </si>
  <si>
    <t>BE-WLX</t>
  </si>
  <si>
    <t xml:space="preserve">     Luxembourg</t>
  </si>
  <si>
    <t>BE-WNA</t>
  </si>
  <si>
    <t xml:space="preserve">     Namur</t>
  </si>
  <si>
    <t>BZ-BZ</t>
  </si>
  <si>
    <t>BZ-CY</t>
  </si>
  <si>
    <t>Cayo</t>
  </si>
  <si>
    <t>BZ-CZL</t>
  </si>
  <si>
    <t>Corozal</t>
  </si>
  <si>
    <t>BZ-OW</t>
  </si>
  <si>
    <t>Orange Walk</t>
  </si>
  <si>
    <t>BZ-SC</t>
  </si>
  <si>
    <t>Stann Creek</t>
  </si>
  <si>
    <t>BZ-TOL</t>
  </si>
  <si>
    <t>Toledo</t>
  </si>
  <si>
    <t>BJ-AL</t>
  </si>
  <si>
    <t>Alibori</t>
  </si>
  <si>
    <t>department</t>
  </si>
  <si>
    <t>BJ-AK</t>
  </si>
  <si>
    <t>Atacora</t>
  </si>
  <si>
    <t>BJ-AQ</t>
  </si>
  <si>
    <t>Atlantique</t>
  </si>
  <si>
    <t>BJ-BO</t>
  </si>
  <si>
    <t>Borgou</t>
  </si>
  <si>
    <t>BJ-CO</t>
  </si>
  <si>
    <t>Collines</t>
  </si>
  <si>
    <t>BJ-KO</t>
  </si>
  <si>
    <t>Couffo</t>
  </si>
  <si>
    <t>BJ-DO</t>
  </si>
  <si>
    <t>Donga</t>
  </si>
  <si>
    <t>BJ-LI</t>
  </si>
  <si>
    <t>Littoral</t>
  </si>
  <si>
    <t>BJ-MO</t>
  </si>
  <si>
    <t>Mono</t>
  </si>
  <si>
    <t>BJ-OU</t>
  </si>
  <si>
    <t>Ouémé</t>
  </si>
  <si>
    <t>BJ-PL</t>
  </si>
  <si>
    <t>Plateau</t>
  </si>
  <si>
    <t>BJ-ZO</t>
  </si>
  <si>
    <t>Zou</t>
  </si>
  <si>
    <t>BM-01</t>
  </si>
  <si>
    <t>Devonshire</t>
  </si>
  <si>
    <t>BM-03</t>
  </si>
  <si>
    <t>Hamilton</t>
  </si>
  <si>
    <t>municipality</t>
  </si>
  <si>
    <t>BM-02</t>
  </si>
  <si>
    <t>BM-04</t>
  </si>
  <si>
    <t>Paget</t>
  </si>
  <si>
    <t>BM-05</t>
  </si>
  <si>
    <t>Pembroke</t>
  </si>
  <si>
    <t>BM-06</t>
  </si>
  <si>
    <t>BM-07</t>
  </si>
  <si>
    <t>Saint George’s</t>
  </si>
  <si>
    <t>BM-08</t>
  </si>
  <si>
    <t>Sandys</t>
  </si>
  <si>
    <t>BM-09</t>
  </si>
  <si>
    <t>Smith’s</t>
  </si>
  <si>
    <t>BM-10</t>
  </si>
  <si>
    <t>Southampton</t>
  </si>
  <si>
    <t>BM-11</t>
  </si>
  <si>
    <t>Warwick</t>
  </si>
  <si>
    <t>BT-33</t>
  </si>
  <si>
    <t>Bumthang</t>
  </si>
  <si>
    <t>BT-12</t>
  </si>
  <si>
    <t>Chhukha</t>
  </si>
  <si>
    <t>BT-22</t>
  </si>
  <si>
    <t>Dagana</t>
  </si>
  <si>
    <t>BT-GA</t>
  </si>
  <si>
    <t>Gasa</t>
  </si>
  <si>
    <t>BT-13</t>
  </si>
  <si>
    <t>Haa</t>
  </si>
  <si>
    <t>BT-44</t>
  </si>
  <si>
    <t>Lhuentse</t>
  </si>
  <si>
    <t>BT-42</t>
  </si>
  <si>
    <t>Mongar</t>
  </si>
  <si>
    <t>BT-11</t>
  </si>
  <si>
    <t>Paro</t>
  </si>
  <si>
    <t>BT-43</t>
  </si>
  <si>
    <t>Pemagatshel</t>
  </si>
  <si>
    <t>BT-23</t>
  </si>
  <si>
    <t>Punakha</t>
  </si>
  <si>
    <t>BT-45</t>
  </si>
  <si>
    <t>Samdrup Jongkhar</t>
  </si>
  <si>
    <t>BT-14</t>
  </si>
  <si>
    <t>Samtse</t>
  </si>
  <si>
    <t>BT-31</t>
  </si>
  <si>
    <t>Sarpang</t>
  </si>
  <si>
    <t>BT-15</t>
  </si>
  <si>
    <t>Thimphu</t>
  </si>
  <si>
    <t>BT-41</t>
  </si>
  <si>
    <t>Trashigang</t>
  </si>
  <si>
    <t>BT-TY</t>
  </si>
  <si>
    <t>Trashi Yangtse</t>
  </si>
  <si>
    <t>BT-32</t>
  </si>
  <si>
    <t>Trongsa</t>
  </si>
  <si>
    <t>BT-21</t>
  </si>
  <si>
    <t>Tsirang</t>
  </si>
  <si>
    <t>BT-24</t>
  </si>
  <si>
    <t>Wangdue Phodrang</t>
  </si>
  <si>
    <t>BT-34</t>
  </si>
  <si>
    <t>Zhemgang</t>
  </si>
  <si>
    <t>BO-H</t>
  </si>
  <si>
    <t>Chuquisaca</t>
  </si>
  <si>
    <t>BO-C</t>
  </si>
  <si>
    <t>Cochabamba</t>
  </si>
  <si>
    <t>BO-B</t>
  </si>
  <si>
    <t>El Beni</t>
  </si>
  <si>
    <t>BO-L</t>
  </si>
  <si>
    <t>La Paz</t>
  </si>
  <si>
    <t>BO-O</t>
  </si>
  <si>
    <t>Oruro</t>
  </si>
  <si>
    <t>BO-N</t>
  </si>
  <si>
    <t>Pando</t>
  </si>
  <si>
    <t>BO-P</t>
  </si>
  <si>
    <t>Potosí</t>
  </si>
  <si>
    <t>BO-S</t>
  </si>
  <si>
    <t>BO-T</t>
  </si>
  <si>
    <t>Tarija</t>
  </si>
  <si>
    <t>BQ-BO</t>
  </si>
  <si>
    <t>Bonaire</t>
  </si>
  <si>
    <t>special municipality</t>
  </si>
  <si>
    <t>BQ-SA</t>
  </si>
  <si>
    <t>Saba</t>
  </si>
  <si>
    <t>BQ-SE</t>
  </si>
  <si>
    <t>Sint Eustatius</t>
  </si>
  <si>
    <t>BA-BIH</t>
  </si>
  <si>
    <t>Bosnia and Herzegovina, Federation of</t>
  </si>
  <si>
    <t>federation</t>
  </si>
  <si>
    <t>BA-BRC</t>
  </si>
  <si>
    <t>Brcko District</t>
  </si>
  <si>
    <t>BA-SRP</t>
  </si>
  <si>
    <t>Srpska, Republika</t>
  </si>
  <si>
    <t>republic</t>
  </si>
  <si>
    <t>BW-CE</t>
  </si>
  <si>
    <t>Central</t>
  </si>
  <si>
    <t>BW-CH</t>
  </si>
  <si>
    <t>Chobe</t>
  </si>
  <si>
    <t>BW-FR</t>
  </si>
  <si>
    <t>Francistown</t>
  </si>
  <si>
    <t>BW-GA</t>
  </si>
  <si>
    <t>Gaborone</t>
  </si>
  <si>
    <t>BW-GH</t>
  </si>
  <si>
    <t>Ghanzi</t>
  </si>
  <si>
    <t>BW-JW</t>
  </si>
  <si>
    <t>Jwaneng</t>
  </si>
  <si>
    <t>town</t>
  </si>
  <si>
    <t>BW-KG</t>
  </si>
  <si>
    <t>Kgalagadi</t>
  </si>
  <si>
    <t>BW-KL</t>
  </si>
  <si>
    <t>Kgatleng</t>
  </si>
  <si>
    <t>BW-KW</t>
  </si>
  <si>
    <t>Kweneng</t>
  </si>
  <si>
    <t>BW-LO</t>
  </si>
  <si>
    <t>Lobatse</t>
  </si>
  <si>
    <t>BW-NE</t>
  </si>
  <si>
    <t>North East</t>
  </si>
  <si>
    <t>BW-NW</t>
  </si>
  <si>
    <t>North West</t>
  </si>
  <si>
    <t>BW-SP</t>
  </si>
  <si>
    <t>Selibe Phikwe</t>
  </si>
  <si>
    <t>BW-SE</t>
  </si>
  <si>
    <t>South East</t>
  </si>
  <si>
    <t>BW-SO</t>
  </si>
  <si>
    <t>Southern</t>
  </si>
  <si>
    <t>BW-ST</t>
  </si>
  <si>
    <t>Sowa Town</t>
  </si>
  <si>
    <t>BR-AC</t>
  </si>
  <si>
    <t>Acre</t>
  </si>
  <si>
    <t>BR-AL</t>
  </si>
  <si>
    <t>Alagoas</t>
  </si>
  <si>
    <t>BR-AP</t>
  </si>
  <si>
    <t>Amapá</t>
  </si>
  <si>
    <t>BR-AM</t>
  </si>
  <si>
    <t>Amazonas</t>
  </si>
  <si>
    <t>BR-BA</t>
  </si>
  <si>
    <t>Bahia</t>
  </si>
  <si>
    <t>BR-CE</t>
  </si>
  <si>
    <t>Ceará</t>
  </si>
  <si>
    <t>BR-DF</t>
  </si>
  <si>
    <t>Distrito Federal</t>
  </si>
  <si>
    <t>federal district</t>
  </si>
  <si>
    <t>BR-ES</t>
  </si>
  <si>
    <t>Espírito Santo</t>
  </si>
  <si>
    <t>BR-GO</t>
  </si>
  <si>
    <t>Goiás</t>
  </si>
  <si>
    <t>BR-MA</t>
  </si>
  <si>
    <t>Maranhão</t>
  </si>
  <si>
    <t>BR-MT</t>
  </si>
  <si>
    <t>Mato Grosso</t>
  </si>
  <si>
    <t>BR-MS</t>
  </si>
  <si>
    <t>Mato Grosso do Sul</t>
  </si>
  <si>
    <t>BR-MG</t>
  </si>
  <si>
    <t>Minas Gerais</t>
  </si>
  <si>
    <t>BR-PA</t>
  </si>
  <si>
    <t>Pará</t>
  </si>
  <si>
    <t>BR-PB</t>
  </si>
  <si>
    <t>Paraíba</t>
  </si>
  <si>
    <t>BR-PR</t>
  </si>
  <si>
    <t>Paraná</t>
  </si>
  <si>
    <t>BR-PE</t>
  </si>
  <si>
    <t>Pernambuco</t>
  </si>
  <si>
    <t>BR-PI</t>
  </si>
  <si>
    <t>Piauí</t>
  </si>
  <si>
    <t>BR-RJ</t>
  </si>
  <si>
    <t>Rio de Janeiro</t>
  </si>
  <si>
    <t>BR-RN</t>
  </si>
  <si>
    <t>Rio Grande do Norte</t>
  </si>
  <si>
    <t>BR-RS</t>
  </si>
  <si>
    <t>Rio Grande do Sul</t>
  </si>
  <si>
    <t>BR-RO</t>
  </si>
  <si>
    <t>Rondônia</t>
  </si>
  <si>
    <t>BR-RR</t>
  </si>
  <si>
    <t>Roraima</t>
  </si>
  <si>
    <t>BR-SC</t>
  </si>
  <si>
    <t>Santa Catarina</t>
  </si>
  <si>
    <t>BR-SP</t>
  </si>
  <si>
    <t>São Paulo</t>
  </si>
  <si>
    <t>BR-SE</t>
  </si>
  <si>
    <t>Sergipe</t>
  </si>
  <si>
    <t>BR-TO</t>
  </si>
  <si>
    <t>Tocantins</t>
  </si>
  <si>
    <t>BN-BE</t>
  </si>
  <si>
    <t>Belait</t>
  </si>
  <si>
    <t>BN-BM</t>
  </si>
  <si>
    <t>Brunei dan Muara</t>
  </si>
  <si>
    <t>BN-TE</t>
  </si>
  <si>
    <t>Temburong</t>
  </si>
  <si>
    <t>BN-TU</t>
  </si>
  <si>
    <t>Tutong</t>
  </si>
  <si>
    <t>BG-01</t>
  </si>
  <si>
    <t>Blagoevgrad</t>
  </si>
  <si>
    <t>BG-02</t>
  </si>
  <si>
    <t>Burgas</t>
  </si>
  <si>
    <t>BG-08</t>
  </si>
  <si>
    <t>Dobrich</t>
  </si>
  <si>
    <t>BG-07</t>
  </si>
  <si>
    <t>Gabrovo</t>
  </si>
  <si>
    <t>BG-26</t>
  </si>
  <si>
    <t>Haskovo</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</si>
  <si>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</si>
  <si>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</si>
  <si>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</si>
  <si>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</si>
  <si>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</si>
  <si>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</si>
  <si>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</si>
  <si>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</si>
  <si>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</si>
  <si>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</si>
  <si>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</si>
  <si>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</si>
  <si>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</si>
  <si>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</si>
  <si>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</si>
  <si>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</si>
  <si>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</si>
  <si>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</si>
  <si>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</si>
  <si>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</si>
  <si>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BG-27</t>
  </si>
  <si>
    <t>Shumen</t>
  </si>
  <si>
    <t>BG-19</t>
  </si>
  <si>
    <t>Silistra</t>
  </si>
  <si>
    <t>BG-20</t>
  </si>
  <si>
    <t>Sliven</t>
  </si>
  <si>
    <t>BG-21</t>
  </si>
  <si>
    <t>Smolyan</t>
  </si>
  <si>
    <t>BG-23</t>
  </si>
  <si>
    <t>Sofia</t>
  </si>
  <si>
    <t>BG-22</t>
  </si>
  <si>
    <t>Sofia-Grad</t>
  </si>
  <si>
    <t>BG-24</t>
  </si>
  <si>
    <t>Stara Zagora</t>
  </si>
  <si>
    <t>BG-25</t>
  </si>
  <si>
    <t>Targovishte</t>
  </si>
  <si>
    <t>BG-03</t>
  </si>
  <si>
    <t>Varna</t>
  </si>
  <si>
    <t>BG-04</t>
  </si>
  <si>
    <t>Veliko Tarnovo</t>
  </si>
  <si>
    <t>BG-05</t>
  </si>
  <si>
    <t>Vidin</t>
  </si>
  <si>
    <t>BG-06</t>
  </si>
  <si>
    <t>Vratsa</t>
  </si>
  <si>
    <t>BG-28</t>
  </si>
  <si>
    <t>Yambol</t>
  </si>
  <si>
    <t>BF-01</t>
  </si>
  <si>
    <t>Boucle du Mouhoun</t>
  </si>
  <si>
    <t>BF-BAL</t>
  </si>
  <si>
    <t xml:space="preserve">     Balé</t>
  </si>
  <si>
    <t>BF-BAN</t>
  </si>
  <si>
    <t xml:space="preserve">     Banwa</t>
  </si>
  <si>
    <t>BF-KOS</t>
  </si>
  <si>
    <t xml:space="preserve">     Kossi</t>
  </si>
  <si>
    <t>BF-MOU</t>
  </si>
  <si>
    <t xml:space="preserve">     Mouhoun</t>
  </si>
  <si>
    <t>BF-NAY</t>
  </si>
  <si>
    <t xml:space="preserve">     Nayala</t>
  </si>
  <si>
    <t>BF-SOR</t>
  </si>
  <si>
    <t xml:space="preserve">     Sourou</t>
  </si>
  <si>
    <t>BF-02</t>
  </si>
  <si>
    <t>Cascades</t>
  </si>
  <si>
    <t>BF-COM</t>
  </si>
  <si>
    <t xml:space="preserve">     Comoé</t>
  </si>
  <si>
    <t>BF-LER</t>
  </si>
  <si>
    <t xml:space="preserve">     Léraba</t>
  </si>
  <si>
    <t>BF-03</t>
  </si>
  <si>
    <t>Centre</t>
  </si>
  <si>
    <t>BF-KAD</t>
  </si>
  <si>
    <t xml:space="preserve">     Kadiogo</t>
  </si>
  <si>
    <t>BF-04</t>
  </si>
  <si>
    <t>Centre-Est</t>
  </si>
  <si>
    <t>BF-BLG</t>
  </si>
  <si>
    <t xml:space="preserve">     Boulgou</t>
  </si>
  <si>
    <t>BF-KOP</t>
  </si>
  <si>
    <t xml:space="preserve">     Koulpélogo</t>
  </si>
  <si>
    <t>BF-KOT</t>
  </si>
  <si>
    <t xml:space="preserve">     Kouritenga</t>
  </si>
  <si>
    <t>BF-05</t>
  </si>
  <si>
    <t>Centre-Nord</t>
  </si>
  <si>
    <t>BF-BAM</t>
  </si>
  <si>
    <t xml:space="preserve">     Bam</t>
  </si>
  <si>
    <t>BF-NAM</t>
  </si>
  <si>
    <t xml:space="preserve">     Namentenga</t>
  </si>
  <si>
    <t>BF-SMT</t>
  </si>
  <si>
    <t xml:space="preserve">     Sanmatenga</t>
  </si>
  <si>
    <t>BF-06</t>
  </si>
  <si>
    <t>Centre-Ouest</t>
  </si>
  <si>
    <t>BF-BLK</t>
  </si>
  <si>
    <t xml:space="preserve">     Boulkiemdé</t>
  </si>
  <si>
    <t>BF-SNG</t>
  </si>
  <si>
    <t xml:space="preserve">     Sanguié</t>
  </si>
  <si>
    <t>BF-SIS</t>
  </si>
  <si>
    <t xml:space="preserve">     Sissili</t>
  </si>
  <si>
    <t>BF-ZIR</t>
  </si>
  <si>
    <t xml:space="preserve">     Ziro</t>
  </si>
  <si>
    <t>BF-07</t>
  </si>
  <si>
    <t>Centre-Sud</t>
  </si>
  <si>
    <t>BF-BAZ</t>
  </si>
  <si>
    <t xml:space="preserve">     Bazèga</t>
  </si>
  <si>
    <t>BF-NAO</t>
  </si>
  <si>
    <t xml:space="preserve">     Nahouri</t>
  </si>
  <si>
    <t>BF-ZOU</t>
  </si>
  <si>
    <t xml:space="preserve">     Zoundwéogo</t>
  </si>
  <si>
    <t>BF-08</t>
  </si>
  <si>
    <t>Est</t>
  </si>
  <si>
    <t>BF-GNA</t>
  </si>
  <si>
    <t xml:space="preserve">     Gnagna</t>
  </si>
  <si>
    <t>BF-GOU</t>
  </si>
  <si>
    <t xml:space="preserve">     Gourma</t>
  </si>
  <si>
    <t>BF-KMD</t>
  </si>
  <si>
    <t xml:space="preserve">     Komondjari</t>
  </si>
  <si>
    <t>BF-KMP</t>
  </si>
  <si>
    <t xml:space="preserve">     Kompienga</t>
  </si>
  <si>
    <t>BF-TAP</t>
  </si>
  <si>
    <t xml:space="preserve">     Tapoa</t>
  </si>
  <si>
    <t>BF-09</t>
  </si>
  <si>
    <t>Hauts-Bassins</t>
  </si>
  <si>
    <t>BF-HOU</t>
  </si>
  <si>
    <t xml:space="preserve">     Houet</t>
  </si>
  <si>
    <t>BF-KEN</t>
  </si>
  <si>
    <t xml:space="preserve">     Kénédougou</t>
  </si>
  <si>
    <t>BF-TUI</t>
  </si>
  <si>
    <t xml:space="preserve">     Tuy</t>
  </si>
  <si>
    <t>BF-10</t>
  </si>
  <si>
    <t>Nord</t>
  </si>
  <si>
    <t>BF-LOR</t>
  </si>
  <si>
    <t xml:space="preserve">     Loroum</t>
  </si>
  <si>
    <t>BF-PAS</t>
  </si>
  <si>
    <t xml:space="preserve">     Passoré</t>
  </si>
  <si>
    <t>BF-YAT</t>
  </si>
  <si>
    <t xml:space="preserve">     Yatenga</t>
  </si>
  <si>
    <t>BF-ZON</t>
  </si>
  <si>
    <t xml:space="preserve">     Zondoma</t>
  </si>
  <si>
    <t>BF-11</t>
  </si>
  <si>
    <t>Plateau-Central</t>
  </si>
  <si>
    <t>BF-GAN</t>
  </si>
  <si>
    <t xml:space="preserve">     Ganzourgou</t>
  </si>
  <si>
    <t>BF-KOW</t>
  </si>
  <si>
    <t xml:space="preserve">     Kourwéogo</t>
  </si>
  <si>
    <t>BF-OUB</t>
  </si>
  <si>
    <t xml:space="preserve">     Oubritenga</t>
  </si>
  <si>
    <t>BF-12</t>
  </si>
  <si>
    <t>Sahel</t>
  </si>
  <si>
    <t>BF-OUD</t>
  </si>
  <si>
    <t xml:space="preserve">     Oudalan</t>
  </si>
  <si>
    <t>BF-SEN</t>
  </si>
  <si>
    <t xml:space="preserve">     Séno</t>
  </si>
  <si>
    <t>BF-SOM</t>
  </si>
  <si>
    <t xml:space="preserve">     Soum</t>
  </si>
  <si>
    <t>BF-YAG</t>
  </si>
  <si>
    <t xml:space="preserve">     Yagha</t>
  </si>
  <si>
    <t>BF-13</t>
  </si>
  <si>
    <t>Sud-Ouest</t>
  </si>
  <si>
    <t>BF-BGR</t>
  </si>
  <si>
    <t xml:space="preserve">     Bougouriba</t>
  </si>
  <si>
    <t>BF-IOB</t>
  </si>
  <si>
    <t xml:space="preserve">     Ioba</t>
  </si>
  <si>
    <t>BF-NOU</t>
  </si>
  <si>
    <t xml:space="preserve">     Noumbiel</t>
  </si>
  <si>
    <t>BF-PON</t>
  </si>
  <si>
    <t xml:space="preserve">     Poni</t>
  </si>
  <si>
    <t>MM-07</t>
  </si>
  <si>
    <t>Ayeyarwady</t>
  </si>
  <si>
    <t>MM-02</t>
  </si>
  <si>
    <t>Bago</t>
  </si>
  <si>
    <t>MM-14</t>
  </si>
  <si>
    <t>Chin State</t>
  </si>
  <si>
    <t>MM-11</t>
  </si>
  <si>
    <t>Kachin State</t>
  </si>
  <si>
    <t>MM-12</t>
  </si>
  <si>
    <t>Kayah State</t>
  </si>
  <si>
    <t>MM-13</t>
  </si>
  <si>
    <t>Kayin State</t>
  </si>
  <si>
    <t>MM-03</t>
  </si>
  <si>
    <t>Magway</t>
  </si>
  <si>
    <t>MM-04</t>
  </si>
  <si>
    <t>Mandalay</t>
  </si>
  <si>
    <t>MM-15</t>
  </si>
  <si>
    <t>Mon State</t>
  </si>
  <si>
    <t>MM-18</t>
  </si>
  <si>
    <t>Nay Pyi Taw</t>
  </si>
  <si>
    <t>union territory</t>
  </si>
  <si>
    <t>MM-16</t>
  </si>
  <si>
    <t>Rakhine State</t>
  </si>
  <si>
    <t>MM-01</t>
  </si>
  <si>
    <t>Sagaing</t>
  </si>
  <si>
    <t>MM-17</t>
  </si>
  <si>
    <t>Shan State</t>
  </si>
  <si>
    <t>MM-05</t>
  </si>
  <si>
    <t>Tanintharyi</t>
  </si>
  <si>
    <t>MM-06</t>
  </si>
  <si>
    <t>Yangon</t>
  </si>
  <si>
    <t>BI-BB</t>
  </si>
  <si>
    <t>Bubanza</t>
  </si>
  <si>
    <t>BI-BM</t>
  </si>
  <si>
    <t>Bujumbura Mairie</t>
  </si>
  <si>
    <t>BI-BL</t>
  </si>
  <si>
    <t>Bujumbura Rural</t>
  </si>
  <si>
    <t>BI-BR</t>
  </si>
  <si>
    <t>Bururi</t>
  </si>
  <si>
    <t>BI-CA</t>
  </si>
  <si>
    <t>Cankuzo</t>
  </si>
  <si>
    <t>BI-CI</t>
  </si>
  <si>
    <t>Cibitoke</t>
  </si>
  <si>
    <t>BI-GI</t>
  </si>
  <si>
    <t>Gitega</t>
  </si>
  <si>
    <t>BI-KR</t>
  </si>
  <si>
    <t>Karuzi</t>
  </si>
  <si>
    <t>BI-KY</t>
  </si>
  <si>
    <t>Kayanza</t>
  </si>
  <si>
    <t>BI-KI</t>
  </si>
  <si>
    <t>Kirundo</t>
  </si>
  <si>
    <t>BI-MA</t>
  </si>
  <si>
    <t>Makamba</t>
  </si>
  <si>
    <t>BI-MU</t>
  </si>
  <si>
    <t>Muramvya</t>
  </si>
  <si>
    <t>BI-MY</t>
  </si>
  <si>
    <t>Muyinga</t>
  </si>
  <si>
    <t>BI-MW</t>
  </si>
  <si>
    <t>Mwaro</t>
  </si>
  <si>
    <t>BI-NG</t>
  </si>
  <si>
    <t>Ngozi</t>
  </si>
  <si>
    <t>BI-RM</t>
  </si>
  <si>
    <t>Rumonge</t>
  </si>
  <si>
    <t>BI-RT</t>
  </si>
  <si>
    <t>Rutana</t>
  </si>
  <si>
    <t>BI-RY</t>
  </si>
  <si>
    <t>Ruyigi</t>
  </si>
  <si>
    <t>CV-B</t>
  </si>
  <si>
    <t>Ilhas de Barlavento</t>
  </si>
  <si>
    <t>geographical region</t>
  </si>
  <si>
    <t>CV-BV</t>
  </si>
  <si>
    <t xml:space="preserve">     Boa Vista</t>
  </si>
  <si>
    <t>CV-PA</t>
  </si>
  <si>
    <t xml:space="preserve">     Paul</t>
  </si>
  <si>
    <t>CV-PN</t>
  </si>
  <si>
    <t xml:space="preserve">     Porto Novo</t>
  </si>
  <si>
    <t>CV-RB</t>
  </si>
  <si>
    <t xml:space="preserve">     Ribeira Brava</t>
  </si>
  <si>
    <t>CV-RG</t>
  </si>
  <si>
    <t xml:space="preserve">     Ribeira Grande</t>
  </si>
  <si>
    <t>CV-SL</t>
  </si>
  <si>
    <t xml:space="preserve">     Sal</t>
  </si>
  <si>
    <t>CV-SV</t>
  </si>
  <si>
    <t xml:space="preserve">     São Vicente</t>
  </si>
  <si>
    <t>CV-TS</t>
  </si>
  <si>
    <t xml:space="preserve">     Tarrafal de São Nicolau</t>
  </si>
  <si>
    <t>CV-S</t>
  </si>
  <si>
    <t>Ilhas de Sotavento</t>
  </si>
  <si>
    <t>CV-BR</t>
  </si>
  <si>
    <t xml:space="preserve">     Brava</t>
  </si>
  <si>
    <t>CV-MA</t>
  </si>
  <si>
    <t xml:space="preserve">     Maio</t>
  </si>
  <si>
    <t>CV-MO</t>
  </si>
  <si>
    <t xml:space="preserve">     Mosteiros</t>
  </si>
  <si>
    <t>CV-PR</t>
  </si>
  <si>
    <t xml:space="preserve">     Praia</t>
  </si>
  <si>
    <t>CV-RS</t>
  </si>
  <si>
    <t xml:space="preserve">     Ribeira Grande de Santiago</t>
  </si>
  <si>
    <t>CV-CA</t>
  </si>
  <si>
    <t xml:space="preserve">     Santa Catarina</t>
  </si>
  <si>
    <t>CV-CF</t>
  </si>
  <si>
    <t xml:space="preserve">     Santa Catarina do Fogo</t>
  </si>
  <si>
    <t>CV-CR</t>
  </si>
  <si>
    <t xml:space="preserve">     Santa Cruz</t>
  </si>
  <si>
    <t>CV-SD</t>
  </si>
  <si>
    <t xml:space="preserve">     São Domingos</t>
  </si>
  <si>
    <t>CV-SF</t>
  </si>
  <si>
    <t xml:space="preserve">     São Filipe</t>
  </si>
  <si>
    <t>CV-SO</t>
  </si>
  <si>
    <t xml:space="preserve">     São Lourenço dos Órgãos</t>
  </si>
  <si>
    <t>CV-SM</t>
  </si>
  <si>
    <t xml:space="preserve">     São Miguel</t>
  </si>
  <si>
    <t>CV-SS</t>
  </si>
  <si>
    <t xml:space="preserve">     São Salvador do Mundo</t>
  </si>
  <si>
    <t>CV-TA</t>
  </si>
  <si>
    <t xml:space="preserve">     Tarrafal</t>
  </si>
  <si>
    <t>KH-1</t>
  </si>
  <si>
    <t>Banteay Meanchey</t>
  </si>
  <si>
    <t>KH-2</t>
  </si>
  <si>
    <t>Battambang</t>
  </si>
  <si>
    <t>KH-3</t>
  </si>
  <si>
    <t>Kampong Cham</t>
  </si>
  <si>
    <t>KH-4</t>
  </si>
  <si>
    <t>Kampong Chhnang</t>
  </si>
  <si>
    <t>KH-5</t>
  </si>
  <si>
    <t>Kampong Speu</t>
  </si>
  <si>
    <t>KH-6</t>
  </si>
  <si>
    <t>Kampong Thom</t>
  </si>
  <si>
    <t>KH-7</t>
  </si>
  <si>
    <t>Kampot</t>
  </si>
  <si>
    <t>KH-8</t>
  </si>
  <si>
    <t>Kandal</t>
  </si>
  <si>
    <t>KH-23</t>
  </si>
  <si>
    <t>Kep</t>
  </si>
  <si>
    <t>KH-9</t>
  </si>
  <si>
    <t>Koh Kong</t>
  </si>
  <si>
    <t>KH-10</t>
  </si>
  <si>
    <t>Kratie</t>
  </si>
  <si>
    <t>KH-11</t>
  </si>
  <si>
    <t>Mondolkiri</t>
  </si>
  <si>
    <t>KH-22</t>
  </si>
  <si>
    <t>Oddar Meanchey</t>
  </si>
  <si>
    <t>KH-24</t>
  </si>
  <si>
    <t>Pailin</t>
  </si>
  <si>
    <t>KH-12</t>
  </si>
  <si>
    <t>Phnom Penh</t>
  </si>
  <si>
    <t>KH-18</t>
  </si>
  <si>
    <t>Preah Sihanouk</t>
  </si>
  <si>
    <t>KH-13</t>
  </si>
  <si>
    <t>Preah Vihear</t>
  </si>
  <si>
    <t>KH-14</t>
  </si>
  <si>
    <t>Prey Veng</t>
  </si>
  <si>
    <t>KH-15</t>
  </si>
  <si>
    <t>Pursat</t>
  </si>
  <si>
    <t>KH-16</t>
  </si>
  <si>
    <t>Ratanakiri</t>
  </si>
  <si>
    <t>KH-17</t>
  </si>
  <si>
    <t>Siem Reap</t>
  </si>
  <si>
    <t>KH-19</t>
  </si>
  <si>
    <t>Stung Treng</t>
  </si>
  <si>
    <t>KH-20</t>
  </si>
  <si>
    <t>Svay Rieng</t>
  </si>
  <si>
    <t>KH-21</t>
  </si>
  <si>
    <t>Takeo</t>
  </si>
  <si>
    <t>KH-25</t>
  </si>
  <si>
    <t>Tbong Khmum</t>
  </si>
  <si>
    <t>CM-AD</t>
  </si>
  <si>
    <t>Adamaoua</t>
  </si>
  <si>
    <t>CM-CE</t>
  </si>
  <si>
    <t>CM-ES</t>
  </si>
  <si>
    <t>CM-EN</t>
  </si>
  <si>
    <t>Extrême-Nord</t>
  </si>
  <si>
    <t>CM-LT</t>
  </si>
  <si>
    <t>CM-NO</t>
  </si>
  <si>
    <t>CM-NW</t>
  </si>
  <si>
    <t>North-West</t>
  </si>
  <si>
    <t>CM-OU</t>
  </si>
  <si>
    <t>Ouest</t>
  </si>
  <si>
    <t>CM-SW</t>
  </si>
  <si>
    <t>South-West</t>
  </si>
  <si>
    <t>CM-SU</t>
  </si>
  <si>
    <t>Sud</t>
  </si>
  <si>
    <t>CA-AB</t>
  </si>
  <si>
    <t>Alberta</t>
  </si>
  <si>
    <t>CA-BC</t>
  </si>
  <si>
    <t>British Columbia</t>
  </si>
  <si>
    <t>CA-MB</t>
  </si>
  <si>
    <t>Manitoba</t>
  </si>
  <si>
    <t>CA-NB</t>
  </si>
  <si>
    <t>New Brunswick</t>
  </si>
  <si>
    <t>CA-NL</t>
  </si>
  <si>
    <t>Newfoundland and Labrador</t>
  </si>
  <si>
    <t>CA-NT</t>
  </si>
  <si>
    <t>Northwest Territories</t>
  </si>
  <si>
    <t>CA-NS</t>
  </si>
  <si>
    <t>Nova Scotia</t>
  </si>
  <si>
    <t>CA-NU</t>
  </si>
  <si>
    <t>Nunavut</t>
  </si>
  <si>
    <t>CA-ON</t>
  </si>
  <si>
    <t>Ontario</t>
  </si>
  <si>
    <t>CA-PE</t>
  </si>
  <si>
    <t>Prince Edward Island</t>
  </si>
  <si>
    <t>CA-QC</t>
  </si>
  <si>
    <t>Québec</t>
  </si>
  <si>
    <t>CA-SK</t>
  </si>
  <si>
    <t>Saskatchewan</t>
  </si>
  <si>
    <t>CA-YT</t>
  </si>
  <si>
    <t>Yukon</t>
  </si>
  <si>
    <t>CF-BB</t>
  </si>
  <si>
    <t>Bamingui-Bangoran</t>
  </si>
  <si>
    <t>prefecture</t>
  </si>
  <si>
    <t>CF-BGF</t>
  </si>
  <si>
    <t>Bangui</t>
  </si>
  <si>
    <t>commune</t>
  </si>
  <si>
    <t>CF-BK</t>
  </si>
  <si>
    <t>Basse-Kotto</t>
  </si>
  <si>
    <t>CF-HK</t>
  </si>
  <si>
    <t>Haute-Kotto</t>
  </si>
  <si>
    <t>CF-HM</t>
  </si>
  <si>
    <t>Haut-Mbomou</t>
  </si>
  <si>
    <t>CF-KG</t>
  </si>
  <si>
    <t>Kémo</t>
  </si>
  <si>
    <t>CF-LB</t>
  </si>
  <si>
    <t>Lobaye</t>
  </si>
  <si>
    <t>CF-HS</t>
  </si>
  <si>
    <t>Mambéré-Kadéï</t>
  </si>
  <si>
    <t>CF-MB</t>
  </si>
  <si>
    <t>Mbomou</t>
  </si>
  <si>
    <t>CF-KB</t>
  </si>
  <si>
    <t>Nana-Grébizi</t>
  </si>
  <si>
    <t>economic prefecture</t>
  </si>
  <si>
    <t>CF-NM</t>
  </si>
  <si>
    <t>Nana-Mambéré</t>
  </si>
  <si>
    <t>CF-MP</t>
  </si>
  <si>
    <t>Ombella-Mpoko</t>
  </si>
  <si>
    <t>CF-UK</t>
  </si>
  <si>
    <t>Ouaka</t>
  </si>
  <si>
    <t>CF-AC</t>
  </si>
  <si>
    <t>Ouham</t>
  </si>
  <si>
    <t>CF-OP</t>
  </si>
  <si>
    <t>Ouham-Pendé</t>
  </si>
  <si>
    <t>CF-SE</t>
  </si>
  <si>
    <t>Sangha-Mbaéré</t>
  </si>
  <si>
    <t>CF-VK</t>
  </si>
  <si>
    <t>Vakaga</t>
  </si>
  <si>
    <t>TD-BG</t>
  </si>
  <si>
    <t>Barh el Gazel</t>
  </si>
  <si>
    <t>TD-BA</t>
  </si>
  <si>
    <t>Batha</t>
  </si>
  <si>
    <t>TD-BO</t>
  </si>
  <si>
    <t>Borkou</t>
  </si>
  <si>
    <t>TD-CB</t>
  </si>
  <si>
    <t>Chari-Baguirmi</t>
  </si>
  <si>
    <t>TD-EE</t>
  </si>
  <si>
    <t>Ennedi-Est</t>
  </si>
  <si>
    <t>TD-EO</t>
  </si>
  <si>
    <t>Ennedi-Ouest</t>
  </si>
  <si>
    <t>TD-GR</t>
  </si>
  <si>
    <t>Guéra</t>
  </si>
  <si>
    <t>TD-HL</t>
  </si>
  <si>
    <t>Hadjer-Lamis</t>
  </si>
  <si>
    <t>TD-KA</t>
  </si>
  <si>
    <t>Kanem</t>
  </si>
  <si>
    <t>TD-LC</t>
  </si>
  <si>
    <t>Lac</t>
  </si>
  <si>
    <t>TD-LO</t>
  </si>
  <si>
    <t>Logone Occidental</t>
  </si>
  <si>
    <t>TD-LR</t>
  </si>
  <si>
    <t>Logone Oriental</t>
  </si>
  <si>
    <t>TD-MA</t>
  </si>
  <si>
    <t>Mandoul</t>
  </si>
  <si>
    <t>TD-ME</t>
  </si>
  <si>
    <t>Mayo-Kébbi Est</t>
  </si>
  <si>
    <t>TD-MO</t>
  </si>
  <si>
    <t>Mayo-Kébbi Ouest</t>
  </si>
  <si>
    <t>TD-MC</t>
  </si>
  <si>
    <t>Moyen-Chari</t>
  </si>
  <si>
    <t>TD-OD</t>
  </si>
  <si>
    <t>Ouaddaï</t>
  </si>
  <si>
    <t>TD-SA</t>
  </si>
  <si>
    <t>Salamat</t>
  </si>
  <si>
    <t>TD-SI</t>
  </si>
  <si>
    <t>Sila</t>
  </si>
  <si>
    <t>TD-TA</t>
  </si>
  <si>
    <t>Tandjilé</t>
  </si>
  <si>
    <t>TD-TI</t>
  </si>
  <si>
    <t>Tibesti</t>
  </si>
  <si>
    <t>TD-ND</t>
  </si>
  <si>
    <t>Ville de N’Djaména</t>
  </si>
  <si>
    <t>TD-WF</t>
  </si>
  <si>
    <t>Wadi Fira</t>
  </si>
  <si>
    <t>CL-AN</t>
  </si>
  <si>
    <t>Antofagasta</t>
  </si>
  <si>
    <t>CL-AR</t>
  </si>
  <si>
    <t>Araucanía</t>
  </si>
  <si>
    <t>CL-AP</t>
  </si>
  <si>
    <t>Arica y Parinacota</t>
  </si>
  <si>
    <t>CL-AT</t>
  </si>
  <si>
    <t>Atacama</t>
  </si>
  <si>
    <t>CL-AI</t>
  </si>
  <si>
    <t>Aysén</t>
  </si>
  <si>
    <t>CL-BI</t>
  </si>
  <si>
    <t>Biobío</t>
  </si>
  <si>
    <t>CL-CO</t>
  </si>
  <si>
    <t>Coquimbo</t>
  </si>
  <si>
    <t>CL-LI</t>
  </si>
  <si>
    <t>Libertador General Bernardo O’Higgins</t>
  </si>
  <si>
    <t>CL-LL</t>
  </si>
  <si>
    <t>Los Lagos</t>
  </si>
  <si>
    <t>CL-LR</t>
  </si>
  <si>
    <t>Los Ríos</t>
  </si>
  <si>
    <t>CL-MA</t>
  </si>
  <si>
    <t>Magallanes y de la Antártica Chilena</t>
  </si>
  <si>
    <t>CL-ML</t>
  </si>
  <si>
    <t>Maule</t>
  </si>
  <si>
    <t>CL-NB</t>
  </si>
  <si>
    <t>Ñuble</t>
  </si>
  <si>
    <t>CL-RM</t>
  </si>
  <si>
    <t>Región Metropolitana</t>
  </si>
  <si>
    <t>CL-TA</t>
  </si>
  <si>
    <t>Tarapacá</t>
  </si>
  <si>
    <t>CL-VS</t>
  </si>
  <si>
    <t>Valparaíso</t>
  </si>
  <si>
    <t>CN-AH</t>
  </si>
  <si>
    <t>Anhui</t>
  </si>
  <si>
    <t>CN-BJ</t>
  </si>
  <si>
    <t>Beijing</t>
  </si>
  <si>
    <t>CN-CQ</t>
  </si>
  <si>
    <t>Chongqing</t>
  </si>
  <si>
    <t>CN-FJ</t>
  </si>
  <si>
    <t>Fujian</t>
  </si>
  <si>
    <t>CN-GS</t>
  </si>
  <si>
    <t>Gansu</t>
  </si>
  <si>
    <t>CN-GD</t>
  </si>
  <si>
    <t>Guangdong</t>
  </si>
  <si>
    <t>CN-GX</t>
  </si>
  <si>
    <t>Guangxi</t>
  </si>
  <si>
    <t>autonomous region</t>
  </si>
  <si>
    <t>CN-GZ</t>
  </si>
  <si>
    <t>Guizhou</t>
  </si>
  <si>
    <t>CN-HI</t>
  </si>
  <si>
    <t>Hainan</t>
  </si>
  <si>
    <t>CN-HE</t>
  </si>
  <si>
    <t>Hebei</t>
  </si>
  <si>
    <t>CN-HL</t>
  </si>
  <si>
    <t>Heilongjiang</t>
  </si>
  <si>
    <t>CN-HA</t>
  </si>
  <si>
    <t>Henan</t>
  </si>
  <si>
    <t>CN-HB</t>
  </si>
  <si>
    <t>Hubei</t>
  </si>
  <si>
    <t>CN-HN</t>
  </si>
  <si>
    <t>Hunan</t>
  </si>
  <si>
    <t>CN-NM</t>
  </si>
  <si>
    <t>Inner Mongolia</t>
  </si>
  <si>
    <t>CN-JS</t>
  </si>
  <si>
    <t>Jiangsu</t>
  </si>
  <si>
    <t>CN-JX</t>
  </si>
  <si>
    <t>Jiangxi</t>
  </si>
  <si>
    <t>CN-JL</t>
  </si>
  <si>
    <t>Jilin</t>
  </si>
  <si>
    <t>CN-LN</t>
  </si>
  <si>
    <t>Liaoning</t>
  </si>
  <si>
    <t>CN-NX</t>
  </si>
  <si>
    <t>Ningxia</t>
  </si>
  <si>
    <t>CN-QH</t>
  </si>
  <si>
    <t>Qinghai</t>
  </si>
  <si>
    <t>CN-SN</t>
  </si>
  <si>
    <t>Shaanxi</t>
  </si>
  <si>
    <t>CN-SD</t>
  </si>
  <si>
    <t>Shandong</t>
  </si>
  <si>
    <t>CN-SH</t>
  </si>
  <si>
    <t>Shanghai</t>
  </si>
  <si>
    <t>CN-SX</t>
  </si>
  <si>
    <t>Shanxi</t>
  </si>
  <si>
    <t>CN-SC</t>
  </si>
  <si>
    <t>Sichuan</t>
  </si>
  <si>
    <t>CN-TJ</t>
  </si>
  <si>
    <t>Tianjin</t>
  </si>
  <si>
    <t>CN-XZ</t>
  </si>
  <si>
    <t>Tibet</t>
  </si>
  <si>
    <t>CN-XJ</t>
  </si>
  <si>
    <t>Xinjiang</t>
  </si>
  <si>
    <t>CN-YN</t>
  </si>
  <si>
    <t>Yunnan</t>
  </si>
  <si>
    <t>CN-ZJ</t>
  </si>
  <si>
    <t>Zhejiang</t>
  </si>
  <si>
    <t>CO-AMA</t>
  </si>
  <si>
    <t>CO-ANT</t>
  </si>
  <si>
    <t>Antioquia</t>
  </si>
  <si>
    <t>CO-ARA</t>
  </si>
  <si>
    <t>Arauca</t>
  </si>
  <si>
    <t>CO-ATL</t>
  </si>
  <si>
    <t>Atlántico</t>
  </si>
  <si>
    <t>CO-DC</t>
  </si>
  <si>
    <t>Bogotá</t>
  </si>
  <si>
    <t>capital district</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</si>
  <si>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</si>
  <si>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</si>
  <si>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</si>
  <si>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</si>
  <si>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</si>
  <si>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</si>
  <si>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</si>
  <si>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</si>
  <si>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</si>
  <si>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</si>
  <si>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</si>
  <si>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</si>
  <si>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</si>
  <si>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</si>
  <si>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</si>
  <si>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</si>
  <si>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</si>
  <si>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</si>
  <si>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</si>
  <si>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</si>
  <si>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</si>
  <si>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</si>
  <si>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</si>
  <si>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</si>
  <si>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</si>
  <si>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</si>
  <si>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</si>
  <si>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</si>
  <si>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</si>
  <si>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</si>
  <si>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</si>
  <si>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</si>
  <si>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</si>
  <si>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</si>
  <si>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</si>
  <si>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</si>
  <si>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</si>
  <si>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</si>
  <si>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</si>
  <si>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</si>
  <si>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</si>
  <si>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CO-SAP</t>
  </si>
  <si>
    <t>San Andrés y Providencia</t>
  </si>
  <si>
    <t>CO-SAN</t>
  </si>
  <si>
    <t>Santander</t>
  </si>
  <si>
    <t>CO-SUC</t>
  </si>
  <si>
    <t>Sucre</t>
  </si>
  <si>
    <t>CO-TOL</t>
  </si>
  <si>
    <t>Tolima</t>
  </si>
  <si>
    <t>CO-VAC</t>
  </si>
  <si>
    <t>Valle del Cauca</t>
  </si>
  <si>
    <t>CO-VAU</t>
  </si>
  <si>
    <t>Vaupés</t>
  </si>
  <si>
    <t>CO-VID</t>
  </si>
  <si>
    <t>Vichada</t>
  </si>
  <si>
    <t>KM-A</t>
  </si>
  <si>
    <t>Anjouan</t>
  </si>
  <si>
    <t>autonomous island</t>
  </si>
  <si>
    <t>KM-G</t>
  </si>
  <si>
    <t>Grande Comore</t>
  </si>
  <si>
    <t>KM-M</t>
  </si>
  <si>
    <t>Mohéli</t>
  </si>
  <si>
    <t>CG-11</t>
  </si>
  <si>
    <t>Bouenza</t>
  </si>
  <si>
    <t>CG-BZV</t>
  </si>
  <si>
    <t>Brazzaville</t>
  </si>
  <si>
    <t>CG-8</t>
  </si>
  <si>
    <t>Cuvette</t>
  </si>
  <si>
    <t>CG-15</t>
  </si>
  <si>
    <t>Cuvette-Ouest</t>
  </si>
  <si>
    <t>CG-5</t>
  </si>
  <si>
    <t>Kouilou</t>
  </si>
  <si>
    <t>CG-2</t>
  </si>
  <si>
    <t>Lékoumou</t>
  </si>
  <si>
    <t>CG-7</t>
  </si>
  <si>
    <t>Likouala</t>
  </si>
  <si>
    <t>CG-9</t>
  </si>
  <si>
    <t>Niari</t>
  </si>
  <si>
    <t>CG-14</t>
  </si>
  <si>
    <t>Plateaux</t>
  </si>
  <si>
    <t>CG-16</t>
  </si>
  <si>
    <t>Pointe-Noire</t>
  </si>
  <si>
    <t>CG-12</t>
  </si>
  <si>
    <t>Pool</t>
  </si>
  <si>
    <t>CG-13</t>
  </si>
  <si>
    <t>Sangha</t>
  </si>
  <si>
    <t>CD-BU</t>
  </si>
  <si>
    <t>Bas-Uélé</t>
  </si>
  <si>
    <t>CD-EQ</t>
  </si>
  <si>
    <t>Équateur</t>
  </si>
  <si>
    <t>CD-HK</t>
  </si>
  <si>
    <t>Haut-Katanga</t>
  </si>
  <si>
    <t>CD-HL</t>
  </si>
  <si>
    <t>Haut-Lomami</t>
  </si>
  <si>
    <t>CD-HU</t>
  </si>
  <si>
    <t>Haut-Uélé</t>
  </si>
  <si>
    <t>CD-IT</t>
  </si>
  <si>
    <t>Ituri</t>
  </si>
  <si>
    <t>CD-KS</t>
  </si>
  <si>
    <t>Kasaï</t>
  </si>
  <si>
    <t>CD-KC</t>
  </si>
  <si>
    <t>Kasaï Central</t>
  </si>
  <si>
    <t>CD-KE</t>
  </si>
  <si>
    <t>Kasaï Oriental</t>
  </si>
  <si>
    <t>CD-KN</t>
  </si>
  <si>
    <t>Kinshasa</t>
  </si>
  <si>
    <t>CD-BC</t>
  </si>
  <si>
    <t>Kongo Central</t>
  </si>
  <si>
    <t>CD-KG</t>
  </si>
  <si>
    <t>Kwango</t>
  </si>
  <si>
    <t>CD-KL</t>
  </si>
  <si>
    <t>Kwilu</t>
  </si>
  <si>
    <t>CD-LO</t>
  </si>
  <si>
    <t>Lomami</t>
  </si>
  <si>
    <t>CD-LU</t>
  </si>
  <si>
    <t>Lualaba</t>
  </si>
  <si>
    <t>CD-MN</t>
  </si>
  <si>
    <t>Mai-Ndombe</t>
  </si>
  <si>
    <t>CD-MA</t>
  </si>
  <si>
    <t>Maniema</t>
  </si>
  <si>
    <t>CD-MO</t>
  </si>
  <si>
    <t>Mongala</t>
  </si>
  <si>
    <t>CD-NK</t>
  </si>
  <si>
    <t>Nord-Kivu</t>
  </si>
  <si>
    <t>CD-NU</t>
  </si>
  <si>
    <t>Nord-Ubangi</t>
  </si>
  <si>
    <t>CD-SA</t>
  </si>
  <si>
    <t>Sankuru</t>
  </si>
  <si>
    <t>CD-SK</t>
  </si>
  <si>
    <t>Sud-Kivu</t>
  </si>
  <si>
    <t>CD-SU</t>
  </si>
  <si>
    <t>Sud-Ubangi</t>
  </si>
  <si>
    <t>CD-TA</t>
  </si>
  <si>
    <t>Tanganyika</t>
  </si>
  <si>
    <t>CD-TO</t>
  </si>
  <si>
    <t>Tshopo</t>
  </si>
  <si>
    <t>CD-TU</t>
  </si>
  <si>
    <t>Tshuapa</t>
  </si>
  <si>
    <t>CR-A</t>
  </si>
  <si>
    <t>Alajuela</t>
  </si>
  <si>
    <t>CR-C</t>
  </si>
  <si>
    <t>Cartago</t>
  </si>
  <si>
    <t>CR-G</t>
  </si>
  <si>
    <t>Guanacaste</t>
  </si>
  <si>
    <t>CR-H</t>
  </si>
  <si>
    <t>Heredia</t>
  </si>
  <si>
    <t>CR-L</t>
  </si>
  <si>
    <t>Limón</t>
  </si>
  <si>
    <t>CR-P</t>
  </si>
  <si>
    <t>Puntarenas</t>
  </si>
  <si>
    <t>CR-SJ</t>
  </si>
  <si>
    <t>San José</t>
  </si>
  <si>
    <t>CI-AB</t>
  </si>
  <si>
    <t>Abidjan</t>
  </si>
  <si>
    <t>autonomous district</t>
  </si>
  <si>
    <t>CI-BS</t>
  </si>
  <si>
    <t>Bas-Sassandra</t>
  </si>
  <si>
    <t>CI-CM</t>
  </si>
  <si>
    <t>Comoé</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</si>
  <si>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</si>
  <si>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</si>
  <si>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</si>
  <si>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</si>
  <si>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</si>
  <si>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</si>
  <si>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</si>
  <si>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</si>
  <si>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</si>
  <si>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</si>
  <si>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</si>
  <si>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</si>
  <si>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</si>
  <si>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</si>
  <si>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</si>
  <si>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</si>
  <si>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</si>
  <si>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</si>
  <si>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CI-YM</t>
  </si>
  <si>
    <t>Yamoussoukro</t>
  </si>
  <si>
    <t>CI-ZZ</t>
  </si>
  <si>
    <t>Zanzan</t>
  </si>
  <si>
    <t>HR-07</t>
  </si>
  <si>
    <t>Bjelovarsko-Bilogorska Županija</t>
  </si>
  <si>
    <t>HR-12</t>
  </si>
  <si>
    <t>Brodsko-Posavska Županija</t>
  </si>
  <si>
    <t>HR-19</t>
  </si>
  <si>
    <t>Dubrovačko-Neretvanska Županija</t>
  </si>
  <si>
    <t>HR-18</t>
  </si>
  <si>
    <t>Istarska Županija</t>
  </si>
  <si>
    <t>HR-04</t>
  </si>
  <si>
    <t>Karlovačka Županija</t>
  </si>
  <si>
    <t>HR-06</t>
  </si>
  <si>
    <t>Koprivničko-Križevačka Županija</t>
  </si>
  <si>
    <t>HR-02</t>
  </si>
  <si>
    <t>Krapinsko-Zagorska Županija</t>
  </si>
  <si>
    <t>HR-09</t>
  </si>
  <si>
    <t>Ličko-Senjska Županija</t>
  </si>
  <si>
    <t>HR-20</t>
  </si>
  <si>
    <t>Međimurska Županija</t>
  </si>
  <si>
    <t>HR-14</t>
  </si>
  <si>
    <t>Osječko-Baranjska Županija</t>
  </si>
  <si>
    <t>HR-11</t>
  </si>
  <si>
    <t>Požeško-Slavonska Županija</t>
  </si>
  <si>
    <t>HR-08</t>
  </si>
  <si>
    <t>Primorsko-Goranska Županija</t>
  </si>
  <si>
    <t>HR-15</t>
  </si>
  <si>
    <t>Šibensko-Kninska Županija</t>
  </si>
  <si>
    <t>HR-03</t>
  </si>
  <si>
    <t>Sisačko-Moslavačka Županija</t>
  </si>
  <si>
    <t>HR-17</t>
  </si>
  <si>
    <t>Splitsko-Dalmatinska Županija</t>
  </si>
  <si>
    <t>HR-05</t>
  </si>
  <si>
    <t>Varaždinska Županija</t>
  </si>
  <si>
    <t>HR-10</t>
  </si>
  <si>
    <t>Virovitičko-Podravska Županija</t>
  </si>
  <si>
    <t>HR-16</t>
  </si>
  <si>
    <t>Vukovarsko-Srijemska Županija</t>
  </si>
  <si>
    <t>HR-13</t>
  </si>
  <si>
    <t>Zadarska Županija</t>
  </si>
  <si>
    <t>HR-21</t>
  </si>
  <si>
    <t>Zagreb, Grad</t>
  </si>
  <si>
    <t>HR-01</t>
  </si>
  <si>
    <t>Zagrebačka Županija</t>
  </si>
  <si>
    <t>CU-15</t>
  </si>
  <si>
    <t>Artemisa</t>
  </si>
  <si>
    <t>CU-09</t>
  </si>
  <si>
    <t>Camagüey</t>
  </si>
  <si>
    <t>CU-08</t>
  </si>
  <si>
    <t>Ciego de Ávila</t>
  </si>
  <si>
    <t>CU-06</t>
  </si>
  <si>
    <t>Cienfuegos</t>
  </si>
  <si>
    <t>CU-12</t>
  </si>
  <si>
    <t>Granma</t>
  </si>
  <si>
    <t>CU-14</t>
  </si>
  <si>
    <t>Guantánamo</t>
  </si>
  <si>
    <t>CU-11</t>
  </si>
  <si>
    <t>Holguín</t>
  </si>
  <si>
    <t>CU-99</t>
  </si>
  <si>
    <t>Isla de la Juventud</t>
  </si>
  <si>
    <t>CU-03</t>
  </si>
  <si>
    <t>La Habana</t>
  </si>
  <si>
    <t>CU-10</t>
  </si>
  <si>
    <t>Las Tunas</t>
  </si>
  <si>
    <t>CU-04</t>
  </si>
  <si>
    <t>Matanzas</t>
  </si>
  <si>
    <t>CU-16</t>
  </si>
  <si>
    <t>Mayabeque</t>
  </si>
  <si>
    <t>CU-01</t>
  </si>
  <si>
    <t>Pinar del Río</t>
  </si>
  <si>
    <t>CU-07</t>
  </si>
  <si>
    <t>Sancti Spíritus</t>
  </si>
  <si>
    <t>CU-13</t>
  </si>
  <si>
    <t>Santiago de Cuba</t>
  </si>
  <si>
    <t>CU-05</t>
  </si>
  <si>
    <t>Villa Clara</t>
  </si>
  <si>
    <t>CY-04</t>
  </si>
  <si>
    <t>Ammóchostos</t>
  </si>
  <si>
    <t>CY-06</t>
  </si>
  <si>
    <t>Kerýneia</t>
  </si>
  <si>
    <t>CY-03</t>
  </si>
  <si>
    <t>Lárnaka</t>
  </si>
  <si>
    <t>CY-01</t>
  </si>
  <si>
    <t>Lefkosía</t>
  </si>
  <si>
    <t>CY-02</t>
  </si>
  <si>
    <t>Lemesós</t>
  </si>
  <si>
    <t>CY-05</t>
  </si>
  <si>
    <t>Páfos</t>
  </si>
  <si>
    <t>CZ-31</t>
  </si>
  <si>
    <t xml:space="preserve">Jihočeský Kraj </t>
  </si>
  <si>
    <t>CZ-311</t>
  </si>
  <si>
    <t xml:space="preserve">     České Budějovice</t>
  </si>
  <si>
    <t>CZ-312</t>
  </si>
  <si>
    <t xml:space="preserve">     Český Krumlov</t>
  </si>
  <si>
    <t>CZ-313</t>
  </si>
  <si>
    <t xml:space="preserve">     Jindřichův Hradec</t>
  </si>
  <si>
    <t>CZ-314</t>
  </si>
  <si>
    <t xml:space="preserve">     Písek</t>
  </si>
  <si>
    <t>CZ-315</t>
  </si>
  <si>
    <t xml:space="preserve">     Prachatice</t>
  </si>
  <si>
    <t>CZ-316</t>
  </si>
  <si>
    <t xml:space="preserve">     Strakonice</t>
  </si>
  <si>
    <t>CZ-317</t>
  </si>
  <si>
    <t xml:space="preserve">     Tábor</t>
  </si>
  <si>
    <t>CZ-64</t>
  </si>
  <si>
    <t>Jihomoravský Kraj</t>
  </si>
  <si>
    <t>CZ-641</t>
  </si>
  <si>
    <t xml:space="preserve">     Blansko</t>
  </si>
  <si>
    <t>CZ-644</t>
  </si>
  <si>
    <t xml:space="preserve">     Břeclav</t>
  </si>
  <si>
    <t>CZ-643</t>
  </si>
  <si>
    <t xml:space="preserve">     Brno-Venkov</t>
  </si>
  <si>
    <t>CZ-645</t>
  </si>
  <si>
    <t xml:space="preserve">     Hodonín</t>
  </si>
  <si>
    <t>CZ-642</t>
  </si>
  <si>
    <t xml:space="preserve">     Město Brno</t>
  </si>
  <si>
    <t>CZ-646</t>
  </si>
  <si>
    <t xml:space="preserve">     Vyškov</t>
  </si>
  <si>
    <t>CZ-647</t>
  </si>
  <si>
    <t xml:space="preserve">     Znojmo</t>
  </si>
  <si>
    <t>CZ-41</t>
  </si>
  <si>
    <t>Karlovarský Kraj</t>
  </si>
  <si>
    <t>CZ-411</t>
  </si>
  <si>
    <t xml:space="preserve">     Cheb</t>
  </si>
  <si>
    <t>CZ-412</t>
  </si>
  <si>
    <t xml:space="preserve">     Karlovy Vary</t>
  </si>
  <si>
    <t>CZ-413</t>
  </si>
  <si>
    <t xml:space="preserve">     Sokolov</t>
  </si>
  <si>
    <t>CZ-52</t>
  </si>
  <si>
    <t>Královéhradecký Kraj</t>
  </si>
  <si>
    <t>CZ-521</t>
  </si>
  <si>
    <t xml:space="preserve">     Hradec Králové</t>
  </si>
  <si>
    <t>CZ-522</t>
  </si>
  <si>
    <t xml:space="preserve">     Jičín</t>
  </si>
  <si>
    <t>CZ-523</t>
  </si>
  <si>
    <t xml:space="preserve">     Náchod</t>
  </si>
  <si>
    <t>CZ-524</t>
  </si>
  <si>
    <t xml:space="preserve">     Rychnov nad Kněžnou</t>
  </si>
  <si>
    <t>CZ-525</t>
  </si>
  <si>
    <t xml:space="preserve">     Trutnov</t>
  </si>
  <si>
    <t>CZ-51</t>
  </si>
  <si>
    <t>Liberecký Kraj</t>
  </si>
  <si>
    <t>CZ-511</t>
  </si>
  <si>
    <t xml:space="preserve">     Česká Lípa</t>
  </si>
  <si>
    <t>CZ-512</t>
  </si>
  <si>
    <t xml:space="preserve">     Jablonec nad Nisou</t>
  </si>
  <si>
    <t>CZ-513</t>
  </si>
  <si>
    <t xml:space="preserve">     Liberec</t>
  </si>
  <si>
    <t>CZ-514</t>
  </si>
  <si>
    <t xml:space="preserve">     Semily</t>
  </si>
  <si>
    <t>CZ-80</t>
  </si>
  <si>
    <t xml:space="preserve">Moravskoslezský Kraj </t>
  </si>
  <si>
    <t>CZ-801</t>
  </si>
  <si>
    <t xml:space="preserve">     Bruntál</t>
  </si>
  <si>
    <t>CZ-802</t>
  </si>
  <si>
    <t xml:space="preserve">     Frýdek-Místek</t>
  </si>
  <si>
    <t>CZ-803</t>
  </si>
  <si>
    <t xml:space="preserve">     Karviná</t>
  </si>
  <si>
    <t>CZ-804</t>
  </si>
  <si>
    <t xml:space="preserve">     Nový Jičín</t>
  </si>
  <si>
    <t>CZ-805</t>
  </si>
  <si>
    <t xml:space="preserve">     Opava</t>
  </si>
  <si>
    <t>CZ-806</t>
  </si>
  <si>
    <t xml:space="preserve">     Ostrava-Město</t>
  </si>
  <si>
    <t>CZ-71</t>
  </si>
  <si>
    <t>Olomoucký Kraj</t>
  </si>
  <si>
    <t>CZ-711</t>
  </si>
  <si>
    <t xml:space="preserve">     Jeseník</t>
  </si>
  <si>
    <t>CZ-712</t>
  </si>
  <si>
    <t xml:space="preserve">     Olomouc</t>
  </si>
  <si>
    <t>CZ-714</t>
  </si>
  <si>
    <t xml:space="preserve">     Přerov</t>
  </si>
  <si>
    <t>CZ-713</t>
  </si>
  <si>
    <t xml:space="preserve">     Prostějov</t>
  </si>
  <si>
    <t>CZ-715</t>
  </si>
  <si>
    <t xml:space="preserve">     Šumperk</t>
  </si>
  <si>
    <t>CZ-53</t>
  </si>
  <si>
    <t>Pardubický Kraj</t>
  </si>
  <si>
    <t>CZ-531</t>
  </si>
  <si>
    <t xml:space="preserve">     Chrudim</t>
  </si>
  <si>
    <t>CZ-532</t>
  </si>
  <si>
    <t xml:space="preserve">     Pardubice</t>
  </si>
  <si>
    <t>CZ-533</t>
  </si>
  <si>
    <t xml:space="preserve">     Svitavy</t>
  </si>
  <si>
    <t>CZ-534</t>
  </si>
  <si>
    <t xml:space="preserve">     Ústí nad Orlicí</t>
  </si>
  <si>
    <t>CZ-32</t>
  </si>
  <si>
    <t>Plzeňský Kraj</t>
  </si>
  <si>
    <t>CZ-321</t>
  </si>
  <si>
    <t xml:space="preserve">     Domažlice</t>
  </si>
  <si>
    <t>CZ-322</t>
  </si>
  <si>
    <t xml:space="preserve">     Klatovy</t>
  </si>
  <si>
    <t>CZ-324</t>
  </si>
  <si>
    <t xml:space="preserve">     Plzeň-Jih</t>
  </si>
  <si>
    <t>CZ-323</t>
  </si>
  <si>
    <t xml:space="preserve">     Plzeň-Město</t>
  </si>
  <si>
    <t>CZ-325</t>
  </si>
  <si>
    <t xml:space="preserve">     Plzeň-Sever</t>
  </si>
  <si>
    <t>CZ-326</t>
  </si>
  <si>
    <t xml:space="preserve">     Rokycany</t>
  </si>
  <si>
    <t>CZ-327</t>
  </si>
  <si>
    <t xml:space="preserve">     Tachov</t>
  </si>
  <si>
    <t>CZ-10</t>
  </si>
  <si>
    <t>Praha, Hlavní Město</t>
  </si>
  <si>
    <t>capital city</t>
  </si>
  <si>
    <t>CZ-20</t>
  </si>
  <si>
    <t>Středočeský Kraj</t>
  </si>
  <si>
    <t>CZ-201</t>
  </si>
  <si>
    <t xml:space="preserve">     Benešov</t>
  </si>
  <si>
    <t>CZ-202</t>
  </si>
  <si>
    <t xml:space="preserve">     Beroun</t>
  </si>
  <si>
    <t>CZ-203</t>
  </si>
  <si>
    <t xml:space="preserve">     Kladno</t>
  </si>
  <si>
    <t>CZ-204</t>
  </si>
  <si>
    <t xml:space="preserve">     Kolín</t>
  </si>
  <si>
    <t>CZ-205</t>
  </si>
  <si>
    <t xml:space="preserve">     Kutná Hora</t>
  </si>
  <si>
    <t>CZ-206</t>
  </si>
  <si>
    <t xml:space="preserve">     Mělník</t>
  </si>
  <si>
    <t>CZ-207</t>
  </si>
  <si>
    <t xml:space="preserve">     Mladá Boleslav</t>
  </si>
  <si>
    <t>CZ-208</t>
  </si>
  <si>
    <t xml:space="preserve">     Nymburk</t>
  </si>
  <si>
    <t>CZ-209</t>
  </si>
  <si>
    <t xml:space="preserve">     Praha-Východ</t>
  </si>
  <si>
    <t>CZ-20A</t>
  </si>
  <si>
    <t xml:space="preserve">     Praha-Západ</t>
  </si>
  <si>
    <t>CZ-20B</t>
  </si>
  <si>
    <t xml:space="preserve">     Příbram</t>
  </si>
  <si>
    <t>CZ-20C</t>
  </si>
  <si>
    <t xml:space="preserve">     Rakovník</t>
  </si>
  <si>
    <t>CZ-42</t>
  </si>
  <si>
    <t>Ústecký Kraj</t>
  </si>
  <si>
    <t>CZ-422</t>
  </si>
  <si>
    <t xml:space="preserve">     Chomutov</t>
  </si>
  <si>
    <t>CZ-421</t>
  </si>
  <si>
    <t xml:space="preserve">     Děčín</t>
  </si>
  <si>
    <t>CZ-423</t>
  </si>
  <si>
    <t xml:space="preserve">     Litoměřice</t>
  </si>
  <si>
    <t>CZ-424</t>
  </si>
  <si>
    <t xml:space="preserve">     Louny</t>
  </si>
  <si>
    <t>CZ-425</t>
  </si>
  <si>
    <t xml:space="preserve">     Most</t>
  </si>
  <si>
    <t>CZ-426</t>
  </si>
  <si>
    <t xml:space="preserve">     Teplice</t>
  </si>
  <si>
    <t>CZ-427</t>
  </si>
  <si>
    <t xml:space="preserve">     Ústí nad Labem</t>
  </si>
  <si>
    <t>CZ-63</t>
  </si>
  <si>
    <t>Vysočina</t>
  </si>
  <si>
    <t>CZ-631</t>
  </si>
  <si>
    <t xml:space="preserve">     Havlíčkův Brod</t>
  </si>
  <si>
    <t>CZ-632</t>
  </si>
  <si>
    <t xml:space="preserve">     Jihlava</t>
  </si>
  <si>
    <t>CZ-633</t>
  </si>
  <si>
    <t xml:space="preserve">     Pelhřimov</t>
  </si>
  <si>
    <t>CZ-634</t>
  </si>
  <si>
    <t xml:space="preserve">     Třebíč</t>
  </si>
  <si>
    <t>CZ-635</t>
  </si>
  <si>
    <t xml:space="preserve">     Žd’ár nad Sázavou</t>
  </si>
  <si>
    <t>CZ-72</t>
  </si>
  <si>
    <t>Zlínský Kraj</t>
  </si>
  <si>
    <t>CZ-721</t>
  </si>
  <si>
    <t xml:space="preserve">     Kroměříž</t>
  </si>
  <si>
    <t>CZ-722</t>
  </si>
  <si>
    <t xml:space="preserve">     Uherské Hradiště</t>
  </si>
  <si>
    <t>CZ-723</t>
  </si>
  <si>
    <t xml:space="preserve">     Vsetín</t>
  </si>
  <si>
    <t>CZ-724</t>
  </si>
  <si>
    <t xml:space="preserve">     Zlín</t>
  </si>
  <si>
    <t>DK-84</t>
  </si>
  <si>
    <t>Hovedstaden</t>
  </si>
  <si>
    <t>DK-82</t>
  </si>
  <si>
    <t>Midtjylland</t>
  </si>
  <si>
    <t>DK-81</t>
  </si>
  <si>
    <t>Nordjylland</t>
  </si>
  <si>
    <t>DK-85</t>
  </si>
  <si>
    <t>Sjælland</t>
  </si>
  <si>
    <t>DK-83</t>
  </si>
  <si>
    <t>Syddanmark</t>
  </si>
  <si>
    <t>DJ-AS</t>
  </si>
  <si>
    <t>Ali Sabieh</t>
  </si>
  <si>
    <t>DJ-AR</t>
  </si>
  <si>
    <t>Arta</t>
  </si>
  <si>
    <t>DJ-DI</t>
  </si>
  <si>
    <t>Dikhil</t>
  </si>
  <si>
    <t>DJ-DJ</t>
  </si>
  <si>
    <t>DJ-OB</t>
  </si>
  <si>
    <t>Obock</t>
  </si>
  <si>
    <t>DJ-TA</t>
  </si>
  <si>
    <t>Tadjourah</t>
  </si>
  <si>
    <t>DM-02</t>
  </si>
  <si>
    <t>DM-03</t>
  </si>
  <si>
    <t>Saint David</t>
  </si>
  <si>
    <t>DM-04</t>
  </si>
  <si>
    <t>DM-05</t>
  </si>
  <si>
    <t>DM-06</t>
  </si>
  <si>
    <t>DM-07</t>
  </si>
  <si>
    <t>Saint Luke</t>
  </si>
  <si>
    <t>DM-08</t>
  </si>
  <si>
    <t>Saint Mark</t>
  </si>
  <si>
    <t>DM-09</t>
  </si>
  <si>
    <t>Saint Patrick</t>
  </si>
  <si>
    <t>DM-10</t>
  </si>
  <si>
    <t>DM-11</t>
  </si>
  <si>
    <t>DO-33</t>
  </si>
  <si>
    <t>Cibao Nordeste</t>
  </si>
  <si>
    <t>DO-06</t>
  </si>
  <si>
    <t xml:space="preserve">     Duarte</t>
  </si>
  <si>
    <t>DO-19</t>
  </si>
  <si>
    <t xml:space="preserve">     Hermanas Mirabal</t>
  </si>
  <si>
    <t>DO-14</t>
  </si>
  <si>
    <t xml:space="preserve">     María Trinidad Sánchez</t>
  </si>
  <si>
    <t>DO-20</t>
  </si>
  <si>
    <t xml:space="preserve">     Samaná</t>
  </si>
  <si>
    <t>DO-34</t>
  </si>
  <si>
    <t>Cibao Noroeste</t>
  </si>
  <si>
    <t>DO-05</t>
  </si>
  <si>
    <t xml:space="preserve">     Dajabón</t>
  </si>
  <si>
    <t>DO-15</t>
  </si>
  <si>
    <t xml:space="preserve">     Monte Cristi</t>
  </si>
  <si>
    <t>DO-26</t>
  </si>
  <si>
    <t xml:space="preserve">     Santiago Rodríguez</t>
  </si>
  <si>
    <t>DO-27</t>
  </si>
  <si>
    <t xml:space="preserve">     Valverde</t>
  </si>
  <si>
    <t>DO-35</t>
  </si>
  <si>
    <t>Cibao Norte</t>
  </si>
  <si>
    <t>DO-09</t>
  </si>
  <si>
    <t xml:space="preserve">     Espaillat</t>
  </si>
  <si>
    <t>DO-18</t>
  </si>
  <si>
    <t xml:space="preserve">     Puerto Plata</t>
  </si>
  <si>
    <t>DO-25</t>
  </si>
  <si>
    <t xml:space="preserve">     Santiago</t>
  </si>
  <si>
    <t>DO-36</t>
  </si>
  <si>
    <t>Cibao Sur</t>
  </si>
  <si>
    <t>DO-13</t>
  </si>
  <si>
    <t xml:space="preserve">     La Vega</t>
  </si>
  <si>
    <t>DO-28</t>
  </si>
  <si>
    <t xml:space="preserve">     Monseñor Nouel</t>
  </si>
  <si>
    <t>DO-24</t>
  </si>
  <si>
    <t xml:space="preserve">     Sánchez Ramírez</t>
  </si>
  <si>
    <t>DO-37</t>
  </si>
  <si>
    <t>El Valle</t>
  </si>
  <si>
    <t>DO-07</t>
  </si>
  <si>
    <t xml:space="preserve">     Elías Piña</t>
  </si>
  <si>
    <t>DO-22</t>
  </si>
  <si>
    <t xml:space="preserve">     San Juan</t>
  </si>
  <si>
    <t>DO-38</t>
  </si>
  <si>
    <t>Enriquillo</t>
  </si>
  <si>
    <t>DO-03</t>
  </si>
  <si>
    <t xml:space="preserve">     Baoruco</t>
  </si>
  <si>
    <t>DO-04</t>
  </si>
  <si>
    <t xml:space="preserve">     Barahona</t>
  </si>
  <si>
    <t>DO-10</t>
  </si>
  <si>
    <t xml:space="preserve">     Independencia</t>
  </si>
  <si>
    <t>DO-16</t>
  </si>
  <si>
    <t xml:space="preserve">     Pedernales</t>
  </si>
  <si>
    <t>DO-39</t>
  </si>
  <si>
    <t>Higuamo</t>
  </si>
  <si>
    <t>DO-30</t>
  </si>
  <si>
    <t xml:space="preserve">     Hato Mayor</t>
  </si>
  <si>
    <t>DO-29</t>
  </si>
  <si>
    <t xml:space="preserve">     Monte Plata</t>
  </si>
  <si>
    <t>DO-23</t>
  </si>
  <si>
    <t xml:space="preserve">     San Pedro de Macorís</t>
  </si>
  <si>
    <t>DO-40</t>
  </si>
  <si>
    <t>Ozama</t>
  </si>
  <si>
    <t>DO-01</t>
  </si>
  <si>
    <t xml:space="preserve">     Distrito Nacional</t>
  </si>
  <si>
    <t>DO-32</t>
  </si>
  <si>
    <t xml:space="preserve">     Santo Domingo</t>
  </si>
  <si>
    <t>DO-41</t>
  </si>
  <si>
    <t>Valdesia</t>
  </si>
  <si>
    <t>DO-02</t>
  </si>
  <si>
    <t xml:space="preserve">     Azua</t>
  </si>
  <si>
    <t>DO-17</t>
  </si>
  <si>
    <t xml:space="preserve">     Peravia</t>
  </si>
  <si>
    <t>DO-21</t>
  </si>
  <si>
    <t xml:space="preserve">     San Cristóbal</t>
  </si>
  <si>
    <t>DO-31</t>
  </si>
  <si>
    <t xml:space="preserve">     San José de Ocoa</t>
  </si>
  <si>
    <t>DO-42</t>
  </si>
  <si>
    <t>Yuma</t>
  </si>
  <si>
    <t>DO-08</t>
  </si>
  <si>
    <t xml:space="preserve">     El Seibo</t>
  </si>
  <si>
    <t>DO-11</t>
  </si>
  <si>
    <t xml:space="preserve">     La Altagracia</t>
  </si>
  <si>
    <t>DO-12</t>
  </si>
  <si>
    <t xml:space="preserve">     La Romana</t>
  </si>
  <si>
    <t>EC-A</t>
  </si>
  <si>
    <t>Azuay</t>
  </si>
  <si>
    <t>EC-B</t>
  </si>
  <si>
    <t>EC-F</t>
  </si>
  <si>
    <t>Cañar</t>
  </si>
  <si>
    <t>EC-C</t>
  </si>
  <si>
    <t>Carchi</t>
  </si>
  <si>
    <t>EC-H</t>
  </si>
  <si>
    <t>Chimborazo</t>
  </si>
  <si>
    <t>EC-X</t>
  </si>
  <si>
    <t>Cotopaxi</t>
  </si>
  <si>
    <t>EC-O</t>
  </si>
  <si>
    <t>El Oro</t>
  </si>
  <si>
    <t>EC-E</t>
  </si>
  <si>
    <t>Esmeraldas</t>
  </si>
  <si>
    <t>EC-W</t>
  </si>
  <si>
    <t>Galápagos</t>
  </si>
  <si>
    <t>EC-G</t>
  </si>
  <si>
    <t>Guayas</t>
  </si>
  <si>
    <t>EC-I</t>
  </si>
  <si>
    <t>Imbabura</t>
  </si>
  <si>
    <t>EC-L</t>
  </si>
  <si>
    <t>Loja</t>
  </si>
  <si>
    <t>EC-R</t>
  </si>
  <si>
    <t>EC-M</t>
  </si>
  <si>
    <t>Manabí</t>
  </si>
  <si>
    <t>EC-S</t>
  </si>
  <si>
    <t>Morona-Santiago</t>
  </si>
  <si>
    <t>EC-N</t>
  </si>
  <si>
    <t>Napo</t>
  </si>
  <si>
    <t>EC-D</t>
  </si>
  <si>
    <t>Orellana</t>
  </si>
  <si>
    <t>EC-Y</t>
  </si>
  <si>
    <t>Pastaza</t>
  </si>
  <si>
    <t>EC-P</t>
  </si>
  <si>
    <t>Pichincha</t>
  </si>
  <si>
    <t>EC-SE</t>
  </si>
  <si>
    <t>Santa Elena</t>
  </si>
  <si>
    <t>EC-SD</t>
  </si>
  <si>
    <t>Santo Domingo de los Tsáchilas</t>
  </si>
  <si>
    <t>EC-U</t>
  </si>
  <si>
    <t>Sucumbíos</t>
  </si>
  <si>
    <t>EC-T</t>
  </si>
  <si>
    <t>Tungurahua</t>
  </si>
  <si>
    <t>EC-Z</t>
  </si>
  <si>
    <t>Zamora-Chinchipe</t>
  </si>
  <si>
    <t>EG-DK</t>
  </si>
  <si>
    <t>Ad Daqahlīyah</t>
  </si>
  <si>
    <t>EG-BA</t>
  </si>
  <si>
    <t>Al Baḩr al Aḩmar</t>
  </si>
  <si>
    <t>EG-BH</t>
  </si>
  <si>
    <t>Al Buḩayrah</t>
  </si>
  <si>
    <t>EG-FYM</t>
  </si>
  <si>
    <t>Al Fayyūm</t>
  </si>
  <si>
    <t>EG-GH</t>
  </si>
  <si>
    <t>Al Gharbīyah</t>
  </si>
  <si>
    <t>EG-ALX</t>
  </si>
  <si>
    <t>Al Iskandarīyah</t>
  </si>
  <si>
    <t>EG-IS</t>
  </si>
  <si>
    <t>Al Ismā‘īlīyah</t>
  </si>
  <si>
    <t>EG-GZ</t>
  </si>
  <si>
    <t>Al Jīzah</t>
  </si>
  <si>
    <t>EG-MNF</t>
  </si>
  <si>
    <t>Al Minūfīyah</t>
  </si>
  <si>
    <t>EG-MN</t>
  </si>
  <si>
    <t>Al Minyā</t>
  </si>
  <si>
    <t>EG-C</t>
  </si>
  <si>
    <t>Al Qāhirah</t>
  </si>
  <si>
    <t>EG-KB</t>
  </si>
  <si>
    <t>Al Qalyūbīyah</t>
  </si>
  <si>
    <t>EG-LX</t>
  </si>
  <si>
    <t>Al Uqşur</t>
  </si>
  <si>
    <t>EG-WAD</t>
  </si>
  <si>
    <t>Al Wādī al Jadīd</t>
  </si>
  <si>
    <t>EG-SHR</t>
  </si>
  <si>
    <t>Ash Sharqīyah</t>
  </si>
  <si>
    <t>EG-SUZ</t>
  </si>
  <si>
    <t>As Suways</t>
  </si>
  <si>
    <t>EG-ASN</t>
  </si>
  <si>
    <t>Aswān</t>
  </si>
  <si>
    <t>EG-AST</t>
  </si>
  <si>
    <t>Asyūţ</t>
  </si>
  <si>
    <t>EG-BNS</t>
  </si>
  <si>
    <t>Banī Suwayf</t>
  </si>
  <si>
    <t>EG-PTS</t>
  </si>
  <si>
    <t>Būr Sa‘īd</t>
  </si>
  <si>
    <t>EG-DT</t>
  </si>
  <si>
    <t>Dumyāţ</t>
  </si>
  <si>
    <t>EG-JS</t>
  </si>
  <si>
    <t>Janūb Sīnā’</t>
  </si>
  <si>
    <t>EG-KFS</t>
  </si>
  <si>
    <t>Kafr ash Shaykh</t>
  </si>
  <si>
    <t>EG-MT</t>
  </si>
  <si>
    <t>Maţrūḩ</t>
  </si>
  <si>
    <t>EG-KN</t>
  </si>
  <si>
    <t>Qinā</t>
  </si>
  <si>
    <t>EG-SIN</t>
  </si>
  <si>
    <t>Shamāl Sīnā’</t>
  </si>
  <si>
    <t>EG-SHG</t>
  </si>
  <si>
    <t>Sūhāj</t>
  </si>
  <si>
    <t>SV-AH</t>
  </si>
  <si>
    <t>Ahuachapán</t>
  </si>
  <si>
    <t>SV-CA</t>
  </si>
  <si>
    <t>Cabañas</t>
  </si>
  <si>
    <t>SV-CH</t>
  </si>
  <si>
    <t>Chalatenango</t>
  </si>
  <si>
    <t>SV-CU</t>
  </si>
  <si>
    <t>Cuscatlán</t>
  </si>
  <si>
    <t>SV-LI</t>
  </si>
  <si>
    <t>La Libertad</t>
  </si>
  <si>
    <t>SV-PA</t>
  </si>
  <si>
    <t>SV-UN</t>
  </si>
  <si>
    <t>La Unión</t>
  </si>
  <si>
    <t>SV-MO</t>
  </si>
  <si>
    <t>Morazán</t>
  </si>
  <si>
    <t>SV-SM</t>
  </si>
  <si>
    <t>San Miguel</t>
  </si>
  <si>
    <t>SV-SS</t>
  </si>
  <si>
    <t>SV-SA</t>
  </si>
  <si>
    <t>Santa Ana</t>
  </si>
  <si>
    <t>SV-SV</t>
  </si>
  <si>
    <t>San Vicente</t>
  </si>
  <si>
    <t>SV-SO</t>
  </si>
  <si>
    <t>Sonsonate</t>
  </si>
  <si>
    <t>SV-US</t>
  </si>
  <si>
    <t>Usulután</t>
  </si>
  <si>
    <t>GQ-C</t>
  </si>
  <si>
    <t>Región Continental</t>
  </si>
  <si>
    <t>GQ-CS</t>
  </si>
  <si>
    <t xml:space="preserve">     Centro Sur</t>
  </si>
  <si>
    <t>GQ-KN</t>
  </si>
  <si>
    <t xml:space="preserve">     Kié-Ntem</t>
  </si>
  <si>
    <t>GQ-LI</t>
  </si>
  <si>
    <t xml:space="preserve">     Litoral</t>
  </si>
  <si>
    <t>GQ-WN</t>
  </si>
  <si>
    <t xml:space="preserve">     Wele-Nzas</t>
  </si>
  <si>
    <t>GQ-I</t>
  </si>
  <si>
    <t>Región Insular</t>
  </si>
  <si>
    <t>GQ-AN</t>
  </si>
  <si>
    <t xml:space="preserve">     Annobón</t>
  </si>
  <si>
    <t>GQ-BN</t>
  </si>
  <si>
    <t xml:space="preserve">     Bioko Norte</t>
  </si>
  <si>
    <t>GQ-BS</t>
  </si>
  <si>
    <t xml:space="preserve">     Bioko Sur</t>
  </si>
  <si>
    <t>ER-AN</t>
  </si>
  <si>
    <t>Ānseba</t>
  </si>
  <si>
    <t>ER-DU</t>
  </si>
  <si>
    <t>Debub</t>
  </si>
  <si>
    <t>ER-DK</t>
  </si>
  <si>
    <t>Debubawī K’eyih Bahrī</t>
  </si>
  <si>
    <t>ER-GB</t>
  </si>
  <si>
    <t>Gash Barka</t>
  </si>
  <si>
    <t>ER-MA</t>
  </si>
  <si>
    <t>Ma’ākel</t>
  </si>
  <si>
    <t>ER-SK</t>
  </si>
  <si>
    <t>Semēnawī K’eyih Bahrī</t>
  </si>
  <si>
    <t>EE-37</t>
  </si>
  <si>
    <t>Harjumaa</t>
  </si>
  <si>
    <t>EE-39</t>
  </si>
  <si>
    <t>Hiiumaa</t>
  </si>
  <si>
    <t>EE-44</t>
  </si>
  <si>
    <t>Ida-Virumaa</t>
  </si>
  <si>
    <t>EE-51</t>
  </si>
  <si>
    <t>Järvamaa</t>
  </si>
  <si>
    <t>EE-49</t>
  </si>
  <si>
    <t>Jõgevamaa</t>
  </si>
  <si>
    <t>EE-57</t>
  </si>
  <si>
    <t>Läänemaa</t>
  </si>
  <si>
    <t>EE-59</t>
  </si>
  <si>
    <t>Lääne-Virumaa</t>
  </si>
  <si>
    <t>EE-67</t>
  </si>
  <si>
    <t>Pärnumaa</t>
  </si>
  <si>
    <t>EE-65</t>
  </si>
  <si>
    <t>Põlvamaa</t>
  </si>
  <si>
    <t>EE-70</t>
  </si>
  <si>
    <t>Raplamaa</t>
  </si>
  <si>
    <t>EE-74</t>
  </si>
  <si>
    <t>Saaremaa</t>
  </si>
  <si>
    <t>EE-78</t>
  </si>
  <si>
    <t>Tartumaa</t>
  </si>
  <si>
    <t>EE-82</t>
  </si>
  <si>
    <t>Valgamaa</t>
  </si>
  <si>
    <t>EE-84</t>
  </si>
  <si>
    <t>Viljandimaa</t>
  </si>
  <si>
    <t>EE-86</t>
  </si>
  <si>
    <t>Võrumaa</t>
  </si>
  <si>
    <t>SZ-HH</t>
  </si>
  <si>
    <t>Hhohho</t>
  </si>
  <si>
    <t>SZ-LU</t>
  </si>
  <si>
    <t>Lubombo</t>
  </si>
  <si>
    <t>SZ-MA</t>
  </si>
  <si>
    <t>Manzini</t>
  </si>
  <si>
    <t>SZ-SH</t>
  </si>
  <si>
    <t>Shiselweni</t>
  </si>
  <si>
    <t>ET-AA</t>
  </si>
  <si>
    <t>Ādīs Ābeba</t>
  </si>
  <si>
    <t>administration</t>
  </si>
  <si>
    <t>ET-AF</t>
  </si>
  <si>
    <t>Āfar</t>
  </si>
  <si>
    <t>regional state</t>
  </si>
  <si>
    <t>ET-AM</t>
  </si>
  <si>
    <t>Āmara</t>
  </si>
  <si>
    <t>ET-BE</t>
  </si>
  <si>
    <t>Bīnshangul Gumuz</t>
  </si>
  <si>
    <t>ET-DD</t>
  </si>
  <si>
    <t>Dirē Dawa</t>
  </si>
  <si>
    <t>ET-GA</t>
  </si>
  <si>
    <t>Gambēla Hizboch</t>
  </si>
  <si>
    <t>ET-HA</t>
  </si>
  <si>
    <t>Hārerī Hizb</t>
  </si>
  <si>
    <t>ET-OR</t>
  </si>
  <si>
    <t>Oromīya</t>
  </si>
  <si>
    <t>ET-SO</t>
  </si>
  <si>
    <t>Sumalē</t>
  </si>
  <si>
    <t>ET-TI</t>
  </si>
  <si>
    <t>Tigray</t>
  </si>
  <si>
    <t>ET-SN</t>
  </si>
  <si>
    <t>YeDebub Bihēroch Bihēreseboch na Hizboch</t>
  </si>
  <si>
    <t>FO-01</t>
  </si>
  <si>
    <t>Eiðis</t>
  </si>
  <si>
    <t>FO-02</t>
  </si>
  <si>
    <t>Eystur</t>
  </si>
  <si>
    <t>FO-03</t>
  </si>
  <si>
    <t>Fámjins</t>
  </si>
  <si>
    <t>FO-04</t>
  </si>
  <si>
    <t>Fuglafjarðar</t>
  </si>
  <si>
    <t>FO-05</t>
  </si>
  <si>
    <t>Fugloyar</t>
  </si>
  <si>
    <t>FO-06</t>
  </si>
  <si>
    <t>Hovs</t>
  </si>
  <si>
    <t>FO-07</t>
  </si>
  <si>
    <t>Húsavíkar</t>
  </si>
  <si>
    <t>FO-08</t>
  </si>
  <si>
    <t>Hvalbiar</t>
  </si>
  <si>
    <t>FO-09</t>
  </si>
  <si>
    <t>Hvannasunds</t>
  </si>
  <si>
    <t>FO-10</t>
  </si>
  <si>
    <t>Klaksvíkar</t>
  </si>
  <si>
    <t>FO-11</t>
  </si>
  <si>
    <t>Kunoyar</t>
  </si>
  <si>
    <t>FO-12</t>
  </si>
  <si>
    <t>Kvívíkar</t>
  </si>
  <si>
    <t>FO-13</t>
  </si>
  <si>
    <t>Nes</t>
  </si>
  <si>
    <t>FO-14</t>
  </si>
  <si>
    <t>Porkeris</t>
  </si>
  <si>
    <t>FO-15</t>
  </si>
  <si>
    <t>Runavíkar</t>
  </si>
  <si>
    <t>FO-16</t>
  </si>
  <si>
    <t>Sands</t>
  </si>
  <si>
    <t>FO-17</t>
  </si>
  <si>
    <t>Sjóvar</t>
  </si>
  <si>
    <t>FO-18</t>
  </si>
  <si>
    <t>Skálavíkar</t>
  </si>
  <si>
    <t>FO-19</t>
  </si>
  <si>
    <t>Skopunar</t>
  </si>
  <si>
    <t>FO-20</t>
  </si>
  <si>
    <t>Skúvoyar</t>
  </si>
  <si>
    <t>FO-21</t>
  </si>
  <si>
    <t>Sørvágs</t>
  </si>
  <si>
    <t>FO-22</t>
  </si>
  <si>
    <t>Sumbiar</t>
  </si>
  <si>
    <t>FO-23</t>
  </si>
  <si>
    <t>Sunda</t>
  </si>
  <si>
    <t>FO-24</t>
  </si>
  <si>
    <t>Tórshavnar</t>
  </si>
  <si>
    <t>FO-25</t>
  </si>
  <si>
    <t>Tvøroyrar</t>
  </si>
  <si>
    <t>FO-26</t>
  </si>
  <si>
    <t>Vága</t>
  </si>
  <si>
    <t>FO-27</t>
  </si>
  <si>
    <t>Vágs</t>
  </si>
  <si>
    <t>FO-28</t>
  </si>
  <si>
    <t>Vestmanna</t>
  </si>
  <si>
    <t>FO-29</t>
  </si>
  <si>
    <t>Viðareiðis</t>
  </si>
  <si>
    <t>FJ-C</t>
  </si>
  <si>
    <t>FJ-09</t>
  </si>
  <si>
    <t xml:space="preserve">     Naitasiri</t>
  </si>
  <si>
    <t>FJ-10</t>
  </si>
  <si>
    <t xml:space="preserve">     Namosi</t>
  </si>
  <si>
    <t>FJ-12</t>
  </si>
  <si>
    <t xml:space="preserve">     Rewa</t>
  </si>
  <si>
    <t>FJ-13</t>
  </si>
  <si>
    <t xml:space="preserve">     Serua</t>
  </si>
  <si>
    <t>FJ-14</t>
  </si>
  <si>
    <t xml:space="preserve">     Tailevu</t>
  </si>
  <si>
    <t>FJ-E</t>
  </si>
  <si>
    <t>Eastern</t>
  </si>
  <si>
    <t>FJ-04</t>
  </si>
  <si>
    <t xml:space="preserve">     Kadavu</t>
  </si>
  <si>
    <t>FJ-05</t>
  </si>
  <si>
    <t xml:space="preserve">     Lau</t>
  </si>
  <si>
    <t>FJ-06</t>
  </si>
  <si>
    <t xml:space="preserve">     Lomaiviti</t>
  </si>
  <si>
    <t>FJ-N</t>
  </si>
  <si>
    <t>Northern</t>
  </si>
  <si>
    <t>FJ-02</t>
  </si>
  <si>
    <t xml:space="preserve">     Bua</t>
  </si>
  <si>
    <t>FJ-03</t>
  </si>
  <si>
    <t xml:space="preserve">     Cakaudrove</t>
  </si>
  <si>
    <t>FJ-07</t>
  </si>
  <si>
    <t xml:space="preserve">     Macuata</t>
  </si>
  <si>
    <t>FJ-R</t>
  </si>
  <si>
    <t>Rotuma</t>
  </si>
  <si>
    <t>FJ-W</t>
  </si>
  <si>
    <t>Western</t>
  </si>
  <si>
    <t>FJ-01</t>
  </si>
  <si>
    <t xml:space="preserve">     Ba</t>
  </si>
  <si>
    <t>FJ-08</t>
  </si>
  <si>
    <t xml:space="preserve">     Nadroga and Navosa</t>
  </si>
  <si>
    <t>FJ-11</t>
  </si>
  <si>
    <t xml:space="preserve">     Ra</t>
  </si>
  <si>
    <t>FI-01</t>
  </si>
  <si>
    <t>Åland</t>
  </si>
  <si>
    <t>FI-02</t>
  </si>
  <si>
    <t>Etelä-Karjala</t>
  </si>
  <si>
    <t>FI-03</t>
  </si>
  <si>
    <t>Etelä-Pohjanmaa</t>
  </si>
  <si>
    <t>FI-04</t>
  </si>
  <si>
    <t>Etelä-Savo</t>
  </si>
  <si>
    <t>FI-05</t>
  </si>
  <si>
    <t>Kainuu</t>
  </si>
  <si>
    <t>FI-06</t>
  </si>
  <si>
    <t>Kanta-Häme</t>
  </si>
  <si>
    <t>FI-07</t>
  </si>
  <si>
    <t>Keski-Pohjanmaa</t>
  </si>
  <si>
    <t>FI-08</t>
  </si>
  <si>
    <t>Keski-Suomi</t>
  </si>
  <si>
    <t>FI-09</t>
  </si>
  <si>
    <t>Kymenlaakso</t>
  </si>
  <si>
    <t>FI-10</t>
  </si>
  <si>
    <t>Lappi</t>
  </si>
  <si>
    <t>FI-16</t>
  </si>
  <si>
    <t>Päijät-Häme</t>
  </si>
  <si>
    <t>FI-11</t>
  </si>
  <si>
    <t>Pirkanmaa</t>
  </si>
  <si>
    <t>FI-12</t>
  </si>
  <si>
    <t>Pohjanmaa</t>
  </si>
  <si>
    <t>FI-13</t>
  </si>
  <si>
    <t>Pohjois-Karjala</t>
  </si>
  <si>
    <t>FI-14</t>
  </si>
  <si>
    <t>Pohjois-Pohjanmaa</t>
  </si>
  <si>
    <t>FI-15</t>
  </si>
  <si>
    <t>Pohjois-Savo</t>
  </si>
  <si>
    <t>FI-17</t>
  </si>
  <si>
    <t>Satakunta</t>
  </si>
  <si>
    <t>FI-18</t>
  </si>
  <si>
    <t>Uusimaa</t>
  </si>
  <si>
    <t>FI-19</t>
  </si>
  <si>
    <t>Varsinais-Suomi</t>
  </si>
  <si>
    <t>FR-ARA</t>
  </si>
  <si>
    <t>Auvergne-Rhône-Alpes</t>
  </si>
  <si>
    <t>FR-01</t>
  </si>
  <si>
    <t xml:space="preserve">     Ain</t>
  </si>
  <si>
    <t>FR-03</t>
  </si>
  <si>
    <t xml:space="preserve">     Allier</t>
  </si>
  <si>
    <t>FR-07</t>
  </si>
  <si>
    <t xml:space="preserve">     Ardèche</t>
  </si>
  <si>
    <t>FR-15</t>
  </si>
  <si>
    <t xml:space="preserve">     Cantal</t>
  </si>
  <si>
    <t>FR-26</t>
  </si>
  <si>
    <t xml:space="preserve">     Drôme</t>
  </si>
  <si>
    <t>FR-43</t>
  </si>
  <si>
    <t xml:space="preserve">     Haute-Loire</t>
  </si>
  <si>
    <t>FR-74</t>
  </si>
  <si>
    <t xml:space="preserve">     Haute-Savoie</t>
  </si>
  <si>
    <t>FR-38</t>
  </si>
  <si>
    <t xml:space="preserve">     Isère</t>
  </si>
  <si>
    <t>FR-42</t>
  </si>
  <si>
    <t xml:space="preserve">     Loire</t>
  </si>
  <si>
    <t>FR-63</t>
  </si>
  <si>
    <t xml:space="preserve">     Puy-de-Dôme</t>
  </si>
  <si>
    <t>FR-69</t>
  </si>
  <si>
    <t xml:space="preserve">     Rhône</t>
  </si>
  <si>
    <t>FR-73</t>
  </si>
  <si>
    <t xml:space="preserve">     Savoie</t>
  </si>
  <si>
    <t>FR-BFC</t>
  </si>
  <si>
    <t>Bourgogne-Franche-Comté</t>
  </si>
  <si>
    <t>FR-90</t>
  </si>
  <si>
    <t xml:space="preserve">     Belfort</t>
  </si>
  <si>
    <t>FR-21</t>
  </si>
  <si>
    <t xml:space="preserve">     Côte-d’Or</t>
  </si>
  <si>
    <t>FR-25</t>
  </si>
  <si>
    <t xml:space="preserve">     Doubs</t>
  </si>
  <si>
    <t>FR-70</t>
  </si>
  <si>
    <t xml:space="preserve">     Haute-Saône</t>
  </si>
  <si>
    <t>FR-39</t>
  </si>
  <si>
    <t xml:space="preserve">     Jura</t>
  </si>
  <si>
    <t>FR-58</t>
  </si>
  <si>
    <t xml:space="preserve">     Nièvre</t>
  </si>
  <si>
    <t>FR-71</t>
  </si>
  <si>
    <t xml:space="preserve">     Saône-et-Loire</t>
  </si>
  <si>
    <t>FR-89</t>
  </si>
  <si>
    <t xml:space="preserve">     Yonne</t>
  </si>
  <si>
    <t>FR-BRE</t>
  </si>
  <si>
    <t>Bretagne</t>
  </si>
  <si>
    <t>FR-22</t>
  </si>
  <si>
    <t xml:space="preserve">     Côtes-d’Armor</t>
  </si>
  <si>
    <t>FR-29</t>
  </si>
  <si>
    <t xml:space="preserve">     Finistère</t>
  </si>
  <si>
    <t>FR-35</t>
  </si>
  <si>
    <t xml:space="preserve">     Ille-et-Vilaine</t>
  </si>
  <si>
    <t>FR-56</t>
  </si>
  <si>
    <t xml:space="preserve">     Morbihan</t>
  </si>
  <si>
    <t>FR-CVL</t>
  </si>
  <si>
    <t>Centre-Val de Loire</t>
  </si>
  <si>
    <t>FR-18</t>
  </si>
  <si>
    <t xml:space="preserve">     Cher</t>
  </si>
  <si>
    <t>FR-28</t>
  </si>
  <si>
    <t xml:space="preserve">     Eure-et-Loir</t>
  </si>
  <si>
    <t>FR-36</t>
  </si>
  <si>
    <t xml:space="preserve">     Indre</t>
  </si>
  <si>
    <t>FR-37</t>
  </si>
  <si>
    <t xml:space="preserve">     Indre-et-Loire</t>
  </si>
  <si>
    <t>FR-45</t>
  </si>
  <si>
    <t xml:space="preserve">     Loiret</t>
  </si>
  <si>
    <t>FR-41</t>
  </si>
  <si>
    <t xml:space="preserve">     Loir-et-Cher</t>
  </si>
  <si>
    <t>FR-COR</t>
  </si>
  <si>
    <t>Corsica</t>
  </si>
  <si>
    <t>collectivity</t>
  </si>
  <si>
    <t>FR-2A</t>
  </si>
  <si>
    <t xml:space="preserve">     Corse-du-Sud</t>
  </si>
  <si>
    <t>FR-2B</t>
  </si>
  <si>
    <t xml:space="preserve">     Haute-Corse</t>
  </si>
  <si>
    <t>FR-GES</t>
  </si>
  <si>
    <t>Grand Est</t>
  </si>
  <si>
    <t>FR-08</t>
  </si>
  <si>
    <t xml:space="preserve">     Ardennes</t>
  </si>
  <si>
    <t>FR-10</t>
  </si>
  <si>
    <t xml:space="preserve">     Aube</t>
  </si>
  <si>
    <t>FR-67</t>
  </si>
  <si>
    <t xml:space="preserve">     Bas-Rhin</t>
  </si>
  <si>
    <t>FR-52</t>
  </si>
  <si>
    <t xml:space="preserve">     Haute-Marne</t>
  </si>
  <si>
    <t>FR-68</t>
  </si>
  <si>
    <t xml:space="preserve">     Haut-Rhin</t>
  </si>
  <si>
    <t>FR-51</t>
  </si>
  <si>
    <t xml:space="preserve">     Marne</t>
  </si>
  <si>
    <t>FR-54</t>
  </si>
  <si>
    <t xml:space="preserve">     Meurthe-et-Moselle</t>
  </si>
  <si>
    <t>FR-55</t>
  </si>
  <si>
    <t xml:space="preserve">     Meuse</t>
  </si>
  <si>
    <t>FR-57</t>
  </si>
  <si>
    <t xml:space="preserve">     Moselle</t>
  </si>
  <si>
    <t>FR-88</t>
  </si>
  <si>
    <t xml:space="preserve">     Vosges</t>
  </si>
  <si>
    <t>FR-HDF</t>
  </si>
  <si>
    <t>Hauts-de-France</t>
  </si>
  <si>
    <t>FR-02</t>
  </si>
  <si>
    <t xml:space="preserve">     Aisne</t>
  </si>
  <si>
    <t>FR-59</t>
  </si>
  <si>
    <t xml:space="preserve">     Nord</t>
  </si>
  <si>
    <t>FR-60</t>
  </si>
  <si>
    <t xml:space="preserve">     Oise</t>
  </si>
  <si>
    <t>FR-62</t>
  </si>
  <si>
    <t xml:space="preserve">     Pas-de-Calais</t>
  </si>
  <si>
    <t>FR-80</t>
  </si>
  <si>
    <t xml:space="preserve">     Somme</t>
  </si>
  <si>
    <t>FR-IDF</t>
  </si>
  <si>
    <t>Île-de-France</t>
  </si>
  <si>
    <t>FR-91</t>
  </si>
  <si>
    <t xml:space="preserve">     Essonne</t>
  </si>
  <si>
    <t>FR-92</t>
  </si>
  <si>
    <t xml:space="preserve">     Hauts-de-Seine</t>
  </si>
  <si>
    <t>FR-75</t>
  </si>
  <si>
    <t xml:space="preserve">     Paris</t>
  </si>
  <si>
    <t>FR-77</t>
  </si>
  <si>
    <t xml:space="preserve">     Seine-et-Marne</t>
  </si>
  <si>
    <t>FR-93</t>
  </si>
  <si>
    <t xml:space="preserve">     Seine-Saint-Denis</t>
  </si>
  <si>
    <t>FR-94</t>
  </si>
  <si>
    <t xml:space="preserve">     Val-de-Marne</t>
  </si>
  <si>
    <t>FR-95</t>
  </si>
  <si>
    <t xml:space="preserve">     Val-d’Oise</t>
  </si>
  <si>
    <t>FR-78</t>
  </si>
  <si>
    <t xml:space="preserve">     Yvelines</t>
  </si>
  <si>
    <t>FR-NOR</t>
  </si>
  <si>
    <t>Normandie</t>
  </si>
  <si>
    <t>FR-14</t>
  </si>
  <si>
    <t xml:space="preserve">     Calvados</t>
  </si>
  <si>
    <t>FR-27</t>
  </si>
  <si>
    <t xml:space="preserve">     Eure</t>
  </si>
  <si>
    <t>FR-50</t>
  </si>
  <si>
    <t xml:space="preserve">     Manche</t>
  </si>
  <si>
    <t>FR-61</t>
  </si>
  <si>
    <t xml:space="preserve">     Orne</t>
  </si>
  <si>
    <t>FR-76</t>
  </si>
  <si>
    <t xml:space="preserve">     Seine-Maritime</t>
  </si>
  <si>
    <t>FR-NAQ</t>
  </si>
  <si>
    <t>Nouvelle-Aquitaine</t>
  </si>
  <si>
    <t>FR-16</t>
  </si>
  <si>
    <t xml:space="preserve">     Charente</t>
  </si>
  <si>
    <t>FR-17</t>
  </si>
  <si>
    <t xml:space="preserve">     Charente-Maritime</t>
  </si>
  <si>
    <t>FR-19</t>
  </si>
  <si>
    <t xml:space="preserve">     Corrèze</t>
  </si>
  <si>
    <t>FR-23</t>
  </si>
  <si>
    <t xml:space="preserve">     Creuse</t>
  </si>
  <si>
    <t>FR-79</t>
  </si>
  <si>
    <t xml:space="preserve">     Deux-Sèvres</t>
  </si>
  <si>
    <t>FR-24</t>
  </si>
  <si>
    <t xml:space="preserve">     Dordogne</t>
  </si>
  <si>
    <t>FR-33</t>
  </si>
  <si>
    <t xml:space="preserve">     Gironde</t>
  </si>
  <si>
    <t>FR-87</t>
  </si>
  <si>
    <t xml:space="preserve">     Haute-Vienne</t>
  </si>
  <si>
    <t>FR-40</t>
  </si>
  <si>
    <t xml:space="preserve">     Landes</t>
  </si>
  <si>
    <t>FR-47</t>
  </si>
  <si>
    <t xml:space="preserve">     Lot-et-Garonne</t>
  </si>
  <si>
    <t>FR-64</t>
  </si>
  <si>
    <t xml:space="preserve">     Pyrénées-Atlantiques</t>
  </si>
  <si>
    <t>FR-86</t>
  </si>
  <si>
    <t xml:space="preserve">     Vienne</t>
  </si>
  <si>
    <t>FR-OCC</t>
  </si>
  <si>
    <t>Occitanie</t>
  </si>
  <si>
    <t>FR-09</t>
  </si>
  <si>
    <t xml:space="preserve">     Ariège</t>
  </si>
  <si>
    <t>FR-11</t>
  </si>
  <si>
    <t xml:space="preserve">     Aude</t>
  </si>
  <si>
    <t>FR-12</t>
  </si>
  <si>
    <t xml:space="preserve">     Aveyron</t>
  </si>
  <si>
    <t>FR-30</t>
  </si>
  <si>
    <t xml:space="preserve">     Gard</t>
  </si>
  <si>
    <t>FR-32</t>
  </si>
  <si>
    <t xml:space="preserve">     Gers</t>
  </si>
  <si>
    <t>FR-31</t>
  </si>
  <si>
    <t xml:space="preserve">     Haute-Garonne</t>
  </si>
  <si>
    <t>FR-65</t>
  </si>
  <si>
    <t xml:space="preserve">     Hautes-Pyrénées</t>
  </si>
  <si>
    <t>FR-34</t>
  </si>
  <si>
    <t xml:space="preserve">     Hérault</t>
  </si>
  <si>
    <t>FR-46</t>
  </si>
  <si>
    <t xml:space="preserve">     Lot</t>
  </si>
  <si>
    <t>FR-48</t>
  </si>
  <si>
    <t xml:space="preserve">     Lozère</t>
  </si>
  <si>
    <t>FR-66</t>
  </si>
  <si>
    <t xml:space="preserve">     Pyrénées-Orientales</t>
  </si>
  <si>
    <t>FR-81</t>
  </si>
  <si>
    <t xml:space="preserve">     Tarn</t>
  </si>
  <si>
    <t>FR-82</t>
  </si>
  <si>
    <t xml:space="preserve">     Tarn-et-Garonne</t>
  </si>
  <si>
    <t>FR-PDL</t>
  </si>
  <si>
    <t>Pays de la Loire</t>
  </si>
  <si>
    <t>FR-44</t>
  </si>
  <si>
    <t xml:space="preserve">     Loire-Atlantique</t>
  </si>
  <si>
    <t>FR-49</t>
  </si>
  <si>
    <t xml:space="preserve">     Maine-et-Loire</t>
  </si>
  <si>
    <t>FR-53</t>
  </si>
  <si>
    <t xml:space="preserve">     Mayenne</t>
  </si>
  <si>
    <t>FR-72</t>
  </si>
  <si>
    <t xml:space="preserve">     Sarthe</t>
  </si>
  <si>
    <t>FR-85</t>
  </si>
  <si>
    <t xml:space="preserve">     Vendée</t>
  </si>
  <si>
    <t>FR-PAC</t>
  </si>
  <si>
    <t>Provence-Alpes-Côte d’Azur</t>
  </si>
  <si>
    <t>FR-04</t>
  </si>
  <si>
    <t xml:space="preserve">     Alpes-de-Haute-Provence</t>
  </si>
  <si>
    <t>FR-06</t>
  </si>
  <si>
    <t xml:space="preserve">     Alpes-Maritimes</t>
  </si>
  <si>
    <t>FR-13</t>
  </si>
  <si>
    <t xml:space="preserve">     Bouches-du-Rhône</t>
  </si>
  <si>
    <t>FR-05</t>
  </si>
  <si>
    <t xml:space="preserve">     Hautes-Alpes</t>
  </si>
  <si>
    <t>FR-83</t>
  </si>
  <si>
    <t xml:space="preserve">     Var</t>
  </si>
  <si>
    <t>FR-84</t>
  </si>
  <si>
    <t xml:space="preserve">     Vaucluse</t>
  </si>
  <si>
    <t>PF-01</t>
  </si>
  <si>
    <t>Îles Australes</t>
  </si>
  <si>
    <t>administrative subdivision</t>
  </si>
  <si>
    <t>PF-02</t>
  </si>
  <si>
    <t>Îles du Vent</t>
  </si>
  <si>
    <t>PF-03</t>
  </si>
  <si>
    <t>Îles Marquises</t>
  </si>
  <si>
    <t>PF-04</t>
  </si>
  <si>
    <t>Îles Sous-le-Vent</t>
  </si>
  <si>
    <t>PF-05</t>
  </si>
  <si>
    <t>Îles Tuamotu-Gambier</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</si>
  <si>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</si>
  <si>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</si>
  <si>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</si>
  <si>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</si>
  <si>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</si>
  <si>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</si>
  <si>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</si>
  <si>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</si>
  <si>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</si>
  <si>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</si>
  <si>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</si>
  <si>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</si>
  <si>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</si>
  <si>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</si>
  <si>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</si>
  <si>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</si>
  <si>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</si>
  <si>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</si>
  <si>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GM-B</t>
  </si>
  <si>
    <t>Banjul</t>
  </si>
  <si>
    <t>GM-M</t>
  </si>
  <si>
    <t>Central River</t>
  </si>
  <si>
    <t>GM-K</t>
  </si>
  <si>
    <t>Kanifing</t>
  </si>
  <si>
    <t>GM-L</t>
  </si>
  <si>
    <t>Lower River</t>
  </si>
  <si>
    <t>GM-N</t>
  </si>
  <si>
    <t>North Bank</t>
  </si>
  <si>
    <t>GM-U</t>
  </si>
  <si>
    <t>Upper River</t>
  </si>
  <si>
    <t>GM-W</t>
  </si>
  <si>
    <t>West Coast</t>
  </si>
  <si>
    <t>GE-AB</t>
  </si>
  <si>
    <t>Abkhazia</t>
  </si>
  <si>
    <t>GE-AJ</t>
  </si>
  <si>
    <t>Ajaria</t>
  </si>
  <si>
    <t>GE-GU</t>
  </si>
  <si>
    <t>Guria</t>
  </si>
  <si>
    <t>GE-IM</t>
  </si>
  <si>
    <t>Imereti</t>
  </si>
  <si>
    <t>GE-KA</t>
  </si>
  <si>
    <t>K’akheti</t>
  </si>
  <si>
    <t>GE-KK</t>
  </si>
  <si>
    <t>Kvemo Kartli</t>
  </si>
  <si>
    <t>GE-MM</t>
  </si>
  <si>
    <t>Mtskheta Mtianeti</t>
  </si>
  <si>
    <t>GE-RL</t>
  </si>
  <si>
    <t>Rach’a-Lechkhumi da Kvemo Svaneti</t>
  </si>
  <si>
    <t>GE-SZ</t>
  </si>
  <si>
    <t>Samegrelo-Zemo Svaneti</t>
  </si>
  <si>
    <t>GE-SJ</t>
  </si>
  <si>
    <t>Samtskhe-Javakheti</t>
  </si>
  <si>
    <t>GE-SK</t>
  </si>
  <si>
    <t>Shida Kartli</t>
  </si>
  <si>
    <t>GE-TB</t>
  </si>
  <si>
    <t>Tbilisi</t>
  </si>
  <si>
    <t>DE-BW</t>
  </si>
  <si>
    <t>Baden-Württemberg</t>
  </si>
  <si>
    <t>DE-BY</t>
  </si>
  <si>
    <t>Bavaria</t>
  </si>
  <si>
    <t>DE-BE</t>
  </si>
  <si>
    <t>Berlin</t>
  </si>
  <si>
    <t>DE-BB</t>
  </si>
  <si>
    <t>Brandenburg</t>
  </si>
  <si>
    <t>DE-HB</t>
  </si>
  <si>
    <t>Bremen</t>
  </si>
  <si>
    <t>DE-HH</t>
  </si>
  <si>
    <t>Hamburg</t>
  </si>
  <si>
    <t>DE-HE</t>
  </si>
  <si>
    <t>Hesse</t>
  </si>
  <si>
    <t>DE-NI</t>
  </si>
  <si>
    <t>Lower Saxony</t>
  </si>
  <si>
    <t>DE-MV</t>
  </si>
  <si>
    <t>Mecklenburg-Western Pomerania</t>
  </si>
  <si>
    <t>DE-NW</t>
  </si>
  <si>
    <t>North Rhine-Westphalia</t>
  </si>
  <si>
    <t>DE-RP</t>
  </si>
  <si>
    <t>Rhineland-Palatinate</t>
  </si>
  <si>
    <t>DE-SL</t>
  </si>
  <si>
    <t>Saarland</t>
  </si>
  <si>
    <t>DE-SN</t>
  </si>
  <si>
    <t>Saxony</t>
  </si>
  <si>
    <t>DE-ST</t>
  </si>
  <si>
    <t>Saxony-Anhalt</t>
  </si>
  <si>
    <t>DE-SH</t>
  </si>
  <si>
    <t>Schleswig-Holstein</t>
  </si>
  <si>
    <t>DE-TH</t>
  </si>
  <si>
    <t>Thuringia</t>
  </si>
  <si>
    <t>GH-AF</t>
  </si>
  <si>
    <t>Ahafo</t>
  </si>
  <si>
    <t>GH-AH</t>
  </si>
  <si>
    <t>Ashanti</t>
  </si>
  <si>
    <t>GH-BO</t>
  </si>
  <si>
    <t>Bono</t>
  </si>
  <si>
    <t>GH-BE</t>
  </si>
  <si>
    <t>Bono East</t>
  </si>
  <si>
    <t>GH-CP</t>
  </si>
  <si>
    <t>GH-EP</t>
  </si>
  <si>
    <t>GH-AA</t>
  </si>
  <si>
    <t>Greater Accra</t>
  </si>
  <si>
    <t>GH-NE</t>
  </si>
  <si>
    <t>GH-NP</t>
  </si>
  <si>
    <t>GH-OT</t>
  </si>
  <si>
    <t>Oti</t>
  </si>
  <si>
    <t>GH-SV</t>
  </si>
  <si>
    <t>Savannah</t>
  </si>
  <si>
    <t>GH-UE</t>
  </si>
  <si>
    <t>Upper East</t>
  </si>
  <si>
    <t>GH-UW</t>
  </si>
  <si>
    <t>Upper West</t>
  </si>
  <si>
    <t>GH-TV</t>
  </si>
  <si>
    <t>Volta</t>
  </si>
  <si>
    <t>GH-WP</t>
  </si>
  <si>
    <t>GH-WN</t>
  </si>
  <si>
    <t>Western North</t>
  </si>
  <si>
    <t>GR-69</t>
  </si>
  <si>
    <t>Ágion Óros</t>
  </si>
  <si>
    <t>autonomous monastic state</t>
  </si>
  <si>
    <t>GR-A</t>
  </si>
  <si>
    <t>Anatolikí Makedonía kai Thráki</t>
  </si>
  <si>
    <t>GR-I</t>
  </si>
  <si>
    <t>Attikí</t>
  </si>
  <si>
    <t>GR-G</t>
  </si>
  <si>
    <t>Dytikí Elláda</t>
  </si>
  <si>
    <t>GR-C</t>
  </si>
  <si>
    <t>Dytikí Makedonía</t>
  </si>
  <si>
    <t>GR-F</t>
  </si>
  <si>
    <t>Ionía Nísia</t>
  </si>
  <si>
    <t>GR-D</t>
  </si>
  <si>
    <t>Ípeiros</t>
  </si>
  <si>
    <t>GR-B</t>
  </si>
  <si>
    <t>Kentrikí Makedonía</t>
  </si>
  <si>
    <t>GR-M</t>
  </si>
  <si>
    <t>Kríti</t>
  </si>
  <si>
    <t>GR-L</t>
  </si>
  <si>
    <t>Nótio Aigaío</t>
  </si>
  <si>
    <t>GR-J</t>
  </si>
  <si>
    <t>Pelopónnisos</t>
  </si>
  <si>
    <t>GR-H</t>
  </si>
  <si>
    <t>Stereá Elláda</t>
  </si>
  <si>
    <t>GR-E</t>
  </si>
  <si>
    <t>Thessalía</t>
  </si>
  <si>
    <t>GR-K</t>
  </si>
  <si>
    <t>Vóreio Aigaío</t>
  </si>
  <si>
    <t>GL-AV</t>
  </si>
  <si>
    <t>Avannaata</t>
  </si>
  <si>
    <t>GL-KU</t>
  </si>
  <si>
    <t>Kujalleq</t>
  </si>
  <si>
    <t>GL-QT</t>
  </si>
  <si>
    <t>Qeqertalik</t>
  </si>
  <si>
    <t>GL-QE</t>
  </si>
  <si>
    <t>Qeqqata</t>
  </si>
  <si>
    <t>GL-SM</t>
  </si>
  <si>
    <t>Sermersooq</t>
  </si>
  <si>
    <t>GD-01</t>
  </si>
  <si>
    <t>GD-02</t>
  </si>
  <si>
    <t>GD-03</t>
  </si>
  <si>
    <t>GD-04</t>
  </si>
  <si>
    <t>GD-05</t>
  </si>
  <si>
    <t>GD-06</t>
  </si>
  <si>
    <t>GD-10</t>
  </si>
  <si>
    <t>Southern Grenadine Islands</t>
  </si>
  <si>
    <t>GT-AV</t>
  </si>
  <si>
    <t>Alta Verapaz</t>
  </si>
  <si>
    <t>GT-BV</t>
  </si>
  <si>
    <t>Baja Verapaz</t>
  </si>
  <si>
    <t>GT-CM</t>
  </si>
  <si>
    <t>Chimaltenango</t>
  </si>
  <si>
    <t>GT-CQ</t>
  </si>
  <si>
    <t>Chiquimula</t>
  </si>
  <si>
    <t>GT-PR</t>
  </si>
  <si>
    <t>El Progreso</t>
  </si>
  <si>
    <t>GT-ES</t>
  </si>
  <si>
    <t>Escuintla</t>
  </si>
  <si>
    <t>GT-GU</t>
  </si>
  <si>
    <t>GT-HU</t>
  </si>
  <si>
    <t>Huehuetenango</t>
  </si>
  <si>
    <t>GT-IZ</t>
  </si>
  <si>
    <t>Izabal</t>
  </si>
  <si>
    <t>GT-JA</t>
  </si>
  <si>
    <t>Jalapa</t>
  </si>
  <si>
    <t>GT-JU</t>
  </si>
  <si>
    <t>Jutiapa</t>
  </si>
  <si>
    <t>GT-PE</t>
  </si>
  <si>
    <t>Petén</t>
  </si>
  <si>
    <t>GT-QZ</t>
  </si>
  <si>
    <t>Quetzaltenango</t>
  </si>
  <si>
    <t>GT-QC</t>
  </si>
  <si>
    <t>Quiché</t>
  </si>
  <si>
    <t>GT-RE</t>
  </si>
  <si>
    <t>Retalhuleu</t>
  </si>
  <si>
    <t>GT-SA</t>
  </si>
  <si>
    <t>Sacatepéquez</t>
  </si>
  <si>
    <t>GT-SM</t>
  </si>
  <si>
    <t>San Marcos</t>
  </si>
  <si>
    <t>GT-SR</t>
  </si>
  <si>
    <t>Santa Rosa</t>
  </si>
  <si>
    <t>GT-SO</t>
  </si>
  <si>
    <t>Sololá</t>
  </si>
  <si>
    <t>GT-SU</t>
  </si>
  <si>
    <t>Suchitepéquez</t>
  </si>
  <si>
    <t>GT-TO</t>
  </si>
  <si>
    <t>Totonicapán</t>
  </si>
  <si>
    <t>GT-ZA</t>
  </si>
  <si>
    <t>Zacapa</t>
  </si>
  <si>
    <t>GN-B</t>
  </si>
  <si>
    <t>Boké</t>
  </si>
  <si>
    <t>administrative region</t>
  </si>
  <si>
    <t>GN-BF</t>
  </si>
  <si>
    <t xml:space="preserve">     Boffa</t>
  </si>
  <si>
    <t>GN-BK</t>
  </si>
  <si>
    <t xml:space="preserve">     Boké</t>
  </si>
  <si>
    <t>GN-FR</t>
  </si>
  <si>
    <t xml:space="preserve">     Fria</t>
  </si>
  <si>
    <t>GN-GA</t>
  </si>
  <si>
    <t xml:space="preserve">     Gaoual</t>
  </si>
  <si>
    <t>GN-KN</t>
  </si>
  <si>
    <t xml:space="preserve">     Koundara</t>
  </si>
  <si>
    <t>GN-C</t>
  </si>
  <si>
    <t>Conakry</t>
  </si>
  <si>
    <t>GN-F</t>
  </si>
  <si>
    <t>Faranah</t>
  </si>
  <si>
    <t>GN-DB</t>
  </si>
  <si>
    <t xml:space="preserve">     Dabola</t>
  </si>
  <si>
    <t>GN-DI</t>
  </si>
  <si>
    <t xml:space="preserve">     Dinguiraye</t>
  </si>
  <si>
    <t>GN-FA</t>
  </si>
  <si>
    <t xml:space="preserve">     Faranah</t>
  </si>
  <si>
    <t>GN-KS</t>
  </si>
  <si>
    <t xml:space="preserve">     Kissidougou</t>
  </si>
  <si>
    <t>GN-K</t>
  </si>
  <si>
    <t>Kankan</t>
  </si>
  <si>
    <t>GN-KA</t>
  </si>
  <si>
    <t xml:space="preserve">     Kankan</t>
  </si>
  <si>
    <t>GN-KE</t>
  </si>
  <si>
    <t xml:space="preserve">     Kérouané</t>
  </si>
  <si>
    <t>GN-KO</t>
  </si>
  <si>
    <t xml:space="preserve">     Kouroussa</t>
  </si>
  <si>
    <t>GN-MD</t>
  </si>
  <si>
    <t xml:space="preserve">     Mandiana</t>
  </si>
  <si>
    <t>GN-SI</t>
  </si>
  <si>
    <t xml:space="preserve">     Siguiri</t>
  </si>
  <si>
    <t>GN-D</t>
  </si>
  <si>
    <t>Kindia</t>
  </si>
  <si>
    <t>GN-CO</t>
  </si>
  <si>
    <t xml:space="preserve">     Coyah</t>
  </si>
  <si>
    <t>GN-DU</t>
  </si>
  <si>
    <t xml:space="preserve">     Dubréka</t>
  </si>
  <si>
    <t>GN-FO</t>
  </si>
  <si>
    <t xml:space="preserve">     Forécariah</t>
  </si>
  <si>
    <t>GN-KD</t>
  </si>
  <si>
    <t xml:space="preserve">     Kindia</t>
  </si>
  <si>
    <t>GN-TE</t>
  </si>
  <si>
    <t xml:space="preserve">     Télimélé</t>
  </si>
  <si>
    <t>GN-L</t>
  </si>
  <si>
    <t>Labé</t>
  </si>
  <si>
    <t>GN-KB</t>
  </si>
  <si>
    <t xml:space="preserve">     Koubia</t>
  </si>
  <si>
    <t>GN-LA</t>
  </si>
  <si>
    <t xml:space="preserve">     Labé</t>
  </si>
  <si>
    <t>GN-LE</t>
  </si>
  <si>
    <t xml:space="preserve">     Lélouma</t>
  </si>
  <si>
    <t>GN-ML</t>
  </si>
  <si>
    <t xml:space="preserve">     Mali</t>
  </si>
  <si>
    <t>GN-TO</t>
  </si>
  <si>
    <t xml:space="preserve">     Tougué</t>
  </si>
  <si>
    <t>GN-M</t>
  </si>
  <si>
    <t>Mamou</t>
  </si>
  <si>
    <t>GN-DL</t>
  </si>
  <si>
    <t xml:space="preserve">     Dalaba</t>
  </si>
  <si>
    <t>GN-MM</t>
  </si>
  <si>
    <t xml:space="preserve">     Mamou</t>
  </si>
  <si>
    <t>GN-PI</t>
  </si>
  <si>
    <t xml:space="preserve">     Pita</t>
  </si>
  <si>
    <t>GN-N</t>
  </si>
  <si>
    <t>N’Zérékoré</t>
  </si>
  <si>
    <t>GN-BE</t>
  </si>
  <si>
    <t xml:space="preserve">     Beyla</t>
  </si>
  <si>
    <t>GN-GU</t>
  </si>
  <si>
    <t xml:space="preserve">     Guékédou</t>
  </si>
  <si>
    <t>GN-LO</t>
  </si>
  <si>
    <t xml:space="preserve">     Lola</t>
  </si>
  <si>
    <t>GN-MC</t>
  </si>
  <si>
    <t xml:space="preserve">     Macenta</t>
  </si>
  <si>
    <t>GN-NZ</t>
  </si>
  <si>
    <t xml:space="preserve">     N’Zérékoré</t>
  </si>
  <si>
    <t>GN-YO</t>
  </si>
  <si>
    <t xml:space="preserve">     Yomou</t>
  </si>
  <si>
    <t>GW-BS</t>
  </si>
  <si>
    <t>Bissau</t>
  </si>
  <si>
    <t>autonomous sector</t>
  </si>
  <si>
    <t>GW-L</t>
  </si>
  <si>
    <t>Leste</t>
  </si>
  <si>
    <t>GW-BA</t>
  </si>
  <si>
    <t xml:space="preserve">     Bafatá</t>
  </si>
  <si>
    <t>GW-GA</t>
  </si>
  <si>
    <t xml:space="preserve">     Gabú</t>
  </si>
  <si>
    <t>GW-N</t>
  </si>
  <si>
    <t>Norte</t>
  </si>
  <si>
    <t>GW-BM</t>
  </si>
  <si>
    <t xml:space="preserve">     Biombo</t>
  </si>
  <si>
    <t>GW-CA</t>
  </si>
  <si>
    <t xml:space="preserve">     Cacheu</t>
  </si>
  <si>
    <t>GW-OI</t>
  </si>
  <si>
    <t xml:space="preserve">     Oio</t>
  </si>
  <si>
    <t>GW-S</t>
  </si>
  <si>
    <t>Sul</t>
  </si>
  <si>
    <t>GW-BL</t>
  </si>
  <si>
    <t xml:space="preserve">     Bolama/Bijagós</t>
  </si>
  <si>
    <t>GW-QU</t>
  </si>
  <si>
    <t xml:space="preserve">     Quinara</t>
  </si>
  <si>
    <t>GW-TO</t>
  </si>
  <si>
    <t xml:space="preserve">     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</si>
  <si>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</si>
  <si>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</si>
  <si>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</si>
  <si>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</si>
  <si>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</si>
  <si>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</si>
  <si>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</si>
  <si>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</si>
  <si>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</si>
  <si>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</si>
  <si>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</si>
  <si>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</si>
  <si>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</si>
  <si>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</si>
  <si>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</si>
  <si>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</si>
  <si>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</si>
  <si>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</si>
  <si>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</si>
  <si>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</si>
  <si>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HT-AR</t>
  </si>
  <si>
    <t>Artibonite</t>
  </si>
  <si>
    <t>HT-CE</t>
  </si>
  <si>
    <t>HT-GA</t>
  </si>
  <si>
    <t>Grand’Anse</t>
  </si>
  <si>
    <t>HT-NI</t>
  </si>
  <si>
    <t>Nippes</t>
  </si>
  <si>
    <t>HT-ND</t>
  </si>
  <si>
    <t>HT-NE</t>
  </si>
  <si>
    <t>Nord-Est</t>
  </si>
  <si>
    <t>HT-NO</t>
  </si>
  <si>
    <t>Nord-Ouest</t>
  </si>
  <si>
    <t>HT-OU</t>
  </si>
  <si>
    <t>HT-SD</t>
  </si>
  <si>
    <t>HT-SE</t>
  </si>
  <si>
    <t>Sud-Est</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</si>
  <si>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</si>
  <si>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</si>
  <si>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</si>
  <si>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</si>
  <si>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</si>
  <si>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</si>
  <si>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</si>
  <si>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</si>
  <si>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</si>
  <si>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</si>
  <si>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</si>
  <si>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</si>
  <si>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</si>
  <si>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</si>
  <si>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</si>
  <si>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</si>
  <si>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</si>
  <si>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</si>
  <si>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HN-IN</t>
  </si>
  <si>
    <t>Intibucá</t>
  </si>
  <si>
    <t>HN-IB</t>
  </si>
  <si>
    <t>Islas de la Bahía</t>
  </si>
  <si>
    <t>HN-LP</t>
  </si>
  <si>
    <t>HN-LE</t>
  </si>
  <si>
    <t>Lempira</t>
  </si>
  <si>
    <t>HN-OC</t>
  </si>
  <si>
    <t>Ocotepeque</t>
  </si>
  <si>
    <t>HN-OL</t>
  </si>
  <si>
    <t>Olancho</t>
  </si>
  <si>
    <t>HN-SB</t>
  </si>
  <si>
    <t>Santa Bárbara</t>
  </si>
  <si>
    <t>HN-VA</t>
  </si>
  <si>
    <t>Valle</t>
  </si>
  <si>
    <t>HN-YO</t>
  </si>
  <si>
    <t>Yoro</t>
  </si>
  <si>
    <t>HU-BK</t>
  </si>
  <si>
    <t>Bács-Kiskun</t>
  </si>
  <si>
    <t>HU-BA</t>
  </si>
  <si>
    <t>Baranya</t>
  </si>
  <si>
    <t>HU-BE</t>
  </si>
  <si>
    <t>Békés</t>
  </si>
  <si>
    <t>HU-BC</t>
  </si>
  <si>
    <t>Békéscsaba</t>
  </si>
  <si>
    <t>urban county</t>
  </si>
  <si>
    <t>HU-BZ</t>
  </si>
  <si>
    <t>Borsod-Abaúj-Zemplén</t>
  </si>
  <si>
    <t>HU-BU</t>
  </si>
  <si>
    <t>Budapest</t>
  </si>
  <si>
    <t>HU-CS</t>
  </si>
  <si>
    <t>Csongrád</t>
  </si>
  <si>
    <t>HU-DE</t>
  </si>
  <si>
    <t>Debrecen</t>
  </si>
  <si>
    <t>HU-DU</t>
  </si>
  <si>
    <t>Dunaújváros</t>
  </si>
  <si>
    <t>HU-EG</t>
  </si>
  <si>
    <t>Eger</t>
  </si>
  <si>
    <t>HU-ER</t>
  </si>
  <si>
    <t>Érd</t>
  </si>
  <si>
    <t>HU-FE</t>
  </si>
  <si>
    <t>Fejér</t>
  </si>
  <si>
    <t>HU-GY</t>
  </si>
  <si>
    <t>Győr</t>
  </si>
  <si>
    <t>HU-GS</t>
  </si>
  <si>
    <t>Győr-Moson-Sopron</t>
  </si>
  <si>
    <t>HU-HB</t>
  </si>
  <si>
    <t>Hajdú-Bihar</t>
  </si>
  <si>
    <t>HU-HE</t>
  </si>
  <si>
    <t>Heves</t>
  </si>
  <si>
    <t>HU-HV</t>
  </si>
  <si>
    <t>Hódmezővásárhely</t>
  </si>
  <si>
    <t>HU-JN</t>
  </si>
  <si>
    <t>Jász-Nagykun-Szolnok</t>
  </si>
  <si>
    <t>HU-KV</t>
  </si>
  <si>
    <t>Kaposvár</t>
  </si>
  <si>
    <t>HU-KM</t>
  </si>
  <si>
    <t>Kecskemét</t>
  </si>
  <si>
    <t>HU-KE</t>
  </si>
  <si>
    <t>Komárom-Esztergom</t>
  </si>
  <si>
    <t>HU-MI</t>
  </si>
  <si>
    <t>Miskolc</t>
  </si>
  <si>
    <t>HU-NK</t>
  </si>
  <si>
    <t>Nagykanizsa</t>
  </si>
  <si>
    <t>HU-NO</t>
  </si>
  <si>
    <t>Nógrád</t>
  </si>
  <si>
    <t>HU-NY</t>
  </si>
  <si>
    <t>Nyíregyháza</t>
  </si>
  <si>
    <t>HU-PS</t>
  </si>
  <si>
    <t>Pécs</t>
  </si>
  <si>
    <t>HU-PE</t>
  </si>
  <si>
    <t>Pest</t>
  </si>
  <si>
    <t>HU-ST</t>
  </si>
  <si>
    <t>Salgótarján</t>
  </si>
  <si>
    <t>HU-SO</t>
  </si>
  <si>
    <t>Somogy</t>
  </si>
  <si>
    <t>HU-SN</t>
  </si>
  <si>
    <t>Sopron</t>
  </si>
  <si>
    <t>HU-SZ</t>
  </si>
  <si>
    <t>Szabolcs-Szatmár-Bereg</t>
  </si>
  <si>
    <t>HU-SD</t>
  </si>
  <si>
    <t>Szeged</t>
  </si>
  <si>
    <t>HU-SF</t>
  </si>
  <si>
    <t>Székesfehérvár</t>
  </si>
  <si>
    <t>HU-SS</t>
  </si>
  <si>
    <t>Szekszárd</t>
  </si>
  <si>
    <t>HU-SK</t>
  </si>
  <si>
    <t>Szolnok</t>
  </si>
  <si>
    <t>HU-SH</t>
  </si>
  <si>
    <t>Szombathely</t>
  </si>
  <si>
    <t>HU-TB</t>
  </si>
  <si>
    <t>Tatabánya</t>
  </si>
  <si>
    <t>HU-TO</t>
  </si>
  <si>
    <t>Tolna</t>
  </si>
  <si>
    <t>HU-VA</t>
  </si>
  <si>
    <t>Vas</t>
  </si>
  <si>
    <t>HU-VE</t>
  </si>
  <si>
    <t>Veszprém</t>
  </si>
  <si>
    <t>HU-VM</t>
  </si>
  <si>
    <t>HU-ZA</t>
  </si>
  <si>
    <t>Zala</t>
  </si>
  <si>
    <t>HU-ZE</t>
  </si>
  <si>
    <t>Zalaegerszeg</t>
  </si>
  <si>
    <t>IS-9</t>
  </si>
  <si>
    <t>Akrahreppur</t>
  </si>
  <si>
    <t>IS-10</t>
  </si>
  <si>
    <t>Akranes</t>
  </si>
  <si>
    <t>IS-11</t>
  </si>
  <si>
    <t>Akureyri</t>
  </si>
  <si>
    <t>IS-12</t>
  </si>
  <si>
    <t>Árneshreppur</t>
  </si>
  <si>
    <t>IS-13</t>
  </si>
  <si>
    <t>Ásahreppur</t>
  </si>
  <si>
    <t>IS-14</t>
  </si>
  <si>
    <t>Bláskógabyggð</t>
  </si>
  <si>
    <t>IS-15</t>
  </si>
  <si>
    <t>Blönduósbær</t>
  </si>
  <si>
    <t>IS-16</t>
  </si>
  <si>
    <t>Bolungarvík</t>
  </si>
  <si>
    <t>IS-17</t>
  </si>
  <si>
    <t>Borgarbyggð</t>
  </si>
  <si>
    <t>IS-18</t>
  </si>
  <si>
    <t>Borgarfjarðarhreppur</t>
  </si>
  <si>
    <t>IS-19</t>
  </si>
  <si>
    <t>Breiðdalshreppur</t>
  </si>
  <si>
    <t>IS-20</t>
  </si>
  <si>
    <t>Dalabyggð</t>
  </si>
  <si>
    <t>IS-21</t>
  </si>
  <si>
    <t>Dalvíkurbyggð</t>
  </si>
  <si>
    <t>IS-22</t>
  </si>
  <si>
    <t>Djúpavogshreppur</t>
  </si>
  <si>
    <t>IS-23</t>
  </si>
  <si>
    <t>Eyjafjarðarsveit</t>
  </si>
  <si>
    <t>IS-24</t>
  </si>
  <si>
    <t>Eyja- og Miklaholtshreppur</t>
  </si>
  <si>
    <t>IS-25</t>
  </si>
  <si>
    <t>Fjallabyggð</t>
  </si>
  <si>
    <t>IS-26</t>
  </si>
  <si>
    <t>Fjarðabyggð</t>
  </si>
  <si>
    <t>IS-27</t>
  </si>
  <si>
    <t>Fljótsdalshérað</t>
  </si>
  <si>
    <t>IS-28</t>
  </si>
  <si>
    <t>Fljótsdalshreppur</t>
  </si>
  <si>
    <t>IS-29</t>
  </si>
  <si>
    <t>Flóahreppur</t>
  </si>
  <si>
    <t>IS-30</t>
  </si>
  <si>
    <t>Garðabær</t>
  </si>
  <si>
    <t>IS-31</t>
  </si>
  <si>
    <t>Grímsnes- og Grafningshreppur</t>
  </si>
  <si>
    <t>IS-32</t>
  </si>
  <si>
    <t>Grindavíkurbær</t>
  </si>
  <si>
    <t>IS-33</t>
  </si>
  <si>
    <t>Grundarfjarðarbær</t>
  </si>
  <si>
    <t>IS-34</t>
  </si>
  <si>
    <t>Grýtubakkahreppur</t>
  </si>
  <si>
    <t>IS-35</t>
  </si>
  <si>
    <t>Hafnarfjörður</t>
  </si>
  <si>
    <t>IS-36</t>
  </si>
  <si>
    <t>Helgafellssveit</t>
  </si>
  <si>
    <t>IS-37</t>
  </si>
  <si>
    <t>Hörgársveit</t>
  </si>
  <si>
    <t>IS-38</t>
  </si>
  <si>
    <t>Hrunamannahreppur</t>
  </si>
  <si>
    <t>IS-39</t>
  </si>
  <si>
    <t>Húnaþing Vestra</t>
  </si>
  <si>
    <t>IS-40</t>
  </si>
  <si>
    <t>Húnavatnshreppur</t>
  </si>
  <si>
    <t>IS-41</t>
  </si>
  <si>
    <t>Hvalfjarðarsveit</t>
  </si>
  <si>
    <t>IS-42</t>
  </si>
  <si>
    <t>Hveragerði</t>
  </si>
  <si>
    <t>IS-43</t>
  </si>
  <si>
    <t>Ísafjarðarbær</t>
  </si>
  <si>
    <t>IS-44</t>
  </si>
  <si>
    <t>Kaldrananeshreppur</t>
  </si>
  <si>
    <t>IS-45</t>
  </si>
  <si>
    <t>Kjósarhreppur</t>
  </si>
  <si>
    <t>IS-46</t>
  </si>
  <si>
    <t>Kópavogur</t>
  </si>
  <si>
    <t>IS-47</t>
  </si>
  <si>
    <t>Langanesbyggð</t>
  </si>
  <si>
    <t>IS-48</t>
  </si>
  <si>
    <t>Mosfellsbær</t>
  </si>
  <si>
    <t>IS-49</t>
  </si>
  <si>
    <t>Mýrdalshreppur</t>
  </si>
  <si>
    <t>IS-50</t>
  </si>
  <si>
    <t>Norðurþing</t>
  </si>
  <si>
    <t>IS-51</t>
  </si>
  <si>
    <t>Rangárþing Eystra</t>
  </si>
  <si>
    <t>IS-52</t>
  </si>
  <si>
    <t>Rangárþing Ytra</t>
  </si>
  <si>
    <t>IS-53</t>
  </si>
  <si>
    <t>Reykhólahreppur</t>
  </si>
  <si>
    <t>IS-54</t>
  </si>
  <si>
    <t>Reykjanesbær</t>
  </si>
  <si>
    <t>IS-55</t>
  </si>
  <si>
    <t>Reykjavík</t>
  </si>
  <si>
    <t>IS-56</t>
  </si>
  <si>
    <t>Sandgerði</t>
  </si>
  <si>
    <t>IS-57</t>
  </si>
  <si>
    <t>Seltjarnarnes</t>
  </si>
  <si>
    <t>IS-58</t>
  </si>
  <si>
    <t>Seyðisfjörður</t>
  </si>
  <si>
    <t>IS-59</t>
  </si>
  <si>
    <t>Skaftárhreppur</t>
  </si>
  <si>
    <t>IS-60</t>
  </si>
  <si>
    <t>Skagabyggð</t>
  </si>
  <si>
    <t>IS-61</t>
  </si>
  <si>
    <t>Skeiða- og Gnúpverjahreppur</t>
  </si>
  <si>
    <t>IS-62</t>
  </si>
  <si>
    <t>Skorradalshreppur</t>
  </si>
  <si>
    <t>IS-63</t>
  </si>
  <si>
    <t>Skútustaðahreppur</t>
  </si>
  <si>
    <t>IS-64</t>
  </si>
  <si>
    <t>Snæfellsbær</t>
  </si>
  <si>
    <t>IS-65</t>
  </si>
  <si>
    <t>Strandabyggð</t>
  </si>
  <si>
    <t>IS-66</t>
  </si>
  <si>
    <t>Stykkishólmur</t>
  </si>
  <si>
    <t>IS-67</t>
  </si>
  <si>
    <t>Súðavíkurhreppur</t>
  </si>
  <si>
    <t>IS-68</t>
  </si>
  <si>
    <t>Svalbarðshreppur</t>
  </si>
  <si>
    <t>IS-69</t>
  </si>
  <si>
    <t>Svalbarðsstrandarhreppur</t>
  </si>
  <si>
    <t>IS-70</t>
  </si>
  <si>
    <t>Sveitarfélagið Árborg</t>
  </si>
  <si>
    <t>IS-71</t>
  </si>
  <si>
    <t>Sveitarfélagið Garður</t>
  </si>
  <si>
    <t>IS-72</t>
  </si>
  <si>
    <t>Sveitarfélagið Hornafjörður</t>
  </si>
  <si>
    <t>IS-73</t>
  </si>
  <si>
    <t>Sveitarfélagið Ölfus</t>
  </si>
  <si>
    <t>IS-74</t>
  </si>
  <si>
    <t>Sveitarfélagið Skagafjörður</t>
  </si>
  <si>
    <t>IS-75</t>
  </si>
  <si>
    <t>Sveitarfélagið Skagaströnd</t>
  </si>
  <si>
    <t>IS-76</t>
  </si>
  <si>
    <t>Sveitarfélagið Vogar</t>
  </si>
  <si>
    <t>IS-77</t>
  </si>
  <si>
    <t>Tálknafjarðarhreppur</t>
  </si>
  <si>
    <t>IS-78</t>
  </si>
  <si>
    <t>Þingeyjarsveit</t>
  </si>
  <si>
    <t>IS-79</t>
  </si>
  <si>
    <t>Tjörneshreppur</t>
  </si>
  <si>
    <t>IS-80</t>
  </si>
  <si>
    <t>Vestmannaeyjar</t>
  </si>
  <si>
    <t>IS-81</t>
  </si>
  <si>
    <t>Vesturbyggð</t>
  </si>
  <si>
    <t>IS-82</t>
  </si>
  <si>
    <t>Vopnafjarðarhreppur</t>
  </si>
  <si>
    <t>IN-AN</t>
  </si>
  <si>
    <t>Andaman and Nicobar Islands</t>
  </si>
  <si>
    <t>IN-AP</t>
  </si>
  <si>
    <t>Andhra Pradesh</t>
  </si>
  <si>
    <t>IN-AR</t>
  </si>
  <si>
    <t>Arunāchal Pradesh</t>
  </si>
  <si>
    <t>IN-AS</t>
  </si>
  <si>
    <t>Assam</t>
  </si>
  <si>
    <t>IN-BR</t>
  </si>
  <si>
    <t>Bihār</t>
  </si>
  <si>
    <t>IN-CH</t>
  </si>
  <si>
    <t>Chandīgarh</t>
  </si>
  <si>
    <t>IN-CT</t>
  </si>
  <si>
    <t>Chhattīsgarh</t>
  </si>
  <si>
    <t>IN-DN</t>
  </si>
  <si>
    <t>Dādra and Nagar Haveli</t>
  </si>
  <si>
    <t>IN-DD</t>
  </si>
  <si>
    <t>Damān and Diu</t>
  </si>
  <si>
    <t>IN-DL</t>
  </si>
  <si>
    <t>Delhi</t>
  </si>
  <si>
    <t>national capital territory</t>
  </si>
  <si>
    <t>IN-GA</t>
  </si>
  <si>
    <t>Goa</t>
  </si>
  <si>
    <t>IN-GJ</t>
  </si>
  <si>
    <t>Gujarāt</t>
  </si>
  <si>
    <t>IN-HR</t>
  </si>
  <si>
    <t>Haryāna</t>
  </si>
  <si>
    <t>IN-HP</t>
  </si>
  <si>
    <t>Himāchal Pradesh</t>
  </si>
  <si>
    <t>IN-JK</t>
  </si>
  <si>
    <t>Jammu and Kashmīr</t>
  </si>
  <si>
    <t>IN-JH</t>
  </si>
  <si>
    <t>Jharkhand</t>
  </si>
  <si>
    <t>IN-KA</t>
  </si>
  <si>
    <t>Karnātaka</t>
  </si>
  <si>
    <t>IN-KL</t>
  </si>
  <si>
    <t>Kerala</t>
  </si>
  <si>
    <t>IN-LD</t>
  </si>
  <si>
    <t>Lakshadweep</t>
  </si>
  <si>
    <t>IN-MP</t>
  </si>
  <si>
    <t>Madhya Pradesh</t>
  </si>
  <si>
    <t>IN-MH</t>
  </si>
  <si>
    <t>Mahārāshtra</t>
  </si>
  <si>
    <t>IN-MN</t>
  </si>
  <si>
    <t>Manipur</t>
  </si>
  <si>
    <t>IN-ML</t>
  </si>
  <si>
    <t>Meghālaya</t>
  </si>
  <si>
    <t>IN-MZ</t>
  </si>
  <si>
    <t>Mizoram</t>
  </si>
  <si>
    <t>IN-NL</t>
  </si>
  <si>
    <t>Nāgāland</t>
  </si>
  <si>
    <t>IN-OR</t>
  </si>
  <si>
    <t>Odisha</t>
  </si>
  <si>
    <t>IN-PY</t>
  </si>
  <si>
    <t>Puducherry</t>
  </si>
  <si>
    <t>IN-PB</t>
  </si>
  <si>
    <t>Punjab</t>
  </si>
  <si>
    <t>IN-RJ</t>
  </si>
  <si>
    <t>Rājasthān</t>
  </si>
  <si>
    <t>IN-SK</t>
  </si>
  <si>
    <t>Sikkim</t>
  </si>
  <si>
    <t>IN-TN</t>
  </si>
  <si>
    <t xml:space="preserve">Tamil Nādu </t>
  </si>
  <si>
    <t>IN-TG</t>
  </si>
  <si>
    <t>Telangana</t>
  </si>
  <si>
    <t>IN-TR</t>
  </si>
  <si>
    <t>Tripura</t>
  </si>
  <si>
    <t>IN-UT</t>
  </si>
  <si>
    <t>Uttarakhand</t>
  </si>
  <si>
    <t>IN-UP</t>
  </si>
  <si>
    <t>Uttar Pradesh</t>
  </si>
  <si>
    <t>IN-WB</t>
  </si>
  <si>
    <t>West Bengal</t>
  </si>
  <si>
    <t>ID-JW</t>
  </si>
  <si>
    <t>Jawa</t>
  </si>
  <si>
    <t>geographical unit</t>
  </si>
  <si>
    <t>ID-BT</t>
  </si>
  <si>
    <t xml:space="preserve">     Banten</t>
  </si>
  <si>
    <t>ID-JK</t>
  </si>
  <si>
    <t xml:space="preserve">     Jakarta</t>
  </si>
  <si>
    <t>ID-JB</t>
  </si>
  <si>
    <t xml:space="preserve">     Jawa Barat</t>
  </si>
  <si>
    <t>ID-JT</t>
  </si>
  <si>
    <t xml:space="preserve">     Jawa Tengah</t>
  </si>
  <si>
    <t>ID-JI</t>
  </si>
  <si>
    <t xml:space="preserve">     Jawa Timur</t>
  </si>
  <si>
    <t>ID-YO</t>
  </si>
  <si>
    <t xml:space="preserve">     Yogyakarta</t>
  </si>
  <si>
    <t>special region</t>
  </si>
  <si>
    <t>ID-KA</t>
  </si>
  <si>
    <t>Kalimantan</t>
  </si>
  <si>
    <t>ID-KB</t>
  </si>
  <si>
    <t xml:space="preserve">     Kalimantan Barat</t>
  </si>
  <si>
    <t>ID-KS</t>
  </si>
  <si>
    <t xml:space="preserve">     Kalimantan Selatan</t>
  </si>
  <si>
    <t>ID-KT</t>
  </si>
  <si>
    <t xml:space="preserve">     Kalimantan Tengah</t>
  </si>
  <si>
    <t>ID-KI</t>
  </si>
  <si>
    <t xml:space="preserve">     Kalimantan Timur</t>
  </si>
  <si>
    <t>ID-KU</t>
  </si>
  <si>
    <t xml:space="preserve">     Kalimantan Utara</t>
  </si>
  <si>
    <t>ID-ML</t>
  </si>
  <si>
    <t>Maluku</t>
  </si>
  <si>
    <t>ID-MA</t>
  </si>
  <si>
    <t xml:space="preserve">     Maluku</t>
  </si>
  <si>
    <t>ID-MU</t>
  </si>
  <si>
    <t xml:space="preserve">     Maluku Utara</t>
  </si>
  <si>
    <t>ID-NU</t>
  </si>
  <si>
    <t>Nusa Tenggara</t>
  </si>
  <si>
    <t>ID-BA</t>
  </si>
  <si>
    <t xml:space="preserve">     Bali</t>
  </si>
  <si>
    <t>ID-NB</t>
  </si>
  <si>
    <t xml:space="preserve">     Nusa Tenggara Barat</t>
  </si>
  <si>
    <t>ID-NT</t>
  </si>
  <si>
    <t xml:space="preserve">     Nusa Tenggara Timur</t>
  </si>
  <si>
    <t>ID-PP</t>
  </si>
  <si>
    <t>Papua</t>
  </si>
  <si>
    <t>ID-PA</t>
  </si>
  <si>
    <t xml:space="preserve">     Papua</t>
  </si>
  <si>
    <t>ID-PB</t>
  </si>
  <si>
    <t xml:space="preserve">     Papua Barat</t>
  </si>
  <si>
    <t>ID-SL</t>
  </si>
  <si>
    <t>Sulawesi</t>
  </si>
  <si>
    <t>ID-GO</t>
  </si>
  <si>
    <t xml:space="preserve">     Gorontalo</t>
  </si>
  <si>
    <t>ID-SR</t>
  </si>
  <si>
    <t xml:space="preserve">     Sulawesi Barat</t>
  </si>
  <si>
    <t>ID-SN</t>
  </si>
  <si>
    <t xml:space="preserve">     Sulawesi Selatan</t>
  </si>
  <si>
    <t>ID-ST</t>
  </si>
  <si>
    <t xml:space="preserve">     Sulawesi Tengah</t>
  </si>
  <si>
    <t>ID-SG</t>
  </si>
  <si>
    <t xml:space="preserve">     Sulawesi Tenggara</t>
  </si>
  <si>
    <t>ID-SA</t>
  </si>
  <si>
    <t xml:space="preserve">     Sulawesi Utara</t>
  </si>
  <si>
    <t>ID-SM</t>
  </si>
  <si>
    <t>Sumatera</t>
  </si>
  <si>
    <t>ID-AC</t>
  </si>
  <si>
    <t xml:space="preserve">     Aceh</t>
  </si>
  <si>
    <t>ID-BE</t>
  </si>
  <si>
    <t xml:space="preserve">     Bengkulu</t>
  </si>
  <si>
    <t>ID-JA</t>
  </si>
  <si>
    <t xml:space="preserve">     Jambi</t>
  </si>
  <si>
    <t>ID-BB</t>
  </si>
  <si>
    <t xml:space="preserve">     Kepulauan Bangka Belitung</t>
  </si>
  <si>
    <t>ID-KR</t>
  </si>
  <si>
    <t xml:space="preserve">     Kepulauan Riau</t>
  </si>
  <si>
    <t>ID-LA</t>
  </si>
  <si>
    <t xml:space="preserve">     Lampung</t>
  </si>
  <si>
    <t>ID-RI</t>
  </si>
  <si>
    <t xml:space="preserve">     Riau</t>
  </si>
  <si>
    <t>ID-SB</t>
  </si>
  <si>
    <t xml:space="preserve">     Sumatera Barat</t>
  </si>
  <si>
    <t>ID-SS</t>
  </si>
  <si>
    <t xml:space="preserve">     Sumatera Selatan</t>
  </si>
  <si>
    <t>ID-SU</t>
  </si>
  <si>
    <t xml:space="preserve">     Sumatera Utara</t>
  </si>
  <si>
    <t>IR-32</t>
  </si>
  <si>
    <t>Alborz</t>
  </si>
  <si>
    <t>IR-03</t>
  </si>
  <si>
    <t>Ardabīl</t>
  </si>
  <si>
    <t>IR-02</t>
  </si>
  <si>
    <t>Āz̄arbāyjān-e Gharbī</t>
  </si>
  <si>
    <t>IR-01</t>
  </si>
  <si>
    <t>Āz̄arbāyjān-e Sharqī</t>
  </si>
  <si>
    <t>IR-06</t>
  </si>
  <si>
    <t>Būshehr</t>
  </si>
  <si>
    <t>IR-08</t>
  </si>
  <si>
    <t>Chahār Maḩāl va Bakhtīārī</t>
  </si>
  <si>
    <t>IR-04</t>
  </si>
  <si>
    <t>Eşfahān</t>
  </si>
  <si>
    <t>IR-14</t>
  </si>
  <si>
    <t>Fārs</t>
  </si>
  <si>
    <t>IR-19</t>
  </si>
  <si>
    <t>Gīlān</t>
  </si>
  <si>
    <t>IR-27</t>
  </si>
  <si>
    <t>Golestān</t>
  </si>
  <si>
    <t>IR-24</t>
  </si>
  <si>
    <t>Hamadān</t>
  </si>
  <si>
    <t>IR-23</t>
  </si>
  <si>
    <t>Hormozgān</t>
  </si>
  <si>
    <t>IR-05</t>
  </si>
  <si>
    <t>Īlām</t>
  </si>
  <si>
    <t>IR-15</t>
  </si>
  <si>
    <t>Kermān</t>
  </si>
  <si>
    <t>IR-17</t>
  </si>
  <si>
    <t>Kermānshāh</t>
  </si>
  <si>
    <t>IR-29</t>
  </si>
  <si>
    <t>Khorāsān-e Jonūbī</t>
  </si>
  <si>
    <t>IR-30</t>
  </si>
  <si>
    <t>Khorāsān-e Raẕavī</t>
  </si>
  <si>
    <t>IR-31</t>
  </si>
  <si>
    <t>Khorāsān-e Shomālī</t>
  </si>
  <si>
    <t>IR-10</t>
  </si>
  <si>
    <t>Khūzestān</t>
  </si>
  <si>
    <t>IR-18</t>
  </si>
  <si>
    <t>Kohgīlūyeh va Bowyer Aḩmad</t>
  </si>
  <si>
    <t>IR-16</t>
  </si>
  <si>
    <t>Kordestān</t>
  </si>
  <si>
    <t>IR-20</t>
  </si>
  <si>
    <t>Lorestān</t>
  </si>
  <si>
    <t>IR-22</t>
  </si>
  <si>
    <t>Markazī</t>
  </si>
  <si>
    <t>IR-21</t>
  </si>
  <si>
    <t>Māzandarān</t>
  </si>
  <si>
    <t>IR-28</t>
  </si>
  <si>
    <t>Qazvīn</t>
  </si>
  <si>
    <t>IR-26</t>
  </si>
  <si>
    <t>Qom</t>
  </si>
  <si>
    <t>IR-12</t>
  </si>
  <si>
    <t>Semnān</t>
  </si>
  <si>
    <t>IR-13</t>
  </si>
  <si>
    <t>Sīstān va Balūchestān</t>
  </si>
  <si>
    <t>IR-07</t>
  </si>
  <si>
    <t>Tehrān</t>
  </si>
  <si>
    <t>IR-25</t>
  </si>
  <si>
    <t>Yazd</t>
  </si>
  <si>
    <t>IR-11</t>
  </si>
  <si>
    <t>Zanjān</t>
  </si>
  <si>
    <t>IQ-AN</t>
  </si>
  <si>
    <t>Al Anbār</t>
  </si>
  <si>
    <t>IQ-BA</t>
  </si>
  <si>
    <t>Al Başrah</t>
  </si>
  <si>
    <t>IQ-MU</t>
  </si>
  <si>
    <t>Al Muthanná</t>
  </si>
  <si>
    <t>IQ-QA</t>
  </si>
  <si>
    <t>Al Qādisīyah</t>
  </si>
  <si>
    <t>IQ-NA</t>
  </si>
  <si>
    <t>An Najaf</t>
  </si>
  <si>
    <t>IQ-AR</t>
  </si>
  <si>
    <t>Arbīl</t>
  </si>
  <si>
    <t>IQ-SU</t>
  </si>
  <si>
    <t>As Sulaymānīyah</t>
  </si>
  <si>
    <t>IQ-BB</t>
  </si>
  <si>
    <t>Bābil</t>
  </si>
  <si>
    <t>IQ-BG</t>
  </si>
  <si>
    <t>Baghdād</t>
  </si>
  <si>
    <t>IQ-DA</t>
  </si>
  <si>
    <t>Dahūk</t>
  </si>
  <si>
    <t>IQ-DQ</t>
  </si>
  <si>
    <t>Dhī Qār</t>
  </si>
  <si>
    <t>IQ-DI</t>
  </si>
  <si>
    <t>Diyālá</t>
  </si>
  <si>
    <t>IQ-KA</t>
  </si>
  <si>
    <t>Karbalā’</t>
  </si>
  <si>
    <t>IQ-KI</t>
  </si>
  <si>
    <t>Kirkūk</t>
  </si>
  <si>
    <t>IQ-MA</t>
  </si>
  <si>
    <t>Maysān</t>
  </si>
  <si>
    <t>IQ-NI</t>
  </si>
  <si>
    <t>Nīnawá</t>
  </si>
  <si>
    <t>IQ-SD</t>
  </si>
  <si>
    <t>Şalāḩ ad Dīn</t>
  </si>
  <si>
    <t>IQ-WA</t>
  </si>
  <si>
    <t>Wāsiţ</t>
  </si>
  <si>
    <t>IE-C</t>
  </si>
  <si>
    <t>Connaught</t>
  </si>
  <si>
    <t>IE-GA</t>
  </si>
  <si>
    <t xml:space="preserve">     Galway</t>
  </si>
  <si>
    <t>IE-G</t>
  </si>
  <si>
    <t>IE-LM</t>
  </si>
  <si>
    <t xml:space="preserve">     Leitrim</t>
  </si>
  <si>
    <t>IE-MO</t>
  </si>
  <si>
    <t xml:space="preserve">     Mayo</t>
  </si>
  <si>
    <t>IE-RN</t>
  </si>
  <si>
    <t xml:space="preserve">     Roscommon</t>
  </si>
  <si>
    <t>IE-SO</t>
  </si>
  <si>
    <t xml:space="preserve">     Sligo</t>
  </si>
  <si>
    <t>IE-L</t>
  </si>
  <si>
    <t>Leinster</t>
  </si>
  <si>
    <t>IE-CW</t>
  </si>
  <si>
    <t xml:space="preserve">     Carlow</t>
  </si>
  <si>
    <t>IE-DU</t>
  </si>
  <si>
    <t xml:space="preserve">     Dublin</t>
  </si>
  <si>
    <t>IE-DR</t>
  </si>
  <si>
    <t xml:space="preserve">     Dún Laoghaire-Rathdown</t>
  </si>
  <si>
    <t>IE-FI</t>
  </si>
  <si>
    <t xml:space="preserve">     Fingal</t>
  </si>
  <si>
    <t>IE-KE</t>
  </si>
  <si>
    <t xml:space="preserve">     Kildare</t>
  </si>
  <si>
    <t>IE-KK</t>
  </si>
  <si>
    <t xml:space="preserve">     Kilkenny</t>
  </si>
  <si>
    <t>IE-LS</t>
  </si>
  <si>
    <t xml:space="preserve">     Laois</t>
  </si>
  <si>
    <t>IE-LD</t>
  </si>
  <si>
    <t xml:space="preserve">     Longford</t>
  </si>
  <si>
    <t>IE-LH</t>
  </si>
  <si>
    <t xml:space="preserve">     Louth</t>
  </si>
  <si>
    <t>IE-MH</t>
  </si>
  <si>
    <t xml:space="preserve">     Meath</t>
  </si>
  <si>
    <t>IE-OY</t>
  </si>
  <si>
    <t xml:space="preserve">     Offaly</t>
  </si>
  <si>
    <t>IE-SD</t>
  </si>
  <si>
    <t xml:space="preserve">     South Dublin</t>
  </si>
  <si>
    <t>IE-WH</t>
  </si>
  <si>
    <t xml:space="preserve">     Westmeath</t>
  </si>
  <si>
    <t>IE-WX</t>
  </si>
  <si>
    <t xml:space="preserve">     Wexford</t>
  </si>
  <si>
    <t>IE-WW</t>
  </si>
  <si>
    <t xml:space="preserve">     Wicklow</t>
  </si>
  <si>
    <t>IE-M</t>
  </si>
  <si>
    <t>Munster</t>
  </si>
  <si>
    <t>IE-CE</t>
  </si>
  <si>
    <t xml:space="preserve">     Clare</t>
  </si>
  <si>
    <t>IE-CR</t>
  </si>
  <si>
    <t xml:space="preserve">     Cork</t>
  </si>
  <si>
    <t>IE-CO</t>
  </si>
  <si>
    <t>IE-KY</t>
  </si>
  <si>
    <t xml:space="preserve">     Kerry</t>
  </si>
  <si>
    <t>IE-LC</t>
  </si>
  <si>
    <t xml:space="preserve">     Limerick</t>
  </si>
  <si>
    <t>city and county</t>
  </si>
  <si>
    <t>IE-TA</t>
  </si>
  <si>
    <t xml:space="preserve">     Tipperary</t>
  </si>
  <si>
    <t>IE-WF</t>
  </si>
  <si>
    <t xml:space="preserve">     Waterford</t>
  </si>
  <si>
    <t>IE-U</t>
  </si>
  <si>
    <t>Ulster</t>
  </si>
  <si>
    <t>IE-CN</t>
  </si>
  <si>
    <t xml:space="preserve">     Cavan</t>
  </si>
  <si>
    <t>IE-DL</t>
  </si>
  <si>
    <t xml:space="preserve">     Donegal</t>
  </si>
  <si>
    <t>IE-MN</t>
  </si>
  <si>
    <t xml:space="preserve">     Monaghan</t>
  </si>
  <si>
    <t>IL-M</t>
  </si>
  <si>
    <t>IL-HA</t>
  </si>
  <si>
    <t>Haifa</t>
  </si>
  <si>
    <t>IL-JM</t>
  </si>
  <si>
    <t>Jerusalem</t>
  </si>
  <si>
    <t>IL-Z</t>
  </si>
  <si>
    <t>IL-D</t>
  </si>
  <si>
    <t>IL-TA</t>
  </si>
  <si>
    <t>Tel Aviv</t>
  </si>
  <si>
    <t>IT-65</t>
  </si>
  <si>
    <t>Abruzzo</t>
  </si>
  <si>
    <t>IT-CH</t>
  </si>
  <si>
    <t xml:space="preserve">     Chieti</t>
  </si>
  <si>
    <t>IT-AQ</t>
  </si>
  <si>
    <t xml:space="preserve">     L’Aquila</t>
  </si>
  <si>
    <t>IT-PE</t>
  </si>
  <si>
    <t xml:space="preserve">     Pescara</t>
  </si>
  <si>
    <t>IT-TE</t>
  </si>
  <si>
    <t xml:space="preserve">     Teramo</t>
  </si>
  <si>
    <t>IT-77</t>
  </si>
  <si>
    <t>Basilicata</t>
  </si>
  <si>
    <t>IT-MT</t>
  </si>
  <si>
    <t xml:space="preserve">     Matera</t>
  </si>
  <si>
    <t>IT-PZ</t>
  </si>
  <si>
    <t xml:space="preserve">     Potenza</t>
  </si>
  <si>
    <t>IT-78</t>
  </si>
  <si>
    <t>Calabria</t>
  </si>
  <si>
    <t>IT-CZ</t>
  </si>
  <si>
    <t xml:space="preserve">     Catanzaro</t>
  </si>
  <si>
    <t>IT-CS</t>
  </si>
  <si>
    <t xml:space="preserve">     Cosenza</t>
  </si>
  <si>
    <t>IT-KR</t>
  </si>
  <si>
    <t xml:space="preserve">     Crotone</t>
  </si>
  <si>
    <t>IT-RC</t>
  </si>
  <si>
    <t xml:space="preserve">     Reggio di Calabria</t>
  </si>
  <si>
    <t>metropolitan city</t>
  </si>
  <si>
    <t>IT-VV</t>
  </si>
  <si>
    <t xml:space="preserve">     Vibo Valentia</t>
  </si>
  <si>
    <t>IT-72</t>
  </si>
  <si>
    <t>Campania</t>
  </si>
  <si>
    <t>IT-AV</t>
  </si>
  <si>
    <t xml:space="preserve">     Avellino</t>
  </si>
  <si>
    <t>IT-BN</t>
  </si>
  <si>
    <t xml:space="preserve">     Benevento</t>
  </si>
  <si>
    <t>IT-CE</t>
  </si>
  <si>
    <t xml:space="preserve">     Caserta</t>
  </si>
  <si>
    <t>IT-NA</t>
  </si>
  <si>
    <t xml:space="preserve">     Napoli</t>
  </si>
  <si>
    <t>IT-SA</t>
  </si>
  <si>
    <t xml:space="preserve">     Salerno</t>
  </si>
  <si>
    <t>IT-45</t>
  </si>
  <si>
    <t>Emilia-Romagna</t>
  </si>
  <si>
    <t>IT-BO</t>
  </si>
  <si>
    <t xml:space="preserve">     Bologna</t>
  </si>
  <si>
    <t>IT-FE</t>
  </si>
  <si>
    <t xml:space="preserve">     Ferrara</t>
  </si>
  <si>
    <t>IT-FC</t>
  </si>
  <si>
    <t xml:space="preserve">     Forli</t>
  </si>
  <si>
    <t>IT-MO</t>
  </si>
  <si>
    <t xml:space="preserve">     Modena</t>
  </si>
  <si>
    <t>IT-PR</t>
  </si>
  <si>
    <t xml:space="preserve">     Parma</t>
  </si>
  <si>
    <t>IT-PC</t>
  </si>
  <si>
    <t xml:space="preserve">     Piacenza</t>
  </si>
  <si>
    <t>IT-RA</t>
  </si>
  <si>
    <t xml:space="preserve">     Ravenna</t>
  </si>
  <si>
    <t>IT-RE</t>
  </si>
  <si>
    <t xml:space="preserve">     Reggio Emilia</t>
  </si>
  <si>
    <t>IT-RN</t>
  </si>
  <si>
    <t xml:space="preserve">     Rimini</t>
  </si>
  <si>
    <t>IT-36</t>
  </si>
  <si>
    <t>Friuli Venezia Giulia</t>
  </si>
  <si>
    <t>IT-62</t>
  </si>
  <si>
    <t>Lazio</t>
  </si>
  <si>
    <t>IT-FR</t>
  </si>
  <si>
    <t xml:space="preserve">     Frosinone</t>
  </si>
  <si>
    <t>IT-LT</t>
  </si>
  <si>
    <t xml:space="preserve">     Latina</t>
  </si>
  <si>
    <t>IT-RI</t>
  </si>
  <si>
    <t xml:space="preserve">     Rieti</t>
  </si>
  <si>
    <t>IT-RM</t>
  </si>
  <si>
    <t xml:space="preserve">     Roma</t>
  </si>
  <si>
    <t>IT-VT</t>
  </si>
  <si>
    <t xml:space="preserve">     Viterbo</t>
  </si>
  <si>
    <t>IT-42</t>
  </si>
  <si>
    <t>Liguria</t>
  </si>
  <si>
    <t>IT-GE</t>
  </si>
  <si>
    <t xml:space="preserve">     Genova</t>
  </si>
  <si>
    <t>IT-IM</t>
  </si>
  <si>
    <t xml:space="preserve">     Imperia</t>
  </si>
  <si>
    <t>IT-SP</t>
  </si>
  <si>
    <t xml:space="preserve">     La Spezia</t>
  </si>
  <si>
    <t>IT-SV</t>
  </si>
  <si>
    <t xml:space="preserve">     Savona</t>
  </si>
  <si>
    <t>IT-25</t>
  </si>
  <si>
    <t>Lombardy</t>
  </si>
  <si>
    <t>IT-BG</t>
  </si>
  <si>
    <t xml:space="preserve">     Bergamo</t>
  </si>
  <si>
    <t>IT-BS</t>
  </si>
  <si>
    <t xml:space="preserve">     Brescia</t>
  </si>
  <si>
    <t>IT-CO</t>
  </si>
  <si>
    <t xml:space="preserve">     Como</t>
  </si>
  <si>
    <t>IT-CR</t>
  </si>
  <si>
    <t xml:space="preserve">     Cremona</t>
  </si>
  <si>
    <t>IT-LC</t>
  </si>
  <si>
    <t xml:space="preserve">     Lecco</t>
  </si>
  <si>
    <t>IT-LO</t>
  </si>
  <si>
    <t xml:space="preserve">     Lodi</t>
  </si>
  <si>
    <t>IT-MN</t>
  </si>
  <si>
    <t xml:space="preserve">     Mantova</t>
  </si>
  <si>
    <t>IT-MI</t>
  </si>
  <si>
    <t xml:space="preserve">     Milano</t>
  </si>
  <si>
    <t>IT-MB</t>
  </si>
  <si>
    <t xml:space="preserve">     Monza e Brianza</t>
  </si>
  <si>
    <t>IT-PV</t>
  </si>
  <si>
    <t xml:space="preserve">     Pavia</t>
  </si>
  <si>
    <t>IT-SO</t>
  </si>
  <si>
    <t xml:space="preserve">     Sondrio</t>
  </si>
  <si>
    <t>IT-VA</t>
  </si>
  <si>
    <t xml:space="preserve">     Varese</t>
  </si>
  <si>
    <t>IT-57</t>
  </si>
  <si>
    <t>Marche</t>
  </si>
  <si>
    <t>IT-AN</t>
  </si>
  <si>
    <t xml:space="preserve">     Ancona</t>
  </si>
  <si>
    <t>IT-AP</t>
  </si>
  <si>
    <t xml:space="preserve">     Ascoli Piceno</t>
  </si>
  <si>
    <t>IT-FM</t>
  </si>
  <si>
    <t xml:space="preserve">     Fermo</t>
  </si>
  <si>
    <t>IT-MC</t>
  </si>
  <si>
    <t xml:space="preserve">     Macerata</t>
  </si>
  <si>
    <t>IT-PU</t>
  </si>
  <si>
    <t xml:space="preserve">     Pesaro e Urbino</t>
  </si>
  <si>
    <t>IT-67</t>
  </si>
  <si>
    <t>Molise</t>
  </si>
  <si>
    <t>IT-CB</t>
  </si>
  <si>
    <t xml:space="preserve">     Campobasso</t>
  </si>
  <si>
    <t>IT-IS</t>
  </si>
  <si>
    <t xml:space="preserve">     Isernia</t>
  </si>
  <si>
    <t>IT-21</t>
  </si>
  <si>
    <t>Piedmont</t>
  </si>
  <si>
    <t>IT-AL</t>
  </si>
  <si>
    <t xml:space="preserve">     Alessandria</t>
  </si>
  <si>
    <t>IT-AT</t>
  </si>
  <si>
    <t xml:space="preserve">     Asti</t>
  </si>
  <si>
    <t>IT-BI</t>
  </si>
  <si>
    <t xml:space="preserve">     Biella</t>
  </si>
  <si>
    <t>IT-CN</t>
  </si>
  <si>
    <t xml:space="preserve">     Cuneo</t>
  </si>
  <si>
    <t>IT-NO</t>
  </si>
  <si>
    <t xml:space="preserve">     Novara</t>
  </si>
  <si>
    <t>IT-TO</t>
  </si>
  <si>
    <t xml:space="preserve">     Torino</t>
  </si>
  <si>
    <t>IT-VB</t>
  </si>
  <si>
    <t xml:space="preserve">     Verbano-Cusio-Ossola</t>
  </si>
  <si>
    <t>IT-VC</t>
  </si>
  <si>
    <t xml:space="preserve">     Vercelli</t>
  </si>
  <si>
    <t>IT-75</t>
  </si>
  <si>
    <t>Puglia</t>
  </si>
  <si>
    <t>IT-BA</t>
  </si>
  <si>
    <t xml:space="preserve">     Bari</t>
  </si>
  <si>
    <t>IT-BT</t>
  </si>
  <si>
    <t xml:space="preserve">     Barletta-Andria-Trani</t>
  </si>
  <si>
    <t>IT-BR</t>
  </si>
  <si>
    <t xml:space="preserve">     Brindisi</t>
  </si>
  <si>
    <t>IT-FG</t>
  </si>
  <si>
    <t xml:space="preserve">     Foggia</t>
  </si>
  <si>
    <t>IT-LE</t>
  </si>
  <si>
    <t xml:space="preserve">     Lecce</t>
  </si>
  <si>
    <t>IT-TA</t>
  </si>
  <si>
    <t xml:space="preserve">     Taranto</t>
  </si>
  <si>
    <t>IT-88</t>
  </si>
  <si>
    <t>Sardegna</t>
  </si>
  <si>
    <t>IT-CA</t>
  </si>
  <si>
    <t xml:space="preserve">     Cagliari</t>
  </si>
  <si>
    <t>IT-NU</t>
  </si>
  <si>
    <t xml:space="preserve">     Nuoro</t>
  </si>
  <si>
    <t>IT-OR</t>
  </si>
  <si>
    <t xml:space="preserve">     Oristano</t>
  </si>
  <si>
    <t>IT-SS</t>
  </si>
  <si>
    <t xml:space="preserve">     Sassari</t>
  </si>
  <si>
    <t>IT-SD</t>
  </si>
  <si>
    <t xml:space="preserve">     Sud Sardegna</t>
  </si>
  <si>
    <t>IT-82</t>
  </si>
  <si>
    <t>Sicilia</t>
  </si>
  <si>
    <t>IT-AG</t>
  </si>
  <si>
    <t xml:space="preserve">     Agrigento</t>
  </si>
  <si>
    <t>free municipal consortium</t>
  </si>
  <si>
    <t>IT-CL</t>
  </si>
  <si>
    <t xml:space="preserve">     Caltanissetta</t>
  </si>
  <si>
    <t>IT-CT</t>
  </si>
  <si>
    <t xml:space="preserve">     Catania</t>
  </si>
  <si>
    <t>IT-EN</t>
  </si>
  <si>
    <t xml:space="preserve">     Enna</t>
  </si>
  <si>
    <t>IT-ME</t>
  </si>
  <si>
    <t xml:space="preserve">     Messina</t>
  </si>
  <si>
    <t>IT-PA</t>
  </si>
  <si>
    <t xml:space="preserve">     Palermo</t>
  </si>
  <si>
    <t>IT-RG</t>
  </si>
  <si>
    <t xml:space="preserve">     Ragusa</t>
  </si>
  <si>
    <t>IT-SR</t>
  </si>
  <si>
    <t xml:space="preserve">     Siracusa</t>
  </si>
  <si>
    <t>IT-TP</t>
  </si>
  <si>
    <t xml:space="preserve">     Trapani</t>
  </si>
  <si>
    <t>IT-32</t>
  </si>
  <si>
    <t>Trentino-Alto Adige</t>
  </si>
  <si>
    <t>IT-BZ</t>
  </si>
  <si>
    <t xml:space="preserve">     Bolzano</t>
  </si>
  <si>
    <t>autonomous province</t>
  </si>
  <si>
    <t>IT-TN</t>
  </si>
  <si>
    <t xml:space="preserve">     Trento</t>
  </si>
  <si>
    <t>IT-52</t>
  </si>
  <si>
    <t>Tuscany</t>
  </si>
  <si>
    <t>IT-AR</t>
  </si>
  <si>
    <t xml:space="preserve">     Arezzo</t>
  </si>
  <si>
    <t>IT-FI</t>
  </si>
  <si>
    <t xml:space="preserve">     Firenze</t>
  </si>
  <si>
    <t>IT-GR</t>
  </si>
  <si>
    <t xml:space="preserve">     Grosseto</t>
  </si>
  <si>
    <t>IT-LI</t>
  </si>
  <si>
    <t xml:space="preserve">     Livorno</t>
  </si>
  <si>
    <t>IT-LU</t>
  </si>
  <si>
    <t xml:space="preserve">     Lucca</t>
  </si>
  <si>
    <t>IT-MS</t>
  </si>
  <si>
    <t xml:space="preserve">     Massa-Carrara</t>
  </si>
  <si>
    <t>IT-PI</t>
  </si>
  <si>
    <t xml:space="preserve">     Pisa</t>
  </si>
  <si>
    <t>IT-PT</t>
  </si>
  <si>
    <t xml:space="preserve">     Pistoia</t>
  </si>
  <si>
    <t>IT-PO</t>
  </si>
  <si>
    <t xml:space="preserve">     Prato</t>
  </si>
  <si>
    <t>IT-SI</t>
  </si>
  <si>
    <t xml:space="preserve">     Siena</t>
  </si>
  <si>
    <t>IT-55</t>
  </si>
  <si>
    <t>Umbria</t>
  </si>
  <si>
    <t>IT-PG</t>
  </si>
  <si>
    <t xml:space="preserve">     Perugia</t>
  </si>
  <si>
    <t>IT-TR</t>
  </si>
  <si>
    <t xml:space="preserve">     Terni</t>
  </si>
  <si>
    <t>IT-23</t>
  </si>
  <si>
    <t>Valle d’Aosta</t>
  </si>
  <si>
    <t>IT-34</t>
  </si>
  <si>
    <t>Veneto</t>
  </si>
  <si>
    <t>IT-BL</t>
  </si>
  <si>
    <t xml:space="preserve">     Belluno</t>
  </si>
  <si>
    <t>IT-PD</t>
  </si>
  <si>
    <t xml:space="preserve">     Padova</t>
  </si>
  <si>
    <t>IT-RO</t>
  </si>
  <si>
    <t xml:space="preserve">     Rovigo</t>
  </si>
  <si>
    <t>IT-TV</t>
  </si>
  <si>
    <t xml:space="preserve">     Treviso</t>
  </si>
  <si>
    <t>IT-VE</t>
  </si>
  <si>
    <t xml:space="preserve">     Venezia</t>
  </si>
  <si>
    <t>IT-VR</t>
  </si>
  <si>
    <t xml:space="preserve">     Verona</t>
  </si>
  <si>
    <t>IT-VI</t>
  </si>
  <si>
    <t xml:space="preserve">     Vicenza</t>
  </si>
  <si>
    <t>JM-13</t>
  </si>
  <si>
    <t>Clarendon</t>
  </si>
  <si>
    <t>JM-09</t>
  </si>
  <si>
    <t>Hanover</t>
  </si>
  <si>
    <t>JM-01</t>
  </si>
  <si>
    <t>Kingston</t>
  </si>
  <si>
    <t>JM-12</t>
  </si>
  <si>
    <t>Manchester</t>
  </si>
  <si>
    <t>JM-04</t>
  </si>
  <si>
    <t>Portland</t>
  </si>
  <si>
    <t>JM-02</t>
  </si>
  <si>
    <t>JM-06</t>
  </si>
  <si>
    <t>Saint Ann</t>
  </si>
  <si>
    <t>JM-14</t>
  </si>
  <si>
    <t>Saint Catherine</t>
  </si>
  <si>
    <t>JM-11</t>
  </si>
  <si>
    <t>Saint Elizabeth</t>
  </si>
  <si>
    <t>JM-08</t>
  </si>
  <si>
    <t>JM-05</t>
  </si>
  <si>
    <t>JM-03</t>
  </si>
  <si>
    <t>JM-07</t>
  </si>
  <si>
    <t>Trelawny</t>
  </si>
  <si>
    <t>JM-10</t>
  </si>
  <si>
    <t>Westmoreland</t>
  </si>
  <si>
    <t>JP-23</t>
  </si>
  <si>
    <t>Aichi</t>
  </si>
  <si>
    <t>JP-05</t>
  </si>
  <si>
    <t>Akita</t>
  </si>
  <si>
    <t>JP-02</t>
  </si>
  <si>
    <t>Aomori</t>
  </si>
  <si>
    <t>JP-12</t>
  </si>
  <si>
    <t>Chiba</t>
  </si>
  <si>
    <t>JP-38</t>
  </si>
  <si>
    <t>Ehime</t>
  </si>
  <si>
    <t>JP-18</t>
  </si>
  <si>
    <t>Fukui</t>
  </si>
  <si>
    <t>JP-40</t>
  </si>
  <si>
    <t>Fukuoka</t>
  </si>
  <si>
    <t>JP-07</t>
  </si>
  <si>
    <t>Fukushima</t>
  </si>
  <si>
    <t>JP-21</t>
  </si>
  <si>
    <t>Gifu</t>
  </si>
  <si>
    <t>JP-10</t>
  </si>
  <si>
    <t>Gunma</t>
  </si>
  <si>
    <t>JP-34</t>
  </si>
  <si>
    <t>Hiroshima</t>
  </si>
  <si>
    <t>JP-01</t>
  </si>
  <si>
    <t>Hokkaidō</t>
  </si>
  <si>
    <t>JP-28</t>
  </si>
  <si>
    <t>Hyōgo</t>
  </si>
  <si>
    <t>JP-08</t>
  </si>
  <si>
    <t>Ibaraki</t>
  </si>
  <si>
    <t>JP-17</t>
  </si>
  <si>
    <t>Ishikawa</t>
  </si>
  <si>
    <t>JP-03</t>
  </si>
  <si>
    <t>Iwate</t>
  </si>
  <si>
    <t>JP-37</t>
  </si>
  <si>
    <t>Kagawa</t>
  </si>
  <si>
    <t>JP-46</t>
  </si>
  <si>
    <t>Kagoshima</t>
  </si>
  <si>
    <t>JP-14</t>
  </si>
  <si>
    <t>Kanagawa</t>
  </si>
  <si>
    <t>JP-39</t>
  </si>
  <si>
    <t>Kōchi</t>
  </si>
  <si>
    <t>JP-43</t>
  </si>
  <si>
    <t>Kumamoto</t>
  </si>
  <si>
    <t>JP-26</t>
  </si>
  <si>
    <t>Kyōto</t>
  </si>
  <si>
    <t>urban prefecture</t>
  </si>
  <si>
    <t>JP-24</t>
  </si>
  <si>
    <t>Mie</t>
  </si>
  <si>
    <t>JP-04</t>
  </si>
  <si>
    <t>Miyagi</t>
  </si>
  <si>
    <t>JP-45</t>
  </si>
  <si>
    <t>Miyazaki</t>
  </si>
  <si>
    <t>JP-20</t>
  </si>
  <si>
    <t>Nagano</t>
  </si>
  <si>
    <t>JP-42</t>
  </si>
  <si>
    <t>Nagasaki</t>
  </si>
  <si>
    <t>JP-29</t>
  </si>
  <si>
    <t>Nara</t>
  </si>
  <si>
    <t>JP-15</t>
  </si>
  <si>
    <t>Niigata</t>
  </si>
  <si>
    <t>JP-44</t>
  </si>
  <si>
    <t>Ōita</t>
  </si>
  <si>
    <t>JP-33</t>
  </si>
  <si>
    <t>Okayama</t>
  </si>
  <si>
    <t>JP-47</t>
  </si>
  <si>
    <t>Okinawa</t>
  </si>
  <si>
    <t>JP-27</t>
  </si>
  <si>
    <t>Ōsaka</t>
  </si>
  <si>
    <t>JP-41</t>
  </si>
  <si>
    <t>Saga</t>
  </si>
  <si>
    <t>JP-11</t>
  </si>
  <si>
    <t>Saitama</t>
  </si>
  <si>
    <t>JP-25</t>
  </si>
  <si>
    <t>Shiga</t>
  </si>
  <si>
    <t>JP-32</t>
  </si>
  <si>
    <t>Shimane</t>
  </si>
  <si>
    <t>JP-22</t>
  </si>
  <si>
    <t>Shizuoka</t>
  </si>
  <si>
    <t>JP-09</t>
  </si>
  <si>
    <t>Tochigi</t>
  </si>
  <si>
    <t>JP-36</t>
  </si>
  <si>
    <t>Tokushima</t>
  </si>
  <si>
    <t>JP-13</t>
  </si>
  <si>
    <t>Tōkyō</t>
  </si>
  <si>
    <t>JP-31</t>
  </si>
  <si>
    <t>Tottori</t>
  </si>
  <si>
    <t>JP-16</t>
  </si>
  <si>
    <t>Toyama</t>
  </si>
  <si>
    <t>JP-30</t>
  </si>
  <si>
    <t>Wakayama</t>
  </si>
  <si>
    <t>JP-06</t>
  </si>
  <si>
    <t>Yamagata</t>
  </si>
  <si>
    <t>JP-35</t>
  </si>
  <si>
    <t>Yamaguchi</t>
  </si>
  <si>
    <t>JP-19</t>
  </si>
  <si>
    <t>Yamanashi</t>
  </si>
  <si>
    <t>JO-AJ</t>
  </si>
  <si>
    <t>‘Ajlūn</t>
  </si>
  <si>
    <t>JO-AQ</t>
  </si>
  <si>
    <t>Al ‘Aqabah</t>
  </si>
  <si>
    <t>JO-AM</t>
  </si>
  <si>
    <t>JO-BA</t>
  </si>
  <si>
    <t>Al Balqā’</t>
  </si>
  <si>
    <t>JO-KA</t>
  </si>
  <si>
    <t>Al Karak</t>
  </si>
  <si>
    <t>JO-MA</t>
  </si>
  <si>
    <t>Al Mafraq</t>
  </si>
  <si>
    <t>JO-AT</t>
  </si>
  <si>
    <t>Aţ Ţafīlah</t>
  </si>
  <si>
    <t>JO-AZ</t>
  </si>
  <si>
    <t>Az Zarqā’</t>
  </si>
  <si>
    <t>JO-IR</t>
  </si>
  <si>
    <t>Irbid</t>
  </si>
  <si>
    <t>JO-JA</t>
  </si>
  <si>
    <t>Jarash</t>
  </si>
  <si>
    <t>JO-MN</t>
  </si>
  <si>
    <t>Ma‘ān</t>
  </si>
  <si>
    <t>JO-MD</t>
  </si>
  <si>
    <t>Mādabā</t>
  </si>
  <si>
    <t>KZ-ALA</t>
  </si>
  <si>
    <t>Almaty</t>
  </si>
  <si>
    <t>KZ-ALM</t>
  </si>
  <si>
    <t>KZ-AKM</t>
  </si>
  <si>
    <t>Aqmola</t>
  </si>
  <si>
    <t>KZ-AKT</t>
  </si>
  <si>
    <t>Aqtöbe</t>
  </si>
  <si>
    <t>KZ-AST</t>
  </si>
  <si>
    <t>Astana</t>
  </si>
  <si>
    <t>KZ-ATY</t>
  </si>
  <si>
    <t>Atyraū</t>
  </si>
  <si>
    <t>KZ-VOS</t>
  </si>
  <si>
    <t>East Kazakhstan</t>
  </si>
  <si>
    <t>KZ-MAN</t>
  </si>
  <si>
    <t>Mangghystaū</t>
  </si>
  <si>
    <t>KZ-SEV</t>
  </si>
  <si>
    <t>North Kazakhstan</t>
  </si>
  <si>
    <t>KZ-PAV</t>
  </si>
  <si>
    <t>Pavlodar</t>
  </si>
  <si>
    <t>KZ-KAR</t>
  </si>
  <si>
    <t>Qaraghandy</t>
  </si>
  <si>
    <t>KZ-KUS</t>
  </si>
  <si>
    <t>Qostanay</t>
  </si>
  <si>
    <t>KZ-KZY</t>
  </si>
  <si>
    <t>Qyzylorda</t>
  </si>
  <si>
    <t>KZ-SHY</t>
  </si>
  <si>
    <t>Shymkent</t>
  </si>
  <si>
    <t>KZ-YUZ</t>
  </si>
  <si>
    <t>Türkistan</t>
  </si>
  <si>
    <t>KZ-ZAP</t>
  </si>
  <si>
    <t>West Kazakhstan</t>
  </si>
  <si>
    <t>KZ-ZHA</t>
  </si>
  <si>
    <t>Zhambyl</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</si>
  <si>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</si>
  <si>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</si>
  <si>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</si>
  <si>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</si>
  <si>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</si>
  <si>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</si>
  <si>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</si>
  <si>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</si>
  <si>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</si>
  <si>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</si>
  <si>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</si>
  <si>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</si>
  <si>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</si>
  <si>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</si>
  <si>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</si>
  <si>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</si>
  <si>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</si>
  <si>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</si>
  <si>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</si>
  <si>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</si>
  <si>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</si>
  <si>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</si>
  <si>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</si>
  <si>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</si>
  <si>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</si>
  <si>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</si>
  <si>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</si>
  <si>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</si>
  <si>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</si>
  <si>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</si>
  <si>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</si>
  <si>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</si>
  <si>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</si>
  <si>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</si>
  <si>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</si>
  <si>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</si>
  <si>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</si>
  <si>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</si>
  <si>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</si>
  <si>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</si>
  <si>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</si>
  <si>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</si>
  <si>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</si>
  <si>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</si>
  <si>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</si>
  <si>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</si>
  <si>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</si>
  <si>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</si>
  <si>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</si>
  <si>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</si>
  <si>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</si>
  <si>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</si>
  <si>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</si>
  <si>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</si>
  <si>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</si>
  <si>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</si>
  <si>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</si>
  <si>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</si>
  <si>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</si>
  <si>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</si>
  <si>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</si>
  <si>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</si>
  <si>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</si>
  <si>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</si>
  <si>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</si>
  <si>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</si>
  <si>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</si>
  <si>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</si>
  <si>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</si>
  <si>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</si>
  <si>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</si>
  <si>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</si>
  <si>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</si>
  <si>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</si>
  <si>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</si>
  <si>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</si>
  <si>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</si>
  <si>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</si>
  <si>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</si>
  <si>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</si>
  <si>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</si>
  <si>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</si>
  <si>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</si>
  <si>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</si>
  <si>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</si>
  <si>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</si>
  <si>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</si>
  <si>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</si>
  <si>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</si>
  <si>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</si>
  <si>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</si>
  <si>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</si>
  <si>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</si>
  <si>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</si>
  <si>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KP-04</t>
  </si>
  <si>
    <t>Chagang</t>
  </si>
  <si>
    <t>KP-09</t>
  </si>
  <si>
    <t>Hambuk</t>
  </si>
  <si>
    <t>KP-08</t>
  </si>
  <si>
    <t>Hamnam</t>
  </si>
  <si>
    <t>KP-06</t>
  </si>
  <si>
    <t>Hwangbuk</t>
  </si>
  <si>
    <t>KP-05</t>
  </si>
  <si>
    <t>Hwangnam</t>
  </si>
  <si>
    <t>KP-07</t>
  </si>
  <si>
    <t>Kangwŏn</t>
  </si>
  <si>
    <t>KP-14</t>
  </si>
  <si>
    <t>Namp’o</t>
  </si>
  <si>
    <t>KP-03</t>
  </si>
  <si>
    <t>P’yŏngbuk</t>
  </si>
  <si>
    <t>KP-02</t>
  </si>
  <si>
    <t>P’yŏngnam</t>
  </si>
  <si>
    <t>KP-01</t>
  </si>
  <si>
    <t>P’yŏngyang</t>
  </si>
  <si>
    <t>directly-controlled city</t>
  </si>
  <si>
    <t>KP-13</t>
  </si>
  <si>
    <t>Rasŏn</t>
  </si>
  <si>
    <t>KP-10</t>
  </si>
  <si>
    <t>Ryanggang</t>
  </si>
  <si>
    <t>KR-26</t>
  </si>
  <si>
    <t>Busan</t>
  </si>
  <si>
    <t>KR-43</t>
  </si>
  <si>
    <t>Chungbuk</t>
  </si>
  <si>
    <t>KR-44</t>
  </si>
  <si>
    <t>Chungnam</t>
  </si>
  <si>
    <t>KR-27</t>
  </si>
  <si>
    <t>Daegu</t>
  </si>
  <si>
    <t>KR-30</t>
  </si>
  <si>
    <t>Daejeon</t>
  </si>
  <si>
    <t>KR-42</t>
  </si>
  <si>
    <t>Gangwon</t>
  </si>
  <si>
    <t>KR-29</t>
  </si>
  <si>
    <t>Gwangju</t>
  </si>
  <si>
    <t>KR-47</t>
  </si>
  <si>
    <t>Gyeongbuk</t>
  </si>
  <si>
    <t>KR-41</t>
  </si>
  <si>
    <t>Gyeonggi</t>
  </si>
  <si>
    <t>KR-48</t>
  </si>
  <si>
    <t>Gyeongnam</t>
  </si>
  <si>
    <t>KR-28</t>
  </si>
  <si>
    <t>Incheon</t>
  </si>
  <si>
    <t>KR-49</t>
  </si>
  <si>
    <t>Jeju</t>
  </si>
  <si>
    <t>KR-45</t>
  </si>
  <si>
    <t>Jeonbuk</t>
  </si>
  <si>
    <t>KR-46</t>
  </si>
  <si>
    <t>Jeonnam</t>
  </si>
  <si>
    <t>KR-50</t>
  </si>
  <si>
    <t>Sejong</t>
  </si>
  <si>
    <t>special self-governing city</t>
  </si>
  <si>
    <t>KR-11</t>
  </si>
  <si>
    <t>Seoul</t>
  </si>
  <si>
    <t>KR-31</t>
  </si>
  <si>
    <t>Ulsan</t>
  </si>
  <si>
    <t>XK-01</t>
  </si>
  <si>
    <t>Deçan</t>
  </si>
  <si>
    <t>XK-02</t>
  </si>
  <si>
    <t>Dragash</t>
  </si>
  <si>
    <t>XK-03</t>
  </si>
  <si>
    <t>Ferizaj</t>
  </si>
  <si>
    <t>XK-04</t>
  </si>
  <si>
    <t>Fushë Kosovë</t>
  </si>
  <si>
    <t>XK-05</t>
  </si>
  <si>
    <t>Gjakovë</t>
  </si>
  <si>
    <t>XK-06</t>
  </si>
  <si>
    <t>Gjilan</t>
  </si>
  <si>
    <t>XK-07</t>
  </si>
  <si>
    <t>Gllogovc</t>
  </si>
  <si>
    <t>XK-08</t>
  </si>
  <si>
    <t>Graçanicë</t>
  </si>
  <si>
    <t>XK-09</t>
  </si>
  <si>
    <t>Hani i Elezit</t>
  </si>
  <si>
    <t>XK-10</t>
  </si>
  <si>
    <t>Istog</t>
  </si>
  <si>
    <t>XK-11</t>
  </si>
  <si>
    <t>Junik</t>
  </si>
  <si>
    <t>XK-12</t>
  </si>
  <si>
    <t>Kaçanik</t>
  </si>
  <si>
    <t>XK-13</t>
  </si>
  <si>
    <t>Kamenicë</t>
  </si>
  <si>
    <t>XK-14</t>
  </si>
  <si>
    <t>Klinë</t>
  </si>
  <si>
    <t>XK-15</t>
  </si>
  <si>
    <t>Kllokot</t>
  </si>
  <si>
    <t>XK-16</t>
  </si>
  <si>
    <t>Leposaviq</t>
  </si>
  <si>
    <t>XK-17</t>
  </si>
  <si>
    <t>Lipjan</t>
  </si>
  <si>
    <t>XK-18</t>
  </si>
  <si>
    <t>Malishevë</t>
  </si>
  <si>
    <t>XK-19</t>
  </si>
  <si>
    <t>Mamushë</t>
  </si>
  <si>
    <t>XK-38</t>
  </si>
  <si>
    <t>Mitrovicë e Jug</t>
  </si>
  <si>
    <t>XK-39</t>
  </si>
  <si>
    <t>Mitrovicë e Veriut</t>
  </si>
  <si>
    <t>XK-21</t>
  </si>
  <si>
    <t>Novobërdë</t>
  </si>
  <si>
    <t>XK-22</t>
  </si>
  <si>
    <t>Obiliq</t>
  </si>
  <si>
    <t>XK-23</t>
  </si>
  <si>
    <t>Partesh</t>
  </si>
  <si>
    <t>XK-24</t>
  </si>
  <si>
    <t>Pejë</t>
  </si>
  <si>
    <t>XK-25</t>
  </si>
  <si>
    <t>Podujevë</t>
  </si>
  <si>
    <t>XK-26</t>
  </si>
  <si>
    <t>Prishtinë</t>
  </si>
  <si>
    <t>XK-27</t>
  </si>
  <si>
    <t>Prizren</t>
  </si>
  <si>
    <t>XK-28</t>
  </si>
  <si>
    <t>Rahovec</t>
  </si>
  <si>
    <t>XK-29</t>
  </si>
  <si>
    <t>Ranillug</t>
  </si>
  <si>
    <t>XK-30</t>
  </si>
  <si>
    <t>Shtërpcë</t>
  </si>
  <si>
    <t>XK-31</t>
  </si>
  <si>
    <t>Shtime</t>
  </si>
  <si>
    <t>XK-32</t>
  </si>
  <si>
    <t>Skenderaj </t>
  </si>
  <si>
    <t>XK-33</t>
  </si>
  <si>
    <t>Suharekë</t>
  </si>
  <si>
    <t>XK-34</t>
  </si>
  <si>
    <t>Viti</t>
  </si>
  <si>
    <t>XK-35</t>
  </si>
  <si>
    <t>Vushtrri</t>
  </si>
  <si>
    <t>XK-36</t>
  </si>
  <si>
    <t>Zubin Potok</t>
  </si>
  <si>
    <t>XK-37</t>
  </si>
  <si>
    <t>Zveçan</t>
  </si>
  <si>
    <t>KW-AH</t>
  </si>
  <si>
    <t>Al Aḩmadī</t>
  </si>
  <si>
    <t>KW-KU</t>
  </si>
  <si>
    <t>KW-FA</t>
  </si>
  <si>
    <t>Al Farwānīyah</t>
  </si>
  <si>
    <t>KW-JA</t>
  </si>
  <si>
    <t>Al Jahrā’</t>
  </si>
  <si>
    <t>KW-HA</t>
  </si>
  <si>
    <t>Ḩawallī</t>
  </si>
  <si>
    <t>KW-MU</t>
  </si>
  <si>
    <t>Mubārak al Kabīr</t>
  </si>
  <si>
    <t>KG-B</t>
  </si>
  <si>
    <t>Batken</t>
  </si>
  <si>
    <t>KG-GB</t>
  </si>
  <si>
    <t>Bishkek</t>
  </si>
  <si>
    <t>KG-C</t>
  </si>
  <si>
    <t>Chüy</t>
  </si>
  <si>
    <t>KG-J</t>
  </si>
  <si>
    <t>Jalal-Abad</t>
  </si>
  <si>
    <t>KG-N</t>
  </si>
  <si>
    <t>Naryn</t>
  </si>
  <si>
    <t>KG-GO</t>
  </si>
  <si>
    <t>Osh</t>
  </si>
  <si>
    <t>KG-O</t>
  </si>
  <si>
    <t>KG-T</t>
  </si>
  <si>
    <t>Talas</t>
  </si>
  <si>
    <t>KG-Y</t>
  </si>
  <si>
    <t>Ysyk-Köl</t>
  </si>
  <si>
    <t>LA-AT</t>
  </si>
  <si>
    <t>Attapu</t>
  </si>
  <si>
    <t>LA-BK</t>
  </si>
  <si>
    <t>Bokèo</t>
  </si>
  <si>
    <t>LA-BL</t>
  </si>
  <si>
    <t>Bolikhamxai</t>
  </si>
  <si>
    <t>LA-CH</t>
  </si>
  <si>
    <t>Champasak</t>
  </si>
  <si>
    <t>LA-HO</t>
  </si>
  <si>
    <t>Houaphan</t>
  </si>
  <si>
    <t>LA-KH</t>
  </si>
  <si>
    <t>Khammouan</t>
  </si>
  <si>
    <t>LA-LM</t>
  </si>
  <si>
    <t>Louangnamtha</t>
  </si>
  <si>
    <t>LA-LP</t>
  </si>
  <si>
    <t>Louangphabang</t>
  </si>
  <si>
    <t>LA-OU</t>
  </si>
  <si>
    <t>Oudômxai</t>
  </si>
  <si>
    <t>LA-PH</t>
  </si>
  <si>
    <t>Phôngsali</t>
  </si>
  <si>
    <t>LA-SL</t>
  </si>
  <si>
    <t>Salavan</t>
  </si>
  <si>
    <t>LA-SV</t>
  </si>
  <si>
    <t>Savannakhét</t>
  </si>
  <si>
    <t>LA-VT</t>
  </si>
  <si>
    <t>Viangchan</t>
  </si>
  <si>
    <t>LA-VI</t>
  </si>
  <si>
    <t>LA-XA</t>
  </si>
  <si>
    <t>Xaignabouli</t>
  </si>
  <si>
    <t>LA-XS</t>
  </si>
  <si>
    <t>Xaisômboun</t>
  </si>
  <si>
    <t>LA-XE</t>
  </si>
  <si>
    <t>Xékong</t>
  </si>
  <si>
    <t>LA-XI</t>
  </si>
  <si>
    <t>Xiangkhouang</t>
  </si>
  <si>
    <t>LV-011</t>
  </si>
  <si>
    <t>Ādažu Novads</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</si>
  <si>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</si>
  <si>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</si>
  <si>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</si>
  <si>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</si>
  <si>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</si>
  <si>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</si>
  <si>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</si>
  <si>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</si>
  <si>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</si>
  <si>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</si>
  <si>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</si>
  <si>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</si>
  <si>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</si>
  <si>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</si>
  <si>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</si>
  <si>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</si>
  <si>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</si>
  <si>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</si>
  <si>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</si>
  <si>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</si>
  <si>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</si>
  <si>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</si>
  <si>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</si>
  <si>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</si>
  <si>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</si>
  <si>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</si>
  <si>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</si>
  <si>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</si>
  <si>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</si>
  <si>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</si>
  <si>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</si>
  <si>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</si>
  <si>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</si>
  <si>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</si>
  <si>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</si>
  <si>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</si>
  <si>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</si>
  <si>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</si>
  <si>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LV-022</t>
  </si>
  <si>
    <t>Cēsu Novads</t>
  </si>
  <si>
    <t>LV-021</t>
  </si>
  <si>
    <t>Cesvaines Novads</t>
  </si>
  <si>
    <t>LV-023</t>
  </si>
  <si>
    <t>Ciblas Novads</t>
  </si>
  <si>
    <t>LV-024</t>
  </si>
  <si>
    <t>Dagdas Novads</t>
  </si>
  <si>
    <t>LV-DGV</t>
  </si>
  <si>
    <t>Daugavpils</t>
  </si>
  <si>
    <t>republican city</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</si>
  <si>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</si>
  <si>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</si>
  <si>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</si>
  <si>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</si>
  <si>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</si>
  <si>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</si>
  <si>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</si>
  <si>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</si>
  <si>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</si>
  <si>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</si>
  <si>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</si>
  <si>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</si>
  <si>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</si>
  <si>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</si>
  <si>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</si>
  <si>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</si>
  <si>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</si>
  <si>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</si>
  <si>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</si>
  <si>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</si>
  <si>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</si>
  <si>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</si>
  <si>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</si>
  <si>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</si>
  <si>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</si>
  <si>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</si>
  <si>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</si>
  <si>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</si>
  <si>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</si>
  <si>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</si>
  <si>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</si>
  <si>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</si>
  <si>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LV-JKB</t>
  </si>
  <si>
    <t>Jēkabpils</t>
  </si>
  <si>
    <t>LV-042</t>
  </si>
  <si>
    <t>Jēkabpils Novads</t>
  </si>
  <si>
    <t>LV-JEL</t>
  </si>
  <si>
    <t>Jelgava</t>
  </si>
  <si>
    <t>LV-041</t>
  </si>
  <si>
    <t>Jelgavas Novads</t>
  </si>
  <si>
    <t>LV-JUR</t>
  </si>
  <si>
    <t>Jūrmala</t>
  </si>
  <si>
    <t>LV-043</t>
  </si>
  <si>
    <t>Kandavas Novads</t>
  </si>
  <si>
    <t>LV-044</t>
  </si>
  <si>
    <t>Kārsavas Novads</t>
  </si>
  <si>
    <t>LV-051</t>
  </si>
  <si>
    <t>Ķeguma Novads</t>
  </si>
  <si>
    <t>LV-052</t>
  </si>
  <si>
    <t>Ķekavas Novads</t>
  </si>
  <si>
    <t>LV-045</t>
  </si>
  <si>
    <t>Kocēnu Novads</t>
  </si>
  <si>
    <t>LV-046</t>
  </si>
  <si>
    <t>Kokneses Novads</t>
  </si>
  <si>
    <t>LV-047</t>
  </si>
  <si>
    <t>Krāslavas Novads</t>
  </si>
  <si>
    <t>LV-048</t>
  </si>
  <si>
    <t>Krimuldas Novads</t>
  </si>
  <si>
    <t>LV-049</t>
  </si>
  <si>
    <t>Krustpils Novads</t>
  </si>
  <si>
    <t>LV-050</t>
  </si>
  <si>
    <t>Kuldīgas Novads</t>
  </si>
  <si>
    <t>LV-053</t>
  </si>
  <si>
    <t>Lielvārdes Novads</t>
  </si>
  <si>
    <t>LV-LPX</t>
  </si>
  <si>
    <t>Liepāja</t>
  </si>
  <si>
    <t>LV-055</t>
  </si>
  <si>
    <t>Līgatnes Novads</t>
  </si>
  <si>
    <t>LV-054</t>
  </si>
  <si>
    <t>Limbažu Novads</t>
  </si>
  <si>
    <t>LV-056</t>
  </si>
  <si>
    <t>Līvānu Novads</t>
  </si>
  <si>
    <t>LV-057</t>
  </si>
  <si>
    <t>Lubānas Novads</t>
  </si>
  <si>
    <t>LV-058</t>
  </si>
  <si>
    <t>Ludzas Novads</t>
  </si>
  <si>
    <t>LV-059</t>
  </si>
  <si>
    <t>Madonas Novads</t>
  </si>
  <si>
    <t>LV-061</t>
  </si>
  <si>
    <t>Mālpils Novads</t>
  </si>
  <si>
    <t>LV-062</t>
  </si>
  <si>
    <t>Mārupes Novads</t>
  </si>
  <si>
    <t>LV-060</t>
  </si>
  <si>
    <t>Mazsalacas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</si>
  <si>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</si>
  <si>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</si>
  <si>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</si>
  <si>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</si>
  <si>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</si>
  <si>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</si>
  <si>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</si>
  <si>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</si>
  <si>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</si>
  <si>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</si>
  <si>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</si>
  <si>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</si>
  <si>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</si>
  <si>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</si>
  <si>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</si>
  <si>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</si>
  <si>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</si>
  <si>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</si>
  <si>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</si>
  <si>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</si>
  <si>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</si>
  <si>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</si>
  <si>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</si>
  <si>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</si>
  <si>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</si>
  <si>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</si>
  <si>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</si>
  <si>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</si>
  <si>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LV-REZ</t>
  </si>
  <si>
    <t>Rēzekne</t>
  </si>
  <si>
    <t>LV-077</t>
  </si>
  <si>
    <t>Rēzeknes Novads</t>
  </si>
  <si>
    <t>LV-078</t>
  </si>
  <si>
    <t>Riebiņu Novads</t>
  </si>
  <si>
    <t>LV-RIX</t>
  </si>
  <si>
    <t>Rīga</t>
  </si>
  <si>
    <t>LV-079</t>
  </si>
  <si>
    <t>Rojas Novads</t>
  </si>
  <si>
    <t>LV-080</t>
  </si>
  <si>
    <t>Ropažu Novads</t>
  </si>
  <si>
    <t>LV-081</t>
  </si>
  <si>
    <t>Rucavas Novads</t>
  </si>
  <si>
    <t>LV-082</t>
  </si>
  <si>
    <t>Rugāju Novads</t>
  </si>
  <si>
    <t>LV-084</t>
  </si>
  <si>
    <t>Rūjienas Novads</t>
  </si>
  <si>
    <t>LV-083</t>
  </si>
  <si>
    <t>Rundāles Novads</t>
  </si>
  <si>
    <t>LV-086</t>
  </si>
  <si>
    <t>Salacgrīvas Novads</t>
  </si>
  <si>
    <t>LV-085</t>
  </si>
  <si>
    <t>Salas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</si>
  <si>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</si>
  <si>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</si>
  <si>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</si>
  <si>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</si>
  <si>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</si>
  <si>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</si>
  <si>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</si>
  <si>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</si>
  <si>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</si>
  <si>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</si>
  <si>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</si>
  <si>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</si>
  <si>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</si>
  <si>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</si>
  <si>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</si>
  <si>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</si>
  <si>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</si>
  <si>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</si>
  <si>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</si>
  <si>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</si>
  <si>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</si>
  <si>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</si>
  <si>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</si>
  <si>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</si>
  <si>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</si>
  <si>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</si>
  <si>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</si>
  <si>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</si>
  <si>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</si>
  <si>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</si>
  <si>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LV-VMR</t>
  </si>
  <si>
    <t>Valmiera</t>
  </si>
  <si>
    <t>LV-102</t>
  </si>
  <si>
    <t>Varakļānu Novads</t>
  </si>
  <si>
    <t>LV-103</t>
  </si>
  <si>
    <t>Vārkavas Novads</t>
  </si>
  <si>
    <t>LV-104</t>
  </si>
  <si>
    <t>Vecpiebalgas Novads</t>
  </si>
  <si>
    <t>LV-105</t>
  </si>
  <si>
    <t>Vecumnieku Novads</t>
  </si>
  <si>
    <t>LV-VEN</t>
  </si>
  <si>
    <t>Ventspils</t>
  </si>
  <si>
    <t>LV-106</t>
  </si>
  <si>
    <t>Ventspils Novads</t>
  </si>
  <si>
    <t>LV-107</t>
  </si>
  <si>
    <t>Viesītes Novads</t>
  </si>
  <si>
    <t>LV-108</t>
  </si>
  <si>
    <t>Viļakas Novads</t>
  </si>
  <si>
    <t>LV-109</t>
  </si>
  <si>
    <t>Viļānu Novads</t>
  </si>
  <si>
    <t>LV-110</t>
  </si>
  <si>
    <t>Zilupes Novads</t>
  </si>
  <si>
    <t>LB-AK</t>
  </si>
  <si>
    <t>Aakkâr</t>
  </si>
  <si>
    <t>LB-BH</t>
  </si>
  <si>
    <t>Baalbek-Hermel</t>
  </si>
  <si>
    <t>LB-BI</t>
  </si>
  <si>
    <t>Béqaa</t>
  </si>
  <si>
    <t>LB-BA</t>
  </si>
  <si>
    <t>Beyrouth</t>
  </si>
  <si>
    <t>LB-AS</t>
  </si>
  <si>
    <t>Liban-Nord</t>
  </si>
  <si>
    <t>LB-JA</t>
  </si>
  <si>
    <t>Liban-Sud</t>
  </si>
  <si>
    <t>LB-JL</t>
  </si>
  <si>
    <t>Mont-Liban</t>
  </si>
  <si>
    <t>LB-NA</t>
  </si>
  <si>
    <t>Nabatîyé</t>
  </si>
  <si>
    <t>LS-D</t>
  </si>
  <si>
    <t>Berea</t>
  </si>
  <si>
    <t>LS-B</t>
  </si>
  <si>
    <t>Butha-Buthe</t>
  </si>
  <si>
    <t>LS-C</t>
  </si>
  <si>
    <t>Leribe</t>
  </si>
  <si>
    <t>LS-E</t>
  </si>
  <si>
    <t>Mafeteng</t>
  </si>
  <si>
    <t>LS-A</t>
  </si>
  <si>
    <t>Maseru</t>
  </si>
  <si>
    <t>LS-F</t>
  </si>
  <si>
    <t>Mohale’s Hoek</t>
  </si>
  <si>
    <t>LS-J</t>
  </si>
  <si>
    <t>Mokhotlong</t>
  </si>
  <si>
    <t>LS-H</t>
  </si>
  <si>
    <t>Qacha’s Nek</t>
  </si>
  <si>
    <t>LS-G</t>
  </si>
  <si>
    <t>Quthing</t>
  </si>
  <si>
    <t>LS-K</t>
  </si>
  <si>
    <t>Thaba-Tseka</t>
  </si>
  <si>
    <t>LR-BM</t>
  </si>
  <si>
    <t>Bomi</t>
  </si>
  <si>
    <t>LR-BG</t>
  </si>
  <si>
    <t>Bong</t>
  </si>
  <si>
    <t>LR-GP</t>
  </si>
  <si>
    <t>Gbarpolu</t>
  </si>
  <si>
    <t>LR-GB</t>
  </si>
  <si>
    <t>Grand Bassa</t>
  </si>
  <si>
    <t>LR-CM</t>
  </si>
  <si>
    <t>Grand Cape Mount</t>
  </si>
  <si>
    <t>LR-GG</t>
  </si>
  <si>
    <t>Grand Gedeh</t>
  </si>
  <si>
    <t>LR-GK</t>
  </si>
  <si>
    <t>Grand Kru</t>
  </si>
  <si>
    <t>LR-LO</t>
  </si>
  <si>
    <t>Lofa</t>
  </si>
  <si>
    <t>LR-MG</t>
  </si>
  <si>
    <t>Margibi</t>
  </si>
  <si>
    <t>LR-MY</t>
  </si>
  <si>
    <t>Maryland</t>
  </si>
  <si>
    <t>LR-MO</t>
  </si>
  <si>
    <t>Montserrado</t>
  </si>
  <si>
    <t>LR-NI</t>
  </si>
  <si>
    <t>Nimba</t>
  </si>
  <si>
    <t>LR-RI</t>
  </si>
  <si>
    <t>River Cess</t>
  </si>
  <si>
    <t>LR-RG</t>
  </si>
  <si>
    <t>River Gee</t>
  </si>
  <si>
    <t>LR-SI</t>
  </si>
  <si>
    <t>Sinoe</t>
  </si>
  <si>
    <t>LY-BU</t>
  </si>
  <si>
    <t>Al Buţnān</t>
  </si>
  <si>
    <t>LY-JA</t>
  </si>
  <si>
    <t>Al Jabal al Akhḑar</t>
  </si>
  <si>
    <t>LY-JG</t>
  </si>
  <si>
    <t>Al Jabal al Gharbī</t>
  </si>
  <si>
    <t>LY-JI</t>
  </si>
  <si>
    <t>Al Jafārah</t>
  </si>
  <si>
    <t>LY-JU</t>
  </si>
  <si>
    <t>Al Jufrah</t>
  </si>
  <si>
    <t>LY-KF</t>
  </si>
  <si>
    <t>Al Kufrah</t>
  </si>
  <si>
    <t>LY-MJ</t>
  </si>
  <si>
    <t>Al Marj</t>
  </si>
  <si>
    <t>LY-MB</t>
  </si>
  <si>
    <t>Al Marqab</t>
  </si>
  <si>
    <t>LY-WA</t>
  </si>
  <si>
    <t>Al Wāḩāt</t>
  </si>
  <si>
    <t>LY-NQ</t>
  </si>
  <si>
    <t>An Nuqāţ al Khams</t>
  </si>
  <si>
    <t>LY-ZA</t>
  </si>
  <si>
    <t>Az Zāwiyah</t>
  </si>
  <si>
    <t>LY-BA</t>
  </si>
  <si>
    <t>Banghāzī</t>
  </si>
  <si>
    <t>LY-DR</t>
  </si>
  <si>
    <t>Darnah</t>
  </si>
  <si>
    <t>LY-GT</t>
  </si>
  <si>
    <t>Ghāt</t>
  </si>
  <si>
    <t>LY-MI</t>
  </si>
  <si>
    <t>Mişrātah</t>
  </si>
  <si>
    <t>LY-MQ</t>
  </si>
  <si>
    <t>Murzuq</t>
  </si>
  <si>
    <t>LY-NL</t>
  </si>
  <si>
    <t>Nālūt</t>
  </si>
  <si>
    <t>LY-SB</t>
  </si>
  <si>
    <t>Sabhā</t>
  </si>
  <si>
    <t>LY-SR</t>
  </si>
  <si>
    <t>Surt</t>
  </si>
  <si>
    <t>LY-TB</t>
  </si>
  <si>
    <t>Ţarābulus</t>
  </si>
  <si>
    <t>LY-WD</t>
  </si>
  <si>
    <t>Wādī al Ḩayāt</t>
  </si>
  <si>
    <t>LY-WS</t>
  </si>
  <si>
    <t>Wādī ash Shāţi’</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</si>
  <si>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</si>
  <si>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</si>
  <si>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</si>
  <si>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</si>
  <si>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</si>
  <si>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</si>
  <si>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</si>
  <si>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</si>
  <si>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</si>
  <si>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</si>
  <si>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</si>
  <si>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</si>
  <si>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</si>
  <si>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</si>
  <si>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</si>
  <si>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</si>
  <si>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</si>
  <si>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</si>
  <si>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</si>
  <si>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</si>
  <si>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</si>
  <si>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</si>
  <si>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LT-AL</t>
  </si>
  <si>
    <t>Alytaus Apskritis</t>
  </si>
  <si>
    <t>LT-02</t>
  </si>
  <si>
    <t xml:space="preserve">     Alytaus Miestas</t>
  </si>
  <si>
    <t>city municipality</t>
  </si>
  <si>
    <t>LT-03</t>
  </si>
  <si>
    <t xml:space="preserve">     Alytus</t>
  </si>
  <si>
    <t>district municipality</t>
  </si>
  <si>
    <t>LT-07</t>
  </si>
  <si>
    <t xml:space="preserve">     Druskininkai</t>
  </si>
  <si>
    <t>LT-24</t>
  </si>
  <si>
    <t xml:space="preserve">     Lazdijai</t>
  </si>
  <si>
    <t>LT-55</t>
  </si>
  <si>
    <t xml:space="preserve">     Varėna</t>
  </si>
  <si>
    <t>LT-KU</t>
  </si>
  <si>
    <t>Kauno Apskritis</t>
  </si>
  <si>
    <t>LT-05</t>
  </si>
  <si>
    <t xml:space="preserve">     Birštono</t>
  </si>
  <si>
    <t>LT-10</t>
  </si>
  <si>
    <t xml:space="preserve">     Jonava</t>
  </si>
  <si>
    <t>LT-13</t>
  </si>
  <si>
    <t xml:space="preserve">     Kaišiadorys</t>
  </si>
  <si>
    <t>LT-16</t>
  </si>
  <si>
    <t xml:space="preserve">     Kaunas</t>
  </si>
  <si>
    <t>LT-15</t>
  </si>
  <si>
    <t xml:space="preserve">     Kauno Miestas</t>
  </si>
  <si>
    <t>LT-18</t>
  </si>
  <si>
    <t xml:space="preserve">     Kėdainiai</t>
  </si>
  <si>
    <t>LT-36</t>
  </si>
  <si>
    <t xml:space="preserve">     Prienai</t>
  </si>
  <si>
    <t>LT-38</t>
  </si>
  <si>
    <t xml:space="preserve">     Raseiniai</t>
  </si>
  <si>
    <t>LT-KL</t>
  </si>
  <si>
    <t>Klaipėdos Apskritis</t>
  </si>
  <si>
    <t>LT-21</t>
  </si>
  <si>
    <t xml:space="preserve">     Klaipėda</t>
  </si>
  <si>
    <t>LT-20</t>
  </si>
  <si>
    <t xml:space="preserve">     Klaipėdos Miestas</t>
  </si>
  <si>
    <t>LT-22</t>
  </si>
  <si>
    <t xml:space="preserve">     Kretinga</t>
  </si>
  <si>
    <t>LT-28</t>
  </si>
  <si>
    <t xml:space="preserve">     Neringa</t>
  </si>
  <si>
    <t>LT-31</t>
  </si>
  <si>
    <t xml:space="preserve">     Palangos Miestas</t>
  </si>
  <si>
    <t>LT-46</t>
  </si>
  <si>
    <t xml:space="preserve">     Šilutė</t>
  </si>
  <si>
    <t>LT-48</t>
  </si>
  <si>
    <t xml:space="preserve">     Skuodas</t>
  </si>
  <si>
    <t>LT-MR</t>
  </si>
  <si>
    <t>Marijampolės Apskritis</t>
  </si>
  <si>
    <t>LT-14</t>
  </si>
  <si>
    <t xml:space="preserve">     Kalvarijos</t>
  </si>
  <si>
    <t>LT-17</t>
  </si>
  <si>
    <t xml:space="preserve">     Kazlų Rūdos</t>
  </si>
  <si>
    <t>LT-25</t>
  </si>
  <si>
    <t xml:space="preserve">     Marijampolė</t>
  </si>
  <si>
    <t>LT-41</t>
  </si>
  <si>
    <t xml:space="preserve">     Šakiai</t>
  </si>
  <si>
    <t>LT-56</t>
  </si>
  <si>
    <t xml:space="preserve">     Vilkaviškis</t>
  </si>
  <si>
    <t>LT-PN</t>
  </si>
  <si>
    <t>Panevėžio Apskritis</t>
  </si>
  <si>
    <t>LT-06</t>
  </si>
  <si>
    <t xml:space="preserve">     Biržai</t>
  </si>
  <si>
    <t>LT-23</t>
  </si>
  <si>
    <t xml:space="preserve">     Kupiškis</t>
  </si>
  <si>
    <t>LT-32</t>
  </si>
  <si>
    <t xml:space="preserve">     Panevėžio Miestas</t>
  </si>
  <si>
    <t>LT-33</t>
  </si>
  <si>
    <t xml:space="preserve">     Panevėžys</t>
  </si>
  <si>
    <t>LT-34</t>
  </si>
  <si>
    <t xml:space="preserve">     Pasvalys</t>
  </si>
  <si>
    <t>LT-40</t>
  </si>
  <si>
    <t xml:space="preserve">     Rokiškis</t>
  </si>
  <si>
    <t>LT-SA</t>
  </si>
  <si>
    <t>Šiaulių Apskritis</t>
  </si>
  <si>
    <t>LT-01</t>
  </si>
  <si>
    <t xml:space="preserve">     Akmenė</t>
  </si>
  <si>
    <t>LT-11</t>
  </si>
  <si>
    <t xml:space="preserve">     Joniškis</t>
  </si>
  <si>
    <t>LT-19</t>
  </si>
  <si>
    <t xml:space="preserve">     Kelmė</t>
  </si>
  <si>
    <t>LT-30</t>
  </si>
  <si>
    <t xml:space="preserve">     Pakruojis</t>
  </si>
  <si>
    <t>LT-37</t>
  </si>
  <si>
    <t xml:space="preserve">     Radviliškis</t>
  </si>
  <si>
    <t>LT-44</t>
  </si>
  <si>
    <t xml:space="preserve">     Šiauliai</t>
  </si>
  <si>
    <t>LT-43</t>
  </si>
  <si>
    <t xml:space="preserve">     Šiaulių Miestas</t>
  </si>
  <si>
    <t>LT-TA</t>
  </si>
  <si>
    <t>Tauragės Apskritis</t>
  </si>
  <si>
    <t>LT-12</t>
  </si>
  <si>
    <t xml:space="preserve">     Jurbarkas</t>
  </si>
  <si>
    <t>LT-29</t>
  </si>
  <si>
    <t xml:space="preserve">     Pagégiai</t>
  </si>
  <si>
    <t>LT-45</t>
  </si>
  <si>
    <t xml:space="preserve">     Šilalė</t>
  </si>
  <si>
    <t>LT-50</t>
  </si>
  <si>
    <t xml:space="preserve">     Tauragė</t>
  </si>
  <si>
    <t>LT-TE</t>
  </si>
  <si>
    <t>Telšių Apskritis</t>
  </si>
  <si>
    <t>LT-26</t>
  </si>
  <si>
    <t xml:space="preserve">     Mažeikiai</t>
  </si>
  <si>
    <t>LT-35</t>
  </si>
  <si>
    <t xml:space="preserve">     Plungė</t>
  </si>
  <si>
    <t>LT-39</t>
  </si>
  <si>
    <t xml:space="preserve">     Rietavo</t>
  </si>
  <si>
    <t>LT-51</t>
  </si>
  <si>
    <t xml:space="preserve">     Telšiai</t>
  </si>
  <si>
    <t>LT-UT</t>
  </si>
  <si>
    <t>Utenos Apskritis</t>
  </si>
  <si>
    <t>LT-04</t>
  </si>
  <si>
    <t xml:space="preserve">     Anykščiai</t>
  </si>
  <si>
    <t>LT-09</t>
  </si>
  <si>
    <t xml:space="preserve">     Ignalina</t>
  </si>
  <si>
    <t>LT-27</t>
  </si>
  <si>
    <t xml:space="preserve">     Molėtai</t>
  </si>
  <si>
    <t>LT-54</t>
  </si>
  <si>
    <t xml:space="preserve">     Utena</t>
  </si>
  <si>
    <t>LT-59</t>
  </si>
  <si>
    <t xml:space="preserve">     Visaginas</t>
  </si>
  <si>
    <t>LT-60</t>
  </si>
  <si>
    <t xml:space="preserve">     Zarasai</t>
  </si>
  <si>
    <t>LT-VL</t>
  </si>
  <si>
    <t>Vilniaus Apskritis</t>
  </si>
  <si>
    <t>LT-08</t>
  </si>
  <si>
    <t xml:space="preserve">     Elektrénai</t>
  </si>
  <si>
    <t>LT-42</t>
  </si>
  <si>
    <t xml:space="preserve">     Šalčininkai</t>
  </si>
  <si>
    <t>LT-47</t>
  </si>
  <si>
    <t xml:space="preserve">     Širvintos</t>
  </si>
  <si>
    <t>LT-49</t>
  </si>
  <si>
    <t xml:space="preserve">     Švenčionys</t>
  </si>
  <si>
    <t>LT-52</t>
  </si>
  <si>
    <t xml:space="preserve">     Trakai</t>
  </si>
  <si>
    <t>LT-53</t>
  </si>
  <si>
    <t xml:space="preserve">     Ukmergė</t>
  </si>
  <si>
    <t>LT-57</t>
  </si>
  <si>
    <t xml:space="preserve">     Vilniaus Miestas</t>
  </si>
  <si>
    <t>LT-58</t>
  </si>
  <si>
    <t xml:space="preserve">     Vilnius</t>
  </si>
  <si>
    <t>LU-CA</t>
  </si>
  <si>
    <t>Capellen</t>
  </si>
  <si>
    <t>canton</t>
  </si>
  <si>
    <t>LU-CL</t>
  </si>
  <si>
    <t>Clervaux</t>
  </si>
  <si>
    <t>LU-DI</t>
  </si>
  <si>
    <t>Diekirch</t>
  </si>
  <si>
    <t>LU-EC</t>
  </si>
  <si>
    <t>Echternach</t>
  </si>
  <si>
    <t>LU-ES</t>
  </si>
  <si>
    <t>Esch-sur-Alzette</t>
  </si>
  <si>
    <t>LU-GR</t>
  </si>
  <si>
    <t>Grevenmacher</t>
  </si>
  <si>
    <t>LU-LU</t>
  </si>
  <si>
    <t>LU-ME</t>
  </si>
  <si>
    <t>Mersch</t>
  </si>
  <si>
    <t>LU-RD</t>
  </si>
  <si>
    <t>Redange</t>
  </si>
  <si>
    <t>LU-RM</t>
  </si>
  <si>
    <t>Remich</t>
  </si>
  <si>
    <t>LU-VD</t>
  </si>
  <si>
    <t>Vianden</t>
  </si>
  <si>
    <t>LU-WI</t>
  </si>
  <si>
    <t>Wiltz</t>
  </si>
  <si>
    <t>MG-T</t>
  </si>
  <si>
    <t>Antananarivo</t>
  </si>
  <si>
    <t>MG-D</t>
  </si>
  <si>
    <t>Antsiranana</t>
  </si>
  <si>
    <t>MG-F</t>
  </si>
  <si>
    <t>Fianarantsoa</t>
  </si>
  <si>
    <t>MG-M</t>
  </si>
  <si>
    <t>Mahajanga</t>
  </si>
  <si>
    <t>MG-A</t>
  </si>
  <si>
    <t>Toamasina</t>
  </si>
  <si>
    <t>MG-U</t>
  </si>
  <si>
    <t>Toliara</t>
  </si>
  <si>
    <t>MW-C</t>
  </si>
  <si>
    <t>Central Region</t>
  </si>
  <si>
    <t>MW-DE</t>
  </si>
  <si>
    <t xml:space="preserve">     Dedza</t>
  </si>
  <si>
    <t>MW-DO</t>
  </si>
  <si>
    <t xml:space="preserve">     Dowa</t>
  </si>
  <si>
    <t>MW-KS</t>
  </si>
  <si>
    <t xml:space="preserve">     Kasungu</t>
  </si>
  <si>
    <t>MW-LI</t>
  </si>
  <si>
    <t xml:space="preserve">     Lilongwe</t>
  </si>
  <si>
    <t>MW-MC</t>
  </si>
  <si>
    <t xml:space="preserve">     Mchinji</t>
  </si>
  <si>
    <t>MW-NK</t>
  </si>
  <si>
    <t xml:space="preserve">     Nkhotakota</t>
  </si>
  <si>
    <t>MW-NU</t>
  </si>
  <si>
    <t xml:space="preserve">     Ntcheu</t>
  </si>
  <si>
    <t>MW-NI</t>
  </si>
  <si>
    <t xml:space="preserve">     Ntchisi</t>
  </si>
  <si>
    <t>MW-SA</t>
  </si>
  <si>
    <t xml:space="preserve">     Salima</t>
  </si>
  <si>
    <t>MW-N</t>
  </si>
  <si>
    <t>Northern Region</t>
  </si>
  <si>
    <t>MW-CT</t>
  </si>
  <si>
    <t xml:space="preserve">     Chitipa</t>
  </si>
  <si>
    <t>MW-KR</t>
  </si>
  <si>
    <t xml:space="preserve">     Karonga</t>
  </si>
  <si>
    <t>MW-LK</t>
  </si>
  <si>
    <t xml:space="preserve">     Likoma</t>
  </si>
  <si>
    <t>MW-MZ</t>
  </si>
  <si>
    <t xml:space="preserve">     Mzimba</t>
  </si>
  <si>
    <t>MW-NB</t>
  </si>
  <si>
    <t xml:space="preserve">     Nkhata Bay</t>
  </si>
  <si>
    <t>MW-RU</t>
  </si>
  <si>
    <t xml:space="preserve">     Rumphi</t>
  </si>
  <si>
    <t>MW-S</t>
  </si>
  <si>
    <t>Southern Region</t>
  </si>
  <si>
    <t>MW-BA</t>
  </si>
  <si>
    <t xml:space="preserve">     Balaka</t>
  </si>
  <si>
    <t>MW-BL</t>
  </si>
  <si>
    <t xml:space="preserve">     Blantyre</t>
  </si>
  <si>
    <t>MW-CK</t>
  </si>
  <si>
    <t xml:space="preserve">     Chikwawa</t>
  </si>
  <si>
    <t>MW-CR</t>
  </si>
  <si>
    <t xml:space="preserve">     Chiradzulu</t>
  </si>
  <si>
    <t>MW-MH</t>
  </si>
  <si>
    <t xml:space="preserve">     Machinga</t>
  </si>
  <si>
    <t>MW-MG</t>
  </si>
  <si>
    <t xml:space="preserve">     Mangochi</t>
  </si>
  <si>
    <t>MW-MU</t>
  </si>
  <si>
    <t xml:space="preserve">     Mulanje</t>
  </si>
  <si>
    <t>MW-MW</t>
  </si>
  <si>
    <t xml:space="preserve">     Mwanza</t>
  </si>
  <si>
    <t>MW-NE</t>
  </si>
  <si>
    <t xml:space="preserve">     Neno</t>
  </si>
  <si>
    <t>MW-NS</t>
  </si>
  <si>
    <t xml:space="preserve">     Nsanje</t>
  </si>
  <si>
    <t>MW-PH</t>
  </si>
  <si>
    <t xml:space="preserve">     Phalombe</t>
  </si>
  <si>
    <t>MW-TH</t>
  </si>
  <si>
    <t xml:space="preserve">     Thyolo</t>
  </si>
  <si>
    <t>MW-ZO</t>
  </si>
  <si>
    <t xml:space="preserve">     Zomba</t>
  </si>
  <si>
    <t>MY-01</t>
  </si>
  <si>
    <t>Johor</t>
  </si>
  <si>
    <t>MY-02</t>
  </si>
  <si>
    <t>Kedah</t>
  </si>
  <si>
    <t>MY-03</t>
  </si>
  <si>
    <t>Kelantan</t>
  </si>
  <si>
    <t>MY-14</t>
  </si>
  <si>
    <t xml:space="preserve">Kuala Lumpur </t>
  </si>
  <si>
    <t>federal territory</t>
  </si>
  <si>
    <t>MY-15</t>
  </si>
  <si>
    <t>Labuan</t>
  </si>
  <si>
    <t>MY-04</t>
  </si>
  <si>
    <t>Melaka</t>
  </si>
  <si>
    <t>MY-05</t>
  </si>
  <si>
    <t>Negeri Sembilan</t>
  </si>
  <si>
    <t>MY-06</t>
  </si>
  <si>
    <t>Pahang</t>
  </si>
  <si>
    <t>MY-08</t>
  </si>
  <si>
    <t>Perak</t>
  </si>
  <si>
    <t>MY-09</t>
  </si>
  <si>
    <t>Perlis</t>
  </si>
  <si>
    <t>MY-07</t>
  </si>
  <si>
    <t>Pulau Pinang</t>
  </si>
  <si>
    <t>MY-16</t>
  </si>
  <si>
    <t>Putrajaya</t>
  </si>
  <si>
    <t>MY-12</t>
  </si>
  <si>
    <t>Sabah</t>
  </si>
  <si>
    <t>MY-13</t>
  </si>
  <si>
    <t>Sarawak</t>
  </si>
  <si>
    <t>MY-10</t>
  </si>
  <si>
    <t>Selangor</t>
  </si>
  <si>
    <t>MY-11</t>
  </si>
  <si>
    <t>Terengganu</t>
  </si>
  <si>
    <t>MV-01</t>
  </si>
  <si>
    <t>Addu</t>
  </si>
  <si>
    <t>MV-00</t>
  </si>
  <si>
    <t>Ariatholhu Dhekunuburi</t>
  </si>
  <si>
    <t>administrative atoll</t>
  </si>
  <si>
    <t>MV-02</t>
  </si>
  <si>
    <t>Ariatholhu Uthuruburi</t>
  </si>
  <si>
    <t>MV-03</t>
  </si>
  <si>
    <t>Faadhippolhu</t>
  </si>
  <si>
    <t>MV-04</t>
  </si>
  <si>
    <t>Felidheatholhu</t>
  </si>
  <si>
    <t>MV-29</t>
  </si>
  <si>
    <t>Fuvammulah</t>
  </si>
  <si>
    <t>MV-05</t>
  </si>
  <si>
    <t>Hahdhunmathi</t>
  </si>
  <si>
    <t>MV-28</t>
  </si>
  <si>
    <t>Huvadhuatholhu Dhekunuburi</t>
  </si>
  <si>
    <t>MV-27</t>
  </si>
  <si>
    <t>Huvadhuatholhu Uthuruburi</t>
  </si>
  <si>
    <t>MV-08</t>
  </si>
  <si>
    <t>Kolhumadulu</t>
  </si>
  <si>
    <t>MV-MLE</t>
  </si>
  <si>
    <t>Maale</t>
  </si>
  <si>
    <t>MV-26</t>
  </si>
  <si>
    <t>Maaleatholhu</t>
  </si>
  <si>
    <t>MV-20</t>
  </si>
  <si>
    <t>Maalhosmadulu Dhekunuburi</t>
  </si>
  <si>
    <t>MV-13</t>
  </si>
  <si>
    <t>Maalhosmadulu Uthuruburi</t>
  </si>
  <si>
    <t>MV-25</t>
  </si>
  <si>
    <t>Miladhunmadulu Dhekunuburi</t>
  </si>
  <si>
    <t>MV-24</t>
  </si>
  <si>
    <t>Miladhunmadulu Uthuruburi</t>
  </si>
  <si>
    <t>MV-12</t>
  </si>
  <si>
    <t>Mulakatholhu</t>
  </si>
  <si>
    <t>MV-17</t>
  </si>
  <si>
    <t>Nilandheatholhu Dhekunuburi</t>
  </si>
  <si>
    <t>MV-14</t>
  </si>
  <si>
    <t>Nilandheatholhu Uthuruburi</t>
  </si>
  <si>
    <t>MV-23</t>
  </si>
  <si>
    <t>Thiladhunmathee Dhekunuburi</t>
  </si>
  <si>
    <t>MV-07</t>
  </si>
  <si>
    <t>Thiladhunmathee Uthuruburi</t>
  </si>
  <si>
    <t>ML-BKO</t>
  </si>
  <si>
    <t>Bamako</t>
  </si>
  <si>
    <t>ML-7</t>
  </si>
  <si>
    <t>Gao</t>
  </si>
  <si>
    <t>ML-1</t>
  </si>
  <si>
    <t>Kayes</t>
  </si>
  <si>
    <t>ML-8</t>
  </si>
  <si>
    <t>Kidal</t>
  </si>
  <si>
    <t>ML-2</t>
  </si>
  <si>
    <t>Koulikoro</t>
  </si>
  <si>
    <t>ML-5</t>
  </si>
  <si>
    <t>Mopti</t>
  </si>
  <si>
    <t>ML-4</t>
  </si>
  <si>
    <t>Ségou</t>
  </si>
  <si>
    <t>ML-3</t>
  </si>
  <si>
    <t>Sikasso</t>
  </si>
  <si>
    <t>ML-6</t>
  </si>
  <si>
    <t>Tombouctou</t>
  </si>
  <si>
    <t>MT-01</t>
  </si>
  <si>
    <t>Attard</t>
  </si>
  <si>
    <t>locality</t>
  </si>
  <si>
    <t>MT-02</t>
  </si>
  <si>
    <t>Balzan</t>
  </si>
  <si>
    <t>MT-03</t>
  </si>
  <si>
    <t>Birgu</t>
  </si>
  <si>
    <t>MT-04</t>
  </si>
  <si>
    <t>Birkirkara</t>
  </si>
  <si>
    <t>MT-05</t>
  </si>
  <si>
    <t>Birżebbuġa</t>
  </si>
  <si>
    <t>MT-06</t>
  </si>
  <si>
    <t>Bormla</t>
  </si>
  <si>
    <t>MT-07</t>
  </si>
  <si>
    <t>Dingli</t>
  </si>
  <si>
    <t>MT-08</t>
  </si>
  <si>
    <t>Fgura</t>
  </si>
  <si>
    <t>MT-09</t>
  </si>
  <si>
    <t>Floriana</t>
  </si>
  <si>
    <t>MT-10</t>
  </si>
  <si>
    <t>Fontana</t>
  </si>
  <si>
    <t>MT-13</t>
  </si>
  <si>
    <t>Għajnsielem</t>
  </si>
  <si>
    <t>MT-14</t>
  </si>
  <si>
    <t>Għarb</t>
  </si>
  <si>
    <t>MT-15</t>
  </si>
  <si>
    <t>Għargħur</t>
  </si>
  <si>
    <t>MT-16</t>
  </si>
  <si>
    <t>Għasri</t>
  </si>
  <si>
    <t>MT-17</t>
  </si>
  <si>
    <t>Għaxaq</t>
  </si>
  <si>
    <t>MT-11</t>
  </si>
  <si>
    <t>Gudja</t>
  </si>
  <si>
    <t>MT-12</t>
  </si>
  <si>
    <t>Gżira</t>
  </si>
  <si>
    <t>MT-18</t>
  </si>
  <si>
    <t>Ħamrun</t>
  </si>
  <si>
    <t>MT-19</t>
  </si>
  <si>
    <t>Iklin</t>
  </si>
  <si>
    <t>MT-29</t>
  </si>
  <si>
    <t>Imdina</t>
  </si>
  <si>
    <t>MT-31</t>
  </si>
  <si>
    <t>Imġarr</t>
  </si>
  <si>
    <t>MT-33</t>
  </si>
  <si>
    <t>Imqabba</t>
  </si>
  <si>
    <t>MT-34</t>
  </si>
  <si>
    <t>Imsida</t>
  </si>
  <si>
    <t>MT-35</t>
  </si>
  <si>
    <t>Imtarfa</t>
  </si>
  <si>
    <t>MT-20</t>
  </si>
  <si>
    <t>Isla</t>
  </si>
  <si>
    <t>MT-21</t>
  </si>
  <si>
    <t>Kalkara</t>
  </si>
  <si>
    <t>MT-22</t>
  </si>
  <si>
    <t>Kerċem</t>
  </si>
  <si>
    <t>MT-23</t>
  </si>
  <si>
    <t>Kirkop</t>
  </si>
  <si>
    <t>MT-24</t>
  </si>
  <si>
    <t>Lija</t>
  </si>
  <si>
    <t>MT-25</t>
  </si>
  <si>
    <t>Luqa</t>
  </si>
  <si>
    <t>MT-26</t>
  </si>
  <si>
    <t>Marsa</t>
  </si>
  <si>
    <t>MT-27</t>
  </si>
  <si>
    <t>Marsaskala</t>
  </si>
  <si>
    <t>MT-28</t>
  </si>
  <si>
    <t>Marsaxlokk</t>
  </si>
  <si>
    <t>MT-30</t>
  </si>
  <si>
    <t>Mellieħa</t>
  </si>
  <si>
    <t>MT-32</t>
  </si>
  <si>
    <t>Mosta</t>
  </si>
  <si>
    <t>MT-36</t>
  </si>
  <si>
    <t>Munxar</t>
  </si>
  <si>
    <t>MT-37</t>
  </si>
  <si>
    <t>Nadur</t>
  </si>
  <si>
    <t>MT-38</t>
  </si>
  <si>
    <t>Naxxar</t>
  </si>
  <si>
    <t>MT-39</t>
  </si>
  <si>
    <t>Paola</t>
  </si>
  <si>
    <t>MT-40</t>
  </si>
  <si>
    <t>MT-41</t>
  </si>
  <si>
    <t>Pietà</t>
  </si>
  <si>
    <t>MT-42</t>
  </si>
  <si>
    <t>Qala</t>
  </si>
  <si>
    <t>MT-43</t>
  </si>
  <si>
    <t>Qormi</t>
  </si>
  <si>
    <t>MT-44</t>
  </si>
  <si>
    <t>Qrendi</t>
  </si>
  <si>
    <t>MT-46</t>
  </si>
  <si>
    <t>Rabat</t>
  </si>
  <si>
    <t>MT-45</t>
  </si>
  <si>
    <t>Rabat (Ghawdex)</t>
  </si>
  <si>
    <t>MT-47</t>
  </si>
  <si>
    <t>Safi</t>
  </si>
  <si>
    <t>MT-48</t>
  </si>
  <si>
    <t>San Ġiljan</t>
  </si>
  <si>
    <t>MT-49</t>
  </si>
  <si>
    <t>San Ġwann</t>
  </si>
  <si>
    <t>MT-50</t>
  </si>
  <si>
    <t>San Lawrenz</t>
  </si>
  <si>
    <t>MT-52</t>
  </si>
  <si>
    <t>Sannat</t>
  </si>
  <si>
    <t>MT-51</t>
  </si>
  <si>
    <t>San Pawl il-Baħar</t>
  </si>
  <si>
    <t>MT-53</t>
  </si>
  <si>
    <t>Santa Luċija</t>
  </si>
  <si>
    <t>MT-54</t>
  </si>
  <si>
    <t>Santa Venera</t>
  </si>
  <si>
    <t>MT-55</t>
  </si>
  <si>
    <t>Siġġiewi</t>
  </si>
  <si>
    <t>MT-56</t>
  </si>
  <si>
    <t>Sliema</t>
  </si>
  <si>
    <t>MT-57</t>
  </si>
  <si>
    <t>Swieqi</t>
  </si>
  <si>
    <t>MT-59</t>
  </si>
  <si>
    <t>Tarxien</t>
  </si>
  <si>
    <t>MT-58</t>
  </si>
  <si>
    <t>Ta’ Xbiex</t>
  </si>
  <si>
    <t>MT-60</t>
  </si>
  <si>
    <t>Valletta</t>
  </si>
  <si>
    <t>MT-61</t>
  </si>
  <si>
    <t>Xagħra</t>
  </si>
  <si>
    <t>MT-62</t>
  </si>
  <si>
    <t>Xewkija</t>
  </si>
  <si>
    <t>MT-63</t>
  </si>
  <si>
    <t>Xgħajra</t>
  </si>
  <si>
    <t>MT-64</t>
  </si>
  <si>
    <t>Żabbar</t>
  </si>
  <si>
    <t>MT-66</t>
  </si>
  <si>
    <t>Żebbuġ</t>
  </si>
  <si>
    <t>MT-65</t>
  </si>
  <si>
    <t>Żebbuġ (Ghawdex)</t>
  </si>
  <si>
    <t>MT-67</t>
  </si>
  <si>
    <t>Żejtun</t>
  </si>
  <si>
    <t>MT-68</t>
  </si>
  <si>
    <t>Żurrieq</t>
  </si>
  <si>
    <t>MH-L</t>
  </si>
  <si>
    <t>Ralik Chain</t>
  </si>
  <si>
    <t>chain (of islands)</t>
  </si>
  <si>
    <t>MH-ALL</t>
  </si>
  <si>
    <t xml:space="preserve">     Ailinglaplap</t>
  </si>
  <si>
    <t>MH-EBO</t>
  </si>
  <si>
    <t xml:space="preserve">     Ebon</t>
  </si>
  <si>
    <t>MH-ENI</t>
  </si>
  <si>
    <t xml:space="preserve">     Enewetak</t>
  </si>
  <si>
    <t>MH-JAB</t>
  </si>
  <si>
    <t xml:space="preserve">     Jabat</t>
  </si>
  <si>
    <t>MH-JAL</t>
  </si>
  <si>
    <t xml:space="preserve">     Jaluit</t>
  </si>
  <si>
    <t>MH-KIL</t>
  </si>
  <si>
    <t xml:space="preserve">     Kili</t>
  </si>
  <si>
    <t>MH-KWA</t>
  </si>
  <si>
    <t xml:space="preserve">     Kwajalein</t>
  </si>
  <si>
    <t>MH-LAE</t>
  </si>
  <si>
    <t xml:space="preserve">     Lae</t>
  </si>
  <si>
    <t>MH-LIB</t>
  </si>
  <si>
    <t xml:space="preserve">     Lib</t>
  </si>
  <si>
    <t>MH-NMK</t>
  </si>
  <si>
    <t xml:space="preserve">     Namdrik</t>
  </si>
  <si>
    <t>MH-NMU</t>
  </si>
  <si>
    <t xml:space="preserve">     Namu</t>
  </si>
  <si>
    <t>MH-RON</t>
  </si>
  <si>
    <t xml:space="preserve">     Rongelap</t>
  </si>
  <si>
    <t>MH-UJA</t>
  </si>
  <si>
    <t xml:space="preserve">     Ujae</t>
  </si>
  <si>
    <t>MH-WTH</t>
  </si>
  <si>
    <t xml:space="preserve">     Wotho</t>
  </si>
  <si>
    <t>MH-T</t>
  </si>
  <si>
    <t>Ratak Chain</t>
  </si>
  <si>
    <t>MH-ALK</t>
  </si>
  <si>
    <t xml:space="preserve">     Ailuk</t>
  </si>
  <si>
    <t>MH-ARN</t>
  </si>
  <si>
    <t xml:space="preserve">     Arno</t>
  </si>
  <si>
    <t>MH-AUR</t>
  </si>
  <si>
    <t xml:space="preserve">     Aur</t>
  </si>
  <si>
    <t>MH-LIK</t>
  </si>
  <si>
    <t xml:space="preserve">     Likiep</t>
  </si>
  <si>
    <t>MH-MAJ</t>
  </si>
  <si>
    <t xml:space="preserve">     Majuro</t>
  </si>
  <si>
    <t>MH-MAL</t>
  </si>
  <si>
    <t xml:space="preserve">     Maloelap</t>
  </si>
  <si>
    <t>MH-MEJ</t>
  </si>
  <si>
    <t xml:space="preserve">     Mejit</t>
  </si>
  <si>
    <t>MH-MIL</t>
  </si>
  <si>
    <t xml:space="preserve">     Mili</t>
  </si>
  <si>
    <t>MH-UTI</t>
  </si>
  <si>
    <t xml:space="preserve">     Utrik</t>
  </si>
  <si>
    <t>MH-WTJ</t>
  </si>
  <si>
    <t xml:space="preserve">     Wotje</t>
  </si>
  <si>
    <t>MR-07</t>
  </si>
  <si>
    <t>MR-03</t>
  </si>
  <si>
    <t>Assaba</t>
  </si>
  <si>
    <t>MR-05</t>
  </si>
  <si>
    <t>Brakna</t>
  </si>
  <si>
    <t>MR-08</t>
  </si>
  <si>
    <t>Dakhlet Nouadhibou</t>
  </si>
  <si>
    <t>MR-04</t>
  </si>
  <si>
    <t>Gorgol</t>
  </si>
  <si>
    <t>MR-10</t>
  </si>
  <si>
    <t>Guidimaka</t>
  </si>
  <si>
    <t>MR-01</t>
  </si>
  <si>
    <t>Hodh ech Chargui</t>
  </si>
  <si>
    <t>MR-02</t>
  </si>
  <si>
    <t>Hodh el Gharbi</t>
  </si>
  <si>
    <t>MR-12</t>
  </si>
  <si>
    <t>Inchiri</t>
  </si>
  <si>
    <t>MR-14</t>
  </si>
  <si>
    <t>Nouakchott Nord</t>
  </si>
  <si>
    <t>MR-13</t>
  </si>
  <si>
    <t>Nouakchott Ouest</t>
  </si>
  <si>
    <t>MR-15</t>
  </si>
  <si>
    <t>Nouakchott Sud</t>
  </si>
  <si>
    <t>MR-09</t>
  </si>
  <si>
    <t>Tagant</t>
  </si>
  <si>
    <t>MR-11</t>
  </si>
  <si>
    <t>Tiris Zemmour</t>
  </si>
  <si>
    <t>MR-06</t>
  </si>
  <si>
    <t>Trarza</t>
  </si>
  <si>
    <t>MU-AG</t>
  </si>
  <si>
    <t>Agalega Islands</t>
  </si>
  <si>
    <t>MU-BR</t>
  </si>
  <si>
    <t>Beau Bassin-Rose Hill</t>
  </si>
  <si>
    <t>MU-BL</t>
  </si>
  <si>
    <t>Black River</t>
  </si>
  <si>
    <t>MU-CC</t>
  </si>
  <si>
    <t>Cargados Carajos</t>
  </si>
  <si>
    <t>MU-CU</t>
  </si>
  <si>
    <t>Curepipe</t>
  </si>
  <si>
    <t>MU-FL</t>
  </si>
  <si>
    <t>Flacq</t>
  </si>
  <si>
    <t>MU-GP</t>
  </si>
  <si>
    <t>Grand Port</t>
  </si>
  <si>
    <t>MU-MO</t>
  </si>
  <si>
    <t>Moka</t>
  </si>
  <si>
    <t>MU-PA</t>
  </si>
  <si>
    <t>Pamplemousses</t>
  </si>
  <si>
    <t>MU-PW</t>
  </si>
  <si>
    <t>Plaines Wilhems</t>
  </si>
  <si>
    <t>MU-PU</t>
  </si>
  <si>
    <t>Port Louis</t>
  </si>
  <si>
    <t>MU-PL</t>
  </si>
  <si>
    <t>MU-QB</t>
  </si>
  <si>
    <t>Quatre Bornes</t>
  </si>
  <si>
    <t>MU-RR</t>
  </si>
  <si>
    <t>Rivière du Rempart</t>
  </si>
  <si>
    <t>MU-RO</t>
  </si>
  <si>
    <t>Rodrigues</t>
  </si>
  <si>
    <t>MU-SA</t>
  </si>
  <si>
    <t>Savanne</t>
  </si>
  <si>
    <t>MU-VP</t>
  </si>
  <si>
    <t>Vacoas-Phoenix</t>
  </si>
  <si>
    <t>MX-AGU</t>
  </si>
  <si>
    <t>Aguascalientes</t>
  </si>
  <si>
    <t>MX-BCN</t>
  </si>
  <si>
    <t>Baja California</t>
  </si>
  <si>
    <t>MX-BCS</t>
  </si>
  <si>
    <t>Baja California Sur</t>
  </si>
  <si>
    <t>MX-CAM</t>
  </si>
  <si>
    <t>Campeche</t>
  </si>
  <si>
    <t>MX-CHP</t>
  </si>
  <si>
    <t>Chiapas</t>
  </si>
  <si>
    <t>MX-CHH</t>
  </si>
  <si>
    <t>Chihuahua</t>
  </si>
  <si>
    <t>MX-CMX</t>
  </si>
  <si>
    <t>Ciudad de México</t>
  </si>
  <si>
    <t>MX-COA</t>
  </si>
  <si>
    <t>Coahuila</t>
  </si>
  <si>
    <t>MX-COL</t>
  </si>
  <si>
    <t>Colima</t>
  </si>
  <si>
    <t>MX-DUR</t>
  </si>
  <si>
    <t>Durango</t>
  </si>
  <si>
    <t>MX-GUA</t>
  </si>
  <si>
    <t>Guanajuato</t>
  </si>
  <si>
    <t>MX-GRO</t>
  </si>
  <si>
    <t>Guerrero</t>
  </si>
  <si>
    <t>MX-HID</t>
  </si>
  <si>
    <t>Hidalgo</t>
  </si>
  <si>
    <t>MX-JAL</t>
  </si>
  <si>
    <t>Jalisco</t>
  </si>
  <si>
    <t>MX-MEX</t>
  </si>
  <si>
    <t>México</t>
  </si>
  <si>
    <t>MX-MIC</t>
  </si>
  <si>
    <t>Michoacán</t>
  </si>
  <si>
    <t>MX-MOR</t>
  </si>
  <si>
    <t>Morelos</t>
  </si>
  <si>
    <t>MX-NAY</t>
  </si>
  <si>
    <t>Nayarit</t>
  </si>
  <si>
    <t>MX-NLE</t>
  </si>
  <si>
    <t>Nuevo León</t>
  </si>
  <si>
    <t>MX-OAX</t>
  </si>
  <si>
    <t>Oaxaca</t>
  </si>
  <si>
    <t>MX-PUE</t>
  </si>
  <si>
    <t>Puebla</t>
  </si>
  <si>
    <t>MX-QUE</t>
  </si>
  <si>
    <t>Querétaro</t>
  </si>
  <si>
    <t>MX-ROO</t>
  </si>
  <si>
    <t>Quintana Roo</t>
  </si>
  <si>
    <t>MX-SLP</t>
  </si>
  <si>
    <t>San Luis Potosí</t>
  </si>
  <si>
    <t>MX-SIN</t>
  </si>
  <si>
    <t>Sinaloa</t>
  </si>
  <si>
    <t>MX-SON</t>
  </si>
  <si>
    <t>Sonora</t>
  </si>
  <si>
    <t>MX-TAB</t>
  </si>
  <si>
    <t>Tabasco</t>
  </si>
  <si>
    <t>MX-TAM</t>
  </si>
  <si>
    <t>Tamaulipas</t>
  </si>
  <si>
    <t>MX-TLA</t>
  </si>
  <si>
    <t>Tlaxcala</t>
  </si>
  <si>
    <t>MX-VER</t>
  </si>
  <si>
    <t>Veracruz</t>
  </si>
  <si>
    <t>MX-YUC</t>
  </si>
  <si>
    <t>Yucatán</t>
  </si>
  <si>
    <t>MX-ZAC</t>
  </si>
  <si>
    <t>Zacatecas</t>
  </si>
  <si>
    <t>FM-TRK</t>
  </si>
  <si>
    <t>Chuuk</t>
  </si>
  <si>
    <t>FM-KSA</t>
  </si>
  <si>
    <t>Kosrae</t>
  </si>
  <si>
    <t>FM-PNI</t>
  </si>
  <si>
    <t>Pohnpei</t>
  </si>
  <si>
    <t>FM-YAP</t>
  </si>
  <si>
    <t>Yap</t>
  </si>
  <si>
    <t>MD-AN</t>
  </si>
  <si>
    <t>Anenii Noi</t>
  </si>
  <si>
    <t>MD-BA</t>
  </si>
  <si>
    <t>Bălţi</t>
  </si>
  <si>
    <t>MD-BS</t>
  </si>
  <si>
    <t>Basarabeasca</t>
  </si>
  <si>
    <t>MD-BD</t>
  </si>
  <si>
    <t>Bender</t>
  </si>
  <si>
    <t>MD-BR</t>
  </si>
  <si>
    <t>Briceni</t>
  </si>
  <si>
    <t>MD-CA</t>
  </si>
  <si>
    <t>Cahul</t>
  </si>
  <si>
    <t>MD-CL</t>
  </si>
  <si>
    <t>Călăraşi</t>
  </si>
  <si>
    <t>MD-CT</t>
  </si>
  <si>
    <t>Cantemir</t>
  </si>
  <si>
    <t>MD-CS</t>
  </si>
  <si>
    <t>Căuşeni</t>
  </si>
  <si>
    <t>MD-CU</t>
  </si>
  <si>
    <t>Chişinău</t>
  </si>
  <si>
    <t>MD-CM</t>
  </si>
  <si>
    <t>Cimişlia</t>
  </si>
  <si>
    <t>MD-CR</t>
  </si>
  <si>
    <t>Criuleni</t>
  </si>
  <si>
    <t>MD-DO</t>
  </si>
  <si>
    <t>Donduşeni</t>
  </si>
  <si>
    <t>MD-DR</t>
  </si>
  <si>
    <t>Drochia</t>
  </si>
  <si>
    <t>MD-DU</t>
  </si>
  <si>
    <t>Dubăsari</t>
  </si>
  <si>
    <t>MD-ED</t>
  </si>
  <si>
    <t>Edineţ</t>
  </si>
  <si>
    <t>MD-FA</t>
  </si>
  <si>
    <t>Făleşti</t>
  </si>
  <si>
    <t>MD-FL</t>
  </si>
  <si>
    <t>Floreşti</t>
  </si>
  <si>
    <t>MD-GA</t>
  </si>
  <si>
    <t>Găgăuzia</t>
  </si>
  <si>
    <t>autonomous territorial unit</t>
  </si>
  <si>
    <t>MD-GL</t>
  </si>
  <si>
    <t>Glodeni</t>
  </si>
  <si>
    <t>MD-HI</t>
  </si>
  <si>
    <t>Hînceşti</t>
  </si>
  <si>
    <t>MD-IA</t>
  </si>
  <si>
    <t>Ialoveni</t>
  </si>
  <si>
    <t>MD-LE</t>
  </si>
  <si>
    <t>Leova</t>
  </si>
  <si>
    <t>MD-NI</t>
  </si>
  <si>
    <t>Nisporeni</t>
  </si>
  <si>
    <t>MD-OC</t>
  </si>
  <si>
    <t>Ocniţa</t>
  </si>
  <si>
    <t>MD-OR</t>
  </si>
  <si>
    <t>Orhei</t>
  </si>
  <si>
    <t>MD-RE</t>
  </si>
  <si>
    <t>Rezina</t>
  </si>
  <si>
    <t>MD-RI</t>
  </si>
  <si>
    <t>Rîşcani</t>
  </si>
  <si>
    <t>MD-SI</t>
  </si>
  <si>
    <t>Sîngerei</t>
  </si>
  <si>
    <t>MD-SD</t>
  </si>
  <si>
    <t>Şoldăneşti</t>
  </si>
  <si>
    <t>MD-SO</t>
  </si>
  <si>
    <t>Soroca</t>
  </si>
  <si>
    <t>MD-SV</t>
  </si>
  <si>
    <t>Ştefan Vodă</t>
  </si>
  <si>
    <t>MD-SN</t>
  </si>
  <si>
    <t>Stînga Nistrului</t>
  </si>
  <si>
    <t>territorial unit</t>
  </si>
  <si>
    <t>MD-ST</t>
  </si>
  <si>
    <t>Străşeni</t>
  </si>
  <si>
    <t>MD-TA</t>
  </si>
  <si>
    <t>Taraclia</t>
  </si>
  <si>
    <t>MD-TE</t>
  </si>
  <si>
    <t>Teleneşti</t>
  </si>
  <si>
    <t>MD-UN</t>
  </si>
  <si>
    <t>Ungheni</t>
  </si>
  <si>
    <t>MC-FO</t>
  </si>
  <si>
    <t>Fontvieille</t>
  </si>
  <si>
    <t>quarter</t>
  </si>
  <si>
    <t>MC-JE</t>
  </si>
  <si>
    <t>Jardin Exotique</t>
  </si>
  <si>
    <t>MC-CL</t>
  </si>
  <si>
    <t>La Colle</t>
  </si>
  <si>
    <t>MC-CO</t>
  </si>
  <si>
    <t>La Condamine</t>
  </si>
  <si>
    <t>MC-GA</t>
  </si>
  <si>
    <t>La Gare</t>
  </si>
  <si>
    <t>MC-LA</t>
  </si>
  <si>
    <t>Larvotto</t>
  </si>
  <si>
    <t>MC-SO</t>
  </si>
  <si>
    <t>La Source</t>
  </si>
  <si>
    <t>MC-MA</t>
  </si>
  <si>
    <t>Malbousquet</t>
  </si>
  <si>
    <t>MC-MO</t>
  </si>
  <si>
    <t>Monaco-Ville</t>
  </si>
  <si>
    <t>MC-MG</t>
  </si>
  <si>
    <t>Moneghetti</t>
  </si>
  <si>
    <t>MC-MC</t>
  </si>
  <si>
    <t>Monte-Carlo</t>
  </si>
  <si>
    <t>MC-MU</t>
  </si>
  <si>
    <t>Moulins</t>
  </si>
  <si>
    <t>MC-PH</t>
  </si>
  <si>
    <t>Port-Hercule</t>
  </si>
  <si>
    <t>MC-SD</t>
  </si>
  <si>
    <t>Sainte-Dévote</t>
  </si>
  <si>
    <t>MC-SR</t>
  </si>
  <si>
    <t>Saint-Roman</t>
  </si>
  <si>
    <t>MC-SP</t>
  </si>
  <si>
    <t>Spélugues</t>
  </si>
  <si>
    <t>MC-VR</t>
  </si>
  <si>
    <t>Vallon de la Rousse</t>
  </si>
  <si>
    <t>MN-073</t>
  </si>
  <si>
    <t>Arhangay</t>
  </si>
  <si>
    <t>MN-069</t>
  </si>
  <si>
    <t>Bayanhongor</t>
  </si>
  <si>
    <t>MN-071</t>
  </si>
  <si>
    <t>Bayan-Ölgiy</t>
  </si>
  <si>
    <t>MN-067</t>
  </si>
  <si>
    <t>Bulgan</t>
  </si>
  <si>
    <t>MN-037</t>
  </si>
  <si>
    <t>Darhan-Uul</t>
  </si>
  <si>
    <t>MN-061</t>
  </si>
  <si>
    <t>Dornod</t>
  </si>
  <si>
    <t>MN-063</t>
  </si>
  <si>
    <t>Dornogovĭ</t>
  </si>
  <si>
    <t>MN-059</t>
  </si>
  <si>
    <t>Dundgovĭ</t>
  </si>
  <si>
    <t>MN-057</t>
  </si>
  <si>
    <t>Dzavhan</t>
  </si>
  <si>
    <t>MN-065</t>
  </si>
  <si>
    <t>Govĭ-Altay</t>
  </si>
  <si>
    <t>MN-064</t>
  </si>
  <si>
    <t>Govĭsümber</t>
  </si>
  <si>
    <t>MN-039</t>
  </si>
  <si>
    <t>Hentiy</t>
  </si>
  <si>
    <t>MN-043</t>
  </si>
  <si>
    <t>Hovd</t>
  </si>
  <si>
    <t>MN-041</t>
  </si>
  <si>
    <t>Hövsgöl</t>
  </si>
  <si>
    <t>MN-053</t>
  </si>
  <si>
    <t>Ömnögovĭ</t>
  </si>
  <si>
    <t>MN-035</t>
  </si>
  <si>
    <t>Orhon</t>
  </si>
  <si>
    <t>MN-055</t>
  </si>
  <si>
    <t>Övörhangay</t>
  </si>
  <si>
    <t>MN-049</t>
  </si>
  <si>
    <t>Selenge</t>
  </si>
  <si>
    <t>MN-051</t>
  </si>
  <si>
    <t>Sühbaatar</t>
  </si>
  <si>
    <t>MN-047</t>
  </si>
  <si>
    <t>Töv</t>
  </si>
  <si>
    <t>MN-1</t>
  </si>
  <si>
    <t>Ulaanbaatar</t>
  </si>
  <si>
    <t>MN-046</t>
  </si>
  <si>
    <t>Uvs</t>
  </si>
  <si>
    <t>ME-01</t>
  </si>
  <si>
    <t>Andrijevica</t>
  </si>
  <si>
    <t>ME-02</t>
  </si>
  <si>
    <t>Bar</t>
  </si>
  <si>
    <t>ME-03</t>
  </si>
  <si>
    <t>Berane</t>
  </si>
  <si>
    <t>ME-04</t>
  </si>
  <si>
    <t>Bijelo Polje</t>
  </si>
  <si>
    <t>ME-05</t>
  </si>
  <si>
    <t>Budva</t>
  </si>
  <si>
    <t>ME-06</t>
  </si>
  <si>
    <t>Cetinje</t>
  </si>
  <si>
    <t>ME-07</t>
  </si>
  <si>
    <t>Danilovgrad</t>
  </si>
  <si>
    <t>ME-22</t>
  </si>
  <si>
    <t>Gusinje</t>
  </si>
  <si>
    <t>ME-08</t>
  </si>
  <si>
    <t>Herceg Novi</t>
  </si>
  <si>
    <t>ME-09</t>
  </si>
  <si>
    <t>Kolašin</t>
  </si>
  <si>
    <t>ME-10</t>
  </si>
  <si>
    <t>Kotor</t>
  </si>
  <si>
    <t>ME-11</t>
  </si>
  <si>
    <t>Mojkovac</t>
  </si>
  <si>
    <t>ME-12</t>
  </si>
  <si>
    <t>Nikšić</t>
  </si>
  <si>
    <t>ME-23</t>
  </si>
  <si>
    <t>Petnjica</t>
  </si>
  <si>
    <t>ME-13</t>
  </si>
  <si>
    <t>Plav</t>
  </si>
  <si>
    <t>ME-14</t>
  </si>
  <si>
    <t>Pljevlja</t>
  </si>
  <si>
    <t>ME-15</t>
  </si>
  <si>
    <t>Plužine</t>
  </si>
  <si>
    <t>ME-16</t>
  </si>
  <si>
    <t>Podgorica</t>
  </si>
  <si>
    <t>ME-17</t>
  </si>
  <si>
    <t>Rožaje</t>
  </si>
  <si>
    <t>ME-18</t>
  </si>
  <si>
    <t>Šavnik</t>
  </si>
  <si>
    <t>ME-19</t>
  </si>
  <si>
    <t>Tivat</t>
  </si>
  <si>
    <t>ME-24</t>
  </si>
  <si>
    <t>Tuzi</t>
  </si>
  <si>
    <t>ME-20</t>
  </si>
  <si>
    <t>Ulcinj</t>
  </si>
  <si>
    <t>ME-21</t>
  </si>
  <si>
    <t>Žabljak</t>
  </si>
  <si>
    <t>MS-01</t>
  </si>
  <si>
    <t>Saint Anthony</t>
  </si>
  <si>
    <t>MS-02</t>
  </si>
  <si>
    <t>Saint Georges</t>
  </si>
  <si>
    <t>MS-03</t>
  </si>
  <si>
    <t>MA-05</t>
  </si>
  <si>
    <t>Béni Mellal-Khénifra</t>
  </si>
  <si>
    <t>MA-AZI</t>
  </si>
  <si>
    <t xml:space="preserve">     Azilal</t>
  </si>
  <si>
    <t>MA-BEM</t>
  </si>
  <si>
    <t xml:space="preserve">     Béni Mellal</t>
  </si>
  <si>
    <t>MA-FQH</t>
  </si>
  <si>
    <t xml:space="preserve">     Fquih Ben Salah</t>
  </si>
  <si>
    <t>MA-KHN</t>
  </si>
  <si>
    <t xml:space="preserve">     Khénifra</t>
  </si>
  <si>
    <t>MA-KHO</t>
  </si>
  <si>
    <t xml:space="preserve">     Khouribga</t>
  </si>
  <si>
    <t>MA-06</t>
  </si>
  <si>
    <t>Casablanca-Settat</t>
  </si>
  <si>
    <t>MA-BES</t>
  </si>
  <si>
    <t xml:space="preserve">     Benslimane</t>
  </si>
  <si>
    <t>MA-BRR</t>
  </si>
  <si>
    <t xml:space="preserve">     Berrechid</t>
  </si>
  <si>
    <t>MA-CAS</t>
  </si>
  <si>
    <t xml:space="preserve">     Casablanca</t>
  </si>
  <si>
    <t>MA-JDI</t>
  </si>
  <si>
    <t xml:space="preserve">     El Jadida</t>
  </si>
  <si>
    <t>MA-MED</t>
  </si>
  <si>
    <t xml:space="preserve">     Médiouna</t>
  </si>
  <si>
    <t>MA-MOH</t>
  </si>
  <si>
    <t xml:space="preserve">     Mohammadia</t>
  </si>
  <si>
    <t>MA-SET</t>
  </si>
  <si>
    <t xml:space="preserve">     Settat</t>
  </si>
  <si>
    <t>MA-SIB</t>
  </si>
  <si>
    <t xml:space="preserve">     Sidi Bennour</t>
  </si>
  <si>
    <t>MA-08</t>
  </si>
  <si>
    <t>Drâa-Tafilalet</t>
  </si>
  <si>
    <t>MA-ERR</t>
  </si>
  <si>
    <t xml:space="preserve">     Er Rachidia</t>
  </si>
  <si>
    <t>MA-MID</t>
  </si>
  <si>
    <t xml:space="preserve">     Midelt</t>
  </si>
  <si>
    <t>MA-OUA</t>
  </si>
  <si>
    <t xml:space="preserve">     Ouarzazate</t>
  </si>
  <si>
    <t>MA-TIN</t>
  </si>
  <si>
    <t xml:space="preserve">     Tinghir</t>
  </si>
  <si>
    <t>MA-ZAG</t>
  </si>
  <si>
    <t xml:space="preserve">     Zagora</t>
  </si>
  <si>
    <t>MA-03</t>
  </si>
  <si>
    <t>Fès-Meknès</t>
  </si>
  <si>
    <t>MA-BOM</t>
  </si>
  <si>
    <t xml:space="preserve">     Boulemane</t>
  </si>
  <si>
    <t>MA-HAJ</t>
  </si>
  <si>
    <t xml:space="preserve">     El Hajeb</t>
  </si>
  <si>
    <t>MA-FES</t>
  </si>
  <si>
    <t xml:space="preserve">     Fès</t>
  </si>
  <si>
    <t>MA-IFR</t>
  </si>
  <si>
    <t xml:space="preserve">     Ifrane</t>
  </si>
  <si>
    <t>MA-MEK</t>
  </si>
  <si>
    <t xml:space="preserve">     Meknès</t>
  </si>
  <si>
    <t>MA-MOU</t>
  </si>
  <si>
    <t xml:space="preserve">     Moulay Yacoub</t>
  </si>
  <si>
    <t>MA-SEF</t>
  </si>
  <si>
    <t xml:space="preserve">     Sefrou</t>
  </si>
  <si>
    <t>MA-TAO</t>
  </si>
  <si>
    <t xml:space="preserve">     Taounate</t>
  </si>
  <si>
    <t>MA-TAZ</t>
  </si>
  <si>
    <t xml:space="preserve">     Taza</t>
  </si>
  <si>
    <t>MA-10</t>
  </si>
  <si>
    <t>Guelmim-Oued Noun</t>
  </si>
  <si>
    <t>MA-ASZ</t>
  </si>
  <si>
    <t xml:space="preserve">     Assa-Zag</t>
  </si>
  <si>
    <t>MA-GUE</t>
  </si>
  <si>
    <t xml:space="preserve">     Guelmim</t>
  </si>
  <si>
    <t>MA-SIF</t>
  </si>
  <si>
    <t xml:space="preserve">     Sidi Ifni</t>
  </si>
  <si>
    <t>MA-TNT</t>
  </si>
  <si>
    <t xml:space="preserve">     Tan-Tan</t>
  </si>
  <si>
    <t>MA-11</t>
  </si>
  <si>
    <t>Laâyoune-Sakia El Hamra</t>
  </si>
  <si>
    <t>MA-ESM</t>
  </si>
  <si>
    <t xml:space="preserve">     Es-Semara</t>
  </si>
  <si>
    <t>MA-TAF</t>
  </si>
  <si>
    <t xml:space="preserve">     Tarfaya</t>
  </si>
  <si>
    <t>MA-07</t>
  </si>
  <si>
    <t>Marrakech-Safi</t>
  </si>
  <si>
    <t>MA-HAO</t>
  </si>
  <si>
    <t xml:space="preserve">     Al Haouz</t>
  </si>
  <si>
    <t>MA-CHI</t>
  </si>
  <si>
    <t xml:space="preserve">     Chichaoua</t>
  </si>
  <si>
    <t>MA-KES</t>
  </si>
  <si>
    <t xml:space="preserve">     El Kelâa des Sraghna</t>
  </si>
  <si>
    <t>MA-ESI</t>
  </si>
  <si>
    <t xml:space="preserve">     Essaouira</t>
  </si>
  <si>
    <t>MA-MAR</t>
  </si>
  <si>
    <t xml:space="preserve">     Marrakech</t>
  </si>
  <si>
    <t>MA-REH</t>
  </si>
  <si>
    <t xml:space="preserve">     Rehamna</t>
  </si>
  <si>
    <t>MA-SAF</t>
  </si>
  <si>
    <t xml:space="preserve">     Safi</t>
  </si>
  <si>
    <t>MA-YUS</t>
  </si>
  <si>
    <t xml:space="preserve">     Youssoufia</t>
  </si>
  <si>
    <t>MA-02</t>
  </si>
  <si>
    <t>Oriental</t>
  </si>
  <si>
    <t>MA-BER</t>
  </si>
  <si>
    <t xml:space="preserve">     Berkane</t>
  </si>
  <si>
    <t>MA-DRI</t>
  </si>
  <si>
    <t xml:space="preserve">     Driouch</t>
  </si>
  <si>
    <t>MA-FIG</t>
  </si>
  <si>
    <t xml:space="preserve">     Figuig</t>
  </si>
  <si>
    <t>MA-GUF</t>
  </si>
  <si>
    <t xml:space="preserve">     Guercif</t>
  </si>
  <si>
    <t>MA-JRA</t>
  </si>
  <si>
    <t xml:space="preserve">     Jerada</t>
  </si>
  <si>
    <t>MA-NAD</t>
  </si>
  <si>
    <t xml:space="preserve">     Nador</t>
  </si>
  <si>
    <t>MA-OUJ</t>
  </si>
  <si>
    <t xml:space="preserve">     Oujda-Angad</t>
  </si>
  <si>
    <t>MA-TAI</t>
  </si>
  <si>
    <t xml:space="preserve">     Taourirt</t>
  </si>
  <si>
    <t>MA-04</t>
  </si>
  <si>
    <t>Rabat-Salé-Kénitra</t>
  </si>
  <si>
    <t>MA-KEN</t>
  </si>
  <si>
    <t xml:space="preserve">     Kénitra</t>
  </si>
  <si>
    <t>MA-KHE</t>
  </si>
  <si>
    <t xml:space="preserve">     Khémisset</t>
  </si>
  <si>
    <t>MA-NOU</t>
  </si>
  <si>
    <t xml:space="preserve">     Nouaceur</t>
  </si>
  <si>
    <t>MA-RAB</t>
  </si>
  <si>
    <t xml:space="preserve">     Rabat</t>
  </si>
  <si>
    <t>MA-SAL</t>
  </si>
  <si>
    <t xml:space="preserve">     Salé</t>
  </si>
  <si>
    <t>MA-SIK</t>
  </si>
  <si>
    <t xml:space="preserve">     Sidi Kacem</t>
  </si>
  <si>
    <t>MA-SIL</t>
  </si>
  <si>
    <t xml:space="preserve">     Sidi Slimane</t>
  </si>
  <si>
    <t>MA-SKH</t>
  </si>
  <si>
    <t xml:space="preserve">     Skhirate-Témara</t>
  </si>
  <si>
    <t>MA-09</t>
  </si>
  <si>
    <t>Souss-Massa</t>
  </si>
  <si>
    <t>MA-AGD</t>
  </si>
  <si>
    <t xml:space="preserve">     Agadir Ida Outanane</t>
  </si>
  <si>
    <t>MA-CHT</t>
  </si>
  <si>
    <t xml:space="preserve">     Chtouka-Ait Baha</t>
  </si>
  <si>
    <t>MA-INE</t>
  </si>
  <si>
    <t xml:space="preserve">     Inezgane-Ait Melloul</t>
  </si>
  <si>
    <t>MA-TAR</t>
  </si>
  <si>
    <t xml:space="preserve">     Taroudannt</t>
  </si>
  <si>
    <t>MA-TAT</t>
  </si>
  <si>
    <t xml:space="preserve">     Tata</t>
  </si>
  <si>
    <t>MA-TIZ</t>
  </si>
  <si>
    <t xml:space="preserve">     Tiznit</t>
  </si>
  <si>
    <t>MA-01</t>
  </si>
  <si>
    <t>Tanger-Tétouan-Al Hoceïma</t>
  </si>
  <si>
    <t>MA-HOC</t>
  </si>
  <si>
    <t xml:space="preserve">     Al Hoceïma</t>
  </si>
  <si>
    <t>MA-CHE</t>
  </si>
  <si>
    <t xml:space="preserve">     Chefchaouen</t>
  </si>
  <si>
    <t>MA-FAH</t>
  </si>
  <si>
    <t xml:space="preserve">     Fahs-Anjra</t>
  </si>
  <si>
    <t>MA-LAR</t>
  </si>
  <si>
    <t xml:space="preserve">     Larache</t>
  </si>
  <si>
    <t>MA-MDF</t>
  </si>
  <si>
    <t xml:space="preserve">     M'diq-Fnideq</t>
  </si>
  <si>
    <t>MA-OUZ</t>
  </si>
  <si>
    <t xml:space="preserve">     Ouezzane</t>
  </si>
  <si>
    <t>MA-TNG</t>
  </si>
  <si>
    <t xml:space="preserve">     Tanger-Assilah</t>
  </si>
  <si>
    <t>MA-TET</t>
  </si>
  <si>
    <t xml:space="preserve">     Tétouan</t>
  </si>
  <si>
    <t>MZ-P</t>
  </si>
  <si>
    <t>Cabo Delgado</t>
  </si>
  <si>
    <t>MZ-G</t>
  </si>
  <si>
    <t>Gaza</t>
  </si>
  <si>
    <t>MZ-I</t>
  </si>
  <si>
    <t>Inhambane</t>
  </si>
  <si>
    <t>MZ-B</t>
  </si>
  <si>
    <t>Manica</t>
  </si>
  <si>
    <t>MZ-MPM</t>
  </si>
  <si>
    <t>Maputo</t>
  </si>
  <si>
    <t>MZ-L</t>
  </si>
  <si>
    <t>MZ-N</t>
  </si>
  <si>
    <t>Nampula</t>
  </si>
  <si>
    <t>MZ-A</t>
  </si>
  <si>
    <t>Niassa</t>
  </si>
  <si>
    <t>MZ-S</t>
  </si>
  <si>
    <t>Sofala</t>
  </si>
  <si>
    <t>MZ-T</t>
  </si>
  <si>
    <t>Tete</t>
  </si>
  <si>
    <t>MZ-Q</t>
  </si>
  <si>
    <t>Zambézia</t>
  </si>
  <si>
    <t>NA-ER</t>
  </si>
  <si>
    <t>Erongo</t>
  </si>
  <si>
    <t>NA-HA</t>
  </si>
  <si>
    <t>Hardap</t>
  </si>
  <si>
    <t>NA-KA</t>
  </si>
  <si>
    <t>//Karas</t>
  </si>
  <si>
    <t>NA-KE</t>
  </si>
  <si>
    <t>Kavango East</t>
  </si>
  <si>
    <t>NA-KW</t>
  </si>
  <si>
    <t>Kavango West</t>
  </si>
  <si>
    <t>NA-KH</t>
  </si>
  <si>
    <t>Khomas</t>
  </si>
  <si>
    <t>NA-KU</t>
  </si>
  <si>
    <t>Kunene</t>
  </si>
  <si>
    <t>NA-OW</t>
  </si>
  <si>
    <t>Ohangwena</t>
  </si>
  <si>
    <t>NA-OH</t>
  </si>
  <si>
    <t>Omaheke</t>
  </si>
  <si>
    <t>NA-OS</t>
  </si>
  <si>
    <t>Omusati</t>
  </si>
  <si>
    <t>NA-ON</t>
  </si>
  <si>
    <t>Oshana</t>
  </si>
  <si>
    <t>NA-OT</t>
  </si>
  <si>
    <t>Oshikoto</t>
  </si>
  <si>
    <t>NA-OD</t>
  </si>
  <si>
    <t>Otjozondjupa</t>
  </si>
  <si>
    <t>NA-CA</t>
  </si>
  <si>
    <t>Zambezi</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</si>
  <si>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</si>
  <si>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</si>
  <si>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</si>
  <si>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</si>
  <si>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</si>
  <si>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</si>
  <si>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</si>
  <si>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</si>
  <si>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</si>
  <si>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</si>
  <si>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</si>
  <si>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</si>
  <si>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</si>
  <si>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</si>
  <si>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</si>
  <si>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</si>
  <si>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</si>
  <si>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</si>
  <si>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</si>
  <si>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</si>
  <si>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</si>
  <si>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</si>
  <si>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</si>
  <si>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</si>
  <si>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</si>
  <si>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</si>
  <si>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</si>
  <si>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</si>
  <si>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NP-1</t>
  </si>
  <si>
    <t>Madhyamanchal</t>
  </si>
  <si>
    <t>development region</t>
  </si>
  <si>
    <t>NP-BA</t>
  </si>
  <si>
    <t xml:space="preserve">     Bāgmatī</t>
  </si>
  <si>
    <t>zone</t>
  </si>
  <si>
    <t>NP-JA</t>
  </si>
  <si>
    <t xml:space="preserve">     Janakpur</t>
  </si>
  <si>
    <t>NP-NA</t>
  </si>
  <si>
    <t xml:space="preserve">     Nārāyanī</t>
  </si>
  <si>
    <t>NP-2</t>
  </si>
  <si>
    <t>Madhya Pashchimanchal</t>
  </si>
  <si>
    <t>NP-BH</t>
  </si>
  <si>
    <t xml:space="preserve">     Bherī</t>
  </si>
  <si>
    <t>NP-KA</t>
  </si>
  <si>
    <t xml:space="preserve">     Karnālī</t>
  </si>
  <si>
    <t>NP-RA</t>
  </si>
  <si>
    <t xml:space="preserve">     Rāptī</t>
  </si>
  <si>
    <t>NP-3</t>
  </si>
  <si>
    <t>Pashchimanchal</t>
  </si>
  <si>
    <t>NP-DH</t>
  </si>
  <si>
    <t xml:space="preserve">     Dhawalāgiri</t>
  </si>
  <si>
    <t>NP-GA</t>
  </si>
  <si>
    <t xml:space="preserve">     Gandakī</t>
  </si>
  <si>
    <t>NP-LU</t>
  </si>
  <si>
    <t xml:space="preserve">     Lumbinī</t>
  </si>
  <si>
    <t>NP-4</t>
  </si>
  <si>
    <t>Purwanchal</t>
  </si>
  <si>
    <t>NP-KO</t>
  </si>
  <si>
    <t xml:space="preserve">     Kosī</t>
  </si>
  <si>
    <t>NP-ME</t>
  </si>
  <si>
    <t xml:space="preserve">     Mechī</t>
  </si>
  <si>
    <t>NP-SA</t>
  </si>
  <si>
    <t xml:space="preserve">     Sagarmāthā</t>
  </si>
  <si>
    <t>NP-5</t>
  </si>
  <si>
    <t>Sudur Pashchimanchal</t>
  </si>
  <si>
    <t>NP-MA</t>
  </si>
  <si>
    <t xml:space="preserve">     Mahākālī</t>
  </si>
  <si>
    <t>NP-SE</t>
  </si>
  <si>
    <t xml:space="preserve">     Setī</t>
  </si>
  <si>
    <t>NL-DR</t>
  </si>
  <si>
    <t>Drenthe</t>
  </si>
  <si>
    <t>NL-FL</t>
  </si>
  <si>
    <t>Flevoland</t>
  </si>
  <si>
    <t>NL-FR</t>
  </si>
  <si>
    <t>Fryslân</t>
  </si>
  <si>
    <t>NL-GE</t>
  </si>
  <si>
    <t>Gelderland</t>
  </si>
  <si>
    <t>NL-GR</t>
  </si>
  <si>
    <t>Groningen</t>
  </si>
  <si>
    <t>NL-LI</t>
  </si>
  <si>
    <t>Limburg</t>
  </si>
  <si>
    <t>NL-NB</t>
  </si>
  <si>
    <t>Noord-Brabant</t>
  </si>
  <si>
    <t>NL-NH</t>
  </si>
  <si>
    <t>Noord-Holland</t>
  </si>
  <si>
    <t>NL-OV</t>
  </si>
  <si>
    <t>Overijssel</t>
  </si>
  <si>
    <t>NL-UT</t>
  </si>
  <si>
    <t>Utrecht</t>
  </si>
  <si>
    <t>NL-ZE</t>
  </si>
  <si>
    <t>Zeeland</t>
  </si>
  <si>
    <t>NL-ZH</t>
  </si>
  <si>
    <t>Zuid-Holland</t>
  </si>
  <si>
    <t>NC-01</t>
  </si>
  <si>
    <t>Province Îles</t>
  </si>
  <si>
    <t>NC-02</t>
  </si>
  <si>
    <t>Province Nord</t>
  </si>
  <si>
    <t>NC-03</t>
  </si>
  <si>
    <t>Province Sud</t>
  </si>
  <si>
    <t>NZ-AUK</t>
  </si>
  <si>
    <t>Auckland</t>
  </si>
  <si>
    <t>NZ-BOP</t>
  </si>
  <si>
    <t>Bay of Plenty</t>
  </si>
  <si>
    <t>NZ-CAN</t>
  </si>
  <si>
    <t>Canterbury</t>
  </si>
  <si>
    <t>NZ-CIT</t>
  </si>
  <si>
    <t>Chatham Islands</t>
  </si>
  <si>
    <t>NZ-GIS</t>
  </si>
  <si>
    <t>Gisborne</t>
  </si>
  <si>
    <t>NZ-HKB</t>
  </si>
  <si>
    <t>Hawke’s Bay</t>
  </si>
  <si>
    <t>NZ-MWT</t>
  </si>
  <si>
    <t>Manawatu-Wanganui</t>
  </si>
  <si>
    <t>NZ-MBH</t>
  </si>
  <si>
    <t>Marlborough</t>
  </si>
  <si>
    <t>NZ-NSN</t>
  </si>
  <si>
    <t>Nelson</t>
  </si>
  <si>
    <t>NZ-NTL</t>
  </si>
  <si>
    <t>Northland</t>
  </si>
  <si>
    <t>NZ-OTA</t>
  </si>
  <si>
    <t>Otago</t>
  </si>
  <si>
    <t>NZ-STL</t>
  </si>
  <si>
    <t>Southland</t>
  </si>
  <si>
    <t>NZ-TKI</t>
  </si>
  <si>
    <t>Taranaki</t>
  </si>
  <si>
    <t>NZ-TAS</t>
  </si>
  <si>
    <t>Tasman</t>
  </si>
  <si>
    <t>NZ-WKO</t>
  </si>
  <si>
    <t>Waikato</t>
  </si>
  <si>
    <t>NZ-WGN</t>
  </si>
  <si>
    <t>Wellington</t>
  </si>
  <si>
    <t>NZ-WTC</t>
  </si>
  <si>
    <t>NI-BO</t>
  </si>
  <si>
    <t>Boaco</t>
  </si>
  <si>
    <t>NI-CA</t>
  </si>
  <si>
    <t>Carazo</t>
  </si>
  <si>
    <t>NI-CI</t>
  </si>
  <si>
    <t>Chinandega</t>
  </si>
  <si>
    <t>NI-CO</t>
  </si>
  <si>
    <t>Chontales</t>
  </si>
  <si>
    <t>NI-AN</t>
  </si>
  <si>
    <t>Costa Caribe Norte</t>
  </si>
  <si>
    <t>NI-AS</t>
  </si>
  <si>
    <t>Costa Caribe Sur</t>
  </si>
  <si>
    <t>NI-ES</t>
  </si>
  <si>
    <t>Estelí</t>
  </si>
  <si>
    <t>NI-GR</t>
  </si>
  <si>
    <t>Granada</t>
  </si>
  <si>
    <t>NI-JI</t>
  </si>
  <si>
    <t>Jinotega</t>
  </si>
  <si>
    <t>NI-LE</t>
  </si>
  <si>
    <t>León</t>
  </si>
  <si>
    <t>NI-MD</t>
  </si>
  <si>
    <t>Madriz</t>
  </si>
  <si>
    <t>NI-MN</t>
  </si>
  <si>
    <t>Managua</t>
  </si>
  <si>
    <t>NI-MS</t>
  </si>
  <si>
    <t>Masaya</t>
  </si>
  <si>
    <t>NI-MT</t>
  </si>
  <si>
    <t>Matagalpa</t>
  </si>
  <si>
    <t>NI-NS</t>
  </si>
  <si>
    <t>Nueva Segovia</t>
  </si>
  <si>
    <t>NI-SJ</t>
  </si>
  <si>
    <t>Río San Juan</t>
  </si>
  <si>
    <t>NI-RI</t>
  </si>
  <si>
    <t>Rivas</t>
  </si>
  <si>
    <t>NE-1</t>
  </si>
  <si>
    <t>Agadez</t>
  </si>
  <si>
    <t>NE-2</t>
  </si>
  <si>
    <t>Diffa</t>
  </si>
  <si>
    <t>NE-3</t>
  </si>
  <si>
    <t>Dosso</t>
  </si>
  <si>
    <t>NE-4</t>
  </si>
  <si>
    <t>Maradi</t>
  </si>
  <si>
    <t>NE-8</t>
  </si>
  <si>
    <t>Niamey</t>
  </si>
  <si>
    <t>NE-5</t>
  </si>
  <si>
    <t>Tahoua</t>
  </si>
  <si>
    <t>NE-6</t>
  </si>
  <si>
    <t>Tillabéri</t>
  </si>
  <si>
    <t>NE-7</t>
  </si>
  <si>
    <t>Zinder</t>
  </si>
  <si>
    <t>NG-AB</t>
  </si>
  <si>
    <t>Abia</t>
  </si>
  <si>
    <t>NG-AD</t>
  </si>
  <si>
    <t>Adamawa</t>
  </si>
  <si>
    <t>NG-AK</t>
  </si>
  <si>
    <t>Akwa Ibom</t>
  </si>
  <si>
    <t>NG-AN</t>
  </si>
  <si>
    <t>Anambra</t>
  </si>
  <si>
    <t>NG-BA</t>
  </si>
  <si>
    <t>Bauchi</t>
  </si>
  <si>
    <t>NG-BY</t>
  </si>
  <si>
    <t>Bayelsa</t>
  </si>
  <si>
    <t>NG-BE</t>
  </si>
  <si>
    <t>Benue</t>
  </si>
  <si>
    <t>NG-BO</t>
  </si>
  <si>
    <t>Borno</t>
  </si>
  <si>
    <t>NG-CR</t>
  </si>
  <si>
    <t>Cross River</t>
  </si>
  <si>
    <t>NG-DE</t>
  </si>
  <si>
    <t>Delta</t>
  </si>
  <si>
    <t>NG-EB</t>
  </si>
  <si>
    <t>Ebonyi</t>
  </si>
  <si>
    <t>NG-ED</t>
  </si>
  <si>
    <t>Edo</t>
  </si>
  <si>
    <t>NG-EK</t>
  </si>
  <si>
    <t>Ekiti</t>
  </si>
  <si>
    <t>NG-EN</t>
  </si>
  <si>
    <t>Enugu</t>
  </si>
  <si>
    <t>NG-FC</t>
  </si>
  <si>
    <t>Federal Capital Territory</t>
  </si>
  <si>
    <t>capital territory</t>
  </si>
  <si>
    <t>NG-GO</t>
  </si>
  <si>
    <t>Gombe</t>
  </si>
  <si>
    <t>NG-IM</t>
  </si>
  <si>
    <t>Imo</t>
  </si>
  <si>
    <t>NG-JI</t>
  </si>
  <si>
    <t>Jigawa</t>
  </si>
  <si>
    <t>NG-KD</t>
  </si>
  <si>
    <t>Kaduna</t>
  </si>
  <si>
    <t>NG-KN</t>
  </si>
  <si>
    <t>Kano</t>
  </si>
  <si>
    <t>NG-KT</t>
  </si>
  <si>
    <t>Katsina</t>
  </si>
  <si>
    <t>NG-KE</t>
  </si>
  <si>
    <t>Kebbi</t>
  </si>
  <si>
    <t>NG-KO</t>
  </si>
  <si>
    <t>Kogi</t>
  </si>
  <si>
    <t>NG-KW</t>
  </si>
  <si>
    <t>Kwara</t>
  </si>
  <si>
    <t>NG-LA</t>
  </si>
  <si>
    <t>Lagos</t>
  </si>
  <si>
    <t>NG-NA</t>
  </si>
  <si>
    <t>Nasarawa</t>
  </si>
  <si>
    <t>NG-NI</t>
  </si>
  <si>
    <t>NG-OG</t>
  </si>
  <si>
    <t>Ogun</t>
  </si>
  <si>
    <t>NG-ON</t>
  </si>
  <si>
    <t>Ondo</t>
  </si>
  <si>
    <t>NG-OS</t>
  </si>
  <si>
    <t>Osun</t>
  </si>
  <si>
    <t>NG-OY</t>
  </si>
  <si>
    <t>Oyo</t>
  </si>
  <si>
    <t>NG-PL</t>
  </si>
  <si>
    <t>NG-RI</t>
  </si>
  <si>
    <t>Rivers</t>
  </si>
  <si>
    <t>NG-SO</t>
  </si>
  <si>
    <t>Sokoto</t>
  </si>
  <si>
    <t>NG-TA</t>
  </si>
  <si>
    <t>Taraba</t>
  </si>
  <si>
    <t>NG-YO</t>
  </si>
  <si>
    <t>Yobe</t>
  </si>
  <si>
    <t>NG-ZA</t>
  </si>
  <si>
    <t>Zamfara</t>
  </si>
  <si>
    <t>MK-02</t>
  </si>
  <si>
    <t>Aračinovo</t>
  </si>
  <si>
    <t>MK-03</t>
  </si>
  <si>
    <t>Berovo</t>
  </si>
  <si>
    <t>MK-04</t>
  </si>
  <si>
    <t>Bitola</t>
  </si>
  <si>
    <t>MK-05</t>
  </si>
  <si>
    <t>Bogdanci</t>
  </si>
  <si>
    <t>MK-06</t>
  </si>
  <si>
    <t>Bogovinje</t>
  </si>
  <si>
    <t>MK-07</t>
  </si>
  <si>
    <t>Bosilovo</t>
  </si>
  <si>
    <t>MK-08</t>
  </si>
  <si>
    <t>Brvenica</t>
  </si>
  <si>
    <t>MK-80</t>
  </si>
  <si>
    <t>Čaška</t>
  </si>
  <si>
    <t>MK-78</t>
  </si>
  <si>
    <t>Centar Župa</t>
  </si>
  <si>
    <t>MK-81</t>
  </si>
  <si>
    <t>Češinovo-Obleševo</t>
  </si>
  <si>
    <t>MK-82</t>
  </si>
  <si>
    <t>Čučer-Sandevo</t>
  </si>
  <si>
    <t>MK-21</t>
  </si>
  <si>
    <t>Debar</t>
  </si>
  <si>
    <t>MK-22</t>
  </si>
  <si>
    <t>Debarca</t>
  </si>
  <si>
    <t>MK-23</t>
  </si>
  <si>
    <t>Delčevo</t>
  </si>
  <si>
    <t>MK-25</t>
  </si>
  <si>
    <t>Demir Hisar</t>
  </si>
  <si>
    <t>MK-24</t>
  </si>
  <si>
    <t>Demir Kapija</t>
  </si>
  <si>
    <t>MK-26</t>
  </si>
  <si>
    <t>Dojran</t>
  </si>
  <si>
    <t>MK-27</t>
  </si>
  <si>
    <t>Dolneni</t>
  </si>
  <si>
    <t>MK-18</t>
  </si>
  <si>
    <t>Gevgelija</t>
  </si>
  <si>
    <t>MK-19</t>
  </si>
  <si>
    <t>Gostivar</t>
  </si>
  <si>
    <t>MK-20</t>
  </si>
  <si>
    <t>Gradsko</t>
  </si>
  <si>
    <t>MK-34</t>
  </si>
  <si>
    <t>Ilinden</t>
  </si>
  <si>
    <t>MK-35</t>
  </si>
  <si>
    <t>Jegunovce</t>
  </si>
  <si>
    <t>MK-37</t>
  </si>
  <si>
    <t>Karbinci</t>
  </si>
  <si>
    <t>MK-36</t>
  </si>
  <si>
    <t>Kavadarci</t>
  </si>
  <si>
    <t>MK-40</t>
  </si>
  <si>
    <t>Kičevo</t>
  </si>
  <si>
    <t>MK-42</t>
  </si>
  <si>
    <t>Kočani</t>
  </si>
  <si>
    <t>MK-41</t>
  </si>
  <si>
    <t>Konče</t>
  </si>
  <si>
    <t>MK-43</t>
  </si>
  <si>
    <t>Kratovo</t>
  </si>
  <si>
    <t>MK-44</t>
  </si>
  <si>
    <t>Kriva Palanka</t>
  </si>
  <si>
    <t>MK-45</t>
  </si>
  <si>
    <t>Krivogaštani</t>
  </si>
  <si>
    <t>MK-46</t>
  </si>
  <si>
    <t>Kruševo</t>
  </si>
  <si>
    <t>MK-47</t>
  </si>
  <si>
    <t>Kumanovo</t>
  </si>
  <si>
    <t>MK-48</t>
  </si>
  <si>
    <t>Lipkovo</t>
  </si>
  <si>
    <t>MK-49</t>
  </si>
  <si>
    <t>Lozovo</t>
  </si>
  <si>
    <t>MK-51</t>
  </si>
  <si>
    <t>Makedonska Kamenica</t>
  </si>
  <si>
    <t>MK-52</t>
  </si>
  <si>
    <t>Makedonski Brod</t>
  </si>
  <si>
    <t>MK-50</t>
  </si>
  <si>
    <t>Mavrovo i Rostuša</t>
  </si>
  <si>
    <t>MK-53</t>
  </si>
  <si>
    <t>Mogila</t>
  </si>
  <si>
    <t>MK-54</t>
  </si>
  <si>
    <t>Negotino</t>
  </si>
  <si>
    <t>MK-55</t>
  </si>
  <si>
    <t>Novaci</t>
  </si>
  <si>
    <t>MK-56</t>
  </si>
  <si>
    <t>Novo Selo</t>
  </si>
  <si>
    <t>MK-58</t>
  </si>
  <si>
    <t>Ohrid</t>
  </si>
  <si>
    <t>MK-60</t>
  </si>
  <si>
    <t>Pehčevo</t>
  </si>
  <si>
    <t>MK-59</t>
  </si>
  <si>
    <t>Petrovec</t>
  </si>
  <si>
    <t>MK-61</t>
  </si>
  <si>
    <t>Plasnica</t>
  </si>
  <si>
    <t>MK-62</t>
  </si>
  <si>
    <t>Prilep</t>
  </si>
  <si>
    <t>MK-63</t>
  </si>
  <si>
    <t>Probištip</t>
  </si>
  <si>
    <t>MK-64</t>
  </si>
  <si>
    <t>Radoviš</t>
  </si>
  <si>
    <t>MK-65</t>
  </si>
  <si>
    <t>Rankovce</t>
  </si>
  <si>
    <t>MK-66</t>
  </si>
  <si>
    <t>Resen</t>
  </si>
  <si>
    <t>MK-67</t>
  </si>
  <si>
    <t>Rosoman</t>
  </si>
  <si>
    <t>MK-85</t>
  </si>
  <si>
    <t>Skopje</t>
  </si>
  <si>
    <t>MK-70</t>
  </si>
  <si>
    <t>Sopište</t>
  </si>
  <si>
    <t>MK-71</t>
  </si>
  <si>
    <t>Staro Nagoričane</t>
  </si>
  <si>
    <t>MK-83</t>
  </si>
  <si>
    <t>Štip</t>
  </si>
  <si>
    <t>MK-72</t>
  </si>
  <si>
    <t>Struga</t>
  </si>
  <si>
    <t>MK-73</t>
  </si>
  <si>
    <t>Strumica</t>
  </si>
  <si>
    <t>MK-74</t>
  </si>
  <si>
    <t>Studeničani</t>
  </si>
  <si>
    <t>MK-69</t>
  </si>
  <si>
    <t>Sveti Nikole</t>
  </si>
  <si>
    <t>MK-75</t>
  </si>
  <si>
    <t>Tearce</t>
  </si>
  <si>
    <t>MK-76</t>
  </si>
  <si>
    <t>Tetovo</t>
  </si>
  <si>
    <t>MK-10</t>
  </si>
  <si>
    <t>Valandovo</t>
  </si>
  <si>
    <t>MK-11</t>
  </si>
  <si>
    <t>Vasilevo</t>
  </si>
  <si>
    <t>MK-13</t>
  </si>
  <si>
    <t>Veles</t>
  </si>
  <si>
    <t>MK-12</t>
  </si>
  <si>
    <t>Vevčani</t>
  </si>
  <si>
    <t>MK-14</t>
  </si>
  <si>
    <t>Vinica</t>
  </si>
  <si>
    <t>MK-16</t>
  </si>
  <si>
    <t>Vrapčište</t>
  </si>
  <si>
    <t>MK-32</t>
  </si>
  <si>
    <t>Zelenikovo</t>
  </si>
  <si>
    <t>MK-30</t>
  </si>
  <si>
    <t>Želino</t>
  </si>
  <si>
    <t>MK-33</t>
  </si>
  <si>
    <t>Zrnovci</t>
  </si>
  <si>
    <t>NO-02</t>
  </si>
  <si>
    <t>Akershus</t>
  </si>
  <si>
    <t>NO-09</t>
  </si>
  <si>
    <t>Aust-Agder</t>
  </si>
  <si>
    <t>NO-06</t>
  </si>
  <si>
    <t>Buskerud</t>
  </si>
  <si>
    <t>NO-20</t>
  </si>
  <si>
    <t>Finnmark</t>
  </si>
  <si>
    <t>NO-04</t>
  </si>
  <si>
    <t>Hedmark</t>
  </si>
  <si>
    <t>NO-12</t>
  </si>
  <si>
    <t>Hordaland</t>
  </si>
  <si>
    <t>NO-15</t>
  </si>
  <si>
    <t>Møre og Romsdal</t>
  </si>
  <si>
    <t>NO-18</t>
  </si>
  <si>
    <t>Nordland</t>
  </si>
  <si>
    <t>NO-05</t>
  </si>
  <si>
    <t>Oppland</t>
  </si>
  <si>
    <t>NO-03</t>
  </si>
  <si>
    <t>Oslo</t>
  </si>
  <si>
    <t>NO-01</t>
  </si>
  <si>
    <t>Østfold</t>
  </si>
  <si>
    <t>NO-11</t>
  </si>
  <si>
    <t>Rogaland</t>
  </si>
  <si>
    <t>NO-14</t>
  </si>
  <si>
    <t>Sogn og Fjordane</t>
  </si>
  <si>
    <t>NO-08</t>
  </si>
  <si>
    <t>Telemark</t>
  </si>
  <si>
    <t>NO-19</t>
  </si>
  <si>
    <t>Troms</t>
  </si>
  <si>
    <t>NO-50</t>
  </si>
  <si>
    <t>Trøndelag</t>
  </si>
  <si>
    <t>NO-10</t>
  </si>
  <si>
    <t>Vest-Agder</t>
  </si>
  <si>
    <t>NO-07</t>
  </si>
  <si>
    <t>Vestfold</t>
  </si>
  <si>
    <t>OM-DA</t>
  </si>
  <si>
    <t>Ad Dākhilīyah</t>
  </si>
  <si>
    <t>OM-BU</t>
  </si>
  <si>
    <t>Al Buraymī</t>
  </si>
  <si>
    <t>OM-WU</t>
  </si>
  <si>
    <t>Al Wusţá</t>
  </si>
  <si>
    <t>OM-ZA</t>
  </si>
  <si>
    <t>Az̧ Z̧āhirah</t>
  </si>
  <si>
    <t>OM-BJ</t>
  </si>
  <si>
    <t>Janūb al Bāţinah</t>
  </si>
  <si>
    <t>OM-SJ</t>
  </si>
  <si>
    <t>Janūb ash Sharqīyah</t>
  </si>
  <si>
    <t>OM-MA</t>
  </si>
  <si>
    <t>Masqaţ</t>
  </si>
  <si>
    <t>OM-MU</t>
  </si>
  <si>
    <t>Musandam</t>
  </si>
  <si>
    <t>OM-BS</t>
  </si>
  <si>
    <t>Shamāl al Bāţinah</t>
  </si>
  <si>
    <t>OM-SS</t>
  </si>
  <si>
    <t>Shamāl ash Sharqīyah</t>
  </si>
  <si>
    <t>OM-ZU</t>
  </si>
  <si>
    <t>Z̧ufār</t>
  </si>
  <si>
    <t>PK-JK</t>
  </si>
  <si>
    <t>Azad Kashmir</t>
  </si>
  <si>
    <t>Pakistan administered area</t>
  </si>
  <si>
    <t>PK-BA</t>
  </si>
  <si>
    <t>Balochistan</t>
  </si>
  <si>
    <t>PK-GB</t>
  </si>
  <si>
    <t>Gilgit-Baltistan</t>
  </si>
  <si>
    <t>PK-IS</t>
  </si>
  <si>
    <t>Islamabad</t>
  </si>
  <si>
    <t>PK-KP</t>
  </si>
  <si>
    <t>Khyber Pakhtunkhwa</t>
  </si>
  <si>
    <t>PK-PB</t>
  </si>
  <si>
    <t>PK-SD</t>
  </si>
  <si>
    <t>Sindh</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</si>
  <si>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</si>
  <si>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</si>
  <si>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</si>
  <si>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</si>
  <si>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</si>
  <si>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</si>
  <si>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</si>
  <si>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</si>
  <si>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</si>
  <si>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</si>
  <si>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</si>
  <si>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</si>
  <si>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</si>
  <si>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</si>
  <si>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</si>
  <si>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</si>
  <si>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</si>
  <si>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</si>
  <si>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</si>
  <si>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</si>
  <si>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</si>
  <si>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</si>
  <si>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</si>
  <si>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</si>
  <si>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</si>
  <si>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</si>
  <si>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</si>
  <si>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</si>
  <si>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</si>
  <si>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</si>
  <si>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</si>
  <si>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</si>
  <si>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PA-1</t>
  </si>
  <si>
    <t>Bocas del Toro</t>
  </si>
  <si>
    <t>PA-4</t>
  </si>
  <si>
    <t>Chiriquí</t>
  </si>
  <si>
    <t>PA-2</t>
  </si>
  <si>
    <t>Coclé</t>
  </si>
  <si>
    <t>PA-3</t>
  </si>
  <si>
    <t>PA-5</t>
  </si>
  <si>
    <t>Darién</t>
  </si>
  <si>
    <t>PA-EM</t>
  </si>
  <si>
    <t>Emberá-Wounaan</t>
  </si>
  <si>
    <t>indigenous region</t>
  </si>
  <si>
    <t>PA-KY</t>
  </si>
  <si>
    <t>Guna Yala</t>
  </si>
  <si>
    <t>PA-6</t>
  </si>
  <si>
    <t>Herrera</t>
  </si>
  <si>
    <t>PA-7</t>
  </si>
  <si>
    <t>Los Santos</t>
  </si>
  <si>
    <t>PA-NB</t>
  </si>
  <si>
    <t>Ngöbe-Buglé</t>
  </si>
  <si>
    <t>PA-8</t>
  </si>
  <si>
    <t>Panamá</t>
  </si>
  <si>
    <t>PA-10</t>
  </si>
  <si>
    <t>Panamá Oeste</t>
  </si>
  <si>
    <t>PA-9</t>
  </si>
  <si>
    <t>Veraguas</t>
  </si>
  <si>
    <t>PG-NSB</t>
  </si>
  <si>
    <t>Bougainville</t>
  </si>
  <si>
    <t>PG-CPM</t>
  </si>
  <si>
    <t>PG-CPK</t>
  </si>
  <si>
    <t>Chimbu</t>
  </si>
  <si>
    <t>PG-EHG</t>
  </si>
  <si>
    <t>Eastern Highlands</t>
  </si>
  <si>
    <t>PG-EBR</t>
  </si>
  <si>
    <t>East New Britain</t>
  </si>
  <si>
    <t>PG-ESW</t>
  </si>
  <si>
    <t>East Sepik</t>
  </si>
  <si>
    <t>PG-EPW</t>
  </si>
  <si>
    <t>Enga</t>
  </si>
  <si>
    <t>PG-GPK</t>
  </si>
  <si>
    <t>Gulf</t>
  </si>
  <si>
    <t>PG-HLA</t>
  </si>
  <si>
    <t>Hela</t>
  </si>
  <si>
    <t>PG-JWK</t>
  </si>
  <si>
    <t>Jiwaka</t>
  </si>
  <si>
    <t>PG-MPM</t>
  </si>
  <si>
    <t>Madang</t>
  </si>
  <si>
    <t>PG-MRL</t>
  </si>
  <si>
    <t>Manus</t>
  </si>
  <si>
    <t>PG-MBA</t>
  </si>
  <si>
    <t>Milne Bay</t>
  </si>
  <si>
    <t>PG-MPL</t>
  </si>
  <si>
    <t>Morobe</t>
  </si>
  <si>
    <t>PG-NCD</t>
  </si>
  <si>
    <t>National Capital</t>
  </si>
  <si>
    <t>PG-NIK</t>
  </si>
  <si>
    <t>New Ireland</t>
  </si>
  <si>
    <t>PG-NPP</t>
  </si>
  <si>
    <t>PG-SHM</t>
  </si>
  <si>
    <t>Southern Highlands</t>
  </si>
  <si>
    <t>PG-WPD</t>
  </si>
  <si>
    <t>PG-WHM</t>
  </si>
  <si>
    <t>Western Highlands</t>
  </si>
  <si>
    <t>PG-WBK</t>
  </si>
  <si>
    <t>West New Britain</t>
  </si>
  <si>
    <t>PG-SAN</t>
  </si>
  <si>
    <t>West Sepik</t>
  </si>
  <si>
    <t>PY-16</t>
  </si>
  <si>
    <t>Alto Paraguay</t>
  </si>
  <si>
    <t>PY-10</t>
  </si>
  <si>
    <t>Alto Paraná</t>
  </si>
  <si>
    <t>PY-13</t>
  </si>
  <si>
    <t>Amambay</t>
  </si>
  <si>
    <t>PY-ASU</t>
  </si>
  <si>
    <t>Asunción</t>
  </si>
  <si>
    <t>PY-19</t>
  </si>
  <si>
    <t>Boquerón</t>
  </si>
  <si>
    <t>PY-5</t>
  </si>
  <si>
    <t>Caaguazú</t>
  </si>
  <si>
    <t>PY-6</t>
  </si>
  <si>
    <t>Caazapá</t>
  </si>
  <si>
    <t>PY-14</t>
  </si>
  <si>
    <t>Canindeyú</t>
  </si>
  <si>
    <t>PY-11</t>
  </si>
  <si>
    <t>PY-1</t>
  </si>
  <si>
    <t>Concepción</t>
  </si>
  <si>
    <t>PY-3</t>
  </si>
  <si>
    <t>Cordillera</t>
  </si>
  <si>
    <t>PY-4</t>
  </si>
  <si>
    <t>Guairá</t>
  </si>
  <si>
    <t>PY-7</t>
  </si>
  <si>
    <t>Itapúa</t>
  </si>
  <si>
    <t>PY-8</t>
  </si>
  <si>
    <t>PY-12</t>
  </si>
  <si>
    <t>Ñeembucú</t>
  </si>
  <si>
    <t>PY-9</t>
  </si>
  <si>
    <t>Paraguarí</t>
  </si>
  <si>
    <t>PY-15</t>
  </si>
  <si>
    <t>Presidente Hayes</t>
  </si>
  <si>
    <t>PY-2</t>
  </si>
  <si>
    <t>San Pedro</t>
  </si>
  <si>
    <t>PE-AMA</t>
  </si>
  <si>
    <t>PE-ANC</t>
  </si>
  <si>
    <t>Ancash</t>
  </si>
  <si>
    <t>PE-APU</t>
  </si>
  <si>
    <t>Apurímac</t>
  </si>
  <si>
    <t>PE-ARE</t>
  </si>
  <si>
    <t>Arequipa</t>
  </si>
  <si>
    <t>PE-AYA</t>
  </si>
  <si>
    <t>Ayacucho</t>
  </si>
  <si>
    <t>PE-CAJ</t>
  </si>
  <si>
    <t>Cajamarca</t>
  </si>
  <si>
    <t>PE-CAL</t>
  </si>
  <si>
    <t>Callao</t>
  </si>
  <si>
    <t>PE-CUS</t>
  </si>
  <si>
    <t>Cusco</t>
  </si>
  <si>
    <t>PE-HUV</t>
  </si>
  <si>
    <t>Huancavelica</t>
  </si>
  <si>
    <t>PE-HUC</t>
  </si>
  <si>
    <t>Huánuco</t>
  </si>
  <si>
    <t>PE-ICA</t>
  </si>
  <si>
    <t>Ica</t>
  </si>
  <si>
    <t>PE-JUN</t>
  </si>
  <si>
    <t>Junín</t>
  </si>
  <si>
    <t>PE-LAL</t>
  </si>
  <si>
    <t>PE-LAM</t>
  </si>
  <si>
    <t>Lambayeque</t>
  </si>
  <si>
    <t>PE-LMA</t>
  </si>
  <si>
    <t>Lima</t>
  </si>
  <si>
    <t>PE-LIM</t>
  </si>
  <si>
    <t>PE-LOR</t>
  </si>
  <si>
    <t>Loreto</t>
  </si>
  <si>
    <t>PE-MDD</t>
  </si>
  <si>
    <t>Madre de Dios</t>
  </si>
  <si>
    <t>PE-MOQ</t>
  </si>
  <si>
    <t>Moquegua</t>
  </si>
  <si>
    <t>PE-PAS</t>
  </si>
  <si>
    <t>Pasco</t>
  </si>
  <si>
    <t>PE-PIU</t>
  </si>
  <si>
    <t>Piura</t>
  </si>
  <si>
    <t>PE-PUN</t>
  </si>
  <si>
    <t>Puno</t>
  </si>
  <si>
    <t>PE-SAM</t>
  </si>
  <si>
    <t>San Martín</t>
  </si>
  <si>
    <t>PE-TAC</t>
  </si>
  <si>
    <t>Tacna</t>
  </si>
  <si>
    <t>PE-TUM</t>
  </si>
  <si>
    <t>Tumbes</t>
  </si>
  <si>
    <t>PE-UCA</t>
  </si>
  <si>
    <t>Ucayali</t>
  </si>
  <si>
    <t>PH-14</t>
  </si>
  <si>
    <t>Autonomous Region in Muslim Mindanao (ARMM)</t>
  </si>
  <si>
    <t>PH-BAS</t>
  </si>
  <si>
    <t xml:space="preserve">     Basilan</t>
  </si>
  <si>
    <t>PH-LAS</t>
  </si>
  <si>
    <t xml:space="preserve">     Lanao del Sur</t>
  </si>
  <si>
    <t>PH-MAG</t>
  </si>
  <si>
    <t xml:space="preserve">     Maguindanao</t>
  </si>
  <si>
    <t>PH-SLU</t>
  </si>
  <si>
    <t xml:space="preserve">     Sulu</t>
  </si>
  <si>
    <t>PH-TAW</t>
  </si>
  <si>
    <t xml:space="preserve">     Tawi-Tawi</t>
  </si>
  <si>
    <t>PH-05</t>
  </si>
  <si>
    <t>Bicol Region</t>
  </si>
  <si>
    <t>PH-ALB</t>
  </si>
  <si>
    <t xml:space="preserve">     Albay</t>
  </si>
  <si>
    <t>PH-CAN</t>
  </si>
  <si>
    <t xml:space="preserve">     Camarines Norte</t>
  </si>
  <si>
    <t>PH-CAS</t>
  </si>
  <si>
    <t xml:space="preserve">     Camarines Sur</t>
  </si>
  <si>
    <t>PH-CAT</t>
  </si>
  <si>
    <t xml:space="preserve">     Catanduanes</t>
  </si>
  <si>
    <t>PH-MAS</t>
  </si>
  <si>
    <t xml:space="preserve">     Masbate</t>
  </si>
  <si>
    <t>PH-NAG</t>
  </si>
  <si>
    <t xml:space="preserve">     Naga</t>
  </si>
  <si>
    <t>independent component city</t>
  </si>
  <si>
    <t>PH-SOR</t>
  </si>
  <si>
    <t xml:space="preserve">     Sorsogon</t>
  </si>
  <si>
    <t>PH-02</t>
  </si>
  <si>
    <t>Cagayan Valley</t>
  </si>
  <si>
    <t>PH-BTN</t>
  </si>
  <si>
    <t xml:space="preserve">     Batanes</t>
  </si>
  <si>
    <t>PH-CAG</t>
  </si>
  <si>
    <t xml:space="preserve">     Cagayan</t>
  </si>
  <si>
    <t>PH-ISA</t>
  </si>
  <si>
    <t xml:space="preserve">     Isabela</t>
  </si>
  <si>
    <t>PH-NUV</t>
  </si>
  <si>
    <t xml:space="preserve">     Nueva Vizcaya</t>
  </si>
  <si>
    <t>PH-QUI</t>
  </si>
  <si>
    <t xml:space="preserve">     Quirino</t>
  </si>
  <si>
    <t>PH-SAN</t>
  </si>
  <si>
    <t>PH-40</t>
  </si>
  <si>
    <t>CALABARZON</t>
  </si>
  <si>
    <t>PH-BTG</t>
  </si>
  <si>
    <t xml:space="preserve">     Batangas</t>
  </si>
  <si>
    <t>PH-CAV</t>
  </si>
  <si>
    <t xml:space="preserve">     Cavite</t>
  </si>
  <si>
    <t>PH-LAG</t>
  </si>
  <si>
    <t xml:space="preserve">     Laguna</t>
  </si>
  <si>
    <t>PH-LUC</t>
  </si>
  <si>
    <t xml:space="preserve">     Lucena</t>
  </si>
  <si>
    <t>highly urbanized city</t>
  </si>
  <si>
    <t>PH-QUE</t>
  </si>
  <si>
    <t xml:space="preserve">     Quezon</t>
  </si>
  <si>
    <t>PH-RIZ</t>
  </si>
  <si>
    <t xml:space="preserve">     Rizal</t>
  </si>
  <si>
    <t>PH-13</t>
  </si>
  <si>
    <t>CARAGA Region</t>
  </si>
  <si>
    <t>PH-AGN</t>
  </si>
  <si>
    <t xml:space="preserve">     Agusan del Norte</t>
  </si>
  <si>
    <t>PH-AGS</t>
  </si>
  <si>
    <t xml:space="preserve">     Agusan del Sur</t>
  </si>
  <si>
    <t>PH-BUT</t>
  </si>
  <si>
    <t xml:space="preserve">     Butuan</t>
  </si>
  <si>
    <t>PH-DIN</t>
  </si>
  <si>
    <t xml:space="preserve">     Dinagat Islands</t>
  </si>
  <si>
    <t>PH-SUN</t>
  </si>
  <si>
    <t xml:space="preserve">     Surigao del Norte</t>
  </si>
  <si>
    <t>PH-SUR</t>
  </si>
  <si>
    <t xml:space="preserve">     Surigao del Sur</t>
  </si>
  <si>
    <t>PH-03</t>
  </si>
  <si>
    <t>Central Luzon</t>
  </si>
  <si>
    <t>PH-ANG</t>
  </si>
  <si>
    <t xml:space="preserve">     Angeles</t>
  </si>
  <si>
    <t>PH-AUR</t>
  </si>
  <si>
    <t xml:space="preserve">     Aurora</t>
  </si>
  <si>
    <t>PH-BAN</t>
  </si>
  <si>
    <t xml:space="preserve">     Bataan</t>
  </si>
  <si>
    <t>PH-BUL</t>
  </si>
  <si>
    <t xml:space="preserve">     Bulacan</t>
  </si>
  <si>
    <t>PH-NUE</t>
  </si>
  <si>
    <t xml:space="preserve">     Nueva Ecija</t>
  </si>
  <si>
    <t>PH-OLG</t>
  </si>
  <si>
    <t xml:space="preserve">     Olongapo</t>
  </si>
  <si>
    <t>PH-PAM</t>
  </si>
  <si>
    <t xml:space="preserve">     Pampanga</t>
  </si>
  <si>
    <t>PH-TAR</t>
  </si>
  <si>
    <t xml:space="preserve">     Tarlac</t>
  </si>
  <si>
    <t>PH-ZMB</t>
  </si>
  <si>
    <t xml:space="preserve">     Zambales</t>
  </si>
  <si>
    <t>PH-07</t>
  </si>
  <si>
    <t>Central Visayas</t>
  </si>
  <si>
    <t>PH-BOH</t>
  </si>
  <si>
    <t xml:space="preserve">     Bohol</t>
  </si>
  <si>
    <t>PH-CBU</t>
  </si>
  <si>
    <t xml:space="preserve">     Cebu</t>
  </si>
  <si>
    <t>PH-CEB</t>
  </si>
  <si>
    <t>PH-LAP</t>
  </si>
  <si>
    <t xml:space="preserve">     Lapu-Lapu</t>
  </si>
  <si>
    <t>PH-MDU</t>
  </si>
  <si>
    <t xml:space="preserve">     Mandaue</t>
  </si>
  <si>
    <t>PH-NER</t>
  </si>
  <si>
    <t xml:space="preserve">     Negros Oriental</t>
  </si>
  <si>
    <t>PH-SIG</t>
  </si>
  <si>
    <t xml:space="preserve">     Siquijor</t>
  </si>
  <si>
    <t>PH-15</t>
  </si>
  <si>
    <t>Cordillera Administrative Region</t>
  </si>
  <si>
    <t>PH-ABR</t>
  </si>
  <si>
    <t xml:space="preserve">     Abra</t>
  </si>
  <si>
    <t>PH-APA</t>
  </si>
  <si>
    <t xml:space="preserve">     Apayao</t>
  </si>
  <si>
    <t>PH-BAG</t>
  </si>
  <si>
    <t xml:space="preserve">     Baguio</t>
  </si>
  <si>
    <t>PH-BEN</t>
  </si>
  <si>
    <t xml:space="preserve">     Benguet</t>
  </si>
  <si>
    <t>PH-IFU</t>
  </si>
  <si>
    <t xml:space="preserve">     Ifugao</t>
  </si>
  <si>
    <t>PH-KAL</t>
  </si>
  <si>
    <t xml:space="preserve">     Kalinga</t>
  </si>
  <si>
    <t>PH-MOU</t>
  </si>
  <si>
    <t xml:space="preserve">     Mountain</t>
  </si>
  <si>
    <t>PH-11</t>
  </si>
  <si>
    <t>Davao</t>
  </si>
  <si>
    <t>PH-COM</t>
  </si>
  <si>
    <t xml:space="preserve">     Compostela Valley</t>
  </si>
  <si>
    <t>PH-DVC</t>
  </si>
  <si>
    <t xml:space="preserve">     Davao</t>
  </si>
  <si>
    <t>PH-DAV</t>
  </si>
  <si>
    <t xml:space="preserve">     Davao del Norte</t>
  </si>
  <si>
    <t>PH-DAS</t>
  </si>
  <si>
    <t xml:space="preserve">     Davao del Sur</t>
  </si>
  <si>
    <t>PH-DVO</t>
  </si>
  <si>
    <t xml:space="preserve">     Davao Occidental</t>
  </si>
  <si>
    <t>PH-DAO</t>
  </si>
  <si>
    <t xml:space="preserve">     Davao Oriental</t>
  </si>
  <si>
    <t>PH-08</t>
  </si>
  <si>
    <t>Eastern Visayas</t>
  </si>
  <si>
    <t>PH-BIL</t>
  </si>
  <si>
    <t xml:space="preserve">     Biliran</t>
  </si>
  <si>
    <t>PH-EAS</t>
  </si>
  <si>
    <t xml:space="preserve">     Eastern Samar</t>
  </si>
  <si>
    <t>PH-LEY</t>
  </si>
  <si>
    <t xml:space="preserve">     Leyte</t>
  </si>
  <si>
    <t>PH-NSA</t>
  </si>
  <si>
    <t xml:space="preserve">     Northern Samar</t>
  </si>
  <si>
    <t>PH-ORM</t>
  </si>
  <si>
    <t xml:space="preserve">     Ormoc</t>
  </si>
  <si>
    <t>PH-WSA</t>
  </si>
  <si>
    <t xml:space="preserve">     Samar</t>
  </si>
  <si>
    <t>PH-SLE</t>
  </si>
  <si>
    <t xml:space="preserve">     Southern Leyte</t>
  </si>
  <si>
    <t>PH-TAC</t>
  </si>
  <si>
    <t xml:space="preserve">     Tacloban</t>
  </si>
  <si>
    <t>PH-01</t>
  </si>
  <si>
    <t>Ilocos</t>
  </si>
  <si>
    <t>PH-DAG</t>
  </si>
  <si>
    <t xml:space="preserve">     Dagupan</t>
  </si>
  <si>
    <t>PH-ILN</t>
  </si>
  <si>
    <t xml:space="preserve">     Ilocos Norte</t>
  </si>
  <si>
    <t>PH-ILS</t>
  </si>
  <si>
    <t xml:space="preserve">     Ilocos Sur</t>
  </si>
  <si>
    <t>PH-LUN</t>
  </si>
  <si>
    <t xml:space="preserve">     La Union</t>
  </si>
  <si>
    <t>PH-PAN</t>
  </si>
  <si>
    <t xml:space="preserve">     Pangasinan</t>
  </si>
  <si>
    <t>PH-41</t>
  </si>
  <si>
    <t>MIMAROPA</t>
  </si>
  <si>
    <t>PH-MAD</t>
  </si>
  <si>
    <t xml:space="preserve">     Marinduque</t>
  </si>
  <si>
    <t>PH-MDC</t>
  </si>
  <si>
    <t xml:space="preserve">     Occidental Mindoro</t>
  </si>
  <si>
    <t>PH-MDR</t>
  </si>
  <si>
    <t xml:space="preserve">     Oriental Mindoro</t>
  </si>
  <si>
    <t>PH-PLW</t>
  </si>
  <si>
    <t xml:space="preserve">     Palawan</t>
  </si>
  <si>
    <t>PH-PPR</t>
  </si>
  <si>
    <t xml:space="preserve">     Puerto Princesa</t>
  </si>
  <si>
    <t>PH-ROM</t>
  </si>
  <si>
    <t xml:space="preserve">     Romblon</t>
  </si>
  <si>
    <t>PH-00</t>
  </si>
  <si>
    <t>National Capital Region</t>
  </si>
  <si>
    <t>PH-CAL</t>
  </si>
  <si>
    <t xml:space="preserve">     Caloocan</t>
  </si>
  <si>
    <t>PH-ILP</t>
  </si>
  <si>
    <t xml:space="preserve">     Las Piñas</t>
  </si>
  <si>
    <t>PH-MAK</t>
  </si>
  <si>
    <t xml:space="preserve">     Makati</t>
  </si>
  <si>
    <t>PH-MAL</t>
  </si>
  <si>
    <t xml:space="preserve">     Malabon</t>
  </si>
  <si>
    <t>PH-MDY</t>
  </si>
  <si>
    <t xml:space="preserve">     Mandaluyong</t>
  </si>
  <si>
    <t>PH-MAN</t>
  </si>
  <si>
    <t xml:space="preserve">     Manila</t>
  </si>
  <si>
    <t>PH-MAR</t>
  </si>
  <si>
    <t xml:space="preserve">     Marikina</t>
  </si>
  <si>
    <t>PH-MUN</t>
  </si>
  <si>
    <t xml:space="preserve">     Muntinlupa</t>
  </si>
  <si>
    <t>PH-NAV</t>
  </si>
  <si>
    <t xml:space="preserve">     Navotas</t>
  </si>
  <si>
    <t>PH-PAR</t>
  </si>
  <si>
    <t xml:space="preserve">     Parañaque</t>
  </si>
  <si>
    <t>PH-PAS</t>
  </si>
  <si>
    <t xml:space="preserve">     Pasay</t>
  </si>
  <si>
    <t>PH-PSG</t>
  </si>
  <si>
    <t xml:space="preserve">     Pasig</t>
  </si>
  <si>
    <t>PH-QZN</t>
  </si>
  <si>
    <t>PH-SNJ</t>
  </si>
  <si>
    <t>PH-TAG</t>
  </si>
  <si>
    <t xml:space="preserve">     Taguig</t>
  </si>
  <si>
    <t>PH-VAL</t>
  </si>
  <si>
    <t xml:space="preserve">     Valenzuela</t>
  </si>
  <si>
    <t>PH-10</t>
  </si>
  <si>
    <t>Northern Mindanao</t>
  </si>
  <si>
    <t>PH-BUK</t>
  </si>
  <si>
    <t xml:space="preserve">     Bukidnon</t>
  </si>
  <si>
    <t>PH-CGO</t>
  </si>
  <si>
    <t xml:space="preserve">     Cagayan de Oro</t>
  </si>
  <si>
    <t>PH-CAM</t>
  </si>
  <si>
    <t xml:space="preserve">     Camiguin</t>
  </si>
  <si>
    <t>PH-ILG</t>
  </si>
  <si>
    <t xml:space="preserve">     Iligan</t>
  </si>
  <si>
    <t>PH-LAN</t>
  </si>
  <si>
    <t xml:space="preserve">     Lanao del Norte</t>
  </si>
  <si>
    <t>PH-MSC</t>
  </si>
  <si>
    <t xml:space="preserve">     Misamis Occidental</t>
  </si>
  <si>
    <t>PH-MSR</t>
  </si>
  <si>
    <t xml:space="preserve">     Misamis Oriental</t>
  </si>
  <si>
    <t>PH-12</t>
  </si>
  <si>
    <t>SOCCSKSARGEN Region</t>
  </si>
  <si>
    <t>PH-COT</t>
  </si>
  <si>
    <t xml:space="preserve">     Cotabato</t>
  </si>
  <si>
    <t>PH-NCO</t>
  </si>
  <si>
    <t>PH-GNS</t>
  </si>
  <si>
    <t xml:space="preserve">     General Santos</t>
  </si>
  <si>
    <t>PH-SAR</t>
  </si>
  <si>
    <t xml:space="preserve">     Sarangani</t>
  </si>
  <si>
    <t>PH-SCO</t>
  </si>
  <si>
    <t xml:space="preserve">     South Cotabato</t>
  </si>
  <si>
    <t>PH-SUK</t>
  </si>
  <si>
    <t xml:space="preserve">     Sultan Kudarat</t>
  </si>
  <si>
    <t>PH-06</t>
  </si>
  <si>
    <t>Western Visayas</t>
  </si>
  <si>
    <t>PH-AKL</t>
  </si>
  <si>
    <t xml:space="preserve">     Aklan</t>
  </si>
  <si>
    <t>PH-ANT</t>
  </si>
  <si>
    <t xml:space="preserve">     Antique</t>
  </si>
  <si>
    <t>PH-BAC</t>
  </si>
  <si>
    <t xml:space="preserve">     Bacolod</t>
  </si>
  <si>
    <t>PH-CAP</t>
  </si>
  <si>
    <t xml:space="preserve">     Capiz</t>
  </si>
  <si>
    <t>PH-GUI</t>
  </si>
  <si>
    <t xml:space="preserve">     Guimaras</t>
  </si>
  <si>
    <t>PH-ILO</t>
  </si>
  <si>
    <t xml:space="preserve">     Iloilo</t>
  </si>
  <si>
    <t>PH-ILI</t>
  </si>
  <si>
    <t>PH-NEC</t>
  </si>
  <si>
    <t xml:space="preserve">     Negros Occidental</t>
  </si>
  <si>
    <t>PH-09</t>
  </si>
  <si>
    <t>Zamboanga Peninsula</t>
  </si>
  <si>
    <t>PH-ZAM</t>
  </si>
  <si>
    <t xml:space="preserve">     Zamboanga</t>
  </si>
  <si>
    <t>PH-ZAN</t>
  </si>
  <si>
    <t xml:space="preserve">     Zamboanga del Norte</t>
  </si>
  <si>
    <t>PH-ZAS</t>
  </si>
  <si>
    <t xml:space="preserve">     Zamboanga del Sur</t>
  </si>
  <si>
    <t>PH-ZSI</t>
  </si>
  <si>
    <t xml:space="preserve">     Zamboanga Sibugay</t>
  </si>
  <si>
    <t>PL-02</t>
  </si>
  <si>
    <t>Dolnośląskie</t>
  </si>
  <si>
    <t>voivodship</t>
  </si>
  <si>
    <t>PL-04</t>
  </si>
  <si>
    <t>Kujawsko-Pomorskie</t>
  </si>
  <si>
    <t>PL-10</t>
  </si>
  <si>
    <t>Łódzkie</t>
  </si>
  <si>
    <t>PL-06</t>
  </si>
  <si>
    <t>Lubelskie</t>
  </si>
  <si>
    <t>PL-08</t>
  </si>
  <si>
    <t>Lubuskie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</si>
  <si>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</si>
  <si>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</si>
  <si>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</si>
  <si>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</si>
  <si>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</si>
  <si>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</si>
  <si>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</si>
  <si>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</si>
  <si>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</si>
  <si>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</si>
  <si>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</si>
  <si>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</si>
  <si>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</si>
  <si>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</si>
  <si>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</si>
  <si>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</si>
  <si>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</si>
  <si>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</si>
  <si>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</si>
  <si>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</si>
  <si>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</si>
  <si>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</si>
  <si>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PT-01</t>
  </si>
  <si>
    <t>Aveiro</t>
  </si>
  <si>
    <t>PT-20</t>
  </si>
  <si>
    <t>Azores</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</si>
  <si>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</si>
  <si>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</si>
  <si>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</si>
  <si>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</si>
  <si>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</si>
  <si>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</si>
  <si>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</si>
  <si>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</si>
  <si>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</si>
  <si>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</si>
  <si>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</si>
  <si>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</si>
  <si>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</si>
  <si>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</si>
  <si>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</si>
  <si>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</si>
  <si>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</si>
  <si>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</si>
  <si>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</si>
  <si>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</si>
  <si>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PT-30</t>
  </si>
  <si>
    <t>Madeira</t>
  </si>
  <si>
    <t>PT-12</t>
  </si>
  <si>
    <t>Portalegre</t>
  </si>
  <si>
    <t>PT-13</t>
  </si>
  <si>
    <t>Porto</t>
  </si>
  <si>
    <t>PT-14</t>
  </si>
  <si>
    <t>Santarém</t>
  </si>
  <si>
    <t>PT-15</t>
  </si>
  <si>
    <t>Setúbal</t>
  </si>
  <si>
    <t>PT-16</t>
  </si>
  <si>
    <t>Viana do Castelo</t>
  </si>
  <si>
    <t>PT-17</t>
  </si>
  <si>
    <t>Vila Real</t>
  </si>
  <si>
    <t>PT-18</t>
  </si>
  <si>
    <t>Viseu</t>
  </si>
  <si>
    <t>QA-DA</t>
  </si>
  <si>
    <t>Ad Dawḩah</t>
  </si>
  <si>
    <t>QA-KH</t>
  </si>
  <si>
    <t>Al Khawr wa adh Dhakhīrah</t>
  </si>
  <si>
    <t>QA-WA</t>
  </si>
  <si>
    <t>Al Wakrah</t>
  </si>
  <si>
    <t>QA-RA</t>
  </si>
  <si>
    <t>Ar Rayyān</t>
  </si>
  <si>
    <t>QA-MS</t>
  </si>
  <si>
    <t>Ash Shamāl</t>
  </si>
  <si>
    <t>QA-SH</t>
  </si>
  <si>
    <t>Ash Shīḩānīyah</t>
  </si>
  <si>
    <t>QA-ZA</t>
  </si>
  <si>
    <t>Az̧ Z̧a‘āyin</t>
  </si>
  <si>
    <t>QA-US</t>
  </si>
  <si>
    <t>Umm Şalāl</t>
  </si>
  <si>
    <t>RO-AB</t>
  </si>
  <si>
    <t>Alba</t>
  </si>
  <si>
    <t>RO-AR</t>
  </si>
  <si>
    <t>Arad</t>
  </si>
  <si>
    <t>RO-AG</t>
  </si>
  <si>
    <t>Argeş</t>
  </si>
  <si>
    <t>RO-BC</t>
  </si>
  <si>
    <t>Bacău</t>
  </si>
  <si>
    <t>RO-BH</t>
  </si>
  <si>
    <t>Bihor</t>
  </si>
  <si>
    <t>RO-BN</t>
  </si>
  <si>
    <t>Bistriţa-Năsăud</t>
  </si>
  <si>
    <t>RO-BT</t>
  </si>
  <si>
    <t>Botoşani</t>
  </si>
  <si>
    <t>RO-BR</t>
  </si>
  <si>
    <t>Brăila</t>
  </si>
  <si>
    <t>RO-BV</t>
  </si>
  <si>
    <t>Braşov</t>
  </si>
  <si>
    <t>RO-B</t>
  </si>
  <si>
    <t>Bucureşti</t>
  </si>
  <si>
    <t>RO-BZ</t>
  </si>
  <si>
    <t>Buzău</t>
  </si>
  <si>
    <t>RO-CL</t>
  </si>
  <si>
    <t>RO-CS</t>
  </si>
  <si>
    <t>Caraş-Severin</t>
  </si>
  <si>
    <t>RO-CJ</t>
  </si>
  <si>
    <t>Cluj</t>
  </si>
  <si>
    <t>RO-CT</t>
  </si>
  <si>
    <t>Constanţa</t>
  </si>
  <si>
    <t>RO-CV</t>
  </si>
  <si>
    <t>Covasna</t>
  </si>
  <si>
    <t>RO-DB</t>
  </si>
  <si>
    <t>Dâmboviţa</t>
  </si>
  <si>
    <t>RO-DJ</t>
  </si>
  <si>
    <t>Dolj</t>
  </si>
  <si>
    <t>RO-GL</t>
  </si>
  <si>
    <t>Galaţi</t>
  </si>
  <si>
    <t>RO-GR</t>
  </si>
  <si>
    <t>Giurgiu</t>
  </si>
  <si>
    <t>RO-GJ</t>
  </si>
  <si>
    <t>Gorj</t>
  </si>
  <si>
    <t>RO-HR</t>
  </si>
  <si>
    <t>Harghita</t>
  </si>
  <si>
    <t>RO-HD</t>
  </si>
  <si>
    <t>Hunedoara</t>
  </si>
  <si>
    <t>RO-IL</t>
  </si>
  <si>
    <t>Ialomiţa</t>
  </si>
  <si>
    <t>RO-IS</t>
  </si>
  <si>
    <t>Iaşi</t>
  </si>
  <si>
    <t>RO-IF</t>
  </si>
  <si>
    <t>Ilfov</t>
  </si>
  <si>
    <t>RO-MM</t>
  </si>
  <si>
    <t>Maramureş</t>
  </si>
  <si>
    <t>RO-MH</t>
  </si>
  <si>
    <t>Mehedinţi</t>
  </si>
  <si>
    <t>RO-MS</t>
  </si>
  <si>
    <t>Mureş</t>
  </si>
  <si>
    <t>RO-NT</t>
  </si>
  <si>
    <t>Neamţ</t>
  </si>
  <si>
    <t>RO-OT</t>
  </si>
  <si>
    <t>Olt</t>
  </si>
  <si>
    <t>RO-PH</t>
  </si>
  <si>
    <t>Prahova</t>
  </si>
  <si>
    <t>RO-SJ</t>
  </si>
  <si>
    <t>Sălaj</t>
  </si>
  <si>
    <t>RO-SM</t>
  </si>
  <si>
    <t>Satu Mare</t>
  </si>
  <si>
    <t>RO-SB</t>
  </si>
  <si>
    <t>Sibiu</t>
  </si>
  <si>
    <t>RO-SV</t>
  </si>
  <si>
    <t>Suceava</t>
  </si>
  <si>
    <t>RO-TR</t>
  </si>
  <si>
    <t>Teleorman</t>
  </si>
  <si>
    <t>RO-TM</t>
  </si>
  <si>
    <t>Timiş</t>
  </si>
  <si>
    <t>RO-TL</t>
  </si>
  <si>
    <t>Tulcea</t>
  </si>
  <si>
    <t>RO-VL</t>
  </si>
  <si>
    <t>Vâlcea</t>
  </si>
  <si>
    <t>RO-VS</t>
  </si>
  <si>
    <t>Vaslui</t>
  </si>
  <si>
    <t>RO-VN</t>
  </si>
  <si>
    <t>Vrancea</t>
  </si>
  <si>
    <t>RU-AD</t>
  </si>
  <si>
    <t>Adygeya</t>
  </si>
  <si>
    <t>RU-AL</t>
  </si>
  <si>
    <t>Altay</t>
  </si>
  <si>
    <t>RU-ALT</t>
  </si>
  <si>
    <t>Altayskiy Kray</t>
  </si>
  <si>
    <t>RU-AMU</t>
  </si>
  <si>
    <t>Amurskaya Oblast’</t>
  </si>
  <si>
    <t>RU-ARK</t>
  </si>
  <si>
    <t>Arkhangel’skaya Oblast’</t>
  </si>
  <si>
    <t>RU-AST</t>
  </si>
  <si>
    <t>Astrakhanskaya Oblast’</t>
  </si>
  <si>
    <t>RU-BA</t>
  </si>
  <si>
    <t>Bashkortostan</t>
  </si>
  <si>
    <t>RU-BEL</t>
  </si>
  <si>
    <t>Belgorodskaya Oblast’</t>
  </si>
  <si>
    <t>RU-BRY</t>
  </si>
  <si>
    <t>Bryanskaya Oblast’</t>
  </si>
  <si>
    <t>RU-BU</t>
  </si>
  <si>
    <t>Buryatiya</t>
  </si>
  <si>
    <t>RU-CE</t>
  </si>
  <si>
    <t>Chechnya</t>
  </si>
  <si>
    <t>RU-CHE</t>
  </si>
  <si>
    <t>Chelyabinskaya Oblast’</t>
  </si>
  <si>
    <t>RU-CHU</t>
  </si>
  <si>
    <t>Chukotskiy Avtonomnyy Okrug</t>
  </si>
  <si>
    <t>RU-CU</t>
  </si>
  <si>
    <t>Chuvashiya</t>
  </si>
  <si>
    <t>RU-DA</t>
  </si>
  <si>
    <t>Dagestan</t>
  </si>
  <si>
    <t>RU-IN</t>
  </si>
  <si>
    <t>Ingushetiya</t>
  </si>
  <si>
    <t>RU-IRK</t>
  </si>
  <si>
    <t>Irkutskaya Oblast’</t>
  </si>
  <si>
    <t>RU-IVA</t>
  </si>
  <si>
    <t>Ivanovskaya Oblast’</t>
  </si>
  <si>
    <t>RU-KB</t>
  </si>
  <si>
    <t>Kabardino-Balkariya</t>
  </si>
  <si>
    <t>RU-KGD</t>
  </si>
  <si>
    <t>Kaliningradskaya Oblast’</t>
  </si>
  <si>
    <t>RU-KL</t>
  </si>
  <si>
    <t>Kalmykiya</t>
  </si>
  <si>
    <t>RU-KLU</t>
  </si>
  <si>
    <t>Kaluzhskaya Oblast’</t>
  </si>
  <si>
    <t>RU-KAM</t>
  </si>
  <si>
    <t>Kamchatskiy Kray</t>
  </si>
  <si>
    <t>RU-KC</t>
  </si>
  <si>
    <t>Karachayevo-Cherkesiya</t>
  </si>
  <si>
    <t>RU-KR</t>
  </si>
  <si>
    <t>Kareliya</t>
  </si>
  <si>
    <t>RU-KEM</t>
  </si>
  <si>
    <t>Kemerovskaya Oblast’</t>
  </si>
  <si>
    <t>RU-KHA</t>
  </si>
  <si>
    <t>Khabarovskiy Kray</t>
  </si>
  <si>
    <t>RU-KK</t>
  </si>
  <si>
    <t>Khakasiya</t>
  </si>
  <si>
    <t>RU-KHM</t>
  </si>
  <si>
    <t>Khanty-Mansiyskiy Avtonomnyy Okrug-Yugra</t>
  </si>
  <si>
    <t>RU-KIR</t>
  </si>
  <si>
    <t>Kirovskaya Oblast’</t>
  </si>
  <si>
    <t>RU-KO</t>
  </si>
  <si>
    <t>Komi</t>
  </si>
  <si>
    <t>RU-KOS</t>
  </si>
  <si>
    <t>Kostromskaya Oblast’</t>
  </si>
  <si>
    <t>RU-KDA</t>
  </si>
  <si>
    <t>Krasnodarskiy Kray</t>
  </si>
  <si>
    <t>RU-KYA</t>
  </si>
  <si>
    <t>Krasnoyarskiy Kray</t>
  </si>
  <si>
    <t>RU-KGN</t>
  </si>
  <si>
    <t>Kurganskaya Oblast’</t>
  </si>
  <si>
    <t>RU-KRS</t>
  </si>
  <si>
    <t>Kurskaya Oblast’</t>
  </si>
  <si>
    <t>RU-LEN</t>
  </si>
  <si>
    <t>Leningradskaya Oblast’</t>
  </si>
  <si>
    <t>RU-LIP</t>
  </si>
  <si>
    <t>Lipetskaya Oblast’</t>
  </si>
  <si>
    <t>RU-MAG</t>
  </si>
  <si>
    <t>Magadanskaya Oblast’</t>
  </si>
  <si>
    <t>RU-ME</t>
  </si>
  <si>
    <t>Mariy-El</t>
  </si>
  <si>
    <t>RU-MO</t>
  </si>
  <si>
    <t>Mordoviya</t>
  </si>
  <si>
    <t>RU-MOS</t>
  </si>
  <si>
    <t>Moskovskaya Oblast’</t>
  </si>
  <si>
    <t>RU-MOW</t>
  </si>
  <si>
    <t>Moskva</t>
  </si>
  <si>
    <t>RU-MUR</t>
  </si>
  <si>
    <t>Murmanskaya Oblast’</t>
  </si>
  <si>
    <t>RU-NEN</t>
  </si>
  <si>
    <t>Nenetskiy Avtonomnyy Okrug</t>
  </si>
  <si>
    <t>RU-NIZ</t>
  </si>
  <si>
    <t>Nizhegorodskaya Oblast’</t>
  </si>
  <si>
    <t>RU-SE</t>
  </si>
  <si>
    <t>North Ossetia</t>
  </si>
  <si>
    <t>RU-NGR</t>
  </si>
  <si>
    <t>Novgorodskaya Oblast’</t>
  </si>
  <si>
    <t>RU-NVS</t>
  </si>
  <si>
    <t>Novosibirskaya Oblast’</t>
  </si>
  <si>
    <t>RU-OMS</t>
  </si>
  <si>
    <t>Omskaya Oblast’</t>
  </si>
  <si>
    <t>RU-ORE</t>
  </si>
  <si>
    <t>Orenburgskaya Oblast’</t>
  </si>
  <si>
    <t>RU-ORL</t>
  </si>
  <si>
    <t>Orlovskaya Oblast’</t>
  </si>
  <si>
    <t>RU-PNZ</t>
  </si>
  <si>
    <t>Penzenskaya Oblast’</t>
  </si>
  <si>
    <t>RU-PER</t>
  </si>
  <si>
    <t>Permskiy Kray</t>
  </si>
  <si>
    <t>RU-PRI</t>
  </si>
  <si>
    <t>Primorskiy Kray</t>
  </si>
  <si>
    <t>RU-PSK</t>
  </si>
  <si>
    <t>Pskovskaya Oblast’</t>
  </si>
  <si>
    <t>RU-ROS</t>
  </si>
  <si>
    <t>Rostovskaya Oblast’</t>
  </si>
  <si>
    <t>RU-RYA</t>
  </si>
  <si>
    <t>Ryazanskaya Oblast’</t>
  </si>
  <si>
    <t>RU-SA</t>
  </si>
  <si>
    <t>Sakha (Yakutiya)</t>
  </si>
  <si>
    <t>RU-SAK</t>
  </si>
  <si>
    <t>Sakhalinskaya Oblast’</t>
  </si>
  <si>
    <t>RU-SAM</t>
  </si>
  <si>
    <t>Samarskaya Oblast’</t>
  </si>
  <si>
    <t>RU-SPE</t>
  </si>
  <si>
    <t>Sankt-Peterburg</t>
  </si>
  <si>
    <t>RU-SAR</t>
  </si>
  <si>
    <t>Saratovskaya Oblast’</t>
  </si>
  <si>
    <t>RU-SMO</t>
  </si>
  <si>
    <t>Smolenskaya Oblast’</t>
  </si>
  <si>
    <t>RU-STA</t>
  </si>
  <si>
    <t>Stavropol’skiy Kray</t>
  </si>
  <si>
    <t>RU-SVE</t>
  </si>
  <si>
    <t>Sverdlovskaya Oblast’</t>
  </si>
  <si>
    <t>RU-TAM</t>
  </si>
  <si>
    <t>Tambovskaya Oblast’</t>
  </si>
  <si>
    <t>RU-TA</t>
  </si>
  <si>
    <t>Tatarstan</t>
  </si>
  <si>
    <t>RU-TOM</t>
  </si>
  <si>
    <t>Tomskaya Oblast’</t>
  </si>
  <si>
    <t>RU-TUL</t>
  </si>
  <si>
    <t>Tul’skaya Oblast’</t>
  </si>
  <si>
    <t>RU-TVE</t>
  </si>
  <si>
    <t>Tverskaya Oblast’</t>
  </si>
  <si>
    <t>RU-TYU</t>
  </si>
  <si>
    <t>Tyumenskaya Oblast’</t>
  </si>
  <si>
    <t>RU-TY</t>
  </si>
  <si>
    <t>Tyva</t>
  </si>
  <si>
    <t>RU-UD</t>
  </si>
  <si>
    <t>Udmurtiya</t>
  </si>
  <si>
    <t>RU-ULY</t>
  </si>
  <si>
    <t>Ul’yanovskaya Oblast’</t>
  </si>
  <si>
    <t>RU-VLA</t>
  </si>
  <si>
    <t>Vladimirskaya Oblast’</t>
  </si>
  <si>
    <t>RU-VGG</t>
  </si>
  <si>
    <t>Volgogradskaya Oblast’</t>
  </si>
  <si>
    <t>RU-VLG</t>
  </si>
  <si>
    <t>Vologodskaya Oblast’</t>
  </si>
  <si>
    <t>RU-VOR</t>
  </si>
  <si>
    <t>Voronezhskaya Oblast’</t>
  </si>
  <si>
    <t>RU-YAN</t>
  </si>
  <si>
    <t>Yamalo-Nenetskiy Avtonomnyy Okrug</t>
  </si>
  <si>
    <t>RU-YAR</t>
  </si>
  <si>
    <t>Yaroslavskaya Oblast’</t>
  </si>
  <si>
    <t>RU-YEV</t>
  </si>
  <si>
    <t>Yevreyskaya Avtonomnaya Oblast’</t>
  </si>
  <si>
    <t>RU-ZAB</t>
  </si>
  <si>
    <t>Zabaykal’skiy Kray</t>
  </si>
  <si>
    <t>RW-02</t>
  </si>
  <si>
    <t>Eastern Province</t>
  </si>
  <si>
    <t>RW-01</t>
  </si>
  <si>
    <t>Kigali</t>
  </si>
  <si>
    <t>RW-03</t>
  </si>
  <si>
    <t>Northern Province</t>
  </si>
  <si>
    <t>RW-05</t>
  </si>
  <si>
    <t>Southern Province</t>
  </si>
  <si>
    <t>RW-04</t>
  </si>
  <si>
    <t>Western Province</t>
  </si>
  <si>
    <t>SH-AC</t>
  </si>
  <si>
    <t>Ascension</t>
  </si>
  <si>
    <t>administrative area</t>
  </si>
  <si>
    <t>SH-HL</t>
  </si>
  <si>
    <t>Saint Helena</t>
  </si>
  <si>
    <t>SH-TA</t>
  </si>
  <si>
    <t>Tristan da Cunha</t>
  </si>
  <si>
    <t>KN-N</t>
  </si>
  <si>
    <t>Nevis</t>
  </si>
  <si>
    <t>KN-04</t>
  </si>
  <si>
    <t xml:space="preserve">     Saint George Gingerland</t>
  </si>
  <si>
    <t>KN-05</t>
  </si>
  <si>
    <t xml:space="preserve">     Saint James Windward</t>
  </si>
  <si>
    <t>KN-07</t>
  </si>
  <si>
    <t xml:space="preserve">     Saint John Figtree</t>
  </si>
  <si>
    <t>KN-10</t>
  </si>
  <si>
    <t xml:space="preserve">     Saint Paul Charlestown</t>
  </si>
  <si>
    <t>KN-12</t>
  </si>
  <si>
    <t xml:space="preserve">     Saint Thomas Lowland</t>
  </si>
  <si>
    <t>KN-K</t>
  </si>
  <si>
    <t>Saint Kitts</t>
  </si>
  <si>
    <t>KN-01</t>
  </si>
  <si>
    <t xml:space="preserve">     Christ Church Nichola Town</t>
  </si>
  <si>
    <t>KN-02</t>
  </si>
  <si>
    <t xml:space="preserve">     Saint Anne Sandy Point</t>
  </si>
  <si>
    <t>KN-03</t>
  </si>
  <si>
    <t xml:space="preserve">     Saint George Basseterre</t>
  </si>
  <si>
    <t>KN-06</t>
  </si>
  <si>
    <t xml:space="preserve">     Saint John Capesterre</t>
  </si>
  <si>
    <t>KN-08</t>
  </si>
  <si>
    <t xml:space="preserve">     Saint Mary Cayon</t>
  </si>
  <si>
    <t>KN-09</t>
  </si>
  <si>
    <t xml:space="preserve">     Saint Paul Capesterre</t>
  </si>
  <si>
    <t>KN-11</t>
  </si>
  <si>
    <t xml:space="preserve">     Saint Peter Basseterre</t>
  </si>
  <si>
    <t>KN-13</t>
  </si>
  <si>
    <t xml:space="preserve">     Saint Thomas Middle Island</t>
  </si>
  <si>
    <t>KN-15</t>
  </si>
  <si>
    <t xml:space="preserve">     Trinity Palmetto Point</t>
  </si>
  <si>
    <t>LC-01</t>
  </si>
  <si>
    <t>Anse-la-Raye</t>
  </si>
  <si>
    <t>LC-12</t>
  </si>
  <si>
    <t>Canaries</t>
  </si>
  <si>
    <t>LC-02</t>
  </si>
  <si>
    <t>Castries</t>
  </si>
  <si>
    <t>LC-03</t>
  </si>
  <si>
    <t>Choiseul</t>
  </si>
  <si>
    <t>LC-05</t>
  </si>
  <si>
    <t>Dennery</t>
  </si>
  <si>
    <t>LC-06</t>
  </si>
  <si>
    <t>Gros-Islet</t>
  </si>
  <si>
    <t>LC-07</t>
  </si>
  <si>
    <t>Laborie</t>
  </si>
  <si>
    <t>LC-08</t>
  </si>
  <si>
    <t>Micoud</t>
  </si>
  <si>
    <t>LC-10</t>
  </si>
  <si>
    <t>Soufrière</t>
  </si>
  <si>
    <t>LC-11</t>
  </si>
  <si>
    <t>Vieux-Fort</t>
  </si>
  <si>
    <t>VC-01</t>
  </si>
  <si>
    <t>Charlotte</t>
  </si>
  <si>
    <t>VC-06</t>
  </si>
  <si>
    <t>Grenadines</t>
  </si>
  <si>
    <t>VC-02</t>
  </si>
  <si>
    <t>VC-03</t>
  </si>
  <si>
    <t>VC-04</t>
  </si>
  <si>
    <t>VC-05</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</si>
  <si>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</si>
  <si>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</si>
  <si>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</si>
  <si>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</si>
  <si>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</si>
  <si>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</si>
  <si>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</si>
  <si>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</si>
  <si>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</si>
  <si>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</si>
  <si>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</si>
  <si>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</si>
  <si>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</si>
  <si>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</si>
  <si>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</si>
  <si>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</si>
  <si>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</si>
  <si>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</si>
  <si>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</si>
  <si>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</si>
  <si>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</si>
  <si>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</si>
  <si>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SM-01</t>
  </si>
  <si>
    <t>Acquaviva</t>
  </si>
  <si>
    <t>SM-06</t>
  </si>
  <si>
    <t>Borgo Maggiore</t>
  </si>
  <si>
    <t>SM-02</t>
  </si>
  <si>
    <t>Chiesanuova</t>
  </si>
  <si>
    <t>SM-03</t>
  </si>
  <si>
    <t>Domagnano</t>
  </si>
  <si>
    <t>SM-04</t>
  </si>
  <si>
    <t>Faetano</t>
  </si>
  <si>
    <t>SM-05</t>
  </si>
  <si>
    <t>Fiorentino</t>
  </si>
  <si>
    <t>SM-08</t>
  </si>
  <si>
    <t>Montegiardino</t>
  </si>
  <si>
    <t>SM-07</t>
  </si>
  <si>
    <t>San Marino Città</t>
  </si>
  <si>
    <t>SM-09</t>
  </si>
  <si>
    <t>Serravalle</t>
  </si>
  <si>
    <t>ST-01</t>
  </si>
  <si>
    <t>Água Grande</t>
  </si>
  <si>
    <t>ST-02</t>
  </si>
  <si>
    <t>Cantagalo</t>
  </si>
  <si>
    <t>ST-03</t>
  </si>
  <si>
    <t>Caué</t>
  </si>
  <si>
    <t>ST-04</t>
  </si>
  <si>
    <t>Lembá</t>
  </si>
  <si>
    <t>ST-05</t>
  </si>
  <si>
    <t>Lobata</t>
  </si>
  <si>
    <t>ST-06</t>
  </si>
  <si>
    <t>Mé-Zóchi</t>
  </si>
  <si>
    <t>ST-P</t>
  </si>
  <si>
    <t>Príncipe</t>
  </si>
  <si>
    <t>SA-11</t>
  </si>
  <si>
    <t>Al Bāḩah</t>
  </si>
  <si>
    <t>SA-08</t>
  </si>
  <si>
    <t>Al Ḩudūd ash Shamālīyah</t>
  </si>
  <si>
    <t>SA-12</t>
  </si>
  <si>
    <t>Al Jawf</t>
  </si>
  <si>
    <t>SA-03</t>
  </si>
  <si>
    <t>Al Madīnah al Munawwarah</t>
  </si>
  <si>
    <t>SA-05</t>
  </si>
  <si>
    <t>Al Qaşīm</t>
  </si>
  <si>
    <t>SA-01</t>
  </si>
  <si>
    <t>Ar Riyāḑ</t>
  </si>
  <si>
    <t>SA-04</t>
  </si>
  <si>
    <t>SA-14</t>
  </si>
  <si>
    <t>‘Asīr</t>
  </si>
  <si>
    <t>SA-06</t>
  </si>
  <si>
    <t>Ḩā’il</t>
  </si>
  <si>
    <t>SA-09</t>
  </si>
  <si>
    <t>Jāzān</t>
  </si>
  <si>
    <t>SA-02</t>
  </si>
  <si>
    <t>Makkah al Mukarramah</t>
  </si>
  <si>
    <t>SA-10</t>
  </si>
  <si>
    <t>Najrān</t>
  </si>
  <si>
    <t>SA-07</t>
  </si>
  <si>
    <t>Tabūk</t>
  </si>
  <si>
    <t>SN-DK</t>
  </si>
  <si>
    <t>Dakar</t>
  </si>
  <si>
    <t>SN-DB</t>
  </si>
  <si>
    <t>Diourbel</t>
  </si>
  <si>
    <t>SN-FK</t>
  </si>
  <si>
    <t>Fatick</t>
  </si>
  <si>
    <t>SN-KA</t>
  </si>
  <si>
    <t>Kaffrine</t>
  </si>
  <si>
    <t>SN-KL</t>
  </si>
  <si>
    <t>Kaolack</t>
  </si>
  <si>
    <t>SN-KE</t>
  </si>
  <si>
    <t>Kédougou</t>
  </si>
  <si>
    <t>SN-KD</t>
  </si>
  <si>
    <t>Kolda</t>
  </si>
  <si>
    <t>SN-LG</t>
  </si>
  <si>
    <t>Louga</t>
  </si>
  <si>
    <t>SN-MT</t>
  </si>
  <si>
    <t>Matam</t>
  </si>
  <si>
    <t>SN-SL</t>
  </si>
  <si>
    <t>Saint-Louis</t>
  </si>
  <si>
    <t>SN-SE</t>
  </si>
  <si>
    <t>Sédhiou</t>
  </si>
  <si>
    <t>SN-TC</t>
  </si>
  <si>
    <t>Tambacounda</t>
  </si>
  <si>
    <t>SN-TH</t>
  </si>
  <si>
    <t>Thiès</t>
  </si>
  <si>
    <t>SN-ZG</t>
  </si>
  <si>
    <t>Ziguinchor</t>
  </si>
  <si>
    <t>RS-30</t>
  </si>
  <si>
    <t>Ada</t>
  </si>
  <si>
    <t>RS-31</t>
  </si>
  <si>
    <t>Aleksandrovac</t>
  </si>
  <si>
    <t>RS-32</t>
  </si>
  <si>
    <t>Aleksinac</t>
  </si>
  <si>
    <t>RS-33</t>
  </si>
  <si>
    <t>Alibunar</t>
  </si>
  <si>
    <t>RS-34</t>
  </si>
  <si>
    <t>Apatin</t>
  </si>
  <si>
    <t>RS-35</t>
  </si>
  <si>
    <t>Aranđelovac</t>
  </si>
  <si>
    <t>RS-36</t>
  </si>
  <si>
    <t>Arilje</t>
  </si>
  <si>
    <t>RS-37</t>
  </si>
  <si>
    <t>Babušnica</t>
  </si>
  <si>
    <t>RS-38</t>
  </si>
  <si>
    <t>Bač</t>
  </si>
  <si>
    <t>RS-39</t>
  </si>
  <si>
    <t>Bačka Palanka</t>
  </si>
  <si>
    <t>RS-40</t>
  </si>
  <si>
    <t>Bačka Topola</t>
  </si>
  <si>
    <t>RS-41</t>
  </si>
  <si>
    <t>Bački Petrovac</t>
  </si>
  <si>
    <t>RS-42</t>
  </si>
  <si>
    <t>Bajina Bašta</t>
  </si>
  <si>
    <t>RS-43</t>
  </si>
  <si>
    <t>Batočina</t>
  </si>
  <si>
    <t>RS-44</t>
  </si>
  <si>
    <t>Bečej</t>
  </si>
  <si>
    <t>RS-45</t>
  </si>
  <si>
    <t>Bela Crkva</t>
  </si>
  <si>
    <t>RS-46</t>
  </si>
  <si>
    <t>Bela Palanka</t>
  </si>
  <si>
    <t>RS-47</t>
  </si>
  <si>
    <t xml:space="preserve">Beočin </t>
  </si>
  <si>
    <t>RS-00</t>
  </si>
  <si>
    <t>Beograd</t>
  </si>
  <si>
    <t>RS-48</t>
  </si>
  <si>
    <t>Blace</t>
  </si>
  <si>
    <t>RS-49</t>
  </si>
  <si>
    <t>Bogatić</t>
  </si>
  <si>
    <t>RS-50</t>
  </si>
  <si>
    <t>Bojnik</t>
  </si>
  <si>
    <t>RS-51</t>
  </si>
  <si>
    <t>Boljevac</t>
  </si>
  <si>
    <t>RS-52</t>
  </si>
  <si>
    <t>Bor</t>
  </si>
  <si>
    <t>RS-14</t>
  </si>
  <si>
    <t>Borski Okrug</t>
  </si>
  <si>
    <t>RS-53</t>
  </si>
  <si>
    <t>Bosilegrad</t>
  </si>
  <si>
    <t>RS-11</t>
  </si>
  <si>
    <t>Braničevski Okrug</t>
  </si>
  <si>
    <t>RS-54</t>
  </si>
  <si>
    <t>Brus</t>
  </si>
  <si>
    <t>RS-55</t>
  </si>
  <si>
    <t>Bujanovac</t>
  </si>
  <si>
    <t>RS-56</t>
  </si>
  <si>
    <t>Čačak</t>
  </si>
  <si>
    <t>RS-57</t>
  </si>
  <si>
    <t>Čajetina</t>
  </si>
  <si>
    <t>RS-58</t>
  </si>
  <si>
    <t>Ćićevac</t>
  </si>
  <si>
    <t>RS-59</t>
  </si>
  <si>
    <t>Čoka</t>
  </si>
  <si>
    <t>RS-60</t>
  </si>
  <si>
    <t>Crna Trava</t>
  </si>
  <si>
    <t>RS-61</t>
  </si>
  <si>
    <t>Ćuprija</t>
  </si>
  <si>
    <t>RS-62</t>
  </si>
  <si>
    <t>Despotovac</t>
  </si>
  <si>
    <t>RS-63</t>
  </si>
  <si>
    <t>Dimitrovgrad</t>
  </si>
  <si>
    <t>RS-64</t>
  </si>
  <si>
    <t>Doljevac</t>
  </si>
  <si>
    <t>RS-65</t>
  </si>
  <si>
    <t>Gadžin Han</t>
  </si>
  <si>
    <t>RS-66</t>
  </si>
  <si>
    <t>Golubac</t>
  </si>
  <si>
    <t>RS-67</t>
  </si>
  <si>
    <t>Gornji Milanovac</t>
  </si>
  <si>
    <t>RS-68</t>
  </si>
  <si>
    <t>Inđija</t>
  </si>
  <si>
    <t>RS-69</t>
  </si>
  <si>
    <t>Irig</t>
  </si>
  <si>
    <t>RS-70</t>
  </si>
  <si>
    <t>Ivanjica</t>
  </si>
  <si>
    <t>RS-23</t>
  </si>
  <si>
    <t>Jablanički Okrug</t>
  </si>
  <si>
    <t>RS-71</t>
  </si>
  <si>
    <t>Jagodina</t>
  </si>
  <si>
    <t>RS-72</t>
  </si>
  <si>
    <t>Kanjiža</t>
  </si>
  <si>
    <t>RS-73</t>
  </si>
  <si>
    <t>Kikinda</t>
  </si>
  <si>
    <t>RS-74</t>
  </si>
  <si>
    <t>Kladovo</t>
  </si>
  <si>
    <t>RS-75</t>
  </si>
  <si>
    <t>Knić</t>
  </si>
  <si>
    <t>RS-76</t>
  </si>
  <si>
    <t>Knjaževac</t>
  </si>
  <si>
    <t>RS-77</t>
  </si>
  <si>
    <t>Koceljeva</t>
  </si>
  <si>
    <t>RS-09</t>
  </si>
  <si>
    <t>Kolubarski Okrug</t>
  </si>
  <si>
    <t>RS-78</t>
  </si>
  <si>
    <t>Kosjerić</t>
  </si>
  <si>
    <t>RS-79</t>
  </si>
  <si>
    <t>Kovačica</t>
  </si>
  <si>
    <t>RS-80</t>
  </si>
  <si>
    <t>Kovin</t>
  </si>
  <si>
    <t>RS-81</t>
  </si>
  <si>
    <t>Kragujevac</t>
  </si>
  <si>
    <t>RS-82</t>
  </si>
  <si>
    <t>Kraljevo</t>
  </si>
  <si>
    <t>RS-83</t>
  </si>
  <si>
    <t>Krupanj</t>
  </si>
  <si>
    <t>RS-84</t>
  </si>
  <si>
    <t>Kruševac</t>
  </si>
  <si>
    <t>RS-85</t>
  </si>
  <si>
    <t>Kučevo</t>
  </si>
  <si>
    <t>RS-86</t>
  </si>
  <si>
    <t>Kula</t>
  </si>
  <si>
    <t>RS-87</t>
  </si>
  <si>
    <t>Kuršumlija</t>
  </si>
  <si>
    <t>RS-88</t>
  </si>
  <si>
    <t>Lajkovac</t>
  </si>
  <si>
    <t>RS-89</t>
  </si>
  <si>
    <t>Lapovo</t>
  </si>
  <si>
    <t>RS-90</t>
  </si>
  <si>
    <t>Lebane</t>
  </si>
  <si>
    <t>RS-91</t>
  </si>
  <si>
    <t>Leskovac</t>
  </si>
  <si>
    <t>RS-92</t>
  </si>
  <si>
    <t>Ljig</t>
  </si>
  <si>
    <t>RS-93</t>
  </si>
  <si>
    <t>Ljubovija</t>
  </si>
  <si>
    <t>RS-94</t>
  </si>
  <si>
    <t>Loznica</t>
  </si>
  <si>
    <t>RS-95</t>
  </si>
  <si>
    <t>Lučani</t>
  </si>
  <si>
    <t>RS-08</t>
  </si>
  <si>
    <t>Mačvanski Okrug</t>
  </si>
  <si>
    <t>RS-96</t>
  </si>
  <si>
    <t>Majdanpek</t>
  </si>
  <si>
    <t>RS-97</t>
  </si>
  <si>
    <t>Mali Iđoš</t>
  </si>
  <si>
    <t>RS-98</t>
  </si>
  <si>
    <t>Mali Zvornik</t>
  </si>
  <si>
    <t>RS-99</t>
  </si>
  <si>
    <t>Malo Crniće</t>
  </si>
  <si>
    <t>RS-100</t>
  </si>
  <si>
    <t>Medveđa</t>
  </si>
  <si>
    <t>RS-101</t>
  </si>
  <si>
    <t>Merošina</t>
  </si>
  <si>
    <t>RS-102</t>
  </si>
  <si>
    <t>Mionica</t>
  </si>
  <si>
    <t>RS-17</t>
  </si>
  <si>
    <t>Moravički Okrug</t>
  </si>
  <si>
    <t>RS-103</t>
  </si>
  <si>
    <t>Negotin</t>
  </si>
  <si>
    <t>RS-104</t>
  </si>
  <si>
    <t>Niš</t>
  </si>
  <si>
    <t>RS-20</t>
  </si>
  <si>
    <t>Nišavski Okrug</t>
  </si>
  <si>
    <t>RS-105</t>
  </si>
  <si>
    <t>Nova Crnja</t>
  </si>
  <si>
    <t>RS-106</t>
  </si>
  <si>
    <t>Nova Varoš</t>
  </si>
  <si>
    <t>RS-107</t>
  </si>
  <si>
    <t>Novi Bečej</t>
  </si>
  <si>
    <t>RS-108</t>
  </si>
  <si>
    <t>Novi Kneževac</t>
  </si>
  <si>
    <t>RS-109</t>
  </si>
  <si>
    <t>Novi Pazar</t>
  </si>
  <si>
    <t>RS-110</t>
  </si>
  <si>
    <t>Novi Sad</t>
  </si>
  <si>
    <t>RS-111</t>
  </si>
  <si>
    <t>Odžaci</t>
  </si>
  <si>
    <t>RS-112</t>
  </si>
  <si>
    <t>Opovo</t>
  </si>
  <si>
    <t>RS-113</t>
  </si>
  <si>
    <t>Osečina</t>
  </si>
  <si>
    <t>RS-114</t>
  </si>
  <si>
    <t>Pančevo</t>
  </si>
  <si>
    <t>RS-115</t>
  </si>
  <si>
    <t>Paraćin</t>
  </si>
  <si>
    <t>RS-24</t>
  </si>
  <si>
    <t>Pčinjski Okrug</t>
  </si>
  <si>
    <t>RS-116</t>
  </si>
  <si>
    <t>Pećinci</t>
  </si>
  <si>
    <t>RS-117</t>
  </si>
  <si>
    <t>Petrovac na Mlavi</t>
  </si>
  <si>
    <t>RS-118</t>
  </si>
  <si>
    <t>Pirot</t>
  </si>
  <si>
    <t>RS-22</t>
  </si>
  <si>
    <t>Pirotski Okrug</t>
  </si>
  <si>
    <t>RS-119</t>
  </si>
  <si>
    <t>Plandište</t>
  </si>
  <si>
    <t>RS-10</t>
  </si>
  <si>
    <t>Podunavski Okrug</t>
  </si>
  <si>
    <t>RS-13</t>
  </si>
  <si>
    <t>Pomoravski Okrug</t>
  </si>
  <si>
    <t>RS-120</t>
  </si>
  <si>
    <t>Požarevac</t>
  </si>
  <si>
    <t>RS-121</t>
  </si>
  <si>
    <t>Požega</t>
  </si>
  <si>
    <t>RS-122</t>
  </si>
  <si>
    <t>Preševo</t>
  </si>
  <si>
    <t>RS-123</t>
  </si>
  <si>
    <t>Priboj</t>
  </si>
  <si>
    <t>RS-124</t>
  </si>
  <si>
    <t>Prijepolje</t>
  </si>
  <si>
    <t>RS-125</t>
  </si>
  <si>
    <t>Prokuplje</t>
  </si>
  <si>
    <t>RS-126</t>
  </si>
  <si>
    <t>Rača</t>
  </si>
  <si>
    <t>RS-19</t>
  </si>
  <si>
    <t>Rasinski Okrug</t>
  </si>
  <si>
    <t>RS-127</t>
  </si>
  <si>
    <t>Raška</t>
  </si>
  <si>
    <t>RS-18</t>
  </si>
  <si>
    <t>Raški Okrug</t>
  </si>
  <si>
    <t>RS-128</t>
  </si>
  <si>
    <t>Ražanj</t>
  </si>
  <si>
    <t>RS-129</t>
  </si>
  <si>
    <t>Rekovac</t>
  </si>
  <si>
    <t>RS-130</t>
  </si>
  <si>
    <t>Ruma</t>
  </si>
  <si>
    <t>RS-131</t>
  </si>
  <si>
    <t>Šabac</t>
  </si>
  <si>
    <t>RS-132</t>
  </si>
  <si>
    <t>Sečanj</t>
  </si>
  <si>
    <t>RS-133</t>
  </si>
  <si>
    <t>Senta</t>
  </si>
  <si>
    <t>RS-134</t>
  </si>
  <si>
    <t>Šid</t>
  </si>
  <si>
    <t>RS-135</t>
  </si>
  <si>
    <t>Sjenica</t>
  </si>
  <si>
    <t>RS-136</t>
  </si>
  <si>
    <t>Smederevo</t>
  </si>
  <si>
    <t>RS-137</t>
  </si>
  <si>
    <t>Smederevska Palanka</t>
  </si>
  <si>
    <t>RS-138</t>
  </si>
  <si>
    <t>Sokobanja</t>
  </si>
  <si>
    <t>RS-139</t>
  </si>
  <si>
    <t>Sombor</t>
  </si>
  <si>
    <t>RS-140</t>
  </si>
  <si>
    <t>Srbobran</t>
  </si>
  <si>
    <t>RS-141</t>
  </si>
  <si>
    <t>Sremska Mitrovica</t>
  </si>
  <si>
    <t>RS-142</t>
  </si>
  <si>
    <t>Sremski Karlovci</t>
  </si>
  <si>
    <t>RS-143</t>
  </si>
  <si>
    <t>Stara Pazova</t>
  </si>
  <si>
    <t>RS-144</t>
  </si>
  <si>
    <t>Subotica</t>
  </si>
  <si>
    <t>RS-12</t>
  </si>
  <si>
    <t>Šumadijski Okrug</t>
  </si>
  <si>
    <t>RS-145</t>
  </si>
  <si>
    <t>Surdulica</t>
  </si>
  <si>
    <t>RS-146</t>
  </si>
  <si>
    <t>Svilajnac</t>
  </si>
  <si>
    <t>RS-147</t>
  </si>
  <si>
    <t>Svrljig</t>
  </si>
  <si>
    <t>RS-148</t>
  </si>
  <si>
    <t>Temerin</t>
  </si>
  <si>
    <t>RS-149</t>
  </si>
  <si>
    <t>Titel</t>
  </si>
  <si>
    <t>RS-21</t>
  </si>
  <si>
    <t>Toplički Okrug</t>
  </si>
  <si>
    <t>RS-150</t>
  </si>
  <si>
    <t>Topola</t>
  </si>
  <si>
    <t>RS-151</t>
  </si>
  <si>
    <t>Trgovište</t>
  </si>
  <si>
    <t>RS-152</t>
  </si>
  <si>
    <t>Trstenik</t>
  </si>
  <si>
    <t>RS-153</t>
  </si>
  <si>
    <t>Tutin</t>
  </si>
  <si>
    <t>RS-154</t>
  </si>
  <si>
    <t>Ub</t>
  </si>
  <si>
    <t>RS-155</t>
  </si>
  <si>
    <t>Užice</t>
  </si>
  <si>
    <t>RS-156</t>
  </si>
  <si>
    <t>Valjevo</t>
  </si>
  <si>
    <t>RS-157</t>
  </si>
  <si>
    <t>Varvarin</t>
  </si>
  <si>
    <t>RS-158</t>
  </si>
  <si>
    <t>Velika Plana</t>
  </si>
  <si>
    <t>RS-159</t>
  </si>
  <si>
    <t>Veliko Gradište</t>
  </si>
  <si>
    <t>RS-160</t>
  </si>
  <si>
    <t>Vladičin Han</t>
  </si>
  <si>
    <t>RS-161</t>
  </si>
  <si>
    <t>Vladimirci</t>
  </si>
  <si>
    <t>RS-162</t>
  </si>
  <si>
    <t>Vlasotince</t>
  </si>
  <si>
    <t>RS-VO</t>
  </si>
  <si>
    <t>Vojvodina</t>
  </si>
  <si>
    <t>RS-06</t>
  </si>
  <si>
    <t xml:space="preserve">     Južno Bački Okrug</t>
  </si>
  <si>
    <t>RS-04</t>
  </si>
  <si>
    <t xml:space="preserve">     Južno Banatski Okrug</t>
  </si>
  <si>
    <t>RS-01</t>
  </si>
  <si>
    <t xml:space="preserve">     Severno Bački Okrug</t>
  </si>
  <si>
    <t>RS-03</t>
  </si>
  <si>
    <t xml:space="preserve">     Severno Banatski Okrug</t>
  </si>
  <si>
    <t>RS-02</t>
  </si>
  <si>
    <t xml:space="preserve">     Srednje Banatski Okrug</t>
  </si>
  <si>
    <t>RS-07</t>
  </si>
  <si>
    <t xml:space="preserve">     Sremski Okrug</t>
  </si>
  <si>
    <t>RS-05</t>
  </si>
  <si>
    <t xml:space="preserve">     Zapadno Bački Okrug</t>
  </si>
  <si>
    <t>RS-163</t>
  </si>
  <si>
    <t>Vranje</t>
  </si>
  <si>
    <t>RS-164</t>
  </si>
  <si>
    <t>Vrbas</t>
  </si>
  <si>
    <t>RS-165</t>
  </si>
  <si>
    <t>Vrnjačka Banja</t>
  </si>
  <si>
    <t>RS-166</t>
  </si>
  <si>
    <t>Vršac</t>
  </si>
  <si>
    <t>RS-167</t>
  </si>
  <si>
    <t>Žabalj</t>
  </si>
  <si>
    <t>RS-168</t>
  </si>
  <si>
    <t>Žabari</t>
  </si>
  <si>
    <t>RS-169</t>
  </si>
  <si>
    <t>Žagubica</t>
  </si>
  <si>
    <t>RS-170</t>
  </si>
  <si>
    <t>Zaječar</t>
  </si>
  <si>
    <t>RS-15</t>
  </si>
  <si>
    <t>Zaječarski Okrug</t>
  </si>
  <si>
    <t>RS-171</t>
  </si>
  <si>
    <t>Žitište</t>
  </si>
  <si>
    <t>RS-172</t>
  </si>
  <si>
    <t>Žitorađa</t>
  </si>
  <si>
    <t>RS-16</t>
  </si>
  <si>
    <t>Zlatiborski Okrug</t>
  </si>
  <si>
    <t>RS-173</t>
  </si>
  <si>
    <t>Zrenjanin</t>
  </si>
  <si>
    <t>SC-01</t>
  </si>
  <si>
    <t>Anse aux Pins</t>
  </si>
  <si>
    <t>SC-02</t>
  </si>
  <si>
    <t>Anse Boileau</t>
  </si>
  <si>
    <t>SC-03</t>
  </si>
  <si>
    <t>Anse Etoile</t>
  </si>
  <si>
    <t>SC-05</t>
  </si>
  <si>
    <t>Anse Royale</t>
  </si>
  <si>
    <t>SC-04</t>
  </si>
  <si>
    <t>Au Cap</t>
  </si>
  <si>
    <t>SC-06</t>
  </si>
  <si>
    <t>Baie Lazare</t>
  </si>
  <si>
    <t>SC-07</t>
  </si>
  <si>
    <t>Baie Sainte Anne</t>
  </si>
  <si>
    <t>SC-08</t>
  </si>
  <si>
    <t>Beau Vallon</t>
  </si>
  <si>
    <t>SC-09</t>
  </si>
  <si>
    <t>Bel Air</t>
  </si>
  <si>
    <t>SC-10</t>
  </si>
  <si>
    <t>Bel Ombre</t>
  </si>
  <si>
    <t>SC-11</t>
  </si>
  <si>
    <t>Cascade</t>
  </si>
  <si>
    <t>SC-16</t>
  </si>
  <si>
    <t>English River</t>
  </si>
  <si>
    <t>SC-12</t>
  </si>
  <si>
    <t>Glacis</t>
  </si>
  <si>
    <t>SC-13</t>
  </si>
  <si>
    <t>Grand Anse Mahe</t>
  </si>
  <si>
    <t>SC-14</t>
  </si>
  <si>
    <t>Grand Anse Praslin</t>
  </si>
  <si>
    <t>SC-15</t>
  </si>
  <si>
    <t>Inner Islands</t>
  </si>
  <si>
    <t>SC-24</t>
  </si>
  <si>
    <t>Les Mamelles</t>
  </si>
  <si>
    <t>SC-17</t>
  </si>
  <si>
    <t>Mont Buxton</t>
  </si>
  <si>
    <t>SC-18</t>
  </si>
  <si>
    <t>Mont Fleuri</t>
  </si>
  <si>
    <t>SC-19</t>
  </si>
  <si>
    <t>Plaisance</t>
  </si>
  <si>
    <t>SC-20</t>
  </si>
  <si>
    <t>Pointe Larue</t>
  </si>
  <si>
    <t>SC-21</t>
  </si>
  <si>
    <t>Port Glaud</t>
  </si>
  <si>
    <t>SC-25</t>
  </si>
  <si>
    <t>Roche Caiman</t>
  </si>
  <si>
    <t>SC-22</t>
  </si>
  <si>
    <t>Saint Louis</t>
  </si>
  <si>
    <t>SC-23</t>
  </si>
  <si>
    <t>Takamaka</t>
  </si>
  <si>
    <t>SL-E</t>
  </si>
  <si>
    <t>SL-N</t>
  </si>
  <si>
    <t>SL-NW</t>
  </si>
  <si>
    <t>North Western</t>
  </si>
  <si>
    <t>SL-S</t>
  </si>
  <si>
    <t>SL-W</t>
  </si>
  <si>
    <t>Western Area</t>
  </si>
  <si>
    <t>SG-01</t>
  </si>
  <si>
    <t>Central Singapore</t>
  </si>
  <si>
    <t>SG-02</t>
  </si>
  <si>
    <t>SG-03</t>
  </si>
  <si>
    <t>SG-04</t>
  </si>
  <si>
    <t>SG-05</t>
  </si>
  <si>
    <t>South West</t>
  </si>
  <si>
    <t>SK-BC</t>
  </si>
  <si>
    <t>Banskobystrický</t>
  </si>
  <si>
    <t>SK-BL</t>
  </si>
  <si>
    <t>Bratislavský</t>
  </si>
  <si>
    <t>SK-KI</t>
  </si>
  <si>
    <t>Košický</t>
  </si>
  <si>
    <t>SK-NI</t>
  </si>
  <si>
    <t>Nitriansky</t>
  </si>
  <si>
    <t>SK-PV</t>
  </si>
  <si>
    <t>Prešovský</t>
  </si>
  <si>
    <t>SK-TC</t>
  </si>
  <si>
    <t>Trenčiansky</t>
  </si>
  <si>
    <t>SK-TA</t>
  </si>
  <si>
    <t>Trnavský</t>
  </si>
  <si>
    <t>SK-ZI</t>
  </si>
  <si>
    <t>Žilinský</t>
  </si>
  <si>
    <t>SI-001</t>
  </si>
  <si>
    <t>Ajdovščina</t>
  </si>
  <si>
    <t>SI-213</t>
  </si>
  <si>
    <t>Ankaran</t>
  </si>
  <si>
    <t>SI-195</t>
  </si>
  <si>
    <t>Apače</t>
  </si>
  <si>
    <t>SI-002</t>
  </si>
  <si>
    <t>Beltinci</t>
  </si>
  <si>
    <t>SI-148</t>
  </si>
  <si>
    <t>Benedikt</t>
  </si>
  <si>
    <t>SI-149</t>
  </si>
  <si>
    <t>Bistrica ob Sotli</t>
  </si>
  <si>
    <t>SI-003</t>
  </si>
  <si>
    <t>Bled</t>
  </si>
  <si>
    <t>SI-150</t>
  </si>
  <si>
    <t>Bloke</t>
  </si>
  <si>
    <t>SI-004</t>
  </si>
  <si>
    <t>Bohinj</t>
  </si>
  <si>
    <t>SI-005</t>
  </si>
  <si>
    <t>Borovnica</t>
  </si>
  <si>
    <t>SI-006</t>
  </si>
  <si>
    <t>Bovec</t>
  </si>
  <si>
    <t>SI-151</t>
  </si>
  <si>
    <t>Braslovče</t>
  </si>
  <si>
    <t>SI-007</t>
  </si>
  <si>
    <t>Brda</t>
  </si>
  <si>
    <t>SI-009</t>
  </si>
  <si>
    <t>Brežice</t>
  </si>
  <si>
    <t>SI-008</t>
  </si>
  <si>
    <t>Brezovica</t>
  </si>
  <si>
    <t>SI-152</t>
  </si>
  <si>
    <t>Cankova</t>
  </si>
  <si>
    <t>SI-011</t>
  </si>
  <si>
    <t>Celje</t>
  </si>
  <si>
    <t>SI-012</t>
  </si>
  <si>
    <t>Cerklje na Gorenjskem</t>
  </si>
  <si>
    <t>SI-013</t>
  </si>
  <si>
    <t>Cerknica</t>
  </si>
  <si>
    <t>SI-014</t>
  </si>
  <si>
    <t>Cerkno</t>
  </si>
  <si>
    <t>SI-153</t>
  </si>
  <si>
    <t>Cerkvenjak</t>
  </si>
  <si>
    <t>SI-196</t>
  </si>
  <si>
    <t>Cirkulane</t>
  </si>
  <si>
    <t>SI-015</t>
  </si>
  <si>
    <t>Črenšovci</t>
  </si>
  <si>
    <t>SI-016</t>
  </si>
  <si>
    <t>Črna na Koroškem</t>
  </si>
  <si>
    <t>SI-017</t>
  </si>
  <si>
    <t>Črnomelj</t>
  </si>
  <si>
    <t>SI-018</t>
  </si>
  <si>
    <t>Destrnik</t>
  </si>
  <si>
    <t>SI-019</t>
  </si>
  <si>
    <t>Divača</t>
  </si>
  <si>
    <t>SI-154</t>
  </si>
  <si>
    <t>Dobje</t>
  </si>
  <si>
    <t>SI-020</t>
  </si>
  <si>
    <t>Dobrepolje</t>
  </si>
  <si>
    <t>SI-155</t>
  </si>
  <si>
    <t>Dobrna</t>
  </si>
  <si>
    <t>SI-021</t>
  </si>
  <si>
    <t>Dobrova-Polhov Gradec</t>
  </si>
  <si>
    <t>SI-156</t>
  </si>
  <si>
    <t>Dobrovnik</t>
  </si>
  <si>
    <t>SI-157</t>
  </si>
  <si>
    <t>Dolenjske Toplice</t>
  </si>
  <si>
    <t>SI-022</t>
  </si>
  <si>
    <t>Dol pri Ljubljani</t>
  </si>
  <si>
    <t>SI-023</t>
  </si>
  <si>
    <t>Domžale</t>
  </si>
  <si>
    <t>SI-024</t>
  </si>
  <si>
    <t>Dornava</t>
  </si>
  <si>
    <t>SI-025</t>
  </si>
  <si>
    <t>Dravograd</t>
  </si>
  <si>
    <t>SI-026</t>
  </si>
  <si>
    <t>Duplek</t>
  </si>
  <si>
    <t>SI-027</t>
  </si>
  <si>
    <t>Gorenja Vas-Poljane</t>
  </si>
  <si>
    <t>SI-028</t>
  </si>
  <si>
    <t>Gorišnica</t>
  </si>
  <si>
    <t>SI-207</t>
  </si>
  <si>
    <t>Gorje</t>
  </si>
  <si>
    <t>SI-029</t>
  </si>
  <si>
    <t>Gornja Radgona</t>
  </si>
  <si>
    <t>SI-030</t>
  </si>
  <si>
    <t>Gornji Grad</t>
  </si>
  <si>
    <t>SI-031</t>
  </si>
  <si>
    <t>Gornji Petrovci</t>
  </si>
  <si>
    <t>SI-158</t>
  </si>
  <si>
    <t>Grad</t>
  </si>
  <si>
    <t>SI-032</t>
  </si>
  <si>
    <t>Grosuplje</t>
  </si>
  <si>
    <t>SI-159</t>
  </si>
  <si>
    <t>Hajdina</t>
  </si>
  <si>
    <t>SI-160</t>
  </si>
  <si>
    <t>Hoče-Slivnica</t>
  </si>
  <si>
    <t>SI-161</t>
  </si>
  <si>
    <t>Hodoš</t>
  </si>
  <si>
    <t>SI-162</t>
  </si>
  <si>
    <t>Horjul</t>
  </si>
  <si>
    <t>SI-034</t>
  </si>
  <si>
    <t>Hrastnik</t>
  </si>
  <si>
    <t>SI-035</t>
  </si>
  <si>
    <t>Hrpelje-Kozina</t>
  </si>
  <si>
    <t>SI-036</t>
  </si>
  <si>
    <t>Idrija</t>
  </si>
  <si>
    <t>SI-037</t>
  </si>
  <si>
    <t>Ig</t>
  </si>
  <si>
    <t>SI-038</t>
  </si>
  <si>
    <t>Ilirska Bistrica</t>
  </si>
  <si>
    <t>SI-039</t>
  </si>
  <si>
    <t>Ivančna Gorica</t>
  </si>
  <si>
    <t>SI-040</t>
  </si>
  <si>
    <t>Izola</t>
  </si>
  <si>
    <t>SI-041</t>
  </si>
  <si>
    <t>Jesenice</t>
  </si>
  <si>
    <t>SI-163</t>
  </si>
  <si>
    <t>Jezersko</t>
  </si>
  <si>
    <t>SI-042</t>
  </si>
  <si>
    <t>Juršinci</t>
  </si>
  <si>
    <t>SI-043</t>
  </si>
  <si>
    <t>Kamnik</t>
  </si>
  <si>
    <t>SI-044</t>
  </si>
  <si>
    <t>Kanal</t>
  </si>
  <si>
    <t>SI-045</t>
  </si>
  <si>
    <t>Kidričevo</t>
  </si>
  <si>
    <t>SI-046</t>
  </si>
  <si>
    <t>Kobarid</t>
  </si>
  <si>
    <t>SI-047</t>
  </si>
  <si>
    <t>Kobilje</t>
  </si>
  <si>
    <t>SI-048</t>
  </si>
  <si>
    <t>Kočevje</t>
  </si>
  <si>
    <t>SI-049</t>
  </si>
  <si>
    <t>Komen</t>
  </si>
  <si>
    <t>SI-164</t>
  </si>
  <si>
    <t>Komenda</t>
  </si>
  <si>
    <t>SI-050</t>
  </si>
  <si>
    <t>Koper</t>
  </si>
  <si>
    <t>urban municipality</t>
  </si>
  <si>
    <t>SI-197</t>
  </si>
  <si>
    <t>Kostanjevica na Krki</t>
  </si>
  <si>
    <t>SI-165</t>
  </si>
  <si>
    <t>Kostel</t>
  </si>
  <si>
    <t>SI-051</t>
  </si>
  <si>
    <t>Kozje</t>
  </si>
  <si>
    <t>SI-052</t>
  </si>
  <si>
    <t>Kranj</t>
  </si>
  <si>
    <t>SI-053</t>
  </si>
  <si>
    <t>Kranjska Gora</t>
  </si>
  <si>
    <t>SI-166</t>
  </si>
  <si>
    <t>Križevci</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</si>
  <si>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</si>
  <si>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</si>
  <si>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</si>
  <si>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</si>
  <si>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</si>
  <si>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</si>
  <si>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</si>
  <si>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</si>
  <si>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</si>
  <si>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</si>
  <si>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</si>
  <si>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</si>
  <si>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</si>
  <si>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</si>
  <si>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</si>
  <si>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</si>
  <si>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</si>
  <si>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</si>
  <si>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</si>
  <si>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</si>
  <si>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</si>
  <si>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</si>
  <si>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SI-208</t>
  </si>
  <si>
    <t>Log-Dragomer</t>
  </si>
  <si>
    <t>SI-065</t>
  </si>
  <si>
    <t>Loška Dolina</t>
  </si>
  <si>
    <t>SI-066</t>
  </si>
  <si>
    <t>Loški Potok</t>
  </si>
  <si>
    <t>SI-167</t>
  </si>
  <si>
    <t>Lovrenc na Pohorju</t>
  </si>
  <si>
    <t>SI-067</t>
  </si>
  <si>
    <t>Luče</t>
  </si>
  <si>
    <t>SI-068</t>
  </si>
  <si>
    <t>Lukovica</t>
  </si>
  <si>
    <t>SI-069</t>
  </si>
  <si>
    <t>Majšperk</t>
  </si>
  <si>
    <t>SI-198</t>
  </si>
  <si>
    <t>Makole</t>
  </si>
  <si>
    <t>SI-070</t>
  </si>
  <si>
    <t>Maribor</t>
  </si>
  <si>
    <t>SI-168</t>
  </si>
  <si>
    <t>Markovci</t>
  </si>
  <si>
    <t>SI-071</t>
  </si>
  <si>
    <t>Medvode</t>
  </si>
  <si>
    <t>SI-072</t>
  </si>
  <si>
    <t>Mengeš</t>
  </si>
  <si>
    <t>SI-073</t>
  </si>
  <si>
    <t>Metlika</t>
  </si>
  <si>
    <t>SI-074</t>
  </si>
  <si>
    <t>Mežica</t>
  </si>
  <si>
    <t>SI-169</t>
  </si>
  <si>
    <t>Miklavž na Dravskem Polju</t>
  </si>
  <si>
    <t>SI-075</t>
  </si>
  <si>
    <t>Miren-Kostanjevica</t>
  </si>
  <si>
    <t>SI-212</t>
  </si>
  <si>
    <t>Mirna</t>
  </si>
  <si>
    <t>SI-170</t>
  </si>
  <si>
    <t>Mirna Peč</t>
  </si>
  <si>
    <t>SI-076</t>
  </si>
  <si>
    <t>Mislinja</t>
  </si>
  <si>
    <t>SI-199</t>
  </si>
  <si>
    <t>Mokronog-Trebelno</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</si>
  <si>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</si>
  <si>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</si>
  <si>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</si>
  <si>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</si>
  <si>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</si>
  <si>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</si>
  <si>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</si>
  <si>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</si>
  <si>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</si>
  <si>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</si>
  <si>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</si>
  <si>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</si>
  <si>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</si>
  <si>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</si>
  <si>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</si>
  <si>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</si>
  <si>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</si>
  <si>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</si>
  <si>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</si>
  <si>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</si>
  <si>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SI-171</t>
  </si>
  <si>
    <t>Oplotnica</t>
  </si>
  <si>
    <t>SI-087</t>
  </si>
  <si>
    <t>Ormož</t>
  </si>
  <si>
    <t>SI-088</t>
  </si>
  <si>
    <t>Osilnica</t>
  </si>
  <si>
    <t>SI-089</t>
  </si>
  <si>
    <t>Pesnica</t>
  </si>
  <si>
    <t>SI-090</t>
  </si>
  <si>
    <t>Piran</t>
  </si>
  <si>
    <t>SI-091</t>
  </si>
  <si>
    <t>Pivka</t>
  </si>
  <si>
    <t>SI-092</t>
  </si>
  <si>
    <t>Podčetrtek</t>
  </si>
  <si>
    <t>SI-172</t>
  </si>
  <si>
    <t>Podlehnik</t>
  </si>
  <si>
    <t>SI-093</t>
  </si>
  <si>
    <t>Podvelka</t>
  </si>
  <si>
    <t>SI-200</t>
  </si>
  <si>
    <t>Poljčane</t>
  </si>
  <si>
    <t>SI-173</t>
  </si>
  <si>
    <t>Polzela</t>
  </si>
  <si>
    <t>SI-094</t>
  </si>
  <si>
    <t>Postojna</t>
  </si>
  <si>
    <t>SI-174</t>
  </si>
  <si>
    <t>Prebold</t>
  </si>
  <si>
    <t>SI-095</t>
  </si>
  <si>
    <t>Preddvor</t>
  </si>
  <si>
    <t>SI-175</t>
  </si>
  <si>
    <t>Prevalje</t>
  </si>
  <si>
    <t>SI-096</t>
  </si>
  <si>
    <t>Ptuj</t>
  </si>
  <si>
    <t>SI-097</t>
  </si>
  <si>
    <t>Puconci</t>
  </si>
  <si>
    <t>SI-098</t>
  </si>
  <si>
    <t>Rače-Fram</t>
  </si>
  <si>
    <t>SI-099</t>
  </si>
  <si>
    <t>Radeče</t>
  </si>
  <si>
    <t>SI-100</t>
  </si>
  <si>
    <t>Radenci</t>
  </si>
  <si>
    <t>SI-101</t>
  </si>
  <si>
    <t>Radlje ob Dravi</t>
  </si>
  <si>
    <t>SI-102</t>
  </si>
  <si>
    <t>Radovljica</t>
  </si>
  <si>
    <t>SI-103</t>
  </si>
  <si>
    <t>Ravne na Koroškem</t>
  </si>
  <si>
    <t>SI-176</t>
  </si>
  <si>
    <t>Razkrižje</t>
  </si>
  <si>
    <t>SI-209</t>
  </si>
  <si>
    <t>Rečica ob Savinji</t>
  </si>
  <si>
    <t>SI-201</t>
  </si>
  <si>
    <t>Renče-Vogrsko</t>
  </si>
  <si>
    <t>SI-104</t>
  </si>
  <si>
    <t>Ribnica</t>
  </si>
  <si>
    <t>SI-177</t>
  </si>
  <si>
    <t>Ribnica na Pohorju</t>
  </si>
  <si>
    <t>SI-106</t>
  </si>
  <si>
    <t>Rogaška Slatina</t>
  </si>
  <si>
    <t>SI-105</t>
  </si>
  <si>
    <t>Rogašovci</t>
  </si>
  <si>
    <t>SI-107</t>
  </si>
  <si>
    <t>Rogatec</t>
  </si>
  <si>
    <t>SI-108</t>
  </si>
  <si>
    <t>Ruše</t>
  </si>
  <si>
    <t>SI-033</t>
  </si>
  <si>
    <t>Šalovci</t>
  </si>
  <si>
    <t>SI-178</t>
  </si>
  <si>
    <t>Selnica ob Dravi</t>
  </si>
  <si>
    <t>SI-109</t>
  </si>
  <si>
    <t>Semič</t>
  </si>
  <si>
    <t>SI-183</t>
  </si>
  <si>
    <t>Šempeter-Vrtojba</t>
  </si>
  <si>
    <t>SI-117</t>
  </si>
  <si>
    <t>Šenčur</t>
  </si>
  <si>
    <t>SI-118</t>
  </si>
  <si>
    <t>Šentilj</t>
  </si>
  <si>
    <t>SI-119</t>
  </si>
  <si>
    <t>Šentjernej</t>
  </si>
  <si>
    <t>SI-120</t>
  </si>
  <si>
    <t>Šentjur</t>
  </si>
  <si>
    <t>SI-211</t>
  </si>
  <si>
    <t>Šentrupert</t>
  </si>
  <si>
    <t>SI-110</t>
  </si>
  <si>
    <t>Sevnica</t>
  </si>
  <si>
    <t>SI-111</t>
  </si>
  <si>
    <t>Sežana</t>
  </si>
  <si>
    <t>SI-121</t>
  </si>
  <si>
    <t>Škocjan</t>
  </si>
  <si>
    <t>SI-122</t>
  </si>
  <si>
    <t>Škofja Loka</t>
  </si>
  <si>
    <t>SI-123</t>
  </si>
  <si>
    <t>Škofljica</t>
  </si>
  <si>
    <t>SI-112</t>
  </si>
  <si>
    <t>Slovenj Gradec</t>
  </si>
  <si>
    <t>SI-113</t>
  </si>
  <si>
    <t>Slovenska Bistrica</t>
  </si>
  <si>
    <t>SI-114</t>
  </si>
  <si>
    <t>Slovenske Konjice</t>
  </si>
  <si>
    <t>SI-124</t>
  </si>
  <si>
    <t>Šmarje pri Jelšah</t>
  </si>
  <si>
    <t>SI-206</t>
  </si>
  <si>
    <t>Šmarješke Toplice</t>
  </si>
  <si>
    <t>SI-125</t>
  </si>
  <si>
    <t>Šmartno ob Paki</t>
  </si>
  <si>
    <t>SI-194</t>
  </si>
  <si>
    <t>Šmartno pri Litiji</t>
  </si>
  <si>
    <t>SI-179</t>
  </si>
  <si>
    <t>Sodražica</t>
  </si>
  <si>
    <t>SI-180</t>
  </si>
  <si>
    <t>Solčava</t>
  </si>
  <si>
    <t>SI-126</t>
  </si>
  <si>
    <t>Šoštanj</t>
  </si>
  <si>
    <t>SI-202</t>
  </si>
  <si>
    <t>Središče ob Dravi</t>
  </si>
  <si>
    <t>SI-115</t>
  </si>
  <si>
    <t>Starše</t>
  </si>
  <si>
    <t>SI-127</t>
  </si>
  <si>
    <t>Štore</t>
  </si>
  <si>
    <t>SI-203</t>
  </si>
  <si>
    <t>Straža</t>
  </si>
  <si>
    <t>SI-181</t>
  </si>
  <si>
    <t>Sveta Ana</t>
  </si>
  <si>
    <t>SI-204</t>
  </si>
  <si>
    <t>Sveta Trojica v Slovenskih Goricah</t>
  </si>
  <si>
    <t>SI-182</t>
  </si>
  <si>
    <t>Sveti Andraž v Slovenskih Goricah</t>
  </si>
  <si>
    <t>SI-116</t>
  </si>
  <si>
    <t>Sveti Jurij ob Ščavnici</t>
  </si>
  <si>
    <t>SI-210</t>
  </si>
  <si>
    <t>Sveti Jurij v Slovenskih Goricah</t>
  </si>
  <si>
    <t>SI-205</t>
  </si>
  <si>
    <t>Sveti Tomaž</t>
  </si>
  <si>
    <t>SI-184</t>
  </si>
  <si>
    <t>Tabor</t>
  </si>
  <si>
    <t>SI-010</t>
  </si>
  <si>
    <t>Tišina</t>
  </si>
  <si>
    <t>SI-128</t>
  </si>
  <si>
    <t>Tolmin</t>
  </si>
  <si>
    <t>SI-129</t>
  </si>
  <si>
    <t>Trbovlje</t>
  </si>
  <si>
    <t>SI-130</t>
  </si>
  <si>
    <t>Trebnje</t>
  </si>
  <si>
    <t>SI-185</t>
  </si>
  <si>
    <t>Trnovska Vas</t>
  </si>
  <si>
    <t>SI-131</t>
  </si>
  <si>
    <t>Tržič</t>
  </si>
  <si>
    <t>SI-186</t>
  </si>
  <si>
    <t>Trzin</t>
  </si>
  <si>
    <t>SI-132</t>
  </si>
  <si>
    <t>Turnišče</t>
  </si>
  <si>
    <t>SI-133</t>
  </si>
  <si>
    <t>Velenje</t>
  </si>
  <si>
    <t>SI-187</t>
  </si>
  <si>
    <t>Velika Polana</t>
  </si>
  <si>
    <t>SI-134</t>
  </si>
  <si>
    <t>Velike Lašče</t>
  </si>
  <si>
    <t>SI-188</t>
  </si>
  <si>
    <t>Veržej</t>
  </si>
  <si>
    <t>SI-135</t>
  </si>
  <si>
    <t>Videm</t>
  </si>
  <si>
    <t>SI-136</t>
  </si>
  <si>
    <t>Vipava</t>
  </si>
  <si>
    <t>SI-137</t>
  </si>
  <si>
    <t>Vitanje</t>
  </si>
  <si>
    <t>SI-138</t>
  </si>
  <si>
    <t>Vodice</t>
  </si>
  <si>
    <t>SI-139</t>
  </si>
  <si>
    <t>Vojnik</t>
  </si>
  <si>
    <t>SI-189</t>
  </si>
  <si>
    <t>Vransko</t>
  </si>
  <si>
    <t>SI-140</t>
  </si>
  <si>
    <t>Vrhnika</t>
  </si>
  <si>
    <t>SI-141</t>
  </si>
  <si>
    <t>Vuzenica</t>
  </si>
  <si>
    <t>SI-142</t>
  </si>
  <si>
    <t>Zagorje ob Savi</t>
  </si>
  <si>
    <t>SI-190</t>
  </si>
  <si>
    <t>Žalec</t>
  </si>
  <si>
    <t>SI-143</t>
  </si>
  <si>
    <t>Zavrč</t>
  </si>
  <si>
    <t>SI-146</t>
  </si>
  <si>
    <t>Železniki</t>
  </si>
  <si>
    <t>SI-191</t>
  </si>
  <si>
    <t>Žetale</t>
  </si>
  <si>
    <t>SI-147</t>
  </si>
  <si>
    <t>Žiri</t>
  </si>
  <si>
    <t>SI-192</t>
  </si>
  <si>
    <t>Žirovnica</t>
  </si>
  <si>
    <t>SI-144</t>
  </si>
  <si>
    <t>Zreče</t>
  </si>
  <si>
    <t>SI-193</t>
  </si>
  <si>
    <t>Žužemberk</t>
  </si>
  <si>
    <t>SB-CE</t>
  </si>
  <si>
    <t>SB-CH</t>
  </si>
  <si>
    <t>SB-GU</t>
  </si>
  <si>
    <t>Guadalcanal</t>
  </si>
  <si>
    <t>SB-CT</t>
  </si>
  <si>
    <t>Honiara</t>
  </si>
  <si>
    <t>SB-IS</t>
  </si>
  <si>
    <t>Isabel</t>
  </si>
  <si>
    <t>SB-MK</t>
  </si>
  <si>
    <t>Makira and Ulawa</t>
  </si>
  <si>
    <t>SB-ML</t>
  </si>
  <si>
    <t>Malaita</t>
  </si>
  <si>
    <t>SB-RB</t>
  </si>
  <si>
    <t>Rennell and Bellona</t>
  </si>
  <si>
    <t>SB-TE</t>
  </si>
  <si>
    <t>Temotu</t>
  </si>
  <si>
    <t>SB-WE</t>
  </si>
  <si>
    <t>SO-AW</t>
  </si>
  <si>
    <t>Awdal</t>
  </si>
  <si>
    <t>SO-BK</t>
  </si>
  <si>
    <t>Bakool</t>
  </si>
  <si>
    <t>SO-BN</t>
  </si>
  <si>
    <t>Banaadir</t>
  </si>
  <si>
    <t>SO-BR</t>
  </si>
  <si>
    <t>Bari</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</si>
  <si>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</si>
  <si>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</si>
  <si>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</si>
  <si>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</si>
  <si>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</si>
  <si>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</si>
  <si>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</si>
  <si>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</si>
  <si>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</si>
  <si>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</si>
  <si>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</si>
  <si>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</si>
  <si>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</si>
  <si>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</si>
  <si>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</si>
  <si>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</si>
  <si>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</si>
  <si>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</si>
  <si>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</si>
  <si>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</si>
  <si>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</si>
  <si>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</si>
  <si>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</si>
  <si>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</si>
  <si>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</si>
  <si>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</si>
  <si>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</si>
  <si>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</si>
  <si>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ZA-EC</t>
  </si>
  <si>
    <t>Eastern Cape</t>
  </si>
  <si>
    <t>ZA-FS</t>
  </si>
  <si>
    <t>Free State</t>
  </si>
  <si>
    <t>ZA-GT</t>
  </si>
  <si>
    <t>Gauteng</t>
  </si>
  <si>
    <t>ZA-NL</t>
  </si>
  <si>
    <t>KwaZulu-Natal</t>
  </si>
  <si>
    <t>ZA-LP</t>
  </si>
  <si>
    <t>Limpopo</t>
  </si>
  <si>
    <t>ZA-MP</t>
  </si>
  <si>
    <t>Mpumalanga</t>
  </si>
  <si>
    <t>ZA-NC</t>
  </si>
  <si>
    <t>Northern Cape</t>
  </si>
  <si>
    <t>ZA-NW</t>
  </si>
  <si>
    <t>ZA-WC</t>
  </si>
  <si>
    <t>Western Cape</t>
  </si>
  <si>
    <t>SS-EC</t>
  </si>
  <si>
    <t>Central Equatoria</t>
  </si>
  <si>
    <t>SS-EE</t>
  </si>
  <si>
    <t>Eastern Equatoria</t>
  </si>
  <si>
    <t>SS-JG</t>
  </si>
  <si>
    <t>Jonglei</t>
  </si>
  <si>
    <t>SS-LK</t>
  </si>
  <si>
    <t>Lakes</t>
  </si>
  <si>
    <t>SS-BN</t>
  </si>
  <si>
    <t>Northern Bahr el Ghazal</t>
  </si>
  <si>
    <t>SS-UY</t>
  </si>
  <si>
    <t>Unity</t>
  </si>
  <si>
    <t>SS-NU</t>
  </si>
  <si>
    <t>Upper Nile</t>
  </si>
  <si>
    <t>SS-WR</t>
  </si>
  <si>
    <t>Warrap</t>
  </si>
  <si>
    <t>SS-BW</t>
  </si>
  <si>
    <t>Western Bahr el Ghazal</t>
  </si>
  <si>
    <t>SS-EW</t>
  </si>
  <si>
    <t>Western Equatoria</t>
  </si>
  <si>
    <t>ES-AN</t>
  </si>
  <si>
    <t>Andalusia</t>
  </si>
  <si>
    <t>autonomous community</t>
  </si>
  <si>
    <t>ES-AL</t>
  </si>
  <si>
    <t xml:space="preserve">     Almería</t>
  </si>
  <si>
    <t>ES-CA</t>
  </si>
  <si>
    <t xml:space="preserve">     Cádiz</t>
  </si>
  <si>
    <t>ES-CO</t>
  </si>
  <si>
    <t xml:space="preserve">     Córdoba</t>
  </si>
  <si>
    <t>ES-GR</t>
  </si>
  <si>
    <t xml:space="preserve">     Granada</t>
  </si>
  <si>
    <t>ES-H</t>
  </si>
  <si>
    <t xml:space="preserve">     Huelva</t>
  </si>
  <si>
    <t>ES-J</t>
  </si>
  <si>
    <t xml:space="preserve">     Jaén</t>
  </si>
  <si>
    <t>ES-MA</t>
  </si>
  <si>
    <t xml:space="preserve">     Málaga</t>
  </si>
  <si>
    <t>ES-SE</t>
  </si>
  <si>
    <t xml:space="preserve">     Sevilla</t>
  </si>
  <si>
    <t>ES-AR</t>
  </si>
  <si>
    <t>Aragon</t>
  </si>
  <si>
    <t>ES-HU</t>
  </si>
  <si>
    <t xml:space="preserve">     Huesca</t>
  </si>
  <si>
    <t>ES-TE</t>
  </si>
  <si>
    <t xml:space="preserve">     Teruel</t>
  </si>
  <si>
    <t>ES-Z</t>
  </si>
  <si>
    <t xml:space="preserve">     Zaragoza</t>
  </si>
  <si>
    <t>ES-AS</t>
  </si>
  <si>
    <t>Asturias</t>
  </si>
  <si>
    <t>ES-O</t>
  </si>
  <si>
    <t xml:space="preserve">     Asturias</t>
  </si>
  <si>
    <t>ES-IB</t>
  </si>
  <si>
    <t>Balearic Islands</t>
  </si>
  <si>
    <t>ES-PM</t>
  </si>
  <si>
    <t xml:space="preserve">     Baleares</t>
  </si>
  <si>
    <t>ES-PV</t>
  </si>
  <si>
    <t>Basque Country</t>
  </si>
  <si>
    <t>ES-VI</t>
  </si>
  <si>
    <t xml:space="preserve">     Álava</t>
  </si>
  <si>
    <t>ES-SS</t>
  </si>
  <si>
    <t xml:space="preserve">     Guipúzcoa</t>
  </si>
  <si>
    <t>ES-BI</t>
  </si>
  <si>
    <t xml:space="preserve">     Vizcaya</t>
  </si>
  <si>
    <t>ES-CN</t>
  </si>
  <si>
    <t>Canary Islands</t>
  </si>
  <si>
    <t>ES-GC</t>
  </si>
  <si>
    <t xml:space="preserve">     Las Palmas</t>
  </si>
  <si>
    <t>ES-TF</t>
  </si>
  <si>
    <t xml:space="preserve">     Santa Cruz de Tenerife</t>
  </si>
  <si>
    <t>ES-CB</t>
  </si>
  <si>
    <t>Cantabria</t>
  </si>
  <si>
    <t>ES-S</t>
  </si>
  <si>
    <t xml:space="preserve">     Cantabria</t>
  </si>
  <si>
    <t>ES-CM</t>
  </si>
  <si>
    <t>Castille-La Mancha</t>
  </si>
  <si>
    <t>ES-AB</t>
  </si>
  <si>
    <t xml:space="preserve">     Albacete</t>
  </si>
  <si>
    <t>ES-CR</t>
  </si>
  <si>
    <t xml:space="preserve">     Ciudad Real</t>
  </si>
  <si>
    <t>ES-CU</t>
  </si>
  <si>
    <t xml:space="preserve">     Cuenca</t>
  </si>
  <si>
    <t>ES-GU</t>
  </si>
  <si>
    <t xml:space="preserve">     Guadalajara</t>
  </si>
  <si>
    <t>ES-TO</t>
  </si>
  <si>
    <t xml:space="preserve">     Toledo</t>
  </si>
  <si>
    <t>ES-CL</t>
  </si>
  <si>
    <t>Castille-Leon</t>
  </si>
  <si>
    <t>ES-AV</t>
  </si>
  <si>
    <t xml:space="preserve">     Ávila</t>
  </si>
  <si>
    <t>ES-BU</t>
  </si>
  <si>
    <t xml:space="preserve">     Burgos</t>
  </si>
  <si>
    <t>ES-LE</t>
  </si>
  <si>
    <t xml:space="preserve">     León</t>
  </si>
  <si>
    <t>ES-P</t>
  </si>
  <si>
    <t xml:space="preserve">     Palencia</t>
  </si>
  <si>
    <t>ES-SA</t>
  </si>
  <si>
    <t xml:space="preserve">     Salamanca</t>
  </si>
  <si>
    <t>ES-SG</t>
  </si>
  <si>
    <t xml:space="preserve">     Segovia</t>
  </si>
  <si>
    <t>ES-SO</t>
  </si>
  <si>
    <t xml:space="preserve">     Soria</t>
  </si>
  <si>
    <t>ES-VA</t>
  </si>
  <si>
    <t xml:space="preserve">     Valladolid</t>
  </si>
  <si>
    <t>ES-ZA</t>
  </si>
  <si>
    <t xml:space="preserve">     Zamora</t>
  </si>
  <si>
    <t>ES-CT</t>
  </si>
  <si>
    <t>Catalonia</t>
  </si>
  <si>
    <t>ES-B</t>
  </si>
  <si>
    <t xml:space="preserve">     Barcelona</t>
  </si>
  <si>
    <t>ES-GI</t>
  </si>
  <si>
    <t xml:space="preserve">     Gerona</t>
  </si>
  <si>
    <t>ES-L</t>
  </si>
  <si>
    <t xml:space="preserve">     Lérida</t>
  </si>
  <si>
    <t>ES-T</t>
  </si>
  <si>
    <t xml:space="preserve">     Tarragona</t>
  </si>
  <si>
    <t>ES-CE</t>
  </si>
  <si>
    <t>Ceuta</t>
  </si>
  <si>
    <t>ES-EX</t>
  </si>
  <si>
    <t>Extremadura</t>
  </si>
  <si>
    <t>ES-BA</t>
  </si>
  <si>
    <t xml:space="preserve">     Badajoz</t>
  </si>
  <si>
    <t>ES-CC</t>
  </si>
  <si>
    <t xml:space="preserve">     Cáceres</t>
  </si>
  <si>
    <t>ES-GA</t>
  </si>
  <si>
    <t>Galicia</t>
  </si>
  <si>
    <t>ES-C</t>
  </si>
  <si>
    <t xml:space="preserve">     A Coruña</t>
  </si>
  <si>
    <t>ES-LU</t>
  </si>
  <si>
    <t xml:space="preserve">     Lugo</t>
  </si>
  <si>
    <t>ES-OR</t>
  </si>
  <si>
    <t xml:space="preserve">     Ourense</t>
  </si>
  <si>
    <t>ES-PO</t>
  </si>
  <si>
    <t xml:space="preserve">     Pontevedra</t>
  </si>
  <si>
    <t>ES-RI</t>
  </si>
  <si>
    <t>ES-LO</t>
  </si>
  <si>
    <t xml:space="preserve">     La Rioja</t>
  </si>
  <si>
    <t>ES-MD</t>
  </si>
  <si>
    <t>Madrid</t>
  </si>
  <si>
    <t>ES-M</t>
  </si>
  <si>
    <t xml:space="preserve">     Madrid</t>
  </si>
  <si>
    <t>ES-ML</t>
  </si>
  <si>
    <t>Melilla</t>
  </si>
  <si>
    <t>ES-MC</t>
  </si>
  <si>
    <t>Murcia</t>
  </si>
  <si>
    <t>ES-MU</t>
  </si>
  <si>
    <t xml:space="preserve">     Murcia</t>
  </si>
  <si>
    <t>ES-NC</t>
  </si>
  <si>
    <t>Navarre</t>
  </si>
  <si>
    <t>ES-NA</t>
  </si>
  <si>
    <t xml:space="preserve">     Navarra</t>
  </si>
  <si>
    <t>ES-VC</t>
  </si>
  <si>
    <t>Valencia</t>
  </si>
  <si>
    <t>ES-A</t>
  </si>
  <si>
    <t xml:space="preserve">     Alicante</t>
  </si>
  <si>
    <t>ES-CS</t>
  </si>
  <si>
    <t xml:space="preserve">     Castellón</t>
  </si>
  <si>
    <t>ES-V</t>
  </si>
  <si>
    <t xml:space="preserve">     Valencia</t>
  </si>
  <si>
    <t>LK-2</t>
  </si>
  <si>
    <t>LK-21</t>
  </si>
  <si>
    <t xml:space="preserve">     Kandy</t>
  </si>
  <si>
    <t>LK-22</t>
  </si>
  <si>
    <t xml:space="preserve">     Matale</t>
  </si>
  <si>
    <t>LK-23</t>
  </si>
  <si>
    <t xml:space="preserve">     Nuwara Eliya</t>
  </si>
  <si>
    <t>LK-5</t>
  </si>
  <si>
    <t>LK-52</t>
  </si>
  <si>
    <t xml:space="preserve">     Ampara</t>
  </si>
  <si>
    <t>LK-51</t>
  </si>
  <si>
    <t xml:space="preserve">     Batticaloa</t>
  </si>
  <si>
    <t>LK-53</t>
  </si>
  <si>
    <t xml:space="preserve">     Trincomalee</t>
  </si>
  <si>
    <t>LK-4</t>
  </si>
  <si>
    <t>North Central</t>
  </si>
  <si>
    <t>LK-41</t>
  </si>
  <si>
    <t xml:space="preserve">     Jaffna</t>
  </si>
  <si>
    <t>LK-42</t>
  </si>
  <si>
    <t xml:space="preserve">     Kilinochchi</t>
  </si>
  <si>
    <t>LK-43</t>
  </si>
  <si>
    <t xml:space="preserve">     Mannar</t>
  </si>
  <si>
    <t>LK-45</t>
  </si>
  <si>
    <t xml:space="preserve">     Mullaittivu</t>
  </si>
  <si>
    <t>LK-44</t>
  </si>
  <si>
    <t xml:space="preserve">     Vavuniya</t>
  </si>
  <si>
    <t>LK-7</t>
  </si>
  <si>
    <t>LK-71</t>
  </si>
  <si>
    <t xml:space="preserve">     Anuradhapura</t>
  </si>
  <si>
    <t>LK-72</t>
  </si>
  <si>
    <t xml:space="preserve">     Polonnaruwa</t>
  </si>
  <si>
    <t>LK-6</t>
  </si>
  <si>
    <t>LK-61</t>
  </si>
  <si>
    <t xml:space="preserve">     Kurunegala</t>
  </si>
  <si>
    <t>LK-62</t>
  </si>
  <si>
    <t xml:space="preserve">     Puttalam</t>
  </si>
  <si>
    <t>LK-9</t>
  </si>
  <si>
    <t>Sabaragamuwa</t>
  </si>
  <si>
    <t>LK-92</t>
  </si>
  <si>
    <t xml:space="preserve">     Kegalla</t>
  </si>
  <si>
    <t>LK-91</t>
  </si>
  <si>
    <t xml:space="preserve">     Ratnapura</t>
  </si>
  <si>
    <t>LK-3</t>
  </si>
  <si>
    <t>LK-31</t>
  </si>
  <si>
    <t xml:space="preserve">     Galle</t>
  </si>
  <si>
    <t>LK-33</t>
  </si>
  <si>
    <t xml:space="preserve">     Hambantota</t>
  </si>
  <si>
    <t>LK-32</t>
  </si>
  <si>
    <t xml:space="preserve">     Matara</t>
  </si>
  <si>
    <t>LK-8</t>
  </si>
  <si>
    <t>Uva</t>
  </si>
  <si>
    <t>LK-81</t>
  </si>
  <si>
    <t xml:space="preserve">     Badulla</t>
  </si>
  <si>
    <t>LK-82</t>
  </si>
  <si>
    <t xml:space="preserve">     Monaragala</t>
  </si>
  <si>
    <t>LK-1</t>
  </si>
  <si>
    <t>LK-11</t>
  </si>
  <si>
    <t xml:space="preserve">     Colombo</t>
  </si>
  <si>
    <t>LK-12</t>
  </si>
  <si>
    <t xml:space="preserve">     Gampaha</t>
  </si>
  <si>
    <t>LK-13</t>
  </si>
  <si>
    <t xml:space="preserve">     Kalutara</t>
  </si>
  <si>
    <t>SD-NB</t>
  </si>
  <si>
    <t>Blue Nile</t>
  </si>
  <si>
    <t>SD-DC</t>
  </si>
  <si>
    <t>Central Darfur</t>
  </si>
  <si>
    <t>SD-DE</t>
  </si>
  <si>
    <t>East Darfur</t>
  </si>
  <si>
    <t>SD-GD</t>
  </si>
  <si>
    <t>Gedaref</t>
  </si>
  <si>
    <t>SD-GZ</t>
  </si>
  <si>
    <t>Gezira</t>
  </si>
  <si>
    <t>SD-KA</t>
  </si>
  <si>
    <t>Kassala</t>
  </si>
  <si>
    <t>SD-KH</t>
  </si>
  <si>
    <t>Khartoum</t>
  </si>
  <si>
    <t>SD-DN</t>
  </si>
  <si>
    <t>North Darfur</t>
  </si>
  <si>
    <t>SD-NO</t>
  </si>
  <si>
    <t>SD-KN</t>
  </si>
  <si>
    <t>North Kordofan</t>
  </si>
  <si>
    <t>SD-RS</t>
  </si>
  <si>
    <t>Red Sea</t>
  </si>
  <si>
    <t>SD-NR</t>
  </si>
  <si>
    <t>River Nile</t>
  </si>
  <si>
    <t>SD-SI</t>
  </si>
  <si>
    <t>Sennar</t>
  </si>
  <si>
    <t>SD-DS</t>
  </si>
  <si>
    <t>South Darfur</t>
  </si>
  <si>
    <t>SD-KS</t>
  </si>
  <si>
    <t>South Kordofan</t>
  </si>
  <si>
    <t>SD-GK</t>
  </si>
  <si>
    <t>West Kordofan</t>
  </si>
  <si>
    <t>SD-DW</t>
  </si>
  <si>
    <t>West Darfur</t>
  </si>
  <si>
    <t>SD-NW</t>
  </si>
  <si>
    <t>White Nile</t>
  </si>
  <si>
    <t>SR-BR</t>
  </si>
  <si>
    <t>Brokopondo</t>
  </si>
  <si>
    <t>SR-CM</t>
  </si>
  <si>
    <t>Commewijne</t>
  </si>
  <si>
    <t>SR-CR</t>
  </si>
  <si>
    <t>Coronie</t>
  </si>
  <si>
    <t>SR-MA</t>
  </si>
  <si>
    <t>Marowijne</t>
  </si>
  <si>
    <t>SR-NI</t>
  </si>
  <si>
    <t>Nickerie</t>
  </si>
  <si>
    <t>SR-PR</t>
  </si>
  <si>
    <t>Para</t>
  </si>
  <si>
    <t>SR-PM</t>
  </si>
  <si>
    <t>Paramaribo</t>
  </si>
  <si>
    <t>SR-SA</t>
  </si>
  <si>
    <t>Saramacca</t>
  </si>
  <si>
    <t>SR-SI</t>
  </si>
  <si>
    <t>Sipaliwini</t>
  </si>
  <si>
    <t>SR-WA</t>
  </si>
  <si>
    <t>Wanica</t>
  </si>
  <si>
    <t>SE-K</t>
  </si>
  <si>
    <t>Blekinge</t>
  </si>
  <si>
    <t>SE-W</t>
  </si>
  <si>
    <t>Dalarna</t>
  </si>
  <si>
    <t>SE-X</t>
  </si>
  <si>
    <t>Gävleborg</t>
  </si>
  <si>
    <t>SE-I</t>
  </si>
  <si>
    <t>Gotland</t>
  </si>
  <si>
    <t>SE-N</t>
  </si>
  <si>
    <t>Halland</t>
  </si>
  <si>
    <t>SE-Z</t>
  </si>
  <si>
    <t>Jämtland</t>
  </si>
  <si>
    <t>SE-F</t>
  </si>
  <si>
    <t>Jönköping</t>
  </si>
  <si>
    <t>SE-H</t>
  </si>
  <si>
    <t>Kalmar</t>
  </si>
  <si>
    <t>SE-G</t>
  </si>
  <si>
    <t>Kronoberg</t>
  </si>
  <si>
    <t>SE-BD</t>
  </si>
  <si>
    <t>Norrbotten</t>
  </si>
  <si>
    <t>SE-T</t>
  </si>
  <si>
    <t>Örebro</t>
  </si>
  <si>
    <t>SE-E</t>
  </si>
  <si>
    <t>Östergötland</t>
  </si>
  <si>
    <t>SE-M</t>
  </si>
  <si>
    <t>Skåne</t>
  </si>
  <si>
    <t>SE-D</t>
  </si>
  <si>
    <t>Södermanland</t>
  </si>
  <si>
    <t>SE-AB</t>
  </si>
  <si>
    <t>Stockholm</t>
  </si>
  <si>
    <t>SE-C</t>
  </si>
  <si>
    <t>Uppsala</t>
  </si>
  <si>
    <t>SE-S</t>
  </si>
  <si>
    <t>Värmland</t>
  </si>
  <si>
    <t>SE-AC</t>
  </si>
  <si>
    <t>Västerbotten</t>
  </si>
  <si>
    <t>SE-Y</t>
  </si>
  <si>
    <t>Västernorrland</t>
  </si>
  <si>
    <t>SE-U</t>
  </si>
  <si>
    <t>Västmanland</t>
  </si>
  <si>
    <t>SE-O</t>
  </si>
  <si>
    <t>Västra Götaland</t>
  </si>
  <si>
    <t>CH-AG</t>
  </si>
  <si>
    <t>Aargau</t>
  </si>
  <si>
    <t>CH-AR</t>
  </si>
  <si>
    <t>Appenzell Ausserrhoden</t>
  </si>
  <si>
    <t>CH-AI</t>
  </si>
  <si>
    <t>Appenzell Innerrhoden</t>
  </si>
  <si>
    <t>CH-BL</t>
  </si>
  <si>
    <t>Basel-Landschaft</t>
  </si>
  <si>
    <t>CH-BS</t>
  </si>
  <si>
    <t>Basel-Stadt</t>
  </si>
  <si>
    <t>CH-BE</t>
  </si>
  <si>
    <t>Bern</t>
  </si>
  <si>
    <t>CH-FR</t>
  </si>
  <si>
    <t>Fribourg</t>
  </si>
  <si>
    <t>CH-GE</t>
  </si>
  <si>
    <t>Genève</t>
  </si>
  <si>
    <t>CH-GL</t>
  </si>
  <si>
    <t>Glarus</t>
  </si>
  <si>
    <t>CH-GR</t>
  </si>
  <si>
    <t>Graubünden</t>
  </si>
  <si>
    <t>CH-JU</t>
  </si>
  <si>
    <t>Jura</t>
  </si>
  <si>
    <t>CH-LU</t>
  </si>
  <si>
    <t>Luzern</t>
  </si>
  <si>
    <t>CH-NE</t>
  </si>
  <si>
    <t>Neuchâtel</t>
  </si>
  <si>
    <t>CH-NW</t>
  </si>
  <si>
    <t>Nidwalden</t>
  </si>
  <si>
    <t>CH-OW</t>
  </si>
  <si>
    <t>Obwalden</t>
  </si>
  <si>
    <t>CH-SG</t>
  </si>
  <si>
    <t>Sankt Gallen</t>
  </si>
  <si>
    <t>CH-SH</t>
  </si>
  <si>
    <t>Schaffhausen</t>
  </si>
  <si>
    <t>CH-SZ</t>
  </si>
  <si>
    <t>Schwyz</t>
  </si>
  <si>
    <t>CH-SO</t>
  </si>
  <si>
    <t>Solothurn</t>
  </si>
  <si>
    <t>CH-TG</t>
  </si>
  <si>
    <t>Thurgau</t>
  </si>
  <si>
    <t>CH-TI</t>
  </si>
  <si>
    <t>Ticino</t>
  </si>
  <si>
    <t>CH-UR</t>
  </si>
  <si>
    <t>Uri</t>
  </si>
  <si>
    <t>CH-VS</t>
  </si>
  <si>
    <t>Valais</t>
  </si>
  <si>
    <t>CH-VD</t>
  </si>
  <si>
    <t>Vaud</t>
  </si>
  <si>
    <t>CH-ZG</t>
  </si>
  <si>
    <t>Zug</t>
  </si>
  <si>
    <t>CH-ZH</t>
  </si>
  <si>
    <t>Zürich</t>
  </si>
  <si>
    <t>SY-HA</t>
  </si>
  <si>
    <t>Al Ḩasakah</t>
  </si>
  <si>
    <t>SY-LA</t>
  </si>
  <si>
    <t>Al Lādhiqīyah</t>
  </si>
  <si>
    <t>SY-QU</t>
  </si>
  <si>
    <t>Al Qunayţirah</t>
  </si>
  <si>
    <t>SY-RA</t>
  </si>
  <si>
    <t>Ar Raqqah</t>
  </si>
  <si>
    <t>SY-SU</t>
  </si>
  <si>
    <t>As Suwaydā’</t>
  </si>
  <si>
    <t>SY-DR</t>
  </si>
  <si>
    <t>Dar‘ā</t>
  </si>
  <si>
    <t>SY-DY</t>
  </si>
  <si>
    <t>Dayr az Zawr</t>
  </si>
  <si>
    <t>SY-DI</t>
  </si>
  <si>
    <t>Dimashq</t>
  </si>
  <si>
    <t>SY-HL</t>
  </si>
  <si>
    <t>Ḩalab</t>
  </si>
  <si>
    <t>SY-HM</t>
  </si>
  <si>
    <t>Ḩamāh</t>
  </si>
  <si>
    <t>SY-HI</t>
  </si>
  <si>
    <t>Ḩimş</t>
  </si>
  <si>
    <t>SY-ID</t>
  </si>
  <si>
    <t>Idlib</t>
  </si>
  <si>
    <t>SY-RD</t>
  </si>
  <si>
    <t>Rīf Dimashq</t>
  </si>
  <si>
    <t>SY-TA</t>
  </si>
  <si>
    <t>Ţarţūs</t>
  </si>
  <si>
    <t>TW-CHA</t>
  </si>
  <si>
    <t>Changhua</t>
  </si>
  <si>
    <t>TW-CYI</t>
  </si>
  <si>
    <t>Chiayi</t>
  </si>
  <si>
    <t>TW-CYQ</t>
  </si>
  <si>
    <t>TW-HSZ</t>
  </si>
  <si>
    <t>Hsinchu</t>
  </si>
  <si>
    <t>TW-HSQ</t>
  </si>
  <si>
    <t>TW-HUA</t>
  </si>
  <si>
    <t>Hualien</t>
  </si>
  <si>
    <t>TW-KHH</t>
  </si>
  <si>
    <t>Kaohsiung</t>
  </si>
  <si>
    <t>TW-KEE</t>
  </si>
  <si>
    <t>Keelung</t>
  </si>
  <si>
    <t>TW-KIN</t>
  </si>
  <si>
    <t>Kinmen</t>
  </si>
  <si>
    <t>TW-LIE</t>
  </si>
  <si>
    <t>Lienchiang</t>
  </si>
  <si>
    <t>TW-MIA</t>
  </si>
  <si>
    <t>Miaoli</t>
  </si>
  <si>
    <t>TW-NAN</t>
  </si>
  <si>
    <t>Nantou</t>
  </si>
  <si>
    <t>TW-NWT</t>
  </si>
  <si>
    <t>New Taipei</t>
  </si>
  <si>
    <t>TW-PEN</t>
  </si>
  <si>
    <t>Penghu</t>
  </si>
  <si>
    <t>TW-PIF</t>
  </si>
  <si>
    <t>Pingtung</t>
  </si>
  <si>
    <t>TW-TXG</t>
  </si>
  <si>
    <t>Taichung</t>
  </si>
  <si>
    <t>TW-TNN</t>
  </si>
  <si>
    <t>Tainan</t>
  </si>
  <si>
    <t>TW-TPE</t>
  </si>
  <si>
    <t>Taipei</t>
  </si>
  <si>
    <t>TW-TTT</t>
  </si>
  <si>
    <t>Taitung</t>
  </si>
  <si>
    <t>TW-TAO</t>
  </si>
  <si>
    <t>Taoyuan</t>
  </si>
  <si>
    <t>TW-ILA</t>
  </si>
  <si>
    <t>Yilan</t>
  </si>
  <si>
    <t>TW-YUN</t>
  </si>
  <si>
    <t>Yunlin</t>
  </si>
  <si>
    <t>TJ-DU</t>
  </si>
  <si>
    <t>Dushanbe</t>
  </si>
  <si>
    <t>capital region</t>
  </si>
  <si>
    <t>TJ-KT</t>
  </si>
  <si>
    <t>Khatlon</t>
  </si>
  <si>
    <t>TJ-GB</t>
  </si>
  <si>
    <t>Kŭhistoni Badakhshon</t>
  </si>
  <si>
    <t>TJ-RA</t>
  </si>
  <si>
    <t>Nohiyahoi Tobei Jumhurí</t>
  </si>
  <si>
    <t>area</t>
  </si>
  <si>
    <t>TJ-SU</t>
  </si>
  <si>
    <t>Sughd</t>
  </si>
  <si>
    <t>TZ-01</t>
  </si>
  <si>
    <t>Arusha</t>
  </si>
  <si>
    <t>TZ-19</t>
  </si>
  <si>
    <t>Coast</t>
  </si>
  <si>
    <t>TZ-02</t>
  </si>
  <si>
    <t>Dar es Salaam</t>
  </si>
  <si>
    <t>TZ-03</t>
  </si>
  <si>
    <t>Dodoma</t>
  </si>
  <si>
    <t>TZ-27</t>
  </si>
  <si>
    <t>Geita</t>
  </si>
  <si>
    <t>TZ-04</t>
  </si>
  <si>
    <t>Iringa</t>
  </si>
  <si>
    <t>TZ-05</t>
  </si>
  <si>
    <t>Kagera</t>
  </si>
  <si>
    <t>TZ-28</t>
  </si>
  <si>
    <t>Katavi</t>
  </si>
  <si>
    <t>TZ-08</t>
  </si>
  <si>
    <t>Kigoma</t>
  </si>
  <si>
    <t>TZ-09</t>
  </si>
  <si>
    <t>Kilimanjaro</t>
  </si>
  <si>
    <t>TZ-12</t>
  </si>
  <si>
    <t>Lindi</t>
  </si>
  <si>
    <t>TZ-26</t>
  </si>
  <si>
    <t>Manyara</t>
  </si>
  <si>
    <t>TZ-13</t>
  </si>
  <si>
    <t>Mara</t>
  </si>
  <si>
    <t>TZ-14</t>
  </si>
  <si>
    <t>Mbeya</t>
  </si>
  <si>
    <t>TZ-16</t>
  </si>
  <si>
    <t>Morogoro</t>
  </si>
  <si>
    <t>TZ-17</t>
  </si>
  <si>
    <t>Mtwara</t>
  </si>
  <si>
    <t>TZ-18</t>
  </si>
  <si>
    <t>Mwanza</t>
  </si>
  <si>
    <t>TZ-29</t>
  </si>
  <si>
    <t>Njombe</t>
  </si>
  <si>
    <t>TZ-06</t>
  </si>
  <si>
    <t>Pemba North</t>
  </si>
  <si>
    <t>TZ-10</t>
  </si>
  <si>
    <t>Pemba South</t>
  </si>
  <si>
    <t>TZ-20</t>
  </si>
  <si>
    <t>Rukwa</t>
  </si>
  <si>
    <t>TZ-21</t>
  </si>
  <si>
    <t>Ruvuma</t>
  </si>
  <si>
    <t>TZ-22</t>
  </si>
  <si>
    <t>Shinyanga</t>
  </si>
  <si>
    <t>TZ-30</t>
  </si>
  <si>
    <t>Simiyu</t>
  </si>
  <si>
    <t>TZ-23</t>
  </si>
  <si>
    <t>Singida</t>
  </si>
  <si>
    <t>TZ-31</t>
  </si>
  <si>
    <t>Songwe</t>
  </si>
  <si>
    <t>TZ-24</t>
  </si>
  <si>
    <t>Tabora</t>
  </si>
  <si>
    <t>TZ-25</t>
  </si>
  <si>
    <t>Tanga</t>
  </si>
  <si>
    <t>TZ-11</t>
  </si>
  <si>
    <t>Zanzibar Central/South</t>
  </si>
  <si>
    <t>TZ-07</t>
  </si>
  <si>
    <t>Zanzibar North</t>
  </si>
  <si>
    <t>TZ-15</t>
  </si>
  <si>
    <t>Zanzibar Urban/West</t>
  </si>
  <si>
    <t>TH-37</t>
  </si>
  <si>
    <t>Amnat Charoen</t>
  </si>
  <si>
    <t>TH-15</t>
  </si>
  <si>
    <t>Ang Thong</t>
  </si>
  <si>
    <t>TH-38</t>
  </si>
  <si>
    <t>Bueng Kan</t>
  </si>
  <si>
    <t>TH-31</t>
  </si>
  <si>
    <t>Buri Ram</t>
  </si>
  <si>
    <t>TH-24</t>
  </si>
  <si>
    <t>Chachoengsao</t>
  </si>
  <si>
    <t>TH-18</t>
  </si>
  <si>
    <t>Chai Nat</t>
  </si>
  <si>
    <t>TH-36</t>
  </si>
  <si>
    <t>Chaiyaphum</t>
  </si>
  <si>
    <t>TH-22</t>
  </si>
  <si>
    <t>Chanthaburi</t>
  </si>
  <si>
    <t>TH-50</t>
  </si>
  <si>
    <t>Chiang Mai</t>
  </si>
  <si>
    <t>TH-57</t>
  </si>
  <si>
    <t>Chiang Rai</t>
  </si>
  <si>
    <t>TH-20</t>
  </si>
  <si>
    <t>Chon Buri</t>
  </si>
  <si>
    <t>TH-86</t>
  </si>
  <si>
    <t>Chumphon</t>
  </si>
  <si>
    <t>TH-46</t>
  </si>
  <si>
    <t>Kalasin</t>
  </si>
  <si>
    <t>TH-62</t>
  </si>
  <si>
    <t>Kamphaeng Phet</t>
  </si>
  <si>
    <t>TH-71</t>
  </si>
  <si>
    <t>Kanchanaburi</t>
  </si>
  <si>
    <t>TH-40</t>
  </si>
  <si>
    <t>Khon Kaen</t>
  </si>
  <si>
    <t>TH-81</t>
  </si>
  <si>
    <t>Krabi</t>
  </si>
  <si>
    <t>TH-10</t>
  </si>
  <si>
    <t>Krung Thep Maha Nakhon</t>
  </si>
  <si>
    <t>metropolitan administration</t>
  </si>
  <si>
    <t>TH-52</t>
  </si>
  <si>
    <t>Lampang</t>
  </si>
  <si>
    <t>TH-51</t>
  </si>
  <si>
    <t>Lamphun</t>
  </si>
  <si>
    <t>TH-42</t>
  </si>
  <si>
    <t>Loei</t>
  </si>
  <si>
    <t>TH-16</t>
  </si>
  <si>
    <t>Lop Buri</t>
  </si>
  <si>
    <t>TH-58</t>
  </si>
  <si>
    <t>Mae Hong Son</t>
  </si>
  <si>
    <t>TH-44</t>
  </si>
  <si>
    <t>Maha Sarakham</t>
  </si>
  <si>
    <t>TH-49</t>
  </si>
  <si>
    <t>Mukdahan</t>
  </si>
  <si>
    <t>TH-26</t>
  </si>
  <si>
    <t>Nakhon Nayok</t>
  </si>
  <si>
    <t>TH-73</t>
  </si>
  <si>
    <t>Nakhon Pathom</t>
  </si>
  <si>
    <t>TH-48</t>
  </si>
  <si>
    <t>Nakhon Phanom</t>
  </si>
  <si>
    <t>TH-30</t>
  </si>
  <si>
    <t>Nakhon Ratchasima</t>
  </si>
  <si>
    <t>TH-60</t>
  </si>
  <si>
    <t>Nakhon Sawan</t>
  </si>
  <si>
    <t>TH-80</t>
  </si>
  <si>
    <t>Nakhon Si Thammarat</t>
  </si>
  <si>
    <t>TH-55</t>
  </si>
  <si>
    <t>Nan</t>
  </si>
  <si>
    <t>TH-96</t>
  </si>
  <si>
    <t>Narathiwat</t>
  </si>
  <si>
    <t>TH-39</t>
  </si>
  <si>
    <t>Nong Bua Lamphu</t>
  </si>
  <si>
    <t>TH-43</t>
  </si>
  <si>
    <t>Nong Khai</t>
  </si>
  <si>
    <t>TH-12</t>
  </si>
  <si>
    <t>Nonthaburi</t>
  </si>
  <si>
    <t>TH-13</t>
  </si>
  <si>
    <t>Pathum Thani</t>
  </si>
  <si>
    <t>TH-94</t>
  </si>
  <si>
    <t>Pattani</t>
  </si>
  <si>
    <t>TH-82</t>
  </si>
  <si>
    <t>Phangnga</t>
  </si>
  <si>
    <t>TH-93</t>
  </si>
  <si>
    <t>Phatthalung</t>
  </si>
  <si>
    <t>TH-56</t>
  </si>
  <si>
    <t>Phayao</t>
  </si>
  <si>
    <t>TH-67</t>
  </si>
  <si>
    <t>Phetchabun</t>
  </si>
  <si>
    <t>TH-76</t>
  </si>
  <si>
    <t>Phetchaburi</t>
  </si>
  <si>
    <t>TH-66</t>
  </si>
  <si>
    <t>Phichit</t>
  </si>
  <si>
    <t>TH-65</t>
  </si>
  <si>
    <t>Phitsanulok</t>
  </si>
  <si>
    <t>TH-54</t>
  </si>
  <si>
    <t>Phrae</t>
  </si>
  <si>
    <t>TH-14</t>
  </si>
  <si>
    <t>Phra Nakhon Si Ayutthaya</t>
  </si>
  <si>
    <t>TH-83</t>
  </si>
  <si>
    <t>Phuket</t>
  </si>
  <si>
    <t>TH-25</t>
  </si>
  <si>
    <t>Prachin Buri</t>
  </si>
  <si>
    <t>TH-77</t>
  </si>
  <si>
    <t>Prachuap Khiri Khan</t>
  </si>
  <si>
    <t>TH-85</t>
  </si>
  <si>
    <t>Ranong</t>
  </si>
  <si>
    <t>TH-70</t>
  </si>
  <si>
    <t>Ratchaburi</t>
  </si>
  <si>
    <t>TH-21</t>
  </si>
  <si>
    <t>Rayong</t>
  </si>
  <si>
    <t>TH-45</t>
  </si>
  <si>
    <t>Roi Et</t>
  </si>
  <si>
    <t>TH-27</t>
  </si>
  <si>
    <t>Sa Kaeo</t>
  </si>
  <si>
    <t>TH-47</t>
  </si>
  <si>
    <t>Sakon Nakhon</t>
  </si>
  <si>
    <t>TH-11</t>
  </si>
  <si>
    <t>Samut Prakan</t>
  </si>
  <si>
    <t>TH-74</t>
  </si>
  <si>
    <t>Samut Sakhon</t>
  </si>
  <si>
    <t>TH-75</t>
  </si>
  <si>
    <t>Samut Songkhram</t>
  </si>
  <si>
    <t>TH-19</t>
  </si>
  <si>
    <t>Saraburi</t>
  </si>
  <si>
    <t>TH-91</t>
  </si>
  <si>
    <t>Satun</t>
  </si>
  <si>
    <t>TH-17</t>
  </si>
  <si>
    <t>Sing Buri</t>
  </si>
  <si>
    <t>TH-33</t>
  </si>
  <si>
    <t>Si Sa Ket</t>
  </si>
  <si>
    <t>TH-90</t>
  </si>
  <si>
    <t>Songkhla</t>
  </si>
  <si>
    <t>TH-64</t>
  </si>
  <si>
    <t>Sukhothai</t>
  </si>
  <si>
    <t>TH-72</t>
  </si>
  <si>
    <t>Suphan Buri</t>
  </si>
  <si>
    <t>TH-84</t>
  </si>
  <si>
    <t>Surat Thani</t>
  </si>
  <si>
    <t>TH-32</t>
  </si>
  <si>
    <t>Surin</t>
  </si>
  <si>
    <t>TH-63</t>
  </si>
  <si>
    <t>Tak</t>
  </si>
  <si>
    <t>TH-92</t>
  </si>
  <si>
    <t>Trang</t>
  </si>
  <si>
    <t>TH-23</t>
  </si>
  <si>
    <t>Trat</t>
  </si>
  <si>
    <t>TH-34</t>
  </si>
  <si>
    <t>Ubon Ratchathani</t>
  </si>
  <si>
    <t>TH-41</t>
  </si>
  <si>
    <t>Udon Thani</t>
  </si>
  <si>
    <t>TH-61</t>
  </si>
  <si>
    <t>Uthai Thani</t>
  </si>
  <si>
    <t>TH-53</t>
  </si>
  <si>
    <t>Uttaradit</t>
  </si>
  <si>
    <t>TH-95</t>
  </si>
  <si>
    <t>Yala</t>
  </si>
  <si>
    <t>TH-35</t>
  </si>
  <si>
    <t>Yasothon</t>
  </si>
  <si>
    <t>TL-AL</t>
  </si>
  <si>
    <t>Aileu</t>
  </si>
  <si>
    <t>TL-AN</t>
  </si>
  <si>
    <t>Ainaro</t>
  </si>
  <si>
    <t>TL-BA</t>
  </si>
  <si>
    <t>Baucau</t>
  </si>
  <si>
    <t>TL-BO</t>
  </si>
  <si>
    <t>Bobonaro</t>
  </si>
  <si>
    <t>TL-DI</t>
  </si>
  <si>
    <t>Díli</t>
  </si>
  <si>
    <t>TL-ER</t>
  </si>
  <si>
    <t>Ermera</t>
  </si>
  <si>
    <t>TL-CO</t>
  </si>
  <si>
    <t>Kovalima</t>
  </si>
  <si>
    <t>TL-LA</t>
  </si>
  <si>
    <t>Lautém</t>
  </si>
  <si>
    <t>TL-LI</t>
  </si>
  <si>
    <t>Likisá</t>
  </si>
  <si>
    <t>TL-MT</t>
  </si>
  <si>
    <t>Manatuto</t>
  </si>
  <si>
    <t>TL-MF</t>
  </si>
  <si>
    <t>Manufahi</t>
  </si>
  <si>
    <t>TL-OE</t>
  </si>
  <si>
    <t>Oé-Cusse Ambeno</t>
  </si>
  <si>
    <t>special administrative region</t>
  </si>
  <si>
    <t>TL-VI</t>
  </si>
  <si>
    <t>Viqueque</t>
  </si>
  <si>
    <t>TG-C</t>
  </si>
  <si>
    <t>Centrale</t>
  </si>
  <si>
    <t>TG-K</t>
  </si>
  <si>
    <t>Kara</t>
  </si>
  <si>
    <t>TG-M</t>
  </si>
  <si>
    <t>Maritime</t>
  </si>
  <si>
    <t>TG-P</t>
  </si>
  <si>
    <t>TG-S</t>
  </si>
  <si>
    <t>TO-01</t>
  </si>
  <si>
    <t>‘Eua</t>
  </si>
  <si>
    <t>TO-02</t>
  </si>
  <si>
    <t>Ha‘apai</t>
  </si>
  <si>
    <t>TO-03</t>
  </si>
  <si>
    <t>Ongo Niua</t>
  </si>
  <si>
    <t>TO-04</t>
  </si>
  <si>
    <t>Tongatapu</t>
  </si>
  <si>
    <t>TO-05</t>
  </si>
  <si>
    <t>Vava‘u</t>
  </si>
  <si>
    <t>TT-ARI</t>
  </si>
  <si>
    <t>Arima</t>
  </si>
  <si>
    <t>TT-CHA</t>
  </si>
  <si>
    <t>Chaguanas</t>
  </si>
  <si>
    <t>TT-CTT</t>
  </si>
  <si>
    <t>Couva/Tabaquite/Talparo</t>
  </si>
  <si>
    <t>TT-DMN</t>
  </si>
  <si>
    <t>Diego Martin</t>
  </si>
  <si>
    <t>TT-MRC</t>
  </si>
  <si>
    <t>Mayaro/Rio Claro</t>
  </si>
  <si>
    <t>TT-PED</t>
  </si>
  <si>
    <t>Penal/Debe</t>
  </si>
  <si>
    <t>TT-PTF</t>
  </si>
  <si>
    <t>Point Fortin</t>
  </si>
  <si>
    <t>TT-POS</t>
  </si>
  <si>
    <t>Port of Spain</t>
  </si>
  <si>
    <t>TT-PRT</t>
  </si>
  <si>
    <t>Princes Town</t>
  </si>
  <si>
    <t>TT-SFO</t>
  </si>
  <si>
    <t>San Fernando</t>
  </si>
  <si>
    <t>TT-SGE</t>
  </si>
  <si>
    <t>Sangre Grande</t>
  </si>
  <si>
    <t>TT-SJL</t>
  </si>
  <si>
    <t>San Juan/Laventille</t>
  </si>
  <si>
    <t>TT-SIP</t>
  </si>
  <si>
    <t>Siparia</t>
  </si>
  <si>
    <t>TT-TOB</t>
  </si>
  <si>
    <t>Tobago</t>
  </si>
  <si>
    <t>ward</t>
  </si>
  <si>
    <t>TT-TUP</t>
  </si>
  <si>
    <t>Tunapuna/Piarco</t>
  </si>
  <si>
    <t>TN-31</t>
  </si>
  <si>
    <t>Béja</t>
  </si>
  <si>
    <t>TN-13</t>
  </si>
  <si>
    <t>Ben Arous</t>
  </si>
  <si>
    <t>TN-23</t>
  </si>
  <si>
    <t>Bizerte</t>
  </si>
  <si>
    <t>TN-81</t>
  </si>
  <si>
    <t>Gabès</t>
  </si>
  <si>
    <t>TN-71</t>
  </si>
  <si>
    <t>Gafsa</t>
  </si>
  <si>
    <t>TN-32</t>
  </si>
  <si>
    <t>Jendouba</t>
  </si>
  <si>
    <t>TN-41</t>
  </si>
  <si>
    <t>Kairouan</t>
  </si>
  <si>
    <t>TN-42</t>
  </si>
  <si>
    <t>Kasserine</t>
  </si>
  <si>
    <t>TN-73</t>
  </si>
  <si>
    <t>Kébili</t>
  </si>
  <si>
    <t>TN-33</t>
  </si>
  <si>
    <t>Kef</t>
  </si>
  <si>
    <t>TN-12</t>
  </si>
  <si>
    <t>L’Ariana</t>
  </si>
  <si>
    <t>TN-53</t>
  </si>
  <si>
    <t>Mahdia</t>
  </si>
  <si>
    <t>TN-14</t>
  </si>
  <si>
    <t>Manouba</t>
  </si>
  <si>
    <t>TN-82</t>
  </si>
  <si>
    <t>Médenine</t>
  </si>
  <si>
    <t>TN-52</t>
  </si>
  <si>
    <t>Monastir</t>
  </si>
  <si>
    <t>TN-21</t>
  </si>
  <si>
    <t>Nabeul</t>
  </si>
  <si>
    <t>TN-61</t>
  </si>
  <si>
    <t>Sfax</t>
  </si>
  <si>
    <t>TN-43</t>
  </si>
  <si>
    <t>Sidi Bouzid</t>
  </si>
  <si>
    <t>TN-34</t>
  </si>
  <si>
    <t>Siliana</t>
  </si>
  <si>
    <t>TN-51</t>
  </si>
  <si>
    <t>Sousse</t>
  </si>
  <si>
    <t>TN-83</t>
  </si>
  <si>
    <t>Tataouine</t>
  </si>
  <si>
    <t>TN-72</t>
  </si>
  <si>
    <t>Tozeur</t>
  </si>
  <si>
    <t>TN-11</t>
  </si>
  <si>
    <t>Tunis</t>
  </si>
  <si>
    <t>TN-22</t>
  </si>
  <si>
    <t>Zaghouan</t>
  </si>
  <si>
    <t>TR-01</t>
  </si>
  <si>
    <t>Adana</t>
  </si>
  <si>
    <t>TR-02</t>
  </si>
  <si>
    <t>Adıyaman</t>
  </si>
  <si>
    <t>TR-03</t>
  </si>
  <si>
    <t>Afyonkarahisar</t>
  </si>
  <si>
    <t>TR-04</t>
  </si>
  <si>
    <t>Ağrı</t>
  </si>
  <si>
    <t>TR-68</t>
  </si>
  <si>
    <t>Aksaray</t>
  </si>
  <si>
    <t>TR-05</t>
  </si>
  <si>
    <t>Amasya</t>
  </si>
  <si>
    <t>TR-06</t>
  </si>
  <si>
    <t>Ankara</t>
  </si>
  <si>
    <t>TR-07</t>
  </si>
  <si>
    <t>Antalya</t>
  </si>
  <si>
    <t>TR-75</t>
  </si>
  <si>
    <t>Ardahan</t>
  </si>
  <si>
    <t>TR-08</t>
  </si>
  <si>
    <t>Artvin</t>
  </si>
  <si>
    <t>TR-09</t>
  </si>
  <si>
    <t>Aydın</t>
  </si>
  <si>
    <t>TR-10</t>
  </si>
  <si>
    <t>Balıkesir</t>
  </si>
  <si>
    <t>TR-74</t>
  </si>
  <si>
    <t>Bartın</t>
  </si>
  <si>
    <t>TR-72</t>
  </si>
  <si>
    <t>Batman</t>
  </si>
  <si>
    <t>TR-69</t>
  </si>
  <si>
    <t>Bayburt</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</si>
  <si>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</si>
  <si>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</si>
  <si>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</si>
  <si>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</si>
  <si>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</si>
  <si>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</si>
  <si>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</si>
  <si>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</si>
  <si>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</si>
  <si>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</si>
  <si>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</si>
  <si>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</si>
  <si>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</si>
  <si>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</si>
  <si>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</si>
  <si>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</si>
  <si>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</si>
  <si>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</si>
  <si>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</si>
  <si>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</si>
  <si>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</si>
  <si>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</si>
  <si>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TR-81</t>
  </si>
  <si>
    <t>Düzce</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</si>
  <si>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</si>
  <si>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</si>
  <si>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</si>
  <si>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</si>
  <si>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</si>
  <si>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</si>
  <si>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</si>
  <si>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</si>
  <si>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</si>
  <si>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</si>
  <si>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</si>
  <si>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</si>
  <si>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</si>
  <si>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</si>
  <si>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</si>
  <si>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</si>
  <si>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</si>
  <si>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</si>
  <si>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</si>
  <si>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</si>
  <si>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TR-76</t>
  </si>
  <si>
    <t>Iğdır</t>
  </si>
  <si>
    <t>TR-32</t>
  </si>
  <si>
    <t>Isparta</t>
  </si>
  <si>
    <t>TR-34</t>
  </si>
  <si>
    <t>İstanbul</t>
  </si>
  <si>
    <t>TR-35</t>
  </si>
  <si>
    <t>İzmir</t>
  </si>
  <si>
    <t>TR-46</t>
  </si>
  <si>
    <t>Kahramanmaraş</t>
  </si>
  <si>
    <t>TR-78</t>
  </si>
  <si>
    <t>Karabük</t>
  </si>
  <si>
    <t>TR-70</t>
  </si>
  <si>
    <t>Karaman</t>
  </si>
  <si>
    <t>TR-36</t>
  </si>
  <si>
    <t>Kars</t>
  </si>
  <si>
    <t>TR-37</t>
  </si>
  <si>
    <t>Kastamonu</t>
  </si>
  <si>
    <t>TR-38</t>
  </si>
  <si>
    <t>Kayseri</t>
  </si>
  <si>
    <t>TR-79</t>
  </si>
  <si>
    <t>Kilis</t>
  </si>
  <si>
    <t>TR-71</t>
  </si>
  <si>
    <t>Kırıkkale</t>
  </si>
  <si>
    <t>TR-39</t>
  </si>
  <si>
    <t>Kırklareli</t>
  </si>
  <si>
    <t>TR-40</t>
  </si>
  <si>
    <t>Kırşehir</t>
  </si>
  <si>
    <t>TR-41</t>
  </si>
  <si>
    <t>Kocaeli</t>
  </si>
  <si>
    <t>TR-42</t>
  </si>
  <si>
    <t>Konya</t>
  </si>
  <si>
    <t>TR-43</t>
  </si>
  <si>
    <t>Kütahya</t>
  </si>
  <si>
    <t>TR-44</t>
  </si>
  <si>
    <t>Malatya</t>
  </si>
  <si>
    <t>TR-45</t>
  </si>
  <si>
    <t>Manisa</t>
  </si>
  <si>
    <t>TR-47</t>
  </si>
  <si>
    <t>Mardin</t>
  </si>
  <si>
    <t>TR-33</t>
  </si>
  <si>
    <t>Mersin</t>
  </si>
  <si>
    <t>TR-48</t>
  </si>
  <si>
    <t>Muğla</t>
  </si>
  <si>
    <t>TR-49</t>
  </si>
  <si>
    <t>Muş</t>
  </si>
  <si>
    <t>TR-50</t>
  </si>
  <si>
    <t>Nevşehir</t>
  </si>
  <si>
    <t>TR-51</t>
  </si>
  <si>
    <t>Niğde</t>
  </si>
  <si>
    <t>TR-52</t>
  </si>
  <si>
    <t>Ordu</t>
  </si>
  <si>
    <t>TR-80</t>
  </si>
  <si>
    <t>Osmaniye</t>
  </si>
  <si>
    <t>TR-53</t>
  </si>
  <si>
    <t>Rize</t>
  </si>
  <si>
    <t>TR-54</t>
  </si>
  <si>
    <t>Sakarya</t>
  </si>
  <si>
    <t>TR-55</t>
  </si>
  <si>
    <t>Samsun</t>
  </si>
  <si>
    <t>TR-63</t>
  </si>
  <si>
    <t>Şanlıurfa</t>
  </si>
  <si>
    <t>TR-56</t>
  </si>
  <si>
    <t>Siirt</t>
  </si>
  <si>
    <t>TR-57</t>
  </si>
  <si>
    <t>Sinop</t>
  </si>
  <si>
    <t>TR-73</t>
  </si>
  <si>
    <t>Şırnak</t>
  </si>
  <si>
    <t>TR-58</t>
  </si>
  <si>
    <t>Sivas</t>
  </si>
  <si>
    <t>TR-59</t>
  </si>
  <si>
    <t>Tekirdağ</t>
  </si>
  <si>
    <t>TR-60</t>
  </si>
  <si>
    <t>Tokat</t>
  </si>
  <si>
    <t>TR-61</t>
  </si>
  <si>
    <t>Trabzon</t>
  </si>
  <si>
    <t>TR-62</t>
  </si>
  <si>
    <t>Tunceli</t>
  </si>
  <si>
    <t>TR-64</t>
  </si>
  <si>
    <t>Uşak</t>
  </si>
  <si>
    <t>TR-65</t>
  </si>
  <si>
    <t>Van</t>
  </si>
  <si>
    <t>TR-77</t>
  </si>
  <si>
    <t>Yalova</t>
  </si>
  <si>
    <t>TR-66</t>
  </si>
  <si>
    <t>Yozgat</t>
  </si>
  <si>
    <t>TR-67</t>
  </si>
  <si>
    <t>Zonguldak</t>
  </si>
  <si>
    <t>TM-A</t>
  </si>
  <si>
    <t>Ahal</t>
  </si>
  <si>
    <t>TM-S</t>
  </si>
  <si>
    <t>Aşgabat</t>
  </si>
  <si>
    <t>TM-B</t>
  </si>
  <si>
    <t>Balkan</t>
  </si>
  <si>
    <t>TM-D</t>
  </si>
  <si>
    <t>Daşoguz</t>
  </si>
  <si>
    <t>TM-L</t>
  </si>
  <si>
    <t>Lebap</t>
  </si>
  <si>
    <t>TM-M</t>
  </si>
  <si>
    <t>Mary</t>
  </si>
  <si>
    <t>TV-FUN</t>
  </si>
  <si>
    <t>Funafuti</t>
  </si>
  <si>
    <t>town council</t>
  </si>
  <si>
    <t>TV-NMG</t>
  </si>
  <si>
    <t>Nanumaga</t>
  </si>
  <si>
    <t>island council</t>
  </si>
  <si>
    <t>TV-NMA</t>
  </si>
  <si>
    <t>Nanumea</t>
  </si>
  <si>
    <t>TV-NIT</t>
  </si>
  <si>
    <t>Niutao</t>
  </si>
  <si>
    <t>TV-NUI</t>
  </si>
  <si>
    <t>Nui</t>
  </si>
  <si>
    <t>TV-NKF</t>
  </si>
  <si>
    <t>Nukufetau</t>
  </si>
  <si>
    <t>TV-NKL</t>
  </si>
  <si>
    <t>Nukulaelae</t>
  </si>
  <si>
    <t>TV-VAI</t>
  </si>
  <si>
    <t>Vaitupu</t>
  </si>
  <si>
    <t>UG-C</t>
  </si>
  <si>
    <t>UG-117</t>
  </si>
  <si>
    <t xml:space="preserve">     Buikwe</t>
  </si>
  <si>
    <t>UG-118</t>
  </si>
  <si>
    <t xml:space="preserve">     Bukomansimbi</t>
  </si>
  <si>
    <t>UG-119</t>
  </si>
  <si>
    <t xml:space="preserve">     Butambala</t>
  </si>
  <si>
    <t>UG-120</t>
  </si>
  <si>
    <t xml:space="preserve">     Buvuma</t>
  </si>
  <si>
    <t>UG-121</t>
  </si>
  <si>
    <t xml:space="preserve">     Gomba</t>
  </si>
  <si>
    <t>UG-101</t>
  </si>
  <si>
    <t xml:space="preserve">     Kalangala</t>
  </si>
  <si>
    <t>UG-122</t>
  </si>
  <si>
    <t xml:space="preserve">     Kalungu</t>
  </si>
  <si>
    <t>UG-102</t>
  </si>
  <si>
    <t xml:space="preserve">     Kampala</t>
  </si>
  <si>
    <t>UG-112</t>
  </si>
  <si>
    <t xml:space="preserve">     Kayunga</t>
  </si>
  <si>
    <t>UG-103</t>
  </si>
  <si>
    <t xml:space="preserve">     Kiboga</t>
  </si>
  <si>
    <t>UG-123</t>
  </si>
  <si>
    <t xml:space="preserve">     Kyankwanzi</t>
  </si>
  <si>
    <t>UG-125</t>
  </si>
  <si>
    <t xml:space="preserve">     Kyotera</t>
  </si>
  <si>
    <t>UG-104</t>
  </si>
  <si>
    <t xml:space="preserve">     Luwero</t>
  </si>
  <si>
    <t>UG-124</t>
  </si>
  <si>
    <t xml:space="preserve">     Lwengo</t>
  </si>
  <si>
    <t>UG-114</t>
  </si>
  <si>
    <t xml:space="preserve">     Lyantonde</t>
  </si>
  <si>
    <t>UG-105</t>
  </si>
  <si>
    <t xml:space="preserve">     Masaka</t>
  </si>
  <si>
    <t>UG-115</t>
  </si>
  <si>
    <t xml:space="preserve">     Mityana</t>
  </si>
  <si>
    <t>UG-106</t>
  </si>
  <si>
    <t xml:space="preserve">     Mpigi</t>
  </si>
  <si>
    <t>UG-107</t>
  </si>
  <si>
    <t xml:space="preserve">     Mubende</t>
  </si>
  <si>
    <t>UG-108</t>
  </si>
  <si>
    <t xml:space="preserve">     Mukono</t>
  </si>
  <si>
    <t>UG-116</t>
  </si>
  <si>
    <t xml:space="preserve">     Nakaseke</t>
  </si>
  <si>
    <t>UG-109</t>
  </si>
  <si>
    <t xml:space="preserve">     Nakasongola</t>
  </si>
  <si>
    <t>UG-110</t>
  </si>
  <si>
    <t xml:space="preserve">     Rakai</t>
  </si>
  <si>
    <t>UG-111</t>
  </si>
  <si>
    <t xml:space="preserve">     Sembabule</t>
  </si>
  <si>
    <t>UG-113</t>
  </si>
  <si>
    <t xml:space="preserve">     Wakiso</t>
  </si>
  <si>
    <t>UG-E</t>
  </si>
  <si>
    <t>UG-216</t>
  </si>
  <si>
    <t xml:space="preserve">     Amuria</t>
  </si>
  <si>
    <t>UG-217</t>
  </si>
  <si>
    <t xml:space="preserve">     Budaka</t>
  </si>
  <si>
    <t>UG-218</t>
  </si>
  <si>
    <t xml:space="preserve">     Bududa</t>
  </si>
  <si>
    <t>UG-201</t>
  </si>
  <si>
    <t xml:space="preserve">     Bugiri</t>
  </si>
  <si>
    <t>UG-219</t>
  </si>
  <si>
    <t xml:space="preserve">     Bukedea</t>
  </si>
  <si>
    <t>UG-220</t>
  </si>
  <si>
    <t xml:space="preserve">     Bukwa</t>
  </si>
  <si>
    <t>UG-225</t>
  </si>
  <si>
    <t xml:space="preserve">     Bulambuli</t>
  </si>
  <si>
    <t>UG-202</t>
  </si>
  <si>
    <t xml:space="preserve">     Busia</t>
  </si>
  <si>
    <t>UG-221</t>
  </si>
  <si>
    <t xml:space="preserve">     Butaleja</t>
  </si>
  <si>
    <t>UG-233</t>
  </si>
  <si>
    <t xml:space="preserve">     Butebo</t>
  </si>
  <si>
    <t>UG-226</t>
  </si>
  <si>
    <t xml:space="preserve">     Buyende</t>
  </si>
  <si>
    <t>UG-203</t>
  </si>
  <si>
    <t xml:space="preserve">     Iganga</t>
  </si>
  <si>
    <t>UG-204</t>
  </si>
  <si>
    <t xml:space="preserve">     Jinja</t>
  </si>
  <si>
    <t>UG-213</t>
  </si>
  <si>
    <t xml:space="preserve">     Kaberamaido</t>
  </si>
  <si>
    <t>UG-222</t>
  </si>
  <si>
    <t xml:space="preserve">     Kaliro</t>
  </si>
  <si>
    <t>UG-205</t>
  </si>
  <si>
    <t xml:space="preserve">     Kamuli</t>
  </si>
  <si>
    <t>UG-206</t>
  </si>
  <si>
    <t xml:space="preserve">     Kapchorwa</t>
  </si>
  <si>
    <t>UG-207</t>
  </si>
  <si>
    <t xml:space="preserve">     Katakwi</t>
  </si>
  <si>
    <t>UG-227</t>
  </si>
  <si>
    <t xml:space="preserve">     Kibuku</t>
  </si>
  <si>
    <t>UG-208</t>
  </si>
  <si>
    <t xml:space="preserve">     Kumi</t>
  </si>
  <si>
    <t>UG-228</t>
  </si>
  <si>
    <t xml:space="preserve">     Kween</t>
  </si>
  <si>
    <t>UG-229</t>
  </si>
  <si>
    <t xml:space="preserve">     Luuka</t>
  </si>
  <si>
    <t>UG-223</t>
  </si>
  <si>
    <t xml:space="preserve">     Manafwa</t>
  </si>
  <si>
    <t>UG-214</t>
  </si>
  <si>
    <t xml:space="preserve">     Mayuge</t>
  </si>
  <si>
    <t>UG-209</t>
  </si>
  <si>
    <t xml:space="preserve">     Mbale</t>
  </si>
  <si>
    <t>UG-230</t>
  </si>
  <si>
    <t xml:space="preserve">     Namayingo</t>
  </si>
  <si>
    <t>UG-234</t>
  </si>
  <si>
    <t xml:space="preserve">     Namisindwa</t>
  </si>
  <si>
    <t>UG-224</t>
  </si>
  <si>
    <t xml:space="preserve">     Namutumba</t>
  </si>
  <si>
    <t>UG-231</t>
  </si>
  <si>
    <t xml:space="preserve">     Ngora</t>
  </si>
  <si>
    <t>UG-210</t>
  </si>
  <si>
    <t xml:space="preserve">     Pallisa</t>
  </si>
  <si>
    <t>UG-232</t>
  </si>
  <si>
    <t xml:space="preserve">     Serere</t>
  </si>
  <si>
    <t>UG-215</t>
  </si>
  <si>
    <t xml:space="preserve">     Sironko</t>
  </si>
  <si>
    <t>UG-211</t>
  </si>
  <si>
    <t xml:space="preserve">     Soroti</t>
  </si>
  <si>
    <t>UG-212</t>
  </si>
  <si>
    <t xml:space="preserve">     Tororo</t>
  </si>
  <si>
    <t>UG-N</t>
  </si>
  <si>
    <t>UG-314</t>
  </si>
  <si>
    <t xml:space="preserve">     Abim</t>
  </si>
  <si>
    <t>UG-301</t>
  </si>
  <si>
    <t xml:space="preserve">     Adjumani</t>
  </si>
  <si>
    <t>UG-322</t>
  </si>
  <si>
    <t xml:space="preserve">     Agago</t>
  </si>
  <si>
    <t>UG-323</t>
  </si>
  <si>
    <t xml:space="preserve">     Alebtong</t>
  </si>
  <si>
    <t>UG-315</t>
  </si>
  <si>
    <t xml:space="preserve">     Amolatar</t>
  </si>
  <si>
    <t>UG-324</t>
  </si>
  <si>
    <t xml:space="preserve">     Amudat</t>
  </si>
  <si>
    <t>UG-316</t>
  </si>
  <si>
    <t xml:space="preserve">     Amuru</t>
  </si>
  <si>
    <t>UG-302</t>
  </si>
  <si>
    <t xml:space="preserve">     Apac</t>
  </si>
  <si>
    <t>UG-303</t>
  </si>
  <si>
    <t xml:space="preserve">     Arua</t>
  </si>
  <si>
    <t>UG-317</t>
  </si>
  <si>
    <t xml:space="preserve">     Dokolo</t>
  </si>
  <si>
    <t>UG-304</t>
  </si>
  <si>
    <t xml:space="preserve">     Gulu</t>
  </si>
  <si>
    <t>UG-318</t>
  </si>
  <si>
    <t xml:space="preserve">     Kaabong</t>
  </si>
  <si>
    <t>UG-305</t>
  </si>
  <si>
    <t xml:space="preserve">     Kitgum</t>
  </si>
  <si>
    <t>UG-319</t>
  </si>
  <si>
    <t xml:space="preserve">     Koboko</t>
  </si>
  <si>
    <t>UG-325</t>
  </si>
  <si>
    <t xml:space="preserve">     Kole</t>
  </si>
  <si>
    <t>UG-306</t>
  </si>
  <si>
    <t xml:space="preserve">     Kotido</t>
  </si>
  <si>
    <t>UG-326</t>
  </si>
  <si>
    <t xml:space="preserve">     Lamwo</t>
  </si>
  <si>
    <t>UG-307</t>
  </si>
  <si>
    <t xml:space="preserve">     Lira</t>
  </si>
  <si>
    <t>UG-320</t>
  </si>
  <si>
    <t xml:space="preserve">     Maracha</t>
  </si>
  <si>
    <t>UG-308</t>
  </si>
  <si>
    <t xml:space="preserve">     Moroto</t>
  </si>
  <si>
    <t>UG-309</t>
  </si>
  <si>
    <t xml:space="preserve">     Moyo</t>
  </si>
  <si>
    <t>UG-311</t>
  </si>
  <si>
    <t xml:space="preserve">     Nakapiripirit</t>
  </si>
  <si>
    <t>UG-327</t>
  </si>
  <si>
    <t xml:space="preserve">     Napak</t>
  </si>
  <si>
    <t>UG-310</t>
  </si>
  <si>
    <t xml:space="preserve">     Nebbi</t>
  </si>
  <si>
    <t>UG-328</t>
  </si>
  <si>
    <t xml:space="preserve">     Nwoya</t>
  </si>
  <si>
    <t>UG-331</t>
  </si>
  <si>
    <t xml:space="preserve">     Omoro</t>
  </si>
  <si>
    <t>UG-329</t>
  </si>
  <si>
    <t xml:space="preserve">     Otuke</t>
  </si>
  <si>
    <t>UG-321</t>
  </si>
  <si>
    <t xml:space="preserve">     Oyam</t>
  </si>
  <si>
    <t>UG-312</t>
  </si>
  <si>
    <t xml:space="preserve">     Pader</t>
  </si>
  <si>
    <t>UG-332</t>
  </si>
  <si>
    <t xml:space="preserve">     Pakwach</t>
  </si>
  <si>
    <t>UG-313</t>
  </si>
  <si>
    <t xml:space="preserve">     Yumbe</t>
  </si>
  <si>
    <t>UG-330</t>
  </si>
  <si>
    <t xml:space="preserve">     Zombo</t>
  </si>
  <si>
    <t>UG-W</t>
  </si>
  <si>
    <t>UG-420</t>
  </si>
  <si>
    <t xml:space="preserve">     Buhweju</t>
  </si>
  <si>
    <t>UG-416</t>
  </si>
  <si>
    <t xml:space="preserve">     Buliisa</t>
  </si>
  <si>
    <t>UG-401</t>
  </si>
  <si>
    <t xml:space="preserve">     Bundibugyo</t>
  </si>
  <si>
    <t>UG-430</t>
  </si>
  <si>
    <t xml:space="preserve">     Bunyangabu</t>
  </si>
  <si>
    <t>UG-402</t>
  </si>
  <si>
    <t xml:space="preserve">     Bushenyi</t>
  </si>
  <si>
    <t>UG-403</t>
  </si>
  <si>
    <t xml:space="preserve">     Hoima</t>
  </si>
  <si>
    <t>UG-417</t>
  </si>
  <si>
    <t xml:space="preserve">     Ibanda</t>
  </si>
  <si>
    <t>UG-418</t>
  </si>
  <si>
    <t xml:space="preserve">     Isingiro</t>
  </si>
  <si>
    <t>UG-404</t>
  </si>
  <si>
    <t xml:space="preserve">     Kabale</t>
  </si>
  <si>
    <t>UG-405</t>
  </si>
  <si>
    <t xml:space="preserve">     Kabarole</t>
  </si>
  <si>
    <t>UG-427</t>
  </si>
  <si>
    <t xml:space="preserve">     Kagadi</t>
  </si>
  <si>
    <t>UG-428</t>
  </si>
  <si>
    <t xml:space="preserve">     Kakumiro</t>
  </si>
  <si>
    <t>UG-413</t>
  </si>
  <si>
    <t xml:space="preserve">     Kamwenge</t>
  </si>
  <si>
    <t>UG-414</t>
  </si>
  <si>
    <t xml:space="preserve">     Kanungu</t>
  </si>
  <si>
    <t>UG-406</t>
  </si>
  <si>
    <t xml:space="preserve">     Kasese</t>
  </si>
  <si>
    <t>UG-407</t>
  </si>
  <si>
    <t xml:space="preserve">     Kibaale</t>
  </si>
  <si>
    <t>UG-419</t>
  </si>
  <si>
    <t xml:space="preserve">     Kiruhura</t>
  </si>
  <si>
    <t>UG-421</t>
  </si>
  <si>
    <t xml:space="preserve">     Kiryandongo</t>
  </si>
  <si>
    <t>UG-408</t>
  </si>
  <si>
    <t xml:space="preserve">     Kisoro</t>
  </si>
  <si>
    <t>UG-422</t>
  </si>
  <si>
    <t xml:space="preserve">     Kyegegwa</t>
  </si>
  <si>
    <t>UG-415</t>
  </si>
  <si>
    <t xml:space="preserve">     Kyenjojo</t>
  </si>
  <si>
    <t>UG-409</t>
  </si>
  <si>
    <t xml:space="preserve">     Masindi</t>
  </si>
  <si>
    <t>UG-410</t>
  </si>
  <si>
    <t xml:space="preserve">     Mbarara</t>
  </si>
  <si>
    <t>UG-423</t>
  </si>
  <si>
    <t xml:space="preserve">     Mitooma</t>
  </si>
  <si>
    <t>UG-424</t>
  </si>
  <si>
    <t xml:space="preserve">     Ntoroko</t>
  </si>
  <si>
    <t>UG-411</t>
  </si>
  <si>
    <t xml:space="preserve">     Ntungamo</t>
  </si>
  <si>
    <t>UG-429</t>
  </si>
  <si>
    <t xml:space="preserve">     Rubanda</t>
  </si>
  <si>
    <t>UG-425</t>
  </si>
  <si>
    <t xml:space="preserve">     Rubirizi</t>
  </si>
  <si>
    <t>UG-431</t>
  </si>
  <si>
    <t xml:space="preserve">     Rukiga</t>
  </si>
  <si>
    <t>UG-412</t>
  </si>
  <si>
    <t xml:space="preserve">     Rukungiri</t>
  </si>
  <si>
    <t>UG-426</t>
  </si>
  <si>
    <t xml:space="preserve">     Sheema</t>
  </si>
  <si>
    <t>UA-71</t>
  </si>
  <si>
    <t>Cherkas’ka Oblast’</t>
  </si>
  <si>
    <t>UA-74</t>
  </si>
  <si>
    <t>Chernihivs’ka Oblast’</t>
  </si>
  <si>
    <t>UA-77</t>
  </si>
  <si>
    <t>Chernivets’ka Oblast’</t>
  </si>
  <si>
    <t>UA-12</t>
  </si>
  <si>
    <t>Dnipropetrovs’ka Oblast’</t>
  </si>
  <si>
    <t>UA-14</t>
  </si>
  <si>
    <t>Donets’ka Oblast’</t>
  </si>
  <si>
    <t>UA-26</t>
  </si>
  <si>
    <t>Ivano-Frankivs’ka Oblast’</t>
  </si>
  <si>
    <t>UA-63</t>
  </si>
  <si>
    <t>Kharkivs’ka Oblast’</t>
  </si>
  <si>
    <t>UA-65</t>
  </si>
  <si>
    <t>Khersons’ka Oblast’</t>
  </si>
  <si>
    <t>UA-68</t>
  </si>
  <si>
    <t>Khmel’nyts’ka Oblast’</t>
  </si>
  <si>
    <t>UA-35</t>
  </si>
  <si>
    <t>Kirovohrads’ka Oblast’</t>
  </si>
  <si>
    <t>UA-43</t>
  </si>
  <si>
    <t>Krym, Avtonomna Respublika</t>
  </si>
  <si>
    <t>UA-30</t>
  </si>
  <si>
    <t>Kyyiv, Misto</t>
  </si>
  <si>
    <t>UA-32</t>
  </si>
  <si>
    <t>Kyyivs’ka Oblast’</t>
  </si>
  <si>
    <t>UA-09</t>
  </si>
  <si>
    <t>Luhans’ka Oblast’</t>
  </si>
  <si>
    <t>UA-46</t>
  </si>
  <si>
    <t>L’vivs’ka Oblast’</t>
  </si>
  <si>
    <t>UA-48</t>
  </si>
  <si>
    <t>Mykolayivs’ka Oblast’</t>
  </si>
  <si>
    <t>UA-51</t>
  </si>
  <si>
    <t>Odes’ka Oblast’</t>
  </si>
  <si>
    <t>UA-53</t>
  </si>
  <si>
    <t>Poltavs’ka Oblast’</t>
  </si>
  <si>
    <t>UA-56</t>
  </si>
  <si>
    <t>Rivnens’ka Oblast’</t>
  </si>
  <si>
    <t>UA-40</t>
  </si>
  <si>
    <t>Sevastopol’, Misto</t>
  </si>
  <si>
    <t>UA-59</t>
  </si>
  <si>
    <t>Sums’ka Oblast’</t>
  </si>
  <si>
    <t>UA-61</t>
  </si>
  <si>
    <t>Ternopil’s’ka Oblast’</t>
  </si>
  <si>
    <t>UA-05</t>
  </si>
  <si>
    <t>Vinnyts’ka Oblast’</t>
  </si>
  <si>
    <t>UA-07</t>
  </si>
  <si>
    <t>Volyns’ka Oblast’</t>
  </si>
  <si>
    <t>UA-21</t>
  </si>
  <si>
    <t>Zakarpats’ka Oblast’</t>
  </si>
  <si>
    <t>UA-23</t>
  </si>
  <si>
    <t>Zaporiz’ka Oblast’</t>
  </si>
  <si>
    <t>UA-18</t>
  </si>
  <si>
    <t>Zhytomyrs’ka Oblast’</t>
  </si>
  <si>
    <t>AE-AZ</t>
  </si>
  <si>
    <t>Abū Z̧aby</t>
  </si>
  <si>
    <t>emirate</t>
  </si>
  <si>
    <t>AE-AJ</t>
  </si>
  <si>
    <t>‘Ajmān</t>
  </si>
  <si>
    <t>AE-FU</t>
  </si>
  <si>
    <t>Al Fujayrah</t>
  </si>
  <si>
    <t>AE-SH</t>
  </si>
  <si>
    <t>Ash Shāriqah</t>
  </si>
  <si>
    <t>AE-DU</t>
  </si>
  <si>
    <t>Dubayy</t>
  </si>
  <si>
    <t>AE-RK</t>
  </si>
  <si>
    <t>Ra’s al Khaymah</t>
  </si>
  <si>
    <t>AE-UQ</t>
  </si>
  <si>
    <t>Umm al Qaywayn</t>
  </si>
  <si>
    <t>GB-ENG</t>
  </si>
  <si>
    <t>England</t>
  </si>
  <si>
    <t>country</t>
  </si>
  <si>
    <t>GB-BDG</t>
  </si>
  <si>
    <t xml:space="preserve">     Barking and Dagenham</t>
  </si>
  <si>
    <t>London borough</t>
  </si>
  <si>
    <t>GB-BNE</t>
  </si>
  <si>
    <t xml:space="preserve">     Barnet</t>
  </si>
  <si>
    <t>GB-BNS</t>
  </si>
  <si>
    <t xml:space="preserve">     Barnsley</t>
  </si>
  <si>
    <t>metropolitan district</t>
  </si>
  <si>
    <t>GB-BAS</t>
  </si>
  <si>
    <t xml:space="preserve">     Bath and North East Somerset</t>
  </si>
  <si>
    <t>unitary authority</t>
  </si>
  <si>
    <t>GB-BDF</t>
  </si>
  <si>
    <t xml:space="preserve">     Bedford</t>
  </si>
  <si>
    <t>GB-BEX</t>
  </si>
  <si>
    <t xml:space="preserve">     Bexley</t>
  </si>
  <si>
    <t>GB-BIR</t>
  </si>
  <si>
    <t xml:space="preserve">     Birmingham</t>
  </si>
  <si>
    <t>GB-BBD</t>
  </si>
  <si>
    <t xml:space="preserve">     Blackburn with Darwen</t>
  </si>
  <si>
    <t>GB-BPL</t>
  </si>
  <si>
    <t xml:space="preserve">     Blackpool</t>
  </si>
  <si>
    <t>GB-BOL</t>
  </si>
  <si>
    <t xml:space="preserve">     Bolton</t>
  </si>
  <si>
    <t>GB-BMH</t>
  </si>
  <si>
    <t xml:space="preserve">     Bournemouth</t>
  </si>
  <si>
    <t>GB-BRC</t>
  </si>
  <si>
    <t xml:space="preserve">     Bracknell Forest</t>
  </si>
  <si>
    <t>GB-BRD</t>
  </si>
  <si>
    <t xml:space="preserve">     Bradford</t>
  </si>
  <si>
    <t>GB-BEN</t>
  </si>
  <si>
    <t xml:space="preserve">     Brent</t>
  </si>
  <si>
    <t>GB-BNH</t>
  </si>
  <si>
    <t xml:space="preserve">     Brighton and Hove</t>
  </si>
  <si>
    <t>GB-BST</t>
  </si>
  <si>
    <t xml:space="preserve">     Bristol, City of</t>
  </si>
  <si>
    <t>GB-BRY</t>
  </si>
  <si>
    <t xml:space="preserve">     Bromley</t>
  </si>
  <si>
    <t>GB-BKM</t>
  </si>
  <si>
    <t xml:space="preserve">     Buckinghamshire</t>
  </si>
  <si>
    <t>GB-BUR</t>
  </si>
  <si>
    <t xml:space="preserve">     Bury</t>
  </si>
  <si>
    <t>GB-CLD</t>
  </si>
  <si>
    <t xml:space="preserve">     Calderdale</t>
  </si>
  <si>
    <t>GB-CAM</t>
  </si>
  <si>
    <t xml:space="preserve">     Cambridgeshire</t>
  </si>
  <si>
    <t>GB-CMD</t>
  </si>
  <si>
    <t xml:space="preserve">     Camden</t>
  </si>
  <si>
    <t>GB-CBF</t>
  </si>
  <si>
    <t xml:space="preserve">     Central Bedfordshire</t>
  </si>
  <si>
    <t>GB-CHE</t>
  </si>
  <si>
    <t xml:space="preserve">     Cheshire East</t>
  </si>
  <si>
    <t>GB-CHW</t>
  </si>
  <si>
    <t xml:space="preserve">     Cheshire West and Chester</t>
  </si>
  <si>
    <t>GB-CON</t>
  </si>
  <si>
    <t xml:space="preserve">     Cornwall</t>
  </si>
  <si>
    <t>GB-COV</t>
  </si>
  <si>
    <t xml:space="preserve">     Coventry</t>
  </si>
  <si>
    <t>GB-CRY</t>
  </si>
  <si>
    <t xml:space="preserve">     Croydon</t>
  </si>
  <si>
    <t>GB-CMA</t>
  </si>
  <si>
    <t xml:space="preserve">     Cumbria</t>
  </si>
  <si>
    <t>GB-DAL</t>
  </si>
  <si>
    <t xml:space="preserve">     Darlington</t>
  </si>
  <si>
    <t>GB-DER</t>
  </si>
  <si>
    <t xml:space="preserve">     Derby</t>
  </si>
  <si>
    <t>GB-DBY</t>
  </si>
  <si>
    <t xml:space="preserve">     Derbyshire</t>
  </si>
  <si>
    <t>GB-DEV</t>
  </si>
  <si>
    <t xml:space="preserve">     Devon</t>
  </si>
  <si>
    <t>GB-DNC</t>
  </si>
  <si>
    <t xml:space="preserve">     Doncaster</t>
  </si>
  <si>
    <t>GB-DOR</t>
  </si>
  <si>
    <t xml:space="preserve">     Dorset</t>
  </si>
  <si>
    <t>GB-DUD</t>
  </si>
  <si>
    <t xml:space="preserve">     Dudley</t>
  </si>
  <si>
    <t>GB-DUR</t>
  </si>
  <si>
    <t xml:space="preserve">     Durham</t>
  </si>
  <si>
    <t>GB-EAL</t>
  </si>
  <si>
    <t xml:space="preserve">     Ealing</t>
  </si>
  <si>
    <t>GB-ERY</t>
  </si>
  <si>
    <t xml:space="preserve">     East Riding of Yorkshire</t>
  </si>
  <si>
    <t>GB-ESX</t>
  </si>
  <si>
    <t xml:space="preserve">     East Sussex</t>
  </si>
  <si>
    <t>GB-ENF</t>
  </si>
  <si>
    <t xml:space="preserve">     Enfield</t>
  </si>
  <si>
    <t>GB-ESS</t>
  </si>
  <si>
    <t xml:space="preserve">     Essex</t>
  </si>
  <si>
    <t>GB-GAT</t>
  </si>
  <si>
    <t xml:space="preserve">     Gateshead</t>
  </si>
  <si>
    <t>GB-GLS</t>
  </si>
  <si>
    <t xml:space="preserve">     Gloucestershire</t>
  </si>
  <si>
    <t>GB-GRE</t>
  </si>
  <si>
    <t xml:space="preserve">     Greenwich</t>
  </si>
  <si>
    <t>GB-HCK</t>
  </si>
  <si>
    <t xml:space="preserve">     Hackney</t>
  </si>
  <si>
    <t>GB-HAL</t>
  </si>
  <si>
    <t xml:space="preserve">     Halton</t>
  </si>
  <si>
    <t>GB-HMF</t>
  </si>
  <si>
    <t xml:space="preserve">     Hammersmith and Fulham</t>
  </si>
  <si>
    <t>GB-HAM</t>
  </si>
  <si>
    <t xml:space="preserve">     Hampshire</t>
  </si>
  <si>
    <t>GB-HRY</t>
  </si>
  <si>
    <t xml:space="preserve">     Haringey</t>
  </si>
  <si>
    <t>GB-HRW</t>
  </si>
  <si>
    <t xml:space="preserve">     Harrow</t>
  </si>
  <si>
    <t>GB-HPL</t>
  </si>
  <si>
    <t xml:space="preserve">     Hartlepool</t>
  </si>
  <si>
    <t>GB-HAV</t>
  </si>
  <si>
    <t xml:space="preserve">     Havering</t>
  </si>
  <si>
    <t>GB-HEF</t>
  </si>
  <si>
    <t xml:space="preserve">     Herefordshire</t>
  </si>
  <si>
    <t>GB-HRT</t>
  </si>
  <si>
    <t xml:space="preserve">     Hertfordshire</t>
  </si>
  <si>
    <t>GB-HIL</t>
  </si>
  <si>
    <t xml:space="preserve">     Hillingdon</t>
  </si>
  <si>
    <t>GB-HNS</t>
  </si>
  <si>
    <t xml:space="preserve">     Hounslow</t>
  </si>
  <si>
    <t>GB-IOW</t>
  </si>
  <si>
    <t xml:space="preserve">     Isle of Wight</t>
  </si>
  <si>
    <t>GB-IOS</t>
  </si>
  <si>
    <t xml:space="preserve">     Isles of Scilly</t>
  </si>
  <si>
    <t>GB-ISL</t>
  </si>
  <si>
    <t xml:space="preserve">     Islington</t>
  </si>
  <si>
    <t>GB-KEC</t>
  </si>
  <si>
    <t xml:space="preserve">     Kensington and Chelsea</t>
  </si>
  <si>
    <t>GB-KEN</t>
  </si>
  <si>
    <t xml:space="preserve">     Kent</t>
  </si>
  <si>
    <t>GB-KHL</t>
  </si>
  <si>
    <t xml:space="preserve">     Kingston upon Hull, City of</t>
  </si>
  <si>
    <t>GB-KTT</t>
  </si>
  <si>
    <t xml:space="preserve">     Kingston upon Thames</t>
  </si>
  <si>
    <t>GB-KIR</t>
  </si>
  <si>
    <t xml:space="preserve">     Kirklees</t>
  </si>
  <si>
    <t>GB-KWL</t>
  </si>
  <si>
    <t xml:space="preserve">     Knowsley</t>
  </si>
  <si>
    <t>GB-LBH</t>
  </si>
  <si>
    <t xml:space="preserve">     Lambeth</t>
  </si>
  <si>
    <t>GB-LAN</t>
  </si>
  <si>
    <t xml:space="preserve">     Lancashire</t>
  </si>
  <si>
    <t>GB-LDS</t>
  </si>
  <si>
    <t xml:space="preserve">     Leeds</t>
  </si>
  <si>
    <t>GB-LCE</t>
  </si>
  <si>
    <t xml:space="preserve">     Leicester</t>
  </si>
  <si>
    <t>GB-LEC</t>
  </si>
  <si>
    <t xml:space="preserve">     Leicestershire</t>
  </si>
  <si>
    <t>GB-LEW</t>
  </si>
  <si>
    <t xml:space="preserve">     Lewisham</t>
  </si>
  <si>
    <t>GB-LIN</t>
  </si>
  <si>
    <t xml:space="preserve">     Lincolnshire</t>
  </si>
  <si>
    <t>GB-LIV</t>
  </si>
  <si>
    <t xml:space="preserve">     Liverpool</t>
  </si>
  <si>
    <t>GB-LND</t>
  </si>
  <si>
    <t xml:space="preserve">     London, City of</t>
  </si>
  <si>
    <t>city corporation</t>
  </si>
  <si>
    <t>GB-LUT</t>
  </si>
  <si>
    <t xml:space="preserve">     Luton</t>
  </si>
  <si>
    <t>GB-MAN</t>
  </si>
  <si>
    <t xml:space="preserve">     Manchester</t>
  </si>
  <si>
    <t>GB-MDW</t>
  </si>
  <si>
    <t xml:space="preserve">     Medway</t>
  </si>
  <si>
    <t>GB-MRT</t>
  </si>
  <si>
    <t xml:space="preserve">     Merton</t>
  </si>
  <si>
    <t>GB-MDB</t>
  </si>
  <si>
    <t xml:space="preserve">     Middlesbrough</t>
  </si>
  <si>
    <t>GB-MIK</t>
  </si>
  <si>
    <t xml:space="preserve">     Milton Keynes</t>
  </si>
  <si>
    <t>GB-NET</t>
  </si>
  <si>
    <t xml:space="preserve">     Newcastle upon Tyne</t>
  </si>
  <si>
    <t>GB-NWM</t>
  </si>
  <si>
    <t xml:space="preserve">     Newham</t>
  </si>
  <si>
    <t>GB-NFK</t>
  </si>
  <si>
    <t xml:space="preserve">     Norfolk</t>
  </si>
  <si>
    <t>GB-NTH</t>
  </si>
  <si>
    <t xml:space="preserve">     Northamptonshire</t>
  </si>
  <si>
    <t>GB-NEL</t>
  </si>
  <si>
    <t xml:space="preserve">     North East Lincolnshire</t>
  </si>
  <si>
    <t>GB-NLN</t>
  </si>
  <si>
    <t xml:space="preserve">     North Lincolnshire</t>
  </si>
  <si>
    <t>GB-NSM</t>
  </si>
  <si>
    <t xml:space="preserve">     North Somerset</t>
  </si>
  <si>
    <t>GB-NTY</t>
  </si>
  <si>
    <t xml:space="preserve">     North Tyneside</t>
  </si>
  <si>
    <t>GB-NBL</t>
  </si>
  <si>
    <t xml:space="preserve">     Northumberland</t>
  </si>
  <si>
    <t>GB-NYK</t>
  </si>
  <si>
    <t xml:space="preserve">     North Yorkshire</t>
  </si>
  <si>
    <t>GB-NGM</t>
  </si>
  <si>
    <t xml:space="preserve">     Nottingham</t>
  </si>
  <si>
    <t>GB-NTT</t>
  </si>
  <si>
    <t xml:space="preserve">     Nottinghamshire</t>
  </si>
  <si>
    <t>GB-OLD</t>
  </si>
  <si>
    <t xml:space="preserve">     Oldham</t>
  </si>
  <si>
    <t>GB-OXF</t>
  </si>
  <si>
    <t xml:space="preserve">     Oxfordshire</t>
  </si>
  <si>
    <t>GB-PTE</t>
  </si>
  <si>
    <t xml:space="preserve">     Peterborough</t>
  </si>
  <si>
    <t>GB-PLY</t>
  </si>
  <si>
    <t xml:space="preserve">     Plymouth</t>
  </si>
  <si>
    <t>GB-POL</t>
  </si>
  <si>
    <t xml:space="preserve">     Poole</t>
  </si>
  <si>
    <t>GB-POR</t>
  </si>
  <si>
    <t xml:space="preserve">     Portsmouth</t>
  </si>
  <si>
    <t>GB-RDG</t>
  </si>
  <si>
    <t xml:space="preserve">     Reading</t>
  </si>
  <si>
    <t>GB-RDB</t>
  </si>
  <si>
    <t xml:space="preserve">     Redbridge</t>
  </si>
  <si>
    <t>GB-RCC</t>
  </si>
  <si>
    <t xml:space="preserve">     Redcar and Cleveland</t>
  </si>
  <si>
    <t>GB-RIC</t>
  </si>
  <si>
    <t xml:space="preserve">     Richmond upon Thames</t>
  </si>
  <si>
    <t>GB-RCH</t>
  </si>
  <si>
    <t xml:space="preserve">     Rochdale</t>
  </si>
  <si>
    <t>GB-ROT</t>
  </si>
  <si>
    <t xml:space="preserve">     Rotherham</t>
  </si>
  <si>
    <t>GB-RUT</t>
  </si>
  <si>
    <t xml:space="preserve">     Rutland</t>
  </si>
  <si>
    <t>GB-SLF</t>
  </si>
  <si>
    <t xml:space="preserve">     Salford</t>
  </si>
  <si>
    <t>GB-SAW</t>
  </si>
  <si>
    <t xml:space="preserve">     Sandwell</t>
  </si>
  <si>
    <t>GB-SFT</t>
  </si>
  <si>
    <t xml:space="preserve">     Sefton</t>
  </si>
  <si>
    <t>GB-SHF</t>
  </si>
  <si>
    <t xml:space="preserve">     Sheffield</t>
  </si>
  <si>
    <t>GB-SHR</t>
  </si>
  <si>
    <t xml:space="preserve">     Shropshire</t>
  </si>
  <si>
    <t>GB-SLG</t>
  </si>
  <si>
    <t xml:space="preserve">     Slough</t>
  </si>
  <si>
    <t>GB-SOL</t>
  </si>
  <si>
    <t xml:space="preserve">     Solihull</t>
  </si>
  <si>
    <t>GB-SOM</t>
  </si>
  <si>
    <t xml:space="preserve">     Somerset</t>
  </si>
  <si>
    <t>GB-STH</t>
  </si>
  <si>
    <t xml:space="preserve">     Southampton</t>
  </si>
  <si>
    <t>GB-SOS</t>
  </si>
  <si>
    <t xml:space="preserve">     Southend-on-Sea</t>
  </si>
  <si>
    <t>GB-SGC</t>
  </si>
  <si>
    <t xml:space="preserve">     South Gloucestershire</t>
  </si>
  <si>
    <t>GB-STY</t>
  </si>
  <si>
    <t xml:space="preserve">     South Tyneside</t>
  </si>
  <si>
    <t>GB-SWK</t>
  </si>
  <si>
    <t xml:space="preserve">     Southwark</t>
  </si>
  <si>
    <t>GB-STS</t>
  </si>
  <si>
    <t xml:space="preserve">     Staffordshire</t>
  </si>
  <si>
    <t>GB-SHN</t>
  </si>
  <si>
    <t xml:space="preserve">     St. Helens</t>
  </si>
  <si>
    <t>GB-SKP</t>
  </si>
  <si>
    <t xml:space="preserve">     Stockport</t>
  </si>
  <si>
    <t>GB-STT</t>
  </si>
  <si>
    <t xml:space="preserve">     Stockton-on-Tees</t>
  </si>
  <si>
    <t>GB-STE</t>
  </si>
  <si>
    <t xml:space="preserve">     Stoke-on-Trent</t>
  </si>
  <si>
    <t>GB-SFK</t>
  </si>
  <si>
    <t xml:space="preserve">     Suffolk</t>
  </si>
  <si>
    <t>GB-SND</t>
  </si>
  <si>
    <t xml:space="preserve">     Sunderland</t>
  </si>
  <si>
    <t>GB-SRY</t>
  </si>
  <si>
    <t xml:space="preserve">     Surrey</t>
  </si>
  <si>
    <t>GB-STN</t>
  </si>
  <si>
    <t xml:space="preserve">     Sutton</t>
  </si>
  <si>
    <t>GB-SWD</t>
  </si>
  <si>
    <t xml:space="preserve">     Swindon</t>
  </si>
  <si>
    <t>GB-TAM</t>
  </si>
  <si>
    <t xml:space="preserve">     Tameside</t>
  </si>
  <si>
    <t>GB-TFW</t>
  </si>
  <si>
    <t xml:space="preserve">     Telford and Wrekin</t>
  </si>
  <si>
    <t>GB-THR</t>
  </si>
  <si>
    <t xml:space="preserve">     Thurrock</t>
  </si>
  <si>
    <t>GB-TOB</t>
  </si>
  <si>
    <t xml:space="preserve">     Torbay</t>
  </si>
  <si>
    <t>GB-TWH</t>
  </si>
  <si>
    <t xml:space="preserve">     Tower Hamlets</t>
  </si>
  <si>
    <t>GB-TRF</t>
  </si>
  <si>
    <t xml:space="preserve">     Trafford</t>
  </si>
  <si>
    <t>GB-WKF</t>
  </si>
  <si>
    <t xml:space="preserve">     Wakefield</t>
  </si>
  <si>
    <t>GB-WLL</t>
  </si>
  <si>
    <t xml:space="preserve">     Walsall</t>
  </si>
  <si>
    <t>GB-WFT</t>
  </si>
  <si>
    <t xml:space="preserve">     Waltham Forest</t>
  </si>
  <si>
    <t>GB-WND</t>
  </si>
  <si>
    <t xml:space="preserve">     Wandsworth</t>
  </si>
  <si>
    <t>GB-WRT</t>
  </si>
  <si>
    <t xml:space="preserve">     Warrington</t>
  </si>
  <si>
    <t>GB-WAR</t>
  </si>
  <si>
    <t xml:space="preserve">     Warwickshire</t>
  </si>
  <si>
    <t>GB-WBK</t>
  </si>
  <si>
    <t xml:space="preserve">     West Berkshire</t>
  </si>
  <si>
    <t>GB-WSM</t>
  </si>
  <si>
    <t xml:space="preserve">     Westminster</t>
  </si>
  <si>
    <t>GB-WSX</t>
  </si>
  <si>
    <t xml:space="preserve">     West Sussex</t>
  </si>
  <si>
    <t>GB-WGN</t>
  </si>
  <si>
    <t xml:space="preserve">     Wigan</t>
  </si>
  <si>
    <t>GB-WIL</t>
  </si>
  <si>
    <t xml:space="preserve">     Wiltshire</t>
  </si>
  <si>
    <t>GB-WNM</t>
  </si>
  <si>
    <t xml:space="preserve">     Windsor and Maidenhead</t>
  </si>
  <si>
    <t>GB-WRL</t>
  </si>
  <si>
    <t xml:space="preserve">     Wirral</t>
  </si>
  <si>
    <t>GB-WOK</t>
  </si>
  <si>
    <t xml:space="preserve">     Wokingham</t>
  </si>
  <si>
    <t>GB-WLV</t>
  </si>
  <si>
    <t xml:space="preserve">     Wolverhampton</t>
  </si>
  <si>
    <t>GB-WOR</t>
  </si>
  <si>
    <t xml:space="preserve">     Worcestershire</t>
  </si>
  <si>
    <t>GB-YOR</t>
  </si>
  <si>
    <t xml:space="preserve">     York</t>
  </si>
  <si>
    <t>GB-NIR</t>
  </si>
  <si>
    <t>Northern Ireland</t>
  </si>
  <si>
    <t>GB-ANN</t>
  </si>
  <si>
    <t xml:space="preserve">     Antrim and Newtownabbey</t>
  </si>
  <si>
    <t>GB-AND</t>
  </si>
  <si>
    <t xml:space="preserve">     Ards and North Down</t>
  </si>
  <si>
    <t>GB-ABC</t>
  </si>
  <si>
    <t xml:space="preserve">     Armagh City, Banbridge and Craigavon</t>
  </si>
  <si>
    <t>GB-BFS</t>
  </si>
  <si>
    <t xml:space="preserve">     Belfast</t>
  </si>
  <si>
    <t>GB-CCG</t>
  </si>
  <si>
    <t xml:space="preserve">     Causeway Coast and Glens</t>
  </si>
  <si>
    <t>GB-DRS</t>
  </si>
  <si>
    <t xml:space="preserve">     Derry City and Strabane</t>
  </si>
  <si>
    <t>GB-FMO</t>
  </si>
  <si>
    <t xml:space="preserve">     Fermanagh and Omagh</t>
  </si>
  <si>
    <t>GB-LBC</t>
  </si>
  <si>
    <t xml:space="preserve">     Lisburn and Castlereagh</t>
  </si>
  <si>
    <t>GB-MEA</t>
  </si>
  <si>
    <t xml:space="preserve">     Mid and East Antrim</t>
  </si>
  <si>
    <t>GB-MUL</t>
  </si>
  <si>
    <t xml:space="preserve">     Mid Ulster</t>
  </si>
  <si>
    <t>GB-NMD</t>
  </si>
  <si>
    <t xml:space="preserve">     Newry, Mourne and Down</t>
  </si>
  <si>
    <t>GB-SCT</t>
  </si>
  <si>
    <t>Scotland</t>
  </si>
  <si>
    <t>GB-ABE</t>
  </si>
  <si>
    <t xml:space="preserve">     Aberdeen City</t>
  </si>
  <si>
    <t>council area</t>
  </si>
  <si>
    <t>GB-ABD</t>
  </si>
  <si>
    <t xml:space="preserve">     Aberdeenshire</t>
  </si>
  <si>
    <t>GB-ANS</t>
  </si>
  <si>
    <t xml:space="preserve">     Angus</t>
  </si>
  <si>
    <t>GB-AGB</t>
  </si>
  <si>
    <t xml:space="preserve">     Argyll and Bute</t>
  </si>
  <si>
    <t>GB-CLK</t>
  </si>
  <si>
    <t xml:space="preserve">     Clackmannanshire</t>
  </si>
  <si>
    <t>GB-DGY</t>
  </si>
  <si>
    <t xml:space="preserve">     Dumfries and Galloway</t>
  </si>
  <si>
    <t>GB-DND</t>
  </si>
  <si>
    <t xml:space="preserve">     Dundee City</t>
  </si>
  <si>
    <t>GB-EAY</t>
  </si>
  <si>
    <t xml:space="preserve">     East Ayrshire</t>
  </si>
  <si>
    <t>GB-EDU</t>
  </si>
  <si>
    <t xml:space="preserve">     East Dunbartonshire</t>
  </si>
  <si>
    <t>GB-ELN</t>
  </si>
  <si>
    <t xml:space="preserve">     East Lothian</t>
  </si>
  <si>
    <t>GB-ERW</t>
  </si>
  <si>
    <t xml:space="preserve">     East Renfrewshire</t>
  </si>
  <si>
    <t>GB-EDH</t>
  </si>
  <si>
    <t xml:space="preserve">     Edinburgh, City of</t>
  </si>
  <si>
    <t>GB-ELS</t>
  </si>
  <si>
    <t xml:space="preserve">     Eilean Siar</t>
  </si>
  <si>
    <t>GB-FAL</t>
  </si>
  <si>
    <t xml:space="preserve">     Falkirk</t>
  </si>
  <si>
    <t>GB-FIF</t>
  </si>
  <si>
    <t xml:space="preserve">     Fife</t>
  </si>
  <si>
    <t>GB-GLG</t>
  </si>
  <si>
    <t xml:space="preserve">     Glasgow City</t>
  </si>
  <si>
    <t>GB-HLD</t>
  </si>
  <si>
    <t xml:space="preserve">     Highland</t>
  </si>
  <si>
    <t>GB-IVC</t>
  </si>
  <si>
    <t xml:space="preserve">     Inverclyde</t>
  </si>
  <si>
    <t>GB-MLN</t>
  </si>
  <si>
    <t xml:space="preserve">     Midlothian</t>
  </si>
  <si>
    <t>GB-MRY</t>
  </si>
  <si>
    <t xml:space="preserve">     Moray</t>
  </si>
  <si>
    <t>GB-NAY</t>
  </si>
  <si>
    <t xml:space="preserve">     North Ayrshire</t>
  </si>
  <si>
    <t>GB-NLK</t>
  </si>
  <si>
    <t xml:space="preserve">     North Lanarkshire</t>
  </si>
  <si>
    <t>GB-ORK</t>
  </si>
  <si>
    <t xml:space="preserve">     Orkney Islands</t>
  </si>
  <si>
    <t>GB-PKN</t>
  </si>
  <si>
    <t xml:space="preserve">     Perth and Kinross</t>
  </si>
  <si>
    <t>GB-RFW</t>
  </si>
  <si>
    <t xml:space="preserve">     Renfrewshire</t>
  </si>
  <si>
    <t>GB-SCB</t>
  </si>
  <si>
    <t xml:space="preserve">     Scottish Borders, The</t>
  </si>
  <si>
    <t>GB-ZET</t>
  </si>
  <si>
    <t xml:space="preserve">     Shetland Islands</t>
  </si>
  <si>
    <t>GB-SAY</t>
  </si>
  <si>
    <t xml:space="preserve">     South Ayrshire</t>
  </si>
  <si>
    <t>GB-SLK</t>
  </si>
  <si>
    <t xml:space="preserve">     South Lanarkshire</t>
  </si>
  <si>
    <t>GB-STG</t>
  </si>
  <si>
    <t xml:space="preserve">     Stirling</t>
  </si>
  <si>
    <t>GB-WDU</t>
  </si>
  <si>
    <t xml:space="preserve">     West Dunbartonshire</t>
  </si>
  <si>
    <t>GB-WLN</t>
  </si>
  <si>
    <t xml:space="preserve">     West Lothian</t>
  </si>
  <si>
    <t>GB-WLS</t>
  </si>
  <si>
    <t>Wales</t>
  </si>
  <si>
    <t>GB-BGW</t>
  </si>
  <si>
    <t xml:space="preserve">     Blaenau Gwent</t>
  </si>
  <si>
    <t>GB-BGE</t>
  </si>
  <si>
    <t xml:space="preserve">     Bridgend</t>
  </si>
  <si>
    <t>GB-CAY</t>
  </si>
  <si>
    <t xml:space="preserve">     Caerphilly</t>
  </si>
  <si>
    <t>GB-CRF</t>
  </si>
  <si>
    <t xml:space="preserve">     Cardiff</t>
  </si>
  <si>
    <t>GB-CMN</t>
  </si>
  <si>
    <t xml:space="preserve">     Carmarthenshire</t>
  </si>
  <si>
    <t>GB-CGN</t>
  </si>
  <si>
    <t xml:space="preserve">     Ceredigion</t>
  </si>
  <si>
    <t>GB-CWY</t>
  </si>
  <si>
    <t xml:space="preserve">     Conwy</t>
  </si>
  <si>
    <t>GB-DEN</t>
  </si>
  <si>
    <t xml:space="preserve">     Denbighshire</t>
  </si>
  <si>
    <t>GB-FLN</t>
  </si>
  <si>
    <t xml:space="preserve">     Flintshire</t>
  </si>
  <si>
    <t>GB-GWN</t>
  </si>
  <si>
    <t xml:space="preserve">     Gwynedd</t>
  </si>
  <si>
    <t>GB-AGY</t>
  </si>
  <si>
    <t xml:space="preserve">     Isle of Anglesey</t>
  </si>
  <si>
    <t>GB-MTY</t>
  </si>
  <si>
    <t xml:space="preserve">     Merthyr Tydfil</t>
  </si>
  <si>
    <t>GB-MON</t>
  </si>
  <si>
    <t xml:space="preserve">     Monmouthshire</t>
  </si>
  <si>
    <t>GB-NTL</t>
  </si>
  <si>
    <t xml:space="preserve">     Neath Port Talbot</t>
  </si>
  <si>
    <t>GB-NWP</t>
  </si>
  <si>
    <t xml:space="preserve">     Newport</t>
  </si>
  <si>
    <t>GB-PEM</t>
  </si>
  <si>
    <t xml:space="preserve">     Pembrokeshire</t>
  </si>
  <si>
    <t>GB-POW</t>
  </si>
  <si>
    <t xml:space="preserve">     Powys</t>
  </si>
  <si>
    <t>GB-RCT</t>
  </si>
  <si>
    <t xml:space="preserve">     Rhondda Cynon Taff</t>
  </si>
  <si>
    <t>GB-SWA</t>
  </si>
  <si>
    <t xml:space="preserve">     Swansea</t>
  </si>
  <si>
    <t>GB-TOF</t>
  </si>
  <si>
    <t xml:space="preserve">     Torfaen</t>
  </si>
  <si>
    <t>GB-VGL</t>
  </si>
  <si>
    <t xml:space="preserve">     Vale of Glamorgan, The</t>
  </si>
  <si>
    <t>GB-WRX</t>
  </si>
  <si>
    <t xml:space="preserve">     Wrexham</t>
  </si>
  <si>
    <t>US-AL</t>
  </si>
  <si>
    <t>Alabama</t>
  </si>
  <si>
    <t>US-AK</t>
  </si>
  <si>
    <t>Alaska</t>
  </si>
  <si>
    <t>US-AZ</t>
  </si>
  <si>
    <t>Arizona</t>
  </si>
  <si>
    <t>US-AR</t>
  </si>
  <si>
    <t>Arkansas</t>
  </si>
  <si>
    <t>US-CA</t>
  </si>
  <si>
    <t>California</t>
  </si>
  <si>
    <t>US-CO</t>
  </si>
  <si>
    <t>Colorado</t>
  </si>
  <si>
    <t>US-CT</t>
  </si>
  <si>
    <t>Connecticut</t>
  </si>
  <si>
    <t>US-DE</t>
  </si>
  <si>
    <t>Delaware</t>
  </si>
  <si>
    <t>US-DC</t>
  </si>
  <si>
    <t>District of Columbia</t>
  </si>
  <si>
    <t>US-FL</t>
  </si>
  <si>
    <t>Florida</t>
  </si>
  <si>
    <t>US-GA</t>
  </si>
  <si>
    <t>US-HI</t>
  </si>
  <si>
    <t>Hawaii</t>
  </si>
  <si>
    <t>US-ID</t>
  </si>
  <si>
    <t>Idaho</t>
  </si>
  <si>
    <t>US-IL</t>
  </si>
  <si>
    <t>Illinois</t>
  </si>
  <si>
    <t>US-IN</t>
  </si>
  <si>
    <t>Indiana</t>
  </si>
  <si>
    <t>US-IA</t>
  </si>
  <si>
    <t>Iowa</t>
  </si>
  <si>
    <t>US-KS</t>
  </si>
  <si>
    <t>Kansas</t>
  </si>
  <si>
    <t>US-KY</t>
  </si>
  <si>
    <t>Kentucky</t>
  </si>
  <si>
    <t>US-LA</t>
  </si>
  <si>
    <t>Louisiana</t>
  </si>
  <si>
    <t>US-ME</t>
  </si>
  <si>
    <t>Maine</t>
  </si>
  <si>
    <t>US-MD</t>
  </si>
  <si>
    <t>US-MA</t>
  </si>
  <si>
    <t>Massachusetts</t>
  </si>
  <si>
    <t>US-MI</t>
  </si>
  <si>
    <t>Michigan</t>
  </si>
  <si>
    <t>US-MN</t>
  </si>
  <si>
    <t>Minnesota</t>
  </si>
  <si>
    <t>US-MS</t>
  </si>
  <si>
    <t>Mississippi</t>
  </si>
  <si>
    <t>US-MO</t>
  </si>
  <si>
    <t>Missouri</t>
  </si>
  <si>
    <t>US-MT</t>
  </si>
  <si>
    <t>US-NE</t>
  </si>
  <si>
    <t>Nebraska</t>
  </si>
  <si>
    <t>US-NV</t>
  </si>
  <si>
    <t>Nevada</t>
  </si>
  <si>
    <t>US-NH</t>
  </si>
  <si>
    <t>New Hampshire</t>
  </si>
  <si>
    <t>US-NJ</t>
  </si>
  <si>
    <t>New Jersey</t>
  </si>
  <si>
    <t>US-NM</t>
  </si>
  <si>
    <t>New Mexico</t>
  </si>
  <si>
    <t>US-NY</t>
  </si>
  <si>
    <t>New York</t>
  </si>
  <si>
    <t>US-NC</t>
  </si>
  <si>
    <t>North Carolina</t>
  </si>
  <si>
    <t>US-ND</t>
  </si>
  <si>
    <t>North Dakota</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</si>
  <si>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</si>
  <si>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</si>
  <si>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</si>
  <si>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</si>
  <si>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</si>
  <si>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</si>
  <si>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</si>
  <si>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</si>
  <si>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</si>
  <si>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</si>
  <si>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</si>
  <si>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</si>
  <si>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</si>
  <si>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</si>
  <si>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</si>
  <si>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</si>
  <si>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</si>
  <si>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</si>
  <si>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</si>
  <si>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</si>
  <si>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US-VT</t>
  </si>
  <si>
    <t>Vermont</t>
  </si>
  <si>
    <t>US-VA</t>
  </si>
  <si>
    <t>Virginia</t>
  </si>
  <si>
    <t>US-WA</t>
  </si>
  <si>
    <t>Washington</t>
  </si>
  <si>
    <t>US-WV</t>
  </si>
  <si>
    <t>West Virginia</t>
  </si>
  <si>
    <t>US-WI</t>
  </si>
  <si>
    <t>Wisconsin</t>
  </si>
  <si>
    <t>US-WY</t>
  </si>
  <si>
    <t>Wyoming</t>
  </si>
  <si>
    <t>UY-AR</t>
  </si>
  <si>
    <t>Artigas</t>
  </si>
  <si>
    <t>UY-CA</t>
  </si>
  <si>
    <t>Canelones</t>
  </si>
  <si>
    <t>UY-CL</t>
  </si>
  <si>
    <t>Cerro Largo</t>
  </si>
  <si>
    <t>UY-CO</t>
  </si>
  <si>
    <t>Colonia</t>
  </si>
  <si>
    <t>UY-DU</t>
  </si>
  <si>
    <t>Durazno</t>
  </si>
  <si>
    <t>UY-FS</t>
  </si>
  <si>
    <t>Flores</t>
  </si>
  <si>
    <t>UY-FD</t>
  </si>
  <si>
    <t>UY-LA</t>
  </si>
  <si>
    <t>Lavalleja</t>
  </si>
  <si>
    <t>UY-MA</t>
  </si>
  <si>
    <t>Maldonado</t>
  </si>
  <si>
    <t>UY-MO</t>
  </si>
  <si>
    <t>Montevideo</t>
  </si>
  <si>
    <t>UY-PA</t>
  </si>
  <si>
    <t>Paysandú</t>
  </si>
  <si>
    <t>UY-RN</t>
  </si>
  <si>
    <t>UY-RV</t>
  </si>
  <si>
    <t>Rivera</t>
  </si>
  <si>
    <t>UY-RO</t>
  </si>
  <si>
    <t>Rocha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</si>
  <si>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</si>
  <si>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</si>
  <si>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</si>
  <si>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</si>
  <si>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</si>
  <si>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</si>
  <si>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</si>
  <si>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</si>
  <si>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</si>
  <si>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</si>
  <si>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</si>
  <si>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</si>
  <si>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</si>
  <si>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</si>
  <si>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</si>
  <si>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</si>
  <si>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</si>
  <si>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</si>
  <si>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</si>
  <si>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</si>
  <si>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</si>
  <si>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</si>
  <si>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</si>
  <si>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UZ-QR</t>
  </si>
  <si>
    <t>Qoraqalpog‘iston</t>
  </si>
  <si>
    <t>UZ-SA</t>
  </si>
  <si>
    <t>Samarqand</t>
  </si>
  <si>
    <t>UZ-SI</t>
  </si>
  <si>
    <t>Sirdaryo</t>
  </si>
  <si>
    <t>UZ-SU</t>
  </si>
  <si>
    <t>Surxondaryo</t>
  </si>
  <si>
    <t>UZ-TK</t>
  </si>
  <si>
    <t>Toshkent</t>
  </si>
  <si>
    <t>UZ-TO</t>
  </si>
  <si>
    <t>UZ-XO</t>
  </si>
  <si>
    <t>Xorazm</t>
  </si>
  <si>
    <t>VU-MAP</t>
  </si>
  <si>
    <t>Malampa</t>
  </si>
  <si>
    <t>VU-PAM</t>
  </si>
  <si>
    <t>Penama</t>
  </si>
  <si>
    <t>VU-SAM</t>
  </si>
  <si>
    <t>Sanma</t>
  </si>
  <si>
    <t>VU-SEE</t>
  </si>
  <si>
    <t>Shefa</t>
  </si>
  <si>
    <t>VU-TAE</t>
  </si>
  <si>
    <t>Tafea</t>
  </si>
  <si>
    <t>VU-TOB</t>
  </si>
  <si>
    <t>Torba</t>
  </si>
  <si>
    <t>VE-Z</t>
  </si>
  <si>
    <t>VE-B</t>
  </si>
  <si>
    <t>Anzoátegui</t>
  </si>
  <si>
    <t>VE-C</t>
  </si>
  <si>
    <t>Apure</t>
  </si>
  <si>
    <t>VE-D</t>
  </si>
  <si>
    <t>Aragua</t>
  </si>
  <si>
    <t>VE-E</t>
  </si>
  <si>
    <t>Barinas</t>
  </si>
  <si>
    <t>VE-F</t>
  </si>
  <si>
    <t>VE-G</t>
  </si>
  <si>
    <t>Carabobo</t>
  </si>
  <si>
    <t>VE-H</t>
  </si>
  <si>
    <t>Cojedes</t>
  </si>
  <si>
    <t>VE-Y</t>
  </si>
  <si>
    <t>Delta Amacuro</t>
  </si>
  <si>
    <t>VE-W</t>
  </si>
  <si>
    <t>Dependencias Federales</t>
  </si>
  <si>
    <t>federal dependency</t>
  </si>
  <si>
    <t>VE-A</t>
  </si>
  <si>
    <t>Distrito Capital</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</si>
  <si>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</si>
  <si>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</si>
  <si>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</si>
  <si>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</si>
  <si>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</si>
  <si>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</si>
  <si>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</si>
  <si>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</si>
  <si>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</si>
  <si>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</si>
  <si>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</si>
  <si>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</si>
  <si>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</si>
  <si>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</si>
  <si>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</si>
  <si>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</si>
  <si>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</si>
  <si>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</si>
  <si>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</si>
  <si>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</si>
  <si>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</si>
  <si>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VE-X</t>
  </si>
  <si>
    <t>Vargas</t>
  </si>
  <si>
    <t>VE-U</t>
  </si>
  <si>
    <t>Yaracuy</t>
  </si>
  <si>
    <t>VE-V</t>
  </si>
  <si>
    <t>Zulia</t>
  </si>
  <si>
    <t>VN-44</t>
  </si>
  <si>
    <t>An Giang</t>
  </si>
  <si>
    <t>VN-54</t>
  </si>
  <si>
    <t>Bắc Giang</t>
  </si>
  <si>
    <t>VN-53</t>
  </si>
  <si>
    <t>Bắc Kạn</t>
  </si>
  <si>
    <t>VN-55</t>
  </si>
  <si>
    <t>Bạc Liêu</t>
  </si>
  <si>
    <t>VN-56</t>
  </si>
  <si>
    <t>Bắc Ninh</t>
  </si>
  <si>
    <t>VN-43</t>
  </si>
  <si>
    <t>Bà Rịa-Vũng Tàu</t>
  </si>
  <si>
    <t>VN-50</t>
  </si>
  <si>
    <t>Bến Tre</t>
  </si>
  <si>
    <t>VN-31</t>
  </si>
  <si>
    <t>Bình Định</t>
  </si>
  <si>
    <t>VN-57</t>
  </si>
  <si>
    <t>Bình Dương</t>
  </si>
  <si>
    <t>VN-58</t>
  </si>
  <si>
    <t>Bình Phước</t>
  </si>
  <si>
    <t>VN-40</t>
  </si>
  <si>
    <t>Bình Thuận</t>
  </si>
  <si>
    <t>VN-59</t>
  </si>
  <si>
    <t>Cà Mau</t>
  </si>
  <si>
    <t>VN-CT</t>
  </si>
  <si>
    <t>Cần Thơ</t>
  </si>
  <si>
    <t>VN-04</t>
  </si>
  <si>
    <t>Cao Bằng</t>
  </si>
  <si>
    <t>VN-33</t>
  </si>
  <si>
    <t>Đắk Lắk</t>
  </si>
  <si>
    <t>VN-72</t>
  </si>
  <si>
    <t>Đắk Nông</t>
  </si>
  <si>
    <t>VN-DN</t>
  </si>
  <si>
    <t>Đà Nẵng</t>
  </si>
  <si>
    <t>VN-71</t>
  </si>
  <si>
    <t>Điện Biên</t>
  </si>
  <si>
    <t>VN-39</t>
  </si>
  <si>
    <t>Đồng Nai</t>
  </si>
  <si>
    <t>VN-45</t>
  </si>
  <si>
    <t>Đồng Tháp</t>
  </si>
  <si>
    <t>VN-30</t>
  </si>
  <si>
    <t>Gia Lai</t>
  </si>
  <si>
    <t>VN-03</t>
  </si>
  <si>
    <t>Hà Giang</t>
  </si>
  <si>
    <t>VN-61</t>
  </si>
  <si>
    <t>Hải Dương</t>
  </si>
  <si>
    <t>VN-HP</t>
  </si>
  <si>
    <t>Hải Phòng</t>
  </si>
  <si>
    <t>VN-63</t>
  </si>
  <si>
    <t>Hà Nam</t>
  </si>
  <si>
    <t>VN-HN</t>
  </si>
  <si>
    <t>Hà Nội</t>
  </si>
  <si>
    <t>VN-23</t>
  </si>
  <si>
    <t>Hà Tĩnh</t>
  </si>
  <si>
    <t>VN-73</t>
  </si>
  <si>
    <t>Hậu Giang</t>
  </si>
  <si>
    <t>VN-14</t>
  </si>
  <si>
    <t>Hòa Bình</t>
  </si>
  <si>
    <t>VN-SG</t>
  </si>
  <si>
    <t>Hồ Chí Minh</t>
  </si>
  <si>
    <t>VN-66</t>
  </si>
  <si>
    <t>Hưng Yên</t>
  </si>
  <si>
    <t>VN-34</t>
  </si>
  <si>
    <t>Khánh Hòa</t>
  </si>
  <si>
    <t>VN-47</t>
  </si>
  <si>
    <t>Kiến Giang</t>
  </si>
  <si>
    <t>VN-28</t>
  </si>
  <si>
    <t>Kon Tum</t>
  </si>
  <si>
    <t>VN-01</t>
  </si>
  <si>
    <t>Lai Châu</t>
  </si>
  <si>
    <t>VN-35</t>
  </si>
  <si>
    <t>Lâm Đồng</t>
  </si>
  <si>
    <t>VN-09</t>
  </si>
  <si>
    <t>Lạng Sơn</t>
  </si>
  <si>
    <t>VN-02</t>
  </si>
  <si>
    <t>Lào Cai</t>
  </si>
  <si>
    <t>VN-41</t>
  </si>
  <si>
    <t>Long An</t>
  </si>
  <si>
    <t>VN-67</t>
  </si>
  <si>
    <t>Nam Định</t>
  </si>
  <si>
    <t>VN-22</t>
  </si>
  <si>
    <t>Nghệ An</t>
  </si>
  <si>
    <t>VN-18</t>
  </si>
  <si>
    <t>Ninh Bình</t>
  </si>
  <si>
    <t>VN-36</t>
  </si>
  <si>
    <t>Ninh Thuận</t>
  </si>
  <si>
    <t>VN-68</t>
  </si>
  <si>
    <t>Phú Thọ</t>
  </si>
  <si>
    <t>VN-32</t>
  </si>
  <si>
    <t>Phú Yên</t>
  </si>
  <si>
    <t>VN-24</t>
  </si>
  <si>
    <t>Quảng Bình</t>
  </si>
  <si>
    <t>VN-27</t>
  </si>
  <si>
    <t>Quảng Nam</t>
  </si>
  <si>
    <t>VN-29</t>
  </si>
  <si>
    <t>Quảng Ngãi</t>
  </si>
  <si>
    <t>VN-13</t>
  </si>
  <si>
    <t>Quảng Ninh</t>
  </si>
  <si>
    <t>VN-25</t>
  </si>
  <si>
    <t>Quảng Trị</t>
  </si>
  <si>
    <t>VN-52</t>
  </si>
  <si>
    <t>Sóc Trăng</t>
  </si>
  <si>
    <t>VN-05</t>
  </si>
  <si>
    <t>Sơn La</t>
  </si>
  <si>
    <t>VN-37</t>
  </si>
  <si>
    <t>Tây Ninh</t>
  </si>
  <si>
    <t>VN-20</t>
  </si>
  <si>
    <t>Thái Bình</t>
  </si>
  <si>
    <t>VN-69</t>
  </si>
  <si>
    <t>Thái Nguyên</t>
  </si>
  <si>
    <t>VN-21</t>
  </si>
  <si>
    <t>Thanh Hóa</t>
  </si>
  <si>
    <t>VN-26</t>
  </si>
  <si>
    <t>Thừa Thiên-Huế</t>
  </si>
  <si>
    <t>VN-46</t>
  </si>
  <si>
    <t>Tiền Giang</t>
  </si>
  <si>
    <t>VN-51</t>
  </si>
  <si>
    <t>Trà Vinh</t>
  </si>
  <si>
    <t>VN-07</t>
  </si>
  <si>
    <t>Tuyên Quang</t>
  </si>
  <si>
    <t>VN-49</t>
  </si>
  <si>
    <t>Vĩnh Long</t>
  </si>
  <si>
    <t>VN-70</t>
  </si>
  <si>
    <t>Vĩnh Phúc</t>
  </si>
  <si>
    <t>VN-06</t>
  </si>
  <si>
    <t>Yên Bái</t>
  </si>
  <si>
    <t>WF-AL</t>
  </si>
  <si>
    <t>Alo</t>
  </si>
  <si>
    <t>administrative precinct</t>
  </si>
  <si>
    <t>WF-SG</t>
  </si>
  <si>
    <t>Sigave</t>
  </si>
  <si>
    <t>WF-UV</t>
  </si>
  <si>
    <t>Uvea</t>
  </si>
  <si>
    <t>YE-AB</t>
  </si>
  <si>
    <t>Abyan</t>
  </si>
  <si>
    <t>YE-AD</t>
  </si>
  <si>
    <t>‘Adan</t>
  </si>
  <si>
    <t>YE-DA</t>
  </si>
  <si>
    <t>Aḑ Ḑāli‘</t>
  </si>
  <si>
    <t>YE-BA</t>
  </si>
  <si>
    <t>Al Bayḑā’</t>
  </si>
  <si>
    <t>YE-HU</t>
  </si>
  <si>
    <t>Al Ḩudaydah</t>
  </si>
  <si>
    <t>YE-JA</t>
  </si>
  <si>
    <t>YE-MR</t>
  </si>
  <si>
    <t>Al Mahrah</t>
  </si>
  <si>
    <t>YE-MW</t>
  </si>
  <si>
    <t>Al Maḩwīt</t>
  </si>
  <si>
    <t>YE-SA</t>
  </si>
  <si>
    <t>Amānat al ‘Āşimah</t>
  </si>
  <si>
    <t>YE-AM</t>
  </si>
  <si>
    <t>‘Amrān</t>
  </si>
  <si>
    <t>YE-SU</t>
  </si>
  <si>
    <t>Arkhabīl Suquţrá</t>
  </si>
  <si>
    <t>YE-DH</t>
  </si>
  <si>
    <t>Dhamār</t>
  </si>
  <si>
    <t>YE-HD</t>
  </si>
  <si>
    <t>Ḩaḑramawt</t>
  </si>
  <si>
    <t>YE-HJ</t>
  </si>
  <si>
    <t>Ḩajjah</t>
  </si>
  <si>
    <t>YE-IB</t>
  </si>
  <si>
    <t>Ibb</t>
  </si>
  <si>
    <t>YE-LA</t>
  </si>
  <si>
    <t>Laḩij</t>
  </si>
  <si>
    <t>YE-MA</t>
  </si>
  <si>
    <t>Ma’rib</t>
  </si>
  <si>
    <t>YE-RA</t>
  </si>
  <si>
    <t>Raymah</t>
  </si>
  <si>
    <t>YE-SD</t>
  </si>
  <si>
    <t>Şa‘dah</t>
  </si>
  <si>
    <t>YE-SN</t>
  </si>
  <si>
    <t>Şan‘ā’</t>
  </si>
  <si>
    <t>YE-SH</t>
  </si>
  <si>
    <t>Shabwah</t>
  </si>
  <si>
    <t>YE-TA</t>
  </si>
  <si>
    <t>Ta‘izz</t>
  </si>
  <si>
    <t>ZM-02</t>
  </si>
  <si>
    <t>ZM-08</t>
  </si>
  <si>
    <t>Copperbelt</t>
  </si>
  <si>
    <t>ZM-03</t>
  </si>
  <si>
    <t>ZM-04</t>
  </si>
  <si>
    <t>Luapula</t>
  </si>
  <si>
    <t>ZM-09</t>
  </si>
  <si>
    <t>Lusaka</t>
  </si>
  <si>
    <t>ZM-10</t>
  </si>
  <si>
    <t>Muchinga</t>
  </si>
  <si>
    <t>ZM-05</t>
  </si>
  <si>
    <t>ZM-06</t>
  </si>
  <si>
    <t>North-Western</t>
  </si>
  <si>
    <t>ZM-07</t>
  </si>
  <si>
    <t>ZM-01</t>
  </si>
  <si>
    <t>ZW-BU</t>
  </si>
  <si>
    <t>Bulawayo</t>
  </si>
  <si>
    <t>ZW-HA</t>
  </si>
  <si>
    <t>Harare</t>
  </si>
  <si>
    <t>ZW-MA</t>
  </si>
  <si>
    <t>Manicaland</t>
  </si>
  <si>
    <t>ZW-MC</t>
  </si>
  <si>
    <t>Mashonaland Central</t>
  </si>
  <si>
    <t>ZW-ME</t>
  </si>
  <si>
    <t>Mashonaland East</t>
  </si>
  <si>
    <t>ZW-MW</t>
  </si>
  <si>
    <t>Mashonaland West</t>
  </si>
  <si>
    <t>ZW-MV</t>
  </si>
  <si>
    <t>Masvingo</t>
  </si>
  <si>
    <t>ZW-MN</t>
  </si>
  <si>
    <t>Matabeleland North</t>
  </si>
  <si>
    <t>ZW-MS</t>
  </si>
  <si>
    <t>Matabeleland South</t>
  </si>
  <si>
    <t>ZW-MI</t>
  </si>
  <si>
    <t>Midlands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</si>
</sst>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41" x14ac:knownFonts="1">
    <font>
      <sz val="8"/>
      <color theme="1"/>
      <name val="Arial"/>
      <family val="2"/>
    </font>
    <font>
      <sz val="10"/>
      <color theme="1"/>
      <name val="Arial"/>
      <family val="2"/>
    </font>
    <font>
      <sz val="8"/>
      <color theme="1"/>
      <name val="Arial"/>
      <family val="2"/>
    </font>
    <font>
      <b/>
      <i/>
      <sz val="10"/>
      <color theme="5" tint="-0.499984740745262"/>
      <name val="Arial"/>
      <family val="2"/>
    </font>
    <font>
      <sz val="10"/>
      <name val="MS Sans Serif"/>
      <family val="2"/>
    </font>
    <font>
      <sz val="10"/>
      <name val="Arial"/>
      <family val="2"/>
    </font>
    <font>
      <b/>
      <sz val="18"/>
      <color indexed="10"/>
      <name val="Arial"/>
      <family val="2"/>
    </font>
    <font>
      <sz val="10"/>
      <color indexed="10"/>
      <name val="Arial"/>
      <family val="2"/>
    </font>
    <font>
      <b/>
      <sz val="14"/>
      <color indexed="10"/>
      <name val="Arial"/>
      <family val="2"/>
    </font>
    <font>
      <b/>
      <sz val="10"/>
      <name val="Arial"/>
      <family val="2"/>
    </font>
    <font>
      <b/>
      <sz val="12"/>
      <color indexed="12"/>
      <name val="Arial"/>
      <family val="2"/>
    </font>
    <font>
      <b/>
      <sz val="10"/>
      <color indexed="12"/>
      <name val="Arial"/>
      <family val="2"/>
    </font>
    <font>
      <i/>
      <sz val="10"/>
      <name val="Arial"/>
      <family val="2"/>
    </font>
    <font>
      <b/>
      <sz val="14"/>
      <color indexed="20"/>
      <name val="Arial"/>
      <family val="2"/>
    </font>
    <font>
      <sz val="10"/>
      <color indexed="20"/>
      <name val="MS Sans Serif"/>
      <family val="2"/>
    </font>
    <font>
      <b/>
      <u/>
      <sz val="8"/>
      <color indexed="18"/>
      <name val="Arial"/>
      <family val="2"/>
    </font>
    <font>
      <b/>
      <u/>
      <sz val="10.5"/>
      <color rgb="FF002060"/>
      <name val="Arial"/>
      <family val="2"/>
    </font>
    <font>
      <u/>
      <sz val="10"/>
      <color theme="10"/>
      <name val="Arial"/>
      <family val="2"/>
    </font>
    <font>
      <b/>
      <u/>
      <sz val="10.5"/>
      <color indexed="18"/>
      <name val="Arial"/>
      <family val="2"/>
    </font>
    <font>
      <b/>
      <u/>
      <sz val="8"/>
      <color rgb="FF002060"/>
      <name val="Arial"/>
      <family val="2"/>
    </font>
    <font>
      <u/>
      <sz val="8"/>
      <color theme="10"/>
      <name val="Arial"/>
      <family val="2"/>
    </font>
    <font>
      <sz val="11"/>
      <color theme="1"/>
      <name val="Calibri"/>
      <family val="2"/>
      <scheme val="minor"/>
    </font>
    <font>
      <u/>
      <sz val="10"/>
      <color indexed="12"/>
      <name val="Arial"/>
      <family val="2"/>
    </font>
    <font>
      <sz val="10"/>
      <color theme="1"/>
      <name val="Arial"/>
      <family val="2"/>
    </font>
    <font>
      <b/>
      <u/>
      <sz val="10"/>
      <color indexed="12"/>
      <name val="Arial"/>
      <family val="2"/>
    </font>
    <font>
      <b/>
      <sz val="10"/>
      <color theme="5" tint="-0.499984740745262"/>
      <name val="Arial"/>
      <family val="2"/>
    </font>
    <font>
      <b/>
      <sz val="10"/>
      <color rgb="FFC00000"/>
      <name val="Arial"/>
      <family val="2"/>
    </font>
    <font>
      <b/>
      <sz val="10"/>
      <color rgb="FF002060"/>
      <name val="Arial"/>
      <family val="2"/>
    </font>
    <font>
      <b/>
      <sz val="10"/>
      <color rgb="FF0000CC"/>
      <name val="Arial"/>
      <family val="2"/>
    </font>
    <font>
      <i/>
      <sz val="10"/>
      <color rgb="FF0000CC"/>
      <name val="Arial"/>
      <family val="2"/>
    </font>
    <font>
      <b/>
      <sz val="16"/>
      <color rgb="FF002060"/>
      <name val="Arial"/>
      <family val="2"/>
    </font>
    <font>
      <b/>
      <i/>
      <sz val="10"/>
      <color indexed="23"/>
      <name val="Arial"/>
      <family val="2"/>
    </font>
    <font>
      <sz val="10"/>
      <color indexed="12"/>
      <name val="Arial"/>
      <family val="2"/>
    </font>
    <font>
      <u/>
      <sz val="10"/>
      <color rgb="FF0000CC"/>
      <name val="Arial"/>
      <family val="2"/>
    </font>
    <font>
      <b/>
      <sz val="10"/>
      <color theme="1"/>
      <name val="Arial"/>
      <family val="2"/>
    </font>
    <font>
      <b/>
      <sz val="10"/>
      <color rgb="FF0070C0"/>
      <name val="Arial"/>
      <family val="2"/>
    </font>
    <font>
      <sz val="10"/>
      <color theme="0" tint="-0.34998626667073579"/>
      <name val="Arial"/>
      <family val="2"/>
    </font>
    <font>
      <sz val="10"/>
      <color theme="5" tint="-0.499984740745262"/>
      <name val="Arial"/>
      <family val="2"/>
    </font>
    <font>
      <sz val="10"/>
      <color rgb="FF0000CC"/>
      <name val="Arial"/>
      <family val="2"/>
    </font>
    <font>
      <i/>
      <sz val="10"/>
      <color rgb="FF828282"/>
      <name val="Arial"/>
      <family val="2"/>
    </font>
    <font>
      <sz val="10"/>
      <color rgb="FFDCDCDC"/>
      <name val="Arial"/>
      <family val="2"/>
    </font>
  </fonts>
  <fills count="8">
    <fill>
      <patternFill patternType="none"/>
    </fill>
    <fill>
      <patternFill patternType="gray125"/>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indexed="43"/>
        <bgColor indexed="64"/>
      </patternFill>
    </fill>
    <fill>
      <patternFill patternType="solid">
        <fgColor indexed="42"/>
        <bgColor indexed="64"/>
      </patternFill>
    </fill>
    <fill>
      <patternFill patternType="solid">
        <fgColor rgb="FFDCDCDC"/>
        <bgColor indexed="64"/>
      </patternFill>
    </fill>
  </fills>
  <borders count="36">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s>
  <cellStyleXfs count="4218">
    <xf numFmtId="0" fontId="0" fillId="0" borderId="0"/>
    <xf numFmtId="0" fontId="4" fillId="0" borderId="0"/>
    <xf numFmtId="0" fontId="5" fillId="0" borderId="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7"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8" fillId="0" borderId="0" applyNumberFormat="0" applyFill="0" applyBorder="0" applyAlignment="0" applyProtection="0"/>
    <xf numFmtId="0" fontId="16" fillId="0" borderId="0" applyNumberFormat="0" applyFill="0" applyBorder="0" applyAlignment="0" applyProtection="0">
      <alignment vertical="top"/>
      <protection locked="0"/>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0"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7"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alignment vertical="top"/>
    </xf>
    <xf numFmtId="0" fontId="22" fillId="0" borderId="0" applyNumberFormat="0" applyFill="0" applyBorder="0" applyAlignment="0" applyProtection="0"/>
    <xf numFmtId="0" fontId="5" fillId="0" borderId="0">
      <alignment vertical="top"/>
    </xf>
    <xf numFmtId="0" fontId="5" fillId="0" borderId="0"/>
    <xf numFmtId="0" fontId="23" fillId="0" borderId="0"/>
  </cellStyleXfs>
  <cellXfs count="116">
    <xf numFmtId="0" fontId="0" fillId="0" borderId="0" xfId="0"/>
    <xf numFmtId="0" fontId="5" fillId="0" borderId="0" xfId="1" applyFont="1" applyAlignment="1">
      <alignment vertical="top" wrapText="1"/>
    </xf>
    <xf numFmtId="0" fontId="10" fillId="5" borderId="8" xfId="1" applyFont="1" applyFill="1" applyBorder="1" applyAlignment="1">
      <alignment vertical="top" wrapText="1"/>
    </xf>
    <xf numFmtId="0" fontId="10" fillId="5" borderId="7" xfId="1" applyFont="1" applyFill="1" applyBorder="1" applyAlignment="1">
      <alignment vertical="top" wrapText="1"/>
    </xf>
    <xf numFmtId="0" fontId="5" fillId="0" borderId="4" xfId="1" applyFont="1" applyBorder="1" applyAlignment="1">
      <alignment vertical="top" wrapText="1"/>
    </xf>
    <xf numFmtId="0" fontId="24" fillId="0" borderId="9" xfId="4214" applyFont="1" applyBorder="1" applyAlignment="1">
      <alignment horizontal="left" vertical="top" wrapText="1"/>
    </xf>
    <xf numFmtId="0" fontId="27" fillId="3" borderId="10" xfId="0" applyFont="1" applyFill="1" applyBorder="1" applyAlignment="1">
      <alignment horizontal="left" vertical="top" wrapText="1"/>
    </xf>
    <xf numFmtId="0" fontId="27" fillId="3" borderId="4" xfId="0" applyFont="1" applyFill="1" applyBorder="1" applyAlignment="1">
      <alignment horizontal="left" vertical="top" wrapText="1"/>
    </xf>
    <xf numFmtId="164" fontId="27" fillId="3" borderId="4" xfId="0" applyNumberFormat="1" applyFont="1" applyFill="1" applyBorder="1" applyAlignment="1">
      <alignment horizontal="left" vertical="top" wrapText="1"/>
    </xf>
    <xf numFmtId="0" fontId="27" fillId="3" borderId="11" xfId="0" applyFont="1" applyFill="1" applyBorder="1" applyAlignment="1">
      <alignment horizontal="left" vertical="top" wrapText="1"/>
    </xf>
    <xf numFmtId="0" fontId="28" fillId="4" borderId="10" xfId="0" applyFont="1" applyFill="1" applyBorder="1" applyAlignment="1">
      <alignment horizontal="left" vertical="top" wrapText="1"/>
    </xf>
    <xf numFmtId="0" fontId="28" fillId="4" borderId="12" xfId="0" applyFont="1" applyFill="1" applyBorder="1" applyAlignment="1">
      <alignment horizontal="left" vertical="top" wrapText="1"/>
    </xf>
    <xf numFmtId="0" fontId="7" fillId="5" borderId="3" xfId="1" applyFont="1" applyFill="1" applyBorder="1" applyAlignment="1">
      <alignment horizontal="right" vertical="top" wrapText="1"/>
    </xf>
    <xf numFmtId="0" fontId="9" fillId="0" borderId="0" xfId="1" applyFont="1" applyAlignment="1">
      <alignment vertical="top" wrapText="1"/>
    </xf>
    <xf numFmtId="0" fontId="9" fillId="0" borderId="0" xfId="4213" applyFont="1" applyAlignment="1">
      <alignment vertical="top" wrapText="1"/>
    </xf>
    <xf numFmtId="0" fontId="5" fillId="0" borderId="3" xfId="1" applyFont="1" applyBorder="1" applyAlignment="1">
      <alignment vertical="top" wrapText="1"/>
    </xf>
    <xf numFmtId="0" fontId="26" fillId="2" borderId="0" xfId="4213" applyFont="1" applyFill="1" applyAlignment="1">
      <alignment vertical="top" wrapText="1"/>
    </xf>
    <xf numFmtId="0" fontId="10" fillId="5" borderId="13" xfId="1" applyFont="1" applyFill="1" applyBorder="1" applyAlignment="1">
      <alignment vertical="top" wrapText="1"/>
    </xf>
    <xf numFmtId="0" fontId="23" fillId="0" borderId="0" xfId="0" applyFont="1" applyAlignment="1">
      <alignment vertical="top"/>
    </xf>
    <xf numFmtId="0" fontId="25" fillId="0" borderId="0" xfId="1" applyFont="1" applyAlignment="1">
      <alignment vertical="top" wrapText="1"/>
    </xf>
    <xf numFmtId="0" fontId="8" fillId="0" borderId="10" xfId="1" applyFont="1" applyBorder="1" applyAlignment="1">
      <alignment horizontal="center" vertical="top" textRotation="90" wrapText="1"/>
    </xf>
    <xf numFmtId="0" fontId="23" fillId="0" borderId="0" xfId="0" applyFont="1" applyAlignment="1">
      <alignment horizontal="left" vertical="top"/>
    </xf>
    <xf numFmtId="164" fontId="23" fillId="0" borderId="0" xfId="0" applyNumberFormat="1" applyFont="1" applyAlignment="1">
      <alignment horizontal="left" vertical="top"/>
    </xf>
    <xf numFmtId="0" fontId="34" fillId="0" borderId="0" xfId="0" applyFont="1" applyAlignment="1">
      <alignment horizontal="left" vertical="top" wrapText="1"/>
    </xf>
    <xf numFmtId="0" fontId="23" fillId="0" borderId="0" xfId="0" applyFont="1"/>
    <xf numFmtId="0" fontId="27" fillId="4" borderId="15" xfId="0" applyFont="1" applyFill="1" applyBorder="1" applyAlignment="1">
      <alignment horizontal="right" vertical="top"/>
    </xf>
    <xf numFmtId="0" fontId="28" fillId="3" borderId="4" xfId="0" applyFont="1" applyFill="1" applyBorder="1" applyAlignment="1">
      <alignment horizontal="left" vertical="top" wrapText="1"/>
    </xf>
    <xf numFmtId="0" fontId="28" fillId="3" borderId="4" xfId="0" applyFont="1" applyFill="1" applyBorder="1" applyAlignment="1">
      <alignment horizontal="center" vertical="top" wrapText="1"/>
    </xf>
    <xf numFmtId="0" fontId="23" fillId="0" borderId="0" xfId="0" applyFont="1" applyAlignment="1">
      <alignment vertical="top" wrapText="1"/>
    </xf>
    <xf numFmtId="0" fontId="3" fillId="0" borderId="4" xfId="1" applyFont="1" applyBorder="1" applyAlignment="1">
      <alignment vertical="top" wrapText="1"/>
    </xf>
    <xf numFmtId="0" fontId="3" fillId="0" borderId="5" xfId="1" applyFont="1" applyBorder="1" applyAlignment="1">
      <alignment vertical="top" wrapText="1"/>
    </xf>
    <xf numFmtId="0" fontId="5" fillId="0" borderId="5" xfId="1" applyFont="1" applyBorder="1" applyAlignment="1">
      <alignment vertical="top" wrapText="1"/>
    </xf>
    <xf numFmtId="0" fontId="11" fillId="6" borderId="17" xfId="1" applyFont="1" applyFill="1" applyBorder="1" applyAlignment="1">
      <alignment vertical="center" wrapText="1"/>
    </xf>
    <xf numFmtId="0" fontId="11" fillId="6" borderId="18" xfId="1" applyFont="1" applyFill="1" applyBorder="1" applyAlignment="1">
      <alignment vertical="center" wrapText="1"/>
    </xf>
    <xf numFmtId="0" fontId="5" fillId="0" borderId="16" xfId="0" applyFont="1" applyBorder="1" applyAlignment="1">
      <alignment horizontal="left" vertical="top"/>
    </xf>
    <xf numFmtId="0" fontId="11" fillId="6" borderId="17" xfId="1" applyFont="1" applyFill="1" applyBorder="1" applyAlignment="1">
      <alignment horizontal="left" vertical="center" wrapText="1"/>
    </xf>
    <xf numFmtId="0" fontId="5" fillId="0" borderId="12" xfId="1" applyFont="1" applyBorder="1" applyAlignment="1">
      <alignment vertical="top" wrapText="1"/>
    </xf>
    <xf numFmtId="0" fontId="11" fillId="6" borderId="5" xfId="1" applyFont="1" applyFill="1" applyBorder="1" applyAlignment="1">
      <alignment vertical="center" wrapText="1"/>
    </xf>
    <xf numFmtId="0" fontId="11" fillId="6" borderId="6" xfId="1" applyFont="1" applyFill="1" applyBorder="1" applyAlignment="1">
      <alignment vertical="center" wrapText="1"/>
    </xf>
    <xf numFmtId="0" fontId="27" fillId="4" borderId="19" xfId="0" applyFont="1" applyFill="1" applyBorder="1" applyAlignment="1">
      <alignment horizontal="right" vertical="top"/>
    </xf>
    <xf numFmtId="0" fontId="5" fillId="0" borderId="6" xfId="0" applyFont="1" applyBorder="1" applyAlignment="1">
      <alignment horizontal="left" vertical="top"/>
    </xf>
    <xf numFmtId="0" fontId="23" fillId="0" borderId="21" xfId="0" applyFont="1" applyBorder="1" applyAlignment="1">
      <alignment horizontal="left" vertical="top"/>
    </xf>
    <xf numFmtId="0" fontId="23" fillId="0" borderId="22" xfId="0" applyFont="1" applyBorder="1" applyAlignment="1">
      <alignment horizontal="left" vertical="top"/>
    </xf>
    <xf numFmtId="164" fontId="23" fillId="0" borderId="23" xfId="0" applyNumberFormat="1" applyFont="1" applyBorder="1" applyAlignment="1">
      <alignment horizontal="left" vertical="top"/>
    </xf>
    <xf numFmtId="0" fontId="23" fillId="0" borderId="24" xfId="0" applyFont="1" applyBorder="1" applyAlignment="1">
      <alignment horizontal="left" vertical="top"/>
    </xf>
    <xf numFmtId="164" fontId="23" fillId="0" borderId="25" xfId="0" applyNumberFormat="1" applyFont="1" applyBorder="1" applyAlignment="1">
      <alignment horizontal="left" vertical="top"/>
    </xf>
    <xf numFmtId="0" fontId="23" fillId="0" borderId="26" xfId="0" applyFont="1" applyBorder="1" applyAlignment="1">
      <alignment horizontal="left" vertical="top"/>
    </xf>
    <xf numFmtId="0" fontId="23" fillId="0" borderId="5" xfId="0" applyFont="1" applyBorder="1" applyAlignment="1">
      <alignment horizontal="left" vertical="top"/>
    </xf>
    <xf numFmtId="164" fontId="23" fillId="0" borderId="27" xfId="0" applyNumberFormat="1" applyFont="1" applyBorder="1" applyAlignment="1">
      <alignment horizontal="left" vertical="top"/>
    </xf>
    <xf numFmtId="0" fontId="23" fillId="0" borderId="23" xfId="0" applyFont="1" applyBorder="1" applyAlignment="1">
      <alignment horizontal="left" vertical="top"/>
    </xf>
    <xf numFmtId="0" fontId="23" fillId="0" borderId="25" xfId="0" applyFont="1" applyBorder="1" applyAlignment="1">
      <alignment horizontal="left" vertical="top"/>
    </xf>
    <xf numFmtId="0" fontId="23" fillId="0" borderId="27" xfId="0" applyFont="1" applyBorder="1" applyAlignment="1">
      <alignment horizontal="left" vertical="top"/>
    </xf>
    <xf numFmtId="0" fontId="22" fillId="0" borderId="23" xfId="4214" applyBorder="1" applyAlignment="1">
      <alignment horizontal="left" vertical="top"/>
    </xf>
    <xf numFmtId="0" fontId="22" fillId="0" borderId="25" xfId="4214" applyBorder="1" applyAlignment="1">
      <alignment horizontal="left" vertical="top"/>
    </xf>
    <xf numFmtId="0" fontId="22" fillId="0" borderId="27" xfId="4214" applyBorder="1" applyAlignment="1">
      <alignment horizontal="left" vertical="top"/>
    </xf>
    <xf numFmtId="0" fontId="39" fillId="0" borderId="22" xfId="0" applyFont="1" applyBorder="1" applyAlignment="1">
      <alignment horizontal="left" vertical="top"/>
    </xf>
    <xf numFmtId="0" fontId="39" fillId="0" borderId="0" xfId="0" applyFont="1" applyAlignment="1">
      <alignment horizontal="left" vertical="top"/>
    </xf>
    <xf numFmtId="0" fontId="39" fillId="0" borderId="5" xfId="0" applyFont="1" applyBorder="1" applyAlignment="1">
      <alignment horizontal="left" vertical="top"/>
    </xf>
    <xf numFmtId="0" fontId="23" fillId="0" borderId="14" xfId="0" applyFont="1" applyBorder="1" applyAlignment="1">
      <alignment horizontal="left" vertical="top"/>
    </xf>
    <xf numFmtId="0" fontId="23" fillId="0" borderId="1" xfId="0" applyFont="1" applyBorder="1" applyAlignment="1">
      <alignment horizontal="left" vertical="top"/>
    </xf>
    <xf numFmtId="164" fontId="23" fillId="0" borderId="28" xfId="0" applyNumberFormat="1" applyFont="1" applyBorder="1" applyAlignment="1">
      <alignment horizontal="left" vertical="top"/>
    </xf>
    <xf numFmtId="0" fontId="23" fillId="0" borderId="15" xfId="0" applyFont="1" applyBorder="1" applyAlignment="1">
      <alignment horizontal="left" vertical="top"/>
    </xf>
    <xf numFmtId="0" fontId="23" fillId="0" borderId="28" xfId="0" applyFont="1" applyBorder="1" applyAlignment="1">
      <alignment horizontal="left" vertical="top"/>
    </xf>
    <xf numFmtId="0" fontId="23" fillId="0" borderId="2" xfId="0" applyFont="1" applyBorder="1" applyAlignment="1">
      <alignment horizontal="left" vertical="top"/>
    </xf>
    <xf numFmtId="0" fontId="23" fillId="0" borderId="19" xfId="0" applyFont="1" applyBorder="1" applyAlignment="1">
      <alignment horizontal="left" vertical="top"/>
    </xf>
    <xf numFmtId="0" fontId="23" fillId="0" borderId="29" xfId="0" applyFont="1" applyBorder="1" applyAlignment="1">
      <alignment horizontal="left" vertical="top"/>
    </xf>
    <xf numFmtId="0" fontId="23" fillId="0" borderId="10" xfId="0" applyFont="1" applyBorder="1" applyAlignment="1">
      <alignment horizontal="left" vertical="top"/>
    </xf>
    <xf numFmtId="0" fontId="23" fillId="0" borderId="4" xfId="0" applyFont="1" applyBorder="1" applyAlignment="1">
      <alignment horizontal="left" vertical="top"/>
    </xf>
    <xf numFmtId="164" fontId="23" fillId="0" borderId="30" xfId="0" applyNumberFormat="1" applyFont="1" applyBorder="1" applyAlignment="1">
      <alignment horizontal="left" vertical="top"/>
    </xf>
    <xf numFmtId="0" fontId="23" fillId="0" borderId="11" xfId="0" applyFont="1" applyBorder="1" applyAlignment="1">
      <alignment horizontal="left" vertical="top"/>
    </xf>
    <xf numFmtId="0" fontId="23" fillId="0" borderId="30" xfId="0" applyFont="1" applyBorder="1" applyAlignment="1">
      <alignment horizontal="left" vertical="top"/>
    </xf>
    <xf numFmtId="0" fontId="22" fillId="0" borderId="31" xfId="4214" applyBorder="1" applyAlignment="1">
      <alignment horizontal="left" vertical="top"/>
    </xf>
    <xf numFmtId="0" fontId="22" fillId="0" borderId="32" xfId="4214" applyBorder="1" applyAlignment="1">
      <alignment horizontal="left" vertical="top"/>
    </xf>
    <xf numFmtId="0" fontId="22" fillId="0" borderId="33" xfId="4214" applyBorder="1" applyAlignment="1">
      <alignment horizontal="left" vertical="top"/>
    </xf>
    <xf numFmtId="0" fontId="22" fillId="0" borderId="34" xfId="4214" applyBorder="1" applyAlignment="1">
      <alignment horizontal="left" vertical="top"/>
    </xf>
    <xf numFmtId="0" fontId="22" fillId="0" borderId="35" xfId="4214" applyBorder="1" applyAlignment="1">
      <alignment horizontal="left" vertical="top"/>
    </xf>
    <xf numFmtId="0" fontId="40" fillId="0" borderId="0" xfId="0" applyFont="1" applyAlignment="1">
      <alignment horizontal="left" vertical="top"/>
    </xf>
    <xf numFmtId="0" fontId="40" fillId="0" borderId="25" xfId="0" applyFont="1" applyBorder="1" applyAlignment="1">
      <alignment horizontal="left" vertical="top"/>
    </xf>
    <xf numFmtId="0" fontId="40" fillId="0" borderId="5" xfId="0" applyFont="1" applyBorder="1" applyAlignment="1">
      <alignment horizontal="left" vertical="top"/>
    </xf>
    <xf numFmtId="0" fontId="40" fillId="0" borderId="27" xfId="0" applyFont="1" applyBorder="1" applyAlignment="1">
      <alignment horizontal="left" vertical="top"/>
    </xf>
    <xf numFmtId="0" fontId="40" fillId="0" borderId="22" xfId="0" applyFont="1" applyBorder="1" applyAlignment="1">
      <alignment horizontal="left" vertical="top"/>
    </xf>
    <xf numFmtId="0" fontId="40" fillId="0" borderId="23" xfId="0" applyFont="1" applyBorder="1" applyAlignment="1">
      <alignment horizontal="left" vertical="top"/>
    </xf>
    <xf numFmtId="0" fontId="22" fillId="0" borderId="28" xfId="4214" applyBorder="1" applyAlignment="1">
      <alignment horizontal="left" vertical="top"/>
    </xf>
    <xf numFmtId="0" fontId="23" fillId="7" borderId="25" xfId="0" applyFont="1" applyFill="1" applyBorder="1" applyAlignment="1">
      <alignment horizontal="left" vertical="top"/>
    </xf>
    <xf numFmtId="0" fontId="23" fillId="7" borderId="27" xfId="0" applyFont="1" applyFill="1" applyBorder="1" applyAlignment="1">
      <alignment horizontal="left" vertical="top"/>
    </xf>
    <xf numFmtId="0" fontId="23" fillId="7" borderId="23" xfId="0" applyFont="1" applyFill="1" applyBorder="1" applyAlignment="1">
      <alignment horizontal="left" vertical="top"/>
    </xf>
    <xf numFmtId="0" fontId="22" fillId="0" borderId="30" xfId="4214" applyBorder="1" applyAlignment="1">
      <alignment horizontal="left" vertical="top"/>
    </xf>
    <xf numFmtId="0" fontId="13" fillId="0" borderId="2"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10" xfId="1" applyFont="1" applyBorder="1" applyAlignment="1">
      <alignment horizontal="center" vertical="center" textRotation="90" wrapText="1"/>
    </xf>
    <xf numFmtId="0" fontId="5" fillId="0" borderId="20" xfId="1" applyFont="1" applyBorder="1" applyAlignment="1">
      <alignment horizontal="left" vertical="top" wrapText="1"/>
    </xf>
    <xf numFmtId="0" fontId="5" fillId="0" borderId="7" xfId="1" applyFont="1" applyBorder="1" applyAlignment="1">
      <alignment horizontal="left" vertical="top" wrapText="1"/>
    </xf>
    <xf numFmtId="0" fontId="5" fillId="0" borderId="13" xfId="1" applyFont="1" applyBorder="1" applyAlignment="1">
      <alignment horizontal="left" vertical="top" wrapText="1"/>
    </xf>
    <xf numFmtId="0" fontId="5" fillId="0" borderId="0" xfId="4214" applyFont="1" applyBorder="1" applyAlignment="1">
      <alignment horizontal="left" vertical="top" wrapText="1"/>
    </xf>
    <xf numFmtId="0" fontId="5" fillId="0" borderId="3" xfId="4214" applyFont="1" applyBorder="1" applyAlignment="1">
      <alignment horizontal="left" vertical="top" wrapText="1"/>
    </xf>
    <xf numFmtId="0" fontId="13" fillId="0" borderId="14" xfId="1" applyFont="1" applyBorder="1" applyAlignment="1">
      <alignment horizontal="center" vertical="center" textRotation="90" wrapText="1"/>
    </xf>
    <xf numFmtId="0" fontId="14" fillId="0" borderId="19" xfId="1" applyFont="1" applyBorder="1" applyAlignment="1">
      <alignment horizontal="center" vertical="center" textRotation="90" wrapText="1"/>
    </xf>
    <xf numFmtId="0" fontId="5" fillId="0" borderId="14" xfId="1" applyFont="1" applyBorder="1" applyAlignment="1">
      <alignment vertical="top" wrapText="1"/>
    </xf>
    <xf numFmtId="0" fontId="5" fillId="0" borderId="1" xfId="1" applyFont="1" applyBorder="1" applyAlignment="1">
      <alignment vertical="top" wrapText="1"/>
    </xf>
    <xf numFmtId="0" fontId="5" fillId="0" borderId="16" xfId="1" applyFont="1" applyBorder="1" applyAlignment="1">
      <alignment vertical="top" wrapText="1"/>
    </xf>
    <xf numFmtId="0" fontId="6" fillId="5" borderId="2" xfId="1" applyFont="1" applyFill="1" applyBorder="1" applyAlignment="1">
      <alignment vertical="top" wrapText="1"/>
    </xf>
    <xf numFmtId="0" fontId="6" fillId="5" borderId="0" xfId="1" applyFont="1" applyFill="1" applyAlignment="1">
      <alignment vertical="top" wrapText="1"/>
    </xf>
    <xf numFmtId="0" fontId="8" fillId="0" borderId="2" xfId="1" applyFont="1" applyBorder="1" applyAlignment="1">
      <alignment horizontal="center" vertical="center" textRotation="90" wrapText="1"/>
    </xf>
    <xf numFmtId="0" fontId="5" fillId="0" borderId="0" xfId="1" applyFont="1" applyAlignment="1">
      <alignment vertical="top" wrapText="1"/>
    </xf>
    <xf numFmtId="0" fontId="5" fillId="0" borderId="3" xfId="1" applyFont="1" applyBorder="1" applyAlignment="1">
      <alignment vertical="top" wrapText="1"/>
    </xf>
    <xf numFmtId="0" fontId="30" fillId="3" borderId="14" xfId="0" applyFont="1" applyFill="1" applyBorder="1" applyAlignment="1">
      <alignment horizontal="left" vertical="center"/>
    </xf>
    <xf numFmtId="0" fontId="30" fillId="3" borderId="1" xfId="0" applyFont="1" applyFill="1" applyBorder="1" applyAlignment="1">
      <alignment horizontal="left" vertical="center"/>
    </xf>
    <xf numFmtId="0" fontId="30" fillId="3" borderId="16" xfId="0" applyFont="1" applyFill="1" applyBorder="1" applyAlignment="1">
      <alignment horizontal="left" vertical="center"/>
    </xf>
    <xf numFmtId="0" fontId="30" fillId="3" borderId="2" xfId="0" applyFont="1" applyFill="1" applyBorder="1" applyAlignment="1">
      <alignment horizontal="left" vertical="center"/>
    </xf>
    <xf numFmtId="0" fontId="30" fillId="3" borderId="0" xfId="0" applyFont="1" applyFill="1" applyAlignment="1">
      <alignment horizontal="left" vertical="center"/>
    </xf>
    <xf numFmtId="0" fontId="30" fillId="3" borderId="3" xfId="0" applyFont="1" applyFill="1" applyBorder="1" applyAlignment="1">
      <alignment horizontal="left" vertical="center"/>
    </xf>
    <xf numFmtId="0" fontId="22" fillId="0" borderId="29" xfId="4214" applyBorder="1" applyAlignment="1">
      <alignment horizontal="left" vertical="top"/>
    </xf>
    <xf numFmtId="0" fontId="23" fillId="0" borderId="2" xfId="0" applyFont="1" applyBorder="1" applyAlignment="1">
      <alignment horizontal="left" vertical="top"/>
    </xf>
    <xf numFmtId="0" fontId="23" fillId="0" borderId="19" xfId="0" applyFont="1" applyBorder="1" applyAlignment="1">
      <alignment horizontal="left" vertical="top"/>
    </xf>
    <xf numFmtId="0" fontId="23" fillId="0" borderId="10" xfId="0" applyFont="1" applyBorder="1" applyAlignment="1">
      <alignment horizontal="left" vertical="top"/>
    </xf>
    <xf numFmtId="0" fontId="22" fillId="0" borderId="14" xfId="4214" applyBorder="1" applyAlignment="1">
      <alignment horizontal="left" vertical="top"/>
    </xf>
  </cellXfs>
  <cellStyles count="4218">
    <cellStyle name="Followed Hyperlink 2" xfId="3" xr:uid="{00000000-0005-0000-0000-000000000000}"/>
    <cellStyle name="Followed Hyperlink 3" xfId="4" xr:uid="{00000000-0005-0000-0000-000001000000}"/>
    <cellStyle name="Hyperlink" xfId="4214" builtinId="8"/>
    <cellStyle name="Hyperlink 10 10" xfId="5" xr:uid="{00000000-0005-0000-0000-000003000000}"/>
    <cellStyle name="Hyperlink 10 11" xfId="6" xr:uid="{00000000-0005-0000-0000-000004000000}"/>
    <cellStyle name="Hyperlink 10 12" xfId="7" xr:uid="{00000000-0005-0000-0000-000005000000}"/>
    <cellStyle name="Hyperlink 10 13" xfId="8" xr:uid="{00000000-0005-0000-0000-000006000000}"/>
    <cellStyle name="Hyperlink 10 14" xfId="9" xr:uid="{00000000-0005-0000-0000-000007000000}"/>
    <cellStyle name="Hyperlink 10 2" xfId="10" xr:uid="{00000000-0005-0000-0000-000008000000}"/>
    <cellStyle name="Hyperlink 10 3" xfId="11" xr:uid="{00000000-0005-0000-0000-000009000000}"/>
    <cellStyle name="Hyperlink 10 4" xfId="12" xr:uid="{00000000-0005-0000-0000-00000A000000}"/>
    <cellStyle name="Hyperlink 10 5" xfId="13" xr:uid="{00000000-0005-0000-0000-00000B000000}"/>
    <cellStyle name="Hyperlink 10 6" xfId="14" xr:uid="{00000000-0005-0000-0000-00000C000000}"/>
    <cellStyle name="Hyperlink 10 7" xfId="15" xr:uid="{00000000-0005-0000-0000-00000D000000}"/>
    <cellStyle name="Hyperlink 10 8" xfId="16" xr:uid="{00000000-0005-0000-0000-00000E000000}"/>
    <cellStyle name="Hyperlink 10 9" xfId="17" xr:uid="{00000000-0005-0000-0000-00000F000000}"/>
    <cellStyle name="Hyperlink 11 10" xfId="18" xr:uid="{00000000-0005-0000-0000-000010000000}"/>
    <cellStyle name="Hyperlink 11 11" xfId="19" xr:uid="{00000000-0005-0000-0000-000011000000}"/>
    <cellStyle name="Hyperlink 11 12" xfId="20" xr:uid="{00000000-0005-0000-0000-000012000000}"/>
    <cellStyle name="Hyperlink 11 13" xfId="21" xr:uid="{00000000-0005-0000-0000-000013000000}"/>
    <cellStyle name="Hyperlink 11 14" xfId="22" xr:uid="{00000000-0005-0000-0000-000014000000}"/>
    <cellStyle name="Hyperlink 11 2" xfId="23" xr:uid="{00000000-0005-0000-0000-000015000000}"/>
    <cellStyle name="Hyperlink 11 3" xfId="24" xr:uid="{00000000-0005-0000-0000-000016000000}"/>
    <cellStyle name="Hyperlink 11 4" xfId="25" xr:uid="{00000000-0005-0000-0000-000017000000}"/>
    <cellStyle name="Hyperlink 11 5" xfId="26" xr:uid="{00000000-0005-0000-0000-000018000000}"/>
    <cellStyle name="Hyperlink 11 6" xfId="27" xr:uid="{00000000-0005-0000-0000-000019000000}"/>
    <cellStyle name="Hyperlink 11 7" xfId="28" xr:uid="{00000000-0005-0000-0000-00001A000000}"/>
    <cellStyle name="Hyperlink 11 8" xfId="29" xr:uid="{00000000-0005-0000-0000-00001B000000}"/>
    <cellStyle name="Hyperlink 11 9" xfId="30" xr:uid="{00000000-0005-0000-0000-00001C000000}"/>
    <cellStyle name="Hyperlink 12 10" xfId="31" xr:uid="{00000000-0005-0000-0000-00001D000000}"/>
    <cellStyle name="Hyperlink 12 11" xfId="32" xr:uid="{00000000-0005-0000-0000-00001E000000}"/>
    <cellStyle name="Hyperlink 12 12" xfId="33" xr:uid="{00000000-0005-0000-0000-00001F000000}"/>
    <cellStyle name="Hyperlink 12 13" xfId="34" xr:uid="{00000000-0005-0000-0000-000020000000}"/>
    <cellStyle name="Hyperlink 12 14" xfId="35" xr:uid="{00000000-0005-0000-0000-000021000000}"/>
    <cellStyle name="Hyperlink 12 2" xfId="36" xr:uid="{00000000-0005-0000-0000-000022000000}"/>
    <cellStyle name="Hyperlink 12 3" xfId="37" xr:uid="{00000000-0005-0000-0000-000023000000}"/>
    <cellStyle name="Hyperlink 12 4" xfId="38" xr:uid="{00000000-0005-0000-0000-000024000000}"/>
    <cellStyle name="Hyperlink 12 5" xfId="39" xr:uid="{00000000-0005-0000-0000-000025000000}"/>
    <cellStyle name="Hyperlink 12 6" xfId="40" xr:uid="{00000000-0005-0000-0000-000026000000}"/>
    <cellStyle name="Hyperlink 12 7" xfId="41" xr:uid="{00000000-0005-0000-0000-000027000000}"/>
    <cellStyle name="Hyperlink 12 8" xfId="42" xr:uid="{00000000-0005-0000-0000-000028000000}"/>
    <cellStyle name="Hyperlink 12 9" xfId="43" xr:uid="{00000000-0005-0000-0000-000029000000}"/>
    <cellStyle name="Hyperlink 13 10" xfId="44" xr:uid="{00000000-0005-0000-0000-00002A000000}"/>
    <cellStyle name="Hyperlink 13 11" xfId="45" xr:uid="{00000000-0005-0000-0000-00002B000000}"/>
    <cellStyle name="Hyperlink 13 12" xfId="46" xr:uid="{00000000-0005-0000-0000-00002C000000}"/>
    <cellStyle name="Hyperlink 13 13" xfId="47" xr:uid="{00000000-0005-0000-0000-00002D000000}"/>
    <cellStyle name="Hyperlink 13 14" xfId="48" xr:uid="{00000000-0005-0000-0000-00002E000000}"/>
    <cellStyle name="Hyperlink 13 2" xfId="49" xr:uid="{00000000-0005-0000-0000-00002F000000}"/>
    <cellStyle name="Hyperlink 13 3" xfId="50" xr:uid="{00000000-0005-0000-0000-000030000000}"/>
    <cellStyle name="Hyperlink 13 4" xfId="51" xr:uid="{00000000-0005-0000-0000-000031000000}"/>
    <cellStyle name="Hyperlink 13 5" xfId="52" xr:uid="{00000000-0005-0000-0000-000032000000}"/>
    <cellStyle name="Hyperlink 13 6" xfId="53" xr:uid="{00000000-0005-0000-0000-000033000000}"/>
    <cellStyle name="Hyperlink 13 7" xfId="54" xr:uid="{00000000-0005-0000-0000-000034000000}"/>
    <cellStyle name="Hyperlink 13 8" xfId="55" xr:uid="{00000000-0005-0000-0000-000035000000}"/>
    <cellStyle name="Hyperlink 13 9" xfId="56" xr:uid="{00000000-0005-0000-0000-000036000000}"/>
    <cellStyle name="Hyperlink 14 10" xfId="57" xr:uid="{00000000-0005-0000-0000-000037000000}"/>
    <cellStyle name="Hyperlink 14 11" xfId="58" xr:uid="{00000000-0005-0000-0000-000038000000}"/>
    <cellStyle name="Hyperlink 14 12" xfId="59" xr:uid="{00000000-0005-0000-0000-000039000000}"/>
    <cellStyle name="Hyperlink 14 13" xfId="60" xr:uid="{00000000-0005-0000-0000-00003A000000}"/>
    <cellStyle name="Hyperlink 14 14" xfId="61" xr:uid="{00000000-0005-0000-0000-00003B000000}"/>
    <cellStyle name="Hyperlink 14 2" xfId="62" xr:uid="{00000000-0005-0000-0000-00003C000000}"/>
    <cellStyle name="Hyperlink 14 3" xfId="63" xr:uid="{00000000-0005-0000-0000-00003D000000}"/>
    <cellStyle name="Hyperlink 14 4" xfId="64" xr:uid="{00000000-0005-0000-0000-00003E000000}"/>
    <cellStyle name="Hyperlink 14 5" xfId="65" xr:uid="{00000000-0005-0000-0000-00003F000000}"/>
    <cellStyle name="Hyperlink 14 6" xfId="66" xr:uid="{00000000-0005-0000-0000-000040000000}"/>
    <cellStyle name="Hyperlink 14 7" xfId="67" xr:uid="{00000000-0005-0000-0000-000041000000}"/>
    <cellStyle name="Hyperlink 14 8" xfId="68" xr:uid="{00000000-0005-0000-0000-000042000000}"/>
    <cellStyle name="Hyperlink 14 9" xfId="69" xr:uid="{00000000-0005-0000-0000-000043000000}"/>
    <cellStyle name="Hyperlink 15 10" xfId="70" xr:uid="{00000000-0005-0000-0000-000044000000}"/>
    <cellStyle name="Hyperlink 15 11" xfId="71" xr:uid="{00000000-0005-0000-0000-000045000000}"/>
    <cellStyle name="Hyperlink 15 12" xfId="72" xr:uid="{00000000-0005-0000-0000-000046000000}"/>
    <cellStyle name="Hyperlink 15 13" xfId="73" xr:uid="{00000000-0005-0000-0000-000047000000}"/>
    <cellStyle name="Hyperlink 15 14" xfId="74" xr:uid="{00000000-0005-0000-0000-000048000000}"/>
    <cellStyle name="Hyperlink 15 2" xfId="75" xr:uid="{00000000-0005-0000-0000-000049000000}"/>
    <cellStyle name="Hyperlink 15 3" xfId="76" xr:uid="{00000000-0005-0000-0000-00004A000000}"/>
    <cellStyle name="Hyperlink 15 4" xfId="77" xr:uid="{00000000-0005-0000-0000-00004B000000}"/>
    <cellStyle name="Hyperlink 15 5" xfId="78" xr:uid="{00000000-0005-0000-0000-00004C000000}"/>
    <cellStyle name="Hyperlink 15 6" xfId="79" xr:uid="{00000000-0005-0000-0000-00004D000000}"/>
    <cellStyle name="Hyperlink 15 7" xfId="80" xr:uid="{00000000-0005-0000-0000-00004E000000}"/>
    <cellStyle name="Hyperlink 15 8" xfId="81" xr:uid="{00000000-0005-0000-0000-00004F000000}"/>
    <cellStyle name="Hyperlink 15 9" xfId="82" xr:uid="{00000000-0005-0000-0000-000050000000}"/>
    <cellStyle name="Hyperlink 16 10" xfId="83" xr:uid="{00000000-0005-0000-0000-000051000000}"/>
    <cellStyle name="Hyperlink 16 11" xfId="84" xr:uid="{00000000-0005-0000-0000-000052000000}"/>
    <cellStyle name="Hyperlink 16 12" xfId="85" xr:uid="{00000000-0005-0000-0000-000053000000}"/>
    <cellStyle name="Hyperlink 16 13" xfId="86" xr:uid="{00000000-0005-0000-0000-000054000000}"/>
    <cellStyle name="Hyperlink 16 14" xfId="87" xr:uid="{00000000-0005-0000-0000-000055000000}"/>
    <cellStyle name="Hyperlink 16 2" xfId="88" xr:uid="{00000000-0005-0000-0000-000056000000}"/>
    <cellStyle name="Hyperlink 16 3" xfId="89" xr:uid="{00000000-0005-0000-0000-000057000000}"/>
    <cellStyle name="Hyperlink 16 4" xfId="90" xr:uid="{00000000-0005-0000-0000-000058000000}"/>
    <cellStyle name="Hyperlink 16 5" xfId="91" xr:uid="{00000000-0005-0000-0000-000059000000}"/>
    <cellStyle name="Hyperlink 16 6" xfId="92" xr:uid="{00000000-0005-0000-0000-00005A000000}"/>
    <cellStyle name="Hyperlink 16 7" xfId="93" xr:uid="{00000000-0005-0000-0000-00005B000000}"/>
    <cellStyle name="Hyperlink 16 8" xfId="94" xr:uid="{00000000-0005-0000-0000-00005C000000}"/>
    <cellStyle name="Hyperlink 16 9" xfId="95" xr:uid="{00000000-0005-0000-0000-00005D000000}"/>
    <cellStyle name="Hyperlink 17 10" xfId="96" xr:uid="{00000000-0005-0000-0000-00005E000000}"/>
    <cellStyle name="Hyperlink 17 11" xfId="97" xr:uid="{00000000-0005-0000-0000-00005F000000}"/>
    <cellStyle name="Hyperlink 17 12" xfId="98" xr:uid="{00000000-0005-0000-0000-000060000000}"/>
    <cellStyle name="Hyperlink 17 13" xfId="99" xr:uid="{00000000-0005-0000-0000-000061000000}"/>
    <cellStyle name="Hyperlink 17 14" xfId="100" xr:uid="{00000000-0005-0000-0000-000062000000}"/>
    <cellStyle name="Hyperlink 17 2" xfId="101" xr:uid="{00000000-0005-0000-0000-000063000000}"/>
    <cellStyle name="Hyperlink 17 3" xfId="102" xr:uid="{00000000-0005-0000-0000-000064000000}"/>
    <cellStyle name="Hyperlink 17 4" xfId="103" xr:uid="{00000000-0005-0000-0000-000065000000}"/>
    <cellStyle name="Hyperlink 17 5" xfId="104" xr:uid="{00000000-0005-0000-0000-000066000000}"/>
    <cellStyle name="Hyperlink 17 6" xfId="105" xr:uid="{00000000-0005-0000-0000-000067000000}"/>
    <cellStyle name="Hyperlink 17 7" xfId="106" xr:uid="{00000000-0005-0000-0000-000068000000}"/>
    <cellStyle name="Hyperlink 17 8" xfId="107" xr:uid="{00000000-0005-0000-0000-000069000000}"/>
    <cellStyle name="Hyperlink 17 9" xfId="108" xr:uid="{00000000-0005-0000-0000-00006A000000}"/>
    <cellStyle name="Hyperlink 18 10" xfId="109" xr:uid="{00000000-0005-0000-0000-00006B000000}"/>
    <cellStyle name="Hyperlink 18 11" xfId="110" xr:uid="{00000000-0005-0000-0000-00006C000000}"/>
    <cellStyle name="Hyperlink 18 12" xfId="111" xr:uid="{00000000-0005-0000-0000-00006D000000}"/>
    <cellStyle name="Hyperlink 18 13" xfId="112" xr:uid="{00000000-0005-0000-0000-00006E000000}"/>
    <cellStyle name="Hyperlink 18 14" xfId="113" xr:uid="{00000000-0005-0000-0000-00006F000000}"/>
    <cellStyle name="Hyperlink 18 2" xfId="114" xr:uid="{00000000-0005-0000-0000-000070000000}"/>
    <cellStyle name="Hyperlink 18 3" xfId="115" xr:uid="{00000000-0005-0000-0000-000071000000}"/>
    <cellStyle name="Hyperlink 18 4" xfId="116" xr:uid="{00000000-0005-0000-0000-000072000000}"/>
    <cellStyle name="Hyperlink 18 5" xfId="117" xr:uid="{00000000-0005-0000-0000-000073000000}"/>
    <cellStyle name="Hyperlink 18 6" xfId="118" xr:uid="{00000000-0005-0000-0000-000074000000}"/>
    <cellStyle name="Hyperlink 18 7" xfId="119" xr:uid="{00000000-0005-0000-0000-000075000000}"/>
    <cellStyle name="Hyperlink 18 8" xfId="120" xr:uid="{00000000-0005-0000-0000-000076000000}"/>
    <cellStyle name="Hyperlink 18 9" xfId="121" xr:uid="{00000000-0005-0000-0000-000077000000}"/>
    <cellStyle name="Hyperlink 19 10" xfId="122" xr:uid="{00000000-0005-0000-0000-000078000000}"/>
    <cellStyle name="Hyperlink 19 11" xfId="123" xr:uid="{00000000-0005-0000-0000-000079000000}"/>
    <cellStyle name="Hyperlink 19 12" xfId="124" xr:uid="{00000000-0005-0000-0000-00007A000000}"/>
    <cellStyle name="Hyperlink 19 13" xfId="125" xr:uid="{00000000-0005-0000-0000-00007B000000}"/>
    <cellStyle name="Hyperlink 19 14" xfId="126" xr:uid="{00000000-0005-0000-0000-00007C000000}"/>
    <cellStyle name="Hyperlink 19 2" xfId="127" xr:uid="{00000000-0005-0000-0000-00007D000000}"/>
    <cellStyle name="Hyperlink 19 3" xfId="128" xr:uid="{00000000-0005-0000-0000-00007E000000}"/>
    <cellStyle name="Hyperlink 19 4" xfId="129" xr:uid="{00000000-0005-0000-0000-00007F000000}"/>
    <cellStyle name="Hyperlink 19 5" xfId="130" xr:uid="{00000000-0005-0000-0000-000080000000}"/>
    <cellStyle name="Hyperlink 19 6" xfId="131" xr:uid="{00000000-0005-0000-0000-000081000000}"/>
    <cellStyle name="Hyperlink 19 7" xfId="132" xr:uid="{00000000-0005-0000-0000-000082000000}"/>
    <cellStyle name="Hyperlink 19 8" xfId="133" xr:uid="{00000000-0005-0000-0000-000083000000}"/>
    <cellStyle name="Hyperlink 19 9" xfId="134" xr:uid="{00000000-0005-0000-0000-000084000000}"/>
    <cellStyle name="Hyperlink 2" xfId="135" xr:uid="{00000000-0005-0000-0000-000085000000}"/>
    <cellStyle name="Hyperlink 2 10" xfId="136" xr:uid="{00000000-0005-0000-0000-000086000000}"/>
    <cellStyle name="Hyperlink 2 11" xfId="137" xr:uid="{00000000-0005-0000-0000-000087000000}"/>
    <cellStyle name="Hyperlink 2 12" xfId="138" xr:uid="{00000000-0005-0000-0000-000088000000}"/>
    <cellStyle name="Hyperlink 2 13" xfId="139" xr:uid="{00000000-0005-0000-0000-000089000000}"/>
    <cellStyle name="Hyperlink 2 14" xfId="140" xr:uid="{00000000-0005-0000-0000-00008A000000}"/>
    <cellStyle name="Hyperlink 2 14 2" xfId="141" xr:uid="{00000000-0005-0000-0000-00008B000000}"/>
    <cellStyle name="Hyperlink 2 14 3" xfId="142" xr:uid="{00000000-0005-0000-0000-00008C000000}"/>
    <cellStyle name="Hyperlink 2 14 4" xfId="143" xr:uid="{00000000-0005-0000-0000-00008D000000}"/>
    <cellStyle name="Hyperlink 2 14 5" xfId="144" xr:uid="{00000000-0005-0000-0000-00008E000000}"/>
    <cellStyle name="Hyperlink 2 14 6" xfId="145" xr:uid="{00000000-0005-0000-0000-00008F000000}"/>
    <cellStyle name="Hyperlink 2 14 7" xfId="146" xr:uid="{00000000-0005-0000-0000-000090000000}"/>
    <cellStyle name="Hyperlink 2 14 8" xfId="147" xr:uid="{00000000-0005-0000-0000-000091000000}"/>
    <cellStyle name="Hyperlink 2 15" xfId="148" xr:uid="{00000000-0005-0000-0000-000092000000}"/>
    <cellStyle name="Hyperlink 2 16" xfId="149" xr:uid="{00000000-0005-0000-0000-000093000000}"/>
    <cellStyle name="Hyperlink 2 17" xfId="150" xr:uid="{00000000-0005-0000-0000-000094000000}"/>
    <cellStyle name="Hyperlink 2 18" xfId="151" xr:uid="{00000000-0005-0000-0000-000095000000}"/>
    <cellStyle name="Hyperlink 2 19" xfId="152" xr:uid="{00000000-0005-0000-0000-000096000000}"/>
    <cellStyle name="Hyperlink 2 2" xfId="153" xr:uid="{00000000-0005-0000-0000-000097000000}"/>
    <cellStyle name="Hyperlink 2 20" xfId="154" xr:uid="{00000000-0005-0000-0000-000098000000}"/>
    <cellStyle name="Hyperlink 2 21" xfId="155" xr:uid="{00000000-0005-0000-0000-000099000000}"/>
    <cellStyle name="Hyperlink 2 22" xfId="156" xr:uid="{00000000-0005-0000-0000-00009A000000}"/>
    <cellStyle name="Hyperlink 2 3" xfId="157" xr:uid="{00000000-0005-0000-0000-00009B000000}"/>
    <cellStyle name="Hyperlink 2 4" xfId="158" xr:uid="{00000000-0005-0000-0000-00009C000000}"/>
    <cellStyle name="Hyperlink 2 5" xfId="159" xr:uid="{00000000-0005-0000-0000-00009D000000}"/>
    <cellStyle name="Hyperlink 2 6" xfId="160" xr:uid="{00000000-0005-0000-0000-00009E000000}"/>
    <cellStyle name="Hyperlink 2 7" xfId="161" xr:uid="{00000000-0005-0000-0000-00009F000000}"/>
    <cellStyle name="Hyperlink 2 8" xfId="162" xr:uid="{00000000-0005-0000-0000-0000A0000000}"/>
    <cellStyle name="Hyperlink 2 9" xfId="163" xr:uid="{00000000-0005-0000-0000-0000A1000000}"/>
    <cellStyle name="Hyperlink 20 10" xfId="164" xr:uid="{00000000-0005-0000-0000-0000A2000000}"/>
    <cellStyle name="Hyperlink 20 11" xfId="165" xr:uid="{00000000-0005-0000-0000-0000A3000000}"/>
    <cellStyle name="Hyperlink 20 12" xfId="166" xr:uid="{00000000-0005-0000-0000-0000A4000000}"/>
    <cellStyle name="Hyperlink 20 13" xfId="167" xr:uid="{00000000-0005-0000-0000-0000A5000000}"/>
    <cellStyle name="Hyperlink 20 14" xfId="168" xr:uid="{00000000-0005-0000-0000-0000A6000000}"/>
    <cellStyle name="Hyperlink 20 2" xfId="169" xr:uid="{00000000-0005-0000-0000-0000A7000000}"/>
    <cellStyle name="Hyperlink 20 3" xfId="170" xr:uid="{00000000-0005-0000-0000-0000A8000000}"/>
    <cellStyle name="Hyperlink 20 4" xfId="171" xr:uid="{00000000-0005-0000-0000-0000A9000000}"/>
    <cellStyle name="Hyperlink 20 5" xfId="172" xr:uid="{00000000-0005-0000-0000-0000AA000000}"/>
    <cellStyle name="Hyperlink 20 6" xfId="173" xr:uid="{00000000-0005-0000-0000-0000AB000000}"/>
    <cellStyle name="Hyperlink 20 7" xfId="174" xr:uid="{00000000-0005-0000-0000-0000AC000000}"/>
    <cellStyle name="Hyperlink 20 8" xfId="175" xr:uid="{00000000-0005-0000-0000-0000AD000000}"/>
    <cellStyle name="Hyperlink 20 9" xfId="176" xr:uid="{00000000-0005-0000-0000-0000AE000000}"/>
    <cellStyle name="Hyperlink 21 10" xfId="177" xr:uid="{00000000-0005-0000-0000-0000AF000000}"/>
    <cellStyle name="Hyperlink 21 11" xfId="178" xr:uid="{00000000-0005-0000-0000-0000B0000000}"/>
    <cellStyle name="Hyperlink 21 12" xfId="179" xr:uid="{00000000-0005-0000-0000-0000B1000000}"/>
    <cellStyle name="Hyperlink 21 13" xfId="180" xr:uid="{00000000-0005-0000-0000-0000B2000000}"/>
    <cellStyle name="Hyperlink 21 14" xfId="181" xr:uid="{00000000-0005-0000-0000-0000B3000000}"/>
    <cellStyle name="Hyperlink 21 2" xfId="182" xr:uid="{00000000-0005-0000-0000-0000B4000000}"/>
    <cellStyle name="Hyperlink 21 3" xfId="183" xr:uid="{00000000-0005-0000-0000-0000B5000000}"/>
    <cellStyle name="Hyperlink 21 4" xfId="184" xr:uid="{00000000-0005-0000-0000-0000B6000000}"/>
    <cellStyle name="Hyperlink 21 5" xfId="185" xr:uid="{00000000-0005-0000-0000-0000B7000000}"/>
    <cellStyle name="Hyperlink 21 6" xfId="186" xr:uid="{00000000-0005-0000-0000-0000B8000000}"/>
    <cellStyle name="Hyperlink 21 7" xfId="187" xr:uid="{00000000-0005-0000-0000-0000B9000000}"/>
    <cellStyle name="Hyperlink 21 8" xfId="188" xr:uid="{00000000-0005-0000-0000-0000BA000000}"/>
    <cellStyle name="Hyperlink 21 9" xfId="189" xr:uid="{00000000-0005-0000-0000-0000BB000000}"/>
    <cellStyle name="Hyperlink 22 10" xfId="190" xr:uid="{00000000-0005-0000-0000-0000BC000000}"/>
    <cellStyle name="Hyperlink 22 11" xfId="191" xr:uid="{00000000-0005-0000-0000-0000BD000000}"/>
    <cellStyle name="Hyperlink 22 12" xfId="192" xr:uid="{00000000-0005-0000-0000-0000BE000000}"/>
    <cellStyle name="Hyperlink 22 13" xfId="193" xr:uid="{00000000-0005-0000-0000-0000BF000000}"/>
    <cellStyle name="Hyperlink 22 14" xfId="194" xr:uid="{00000000-0005-0000-0000-0000C0000000}"/>
    <cellStyle name="Hyperlink 22 2" xfId="195" xr:uid="{00000000-0005-0000-0000-0000C1000000}"/>
    <cellStyle name="Hyperlink 22 3" xfId="196" xr:uid="{00000000-0005-0000-0000-0000C2000000}"/>
    <cellStyle name="Hyperlink 22 4" xfId="197" xr:uid="{00000000-0005-0000-0000-0000C3000000}"/>
    <cellStyle name="Hyperlink 22 5" xfId="198" xr:uid="{00000000-0005-0000-0000-0000C4000000}"/>
    <cellStyle name="Hyperlink 22 6" xfId="199" xr:uid="{00000000-0005-0000-0000-0000C5000000}"/>
    <cellStyle name="Hyperlink 22 7" xfId="200" xr:uid="{00000000-0005-0000-0000-0000C6000000}"/>
    <cellStyle name="Hyperlink 22 8" xfId="201" xr:uid="{00000000-0005-0000-0000-0000C7000000}"/>
    <cellStyle name="Hyperlink 22 9" xfId="202" xr:uid="{00000000-0005-0000-0000-0000C8000000}"/>
    <cellStyle name="Hyperlink 23 10" xfId="203" xr:uid="{00000000-0005-0000-0000-0000C9000000}"/>
    <cellStyle name="Hyperlink 23 11" xfId="204" xr:uid="{00000000-0005-0000-0000-0000CA000000}"/>
    <cellStyle name="Hyperlink 23 12" xfId="205" xr:uid="{00000000-0005-0000-0000-0000CB000000}"/>
    <cellStyle name="Hyperlink 23 13" xfId="206" xr:uid="{00000000-0005-0000-0000-0000CC000000}"/>
    <cellStyle name="Hyperlink 23 14" xfId="207" xr:uid="{00000000-0005-0000-0000-0000CD000000}"/>
    <cellStyle name="Hyperlink 23 2" xfId="208" xr:uid="{00000000-0005-0000-0000-0000CE000000}"/>
    <cellStyle name="Hyperlink 23 3" xfId="209" xr:uid="{00000000-0005-0000-0000-0000CF000000}"/>
    <cellStyle name="Hyperlink 23 4" xfId="210" xr:uid="{00000000-0005-0000-0000-0000D0000000}"/>
    <cellStyle name="Hyperlink 23 5" xfId="211" xr:uid="{00000000-0005-0000-0000-0000D1000000}"/>
    <cellStyle name="Hyperlink 23 6" xfId="212" xr:uid="{00000000-0005-0000-0000-0000D2000000}"/>
    <cellStyle name="Hyperlink 23 7" xfId="213" xr:uid="{00000000-0005-0000-0000-0000D3000000}"/>
    <cellStyle name="Hyperlink 23 8" xfId="214" xr:uid="{00000000-0005-0000-0000-0000D4000000}"/>
    <cellStyle name="Hyperlink 23 9" xfId="215" xr:uid="{00000000-0005-0000-0000-0000D5000000}"/>
    <cellStyle name="Hyperlink 24 10" xfId="216" xr:uid="{00000000-0005-0000-0000-0000D6000000}"/>
    <cellStyle name="Hyperlink 24 11" xfId="217" xr:uid="{00000000-0005-0000-0000-0000D7000000}"/>
    <cellStyle name="Hyperlink 24 12" xfId="218" xr:uid="{00000000-0005-0000-0000-0000D8000000}"/>
    <cellStyle name="Hyperlink 24 13" xfId="219" xr:uid="{00000000-0005-0000-0000-0000D9000000}"/>
    <cellStyle name="Hyperlink 24 14" xfId="220" xr:uid="{00000000-0005-0000-0000-0000DA000000}"/>
    <cellStyle name="Hyperlink 24 2" xfId="221" xr:uid="{00000000-0005-0000-0000-0000DB000000}"/>
    <cellStyle name="Hyperlink 24 3" xfId="222" xr:uid="{00000000-0005-0000-0000-0000DC000000}"/>
    <cellStyle name="Hyperlink 24 4" xfId="223" xr:uid="{00000000-0005-0000-0000-0000DD000000}"/>
    <cellStyle name="Hyperlink 24 5" xfId="224" xr:uid="{00000000-0005-0000-0000-0000DE000000}"/>
    <cellStyle name="Hyperlink 24 6" xfId="225" xr:uid="{00000000-0005-0000-0000-0000DF000000}"/>
    <cellStyle name="Hyperlink 24 7" xfId="226" xr:uid="{00000000-0005-0000-0000-0000E0000000}"/>
    <cellStyle name="Hyperlink 24 8" xfId="227" xr:uid="{00000000-0005-0000-0000-0000E1000000}"/>
    <cellStyle name="Hyperlink 24 9" xfId="228" xr:uid="{00000000-0005-0000-0000-0000E2000000}"/>
    <cellStyle name="Hyperlink 3" xfId="229" xr:uid="{00000000-0005-0000-0000-0000E3000000}"/>
    <cellStyle name="Hyperlink 3 10" xfId="230" xr:uid="{00000000-0005-0000-0000-0000E4000000}"/>
    <cellStyle name="Hyperlink 3 11" xfId="231" xr:uid="{00000000-0005-0000-0000-0000E5000000}"/>
    <cellStyle name="Hyperlink 3 12" xfId="232" xr:uid="{00000000-0005-0000-0000-0000E6000000}"/>
    <cellStyle name="Hyperlink 3 13" xfId="233" xr:uid="{00000000-0005-0000-0000-0000E7000000}"/>
    <cellStyle name="Hyperlink 3 14" xfId="234" xr:uid="{00000000-0005-0000-0000-0000E8000000}"/>
    <cellStyle name="Hyperlink 3 2" xfId="235" xr:uid="{00000000-0005-0000-0000-0000E9000000}"/>
    <cellStyle name="Hyperlink 3 3" xfId="236" xr:uid="{00000000-0005-0000-0000-0000EA000000}"/>
    <cellStyle name="Hyperlink 3 4" xfId="237" xr:uid="{00000000-0005-0000-0000-0000EB000000}"/>
    <cellStyle name="Hyperlink 3 5" xfId="238" xr:uid="{00000000-0005-0000-0000-0000EC000000}"/>
    <cellStyle name="Hyperlink 3 6" xfId="239" xr:uid="{00000000-0005-0000-0000-0000ED000000}"/>
    <cellStyle name="Hyperlink 3 7" xfId="240" xr:uid="{00000000-0005-0000-0000-0000EE000000}"/>
    <cellStyle name="Hyperlink 3 8" xfId="241" xr:uid="{00000000-0005-0000-0000-0000EF000000}"/>
    <cellStyle name="Hyperlink 3 9" xfId="242" xr:uid="{00000000-0005-0000-0000-0000F0000000}"/>
    <cellStyle name="Hyperlink 32" xfId="243" xr:uid="{00000000-0005-0000-0000-0000F1000000}"/>
    <cellStyle name="Hyperlink 33" xfId="244" xr:uid="{00000000-0005-0000-0000-0000F2000000}"/>
    <cellStyle name="Hyperlink 4" xfId="245" xr:uid="{00000000-0005-0000-0000-0000F3000000}"/>
    <cellStyle name="Hyperlink 4 10" xfId="246" xr:uid="{00000000-0005-0000-0000-0000F4000000}"/>
    <cellStyle name="Hyperlink 4 11" xfId="247" xr:uid="{00000000-0005-0000-0000-0000F5000000}"/>
    <cellStyle name="Hyperlink 4 12" xfId="248" xr:uid="{00000000-0005-0000-0000-0000F6000000}"/>
    <cellStyle name="Hyperlink 4 13" xfId="249" xr:uid="{00000000-0005-0000-0000-0000F7000000}"/>
    <cellStyle name="Hyperlink 4 14" xfId="250" xr:uid="{00000000-0005-0000-0000-0000F8000000}"/>
    <cellStyle name="Hyperlink 4 2" xfId="251" xr:uid="{00000000-0005-0000-0000-0000F9000000}"/>
    <cellStyle name="Hyperlink 4 3" xfId="252" xr:uid="{00000000-0005-0000-0000-0000FA000000}"/>
    <cellStyle name="Hyperlink 4 4" xfId="253" xr:uid="{00000000-0005-0000-0000-0000FB000000}"/>
    <cellStyle name="Hyperlink 4 5" xfId="254" xr:uid="{00000000-0005-0000-0000-0000FC000000}"/>
    <cellStyle name="Hyperlink 4 6" xfId="255" xr:uid="{00000000-0005-0000-0000-0000FD000000}"/>
    <cellStyle name="Hyperlink 4 7" xfId="256" xr:uid="{00000000-0005-0000-0000-0000FE000000}"/>
    <cellStyle name="Hyperlink 4 8" xfId="257" xr:uid="{00000000-0005-0000-0000-0000FF000000}"/>
    <cellStyle name="Hyperlink 4 9" xfId="258" xr:uid="{00000000-0005-0000-0000-000000010000}"/>
    <cellStyle name="Hyperlink 5" xfId="259" xr:uid="{00000000-0005-0000-0000-000001010000}"/>
    <cellStyle name="Hyperlink 5 10" xfId="260" xr:uid="{00000000-0005-0000-0000-000002010000}"/>
    <cellStyle name="Hyperlink 5 11" xfId="261" xr:uid="{00000000-0005-0000-0000-000003010000}"/>
    <cellStyle name="Hyperlink 5 12" xfId="262" xr:uid="{00000000-0005-0000-0000-000004010000}"/>
    <cellStyle name="Hyperlink 5 13" xfId="263" xr:uid="{00000000-0005-0000-0000-000005010000}"/>
    <cellStyle name="Hyperlink 5 14" xfId="264" xr:uid="{00000000-0005-0000-0000-000006010000}"/>
    <cellStyle name="Hyperlink 5 2" xfId="265" xr:uid="{00000000-0005-0000-0000-000007010000}"/>
    <cellStyle name="Hyperlink 5 3" xfId="266" xr:uid="{00000000-0005-0000-0000-000008010000}"/>
    <cellStyle name="Hyperlink 5 4" xfId="267" xr:uid="{00000000-0005-0000-0000-000009010000}"/>
    <cellStyle name="Hyperlink 5 5" xfId="268" xr:uid="{00000000-0005-0000-0000-00000A010000}"/>
    <cellStyle name="Hyperlink 5 6" xfId="269" xr:uid="{00000000-0005-0000-0000-00000B010000}"/>
    <cellStyle name="Hyperlink 5 7" xfId="270" xr:uid="{00000000-0005-0000-0000-00000C010000}"/>
    <cellStyle name="Hyperlink 5 8" xfId="271" xr:uid="{00000000-0005-0000-0000-00000D010000}"/>
    <cellStyle name="Hyperlink 5 9" xfId="272" xr:uid="{00000000-0005-0000-0000-00000E010000}"/>
    <cellStyle name="Hyperlink 6" xfId="273" xr:uid="{00000000-0005-0000-0000-00000F010000}"/>
    <cellStyle name="Hyperlink 6 10" xfId="274" xr:uid="{00000000-0005-0000-0000-000010010000}"/>
    <cellStyle name="Hyperlink 6 11" xfId="275" xr:uid="{00000000-0005-0000-0000-000011010000}"/>
    <cellStyle name="Hyperlink 6 12" xfId="276" xr:uid="{00000000-0005-0000-0000-000012010000}"/>
    <cellStyle name="Hyperlink 6 13" xfId="277" xr:uid="{00000000-0005-0000-0000-000013010000}"/>
    <cellStyle name="Hyperlink 6 14" xfId="278" xr:uid="{00000000-0005-0000-0000-000014010000}"/>
    <cellStyle name="Hyperlink 6 2" xfId="279" xr:uid="{00000000-0005-0000-0000-000015010000}"/>
    <cellStyle name="Hyperlink 6 3" xfId="280" xr:uid="{00000000-0005-0000-0000-000016010000}"/>
    <cellStyle name="Hyperlink 6 4" xfId="281" xr:uid="{00000000-0005-0000-0000-000017010000}"/>
    <cellStyle name="Hyperlink 6 5" xfId="282" xr:uid="{00000000-0005-0000-0000-000018010000}"/>
    <cellStyle name="Hyperlink 6 6" xfId="283" xr:uid="{00000000-0005-0000-0000-000019010000}"/>
    <cellStyle name="Hyperlink 6 7" xfId="284" xr:uid="{00000000-0005-0000-0000-00001A010000}"/>
    <cellStyle name="Hyperlink 6 8" xfId="285" xr:uid="{00000000-0005-0000-0000-00001B010000}"/>
    <cellStyle name="Hyperlink 6 9" xfId="286" xr:uid="{00000000-0005-0000-0000-00001C010000}"/>
    <cellStyle name="Hyperlink 7" xfId="287" xr:uid="{00000000-0005-0000-0000-00001D010000}"/>
    <cellStyle name="Hyperlink 7 10" xfId="288" xr:uid="{00000000-0005-0000-0000-00001E010000}"/>
    <cellStyle name="Hyperlink 7 11" xfId="289" xr:uid="{00000000-0005-0000-0000-00001F010000}"/>
    <cellStyle name="Hyperlink 7 12" xfId="290" xr:uid="{00000000-0005-0000-0000-000020010000}"/>
    <cellStyle name="Hyperlink 7 13" xfId="291" xr:uid="{00000000-0005-0000-0000-000021010000}"/>
    <cellStyle name="Hyperlink 7 14" xfId="292" xr:uid="{00000000-0005-0000-0000-000022010000}"/>
    <cellStyle name="Hyperlink 7 15" xfId="293" xr:uid="{00000000-0005-0000-0000-000023010000}"/>
    <cellStyle name="Hyperlink 7 15 2" xfId="294" xr:uid="{00000000-0005-0000-0000-000024010000}"/>
    <cellStyle name="Hyperlink 7 2" xfId="295" xr:uid="{00000000-0005-0000-0000-000025010000}"/>
    <cellStyle name="Hyperlink 7 3" xfId="296" xr:uid="{00000000-0005-0000-0000-000026010000}"/>
    <cellStyle name="Hyperlink 7 4" xfId="297" xr:uid="{00000000-0005-0000-0000-000027010000}"/>
    <cellStyle name="Hyperlink 7 5" xfId="298" xr:uid="{00000000-0005-0000-0000-000028010000}"/>
    <cellStyle name="Hyperlink 7 6" xfId="299" xr:uid="{00000000-0005-0000-0000-000029010000}"/>
    <cellStyle name="Hyperlink 7 7" xfId="300" xr:uid="{00000000-0005-0000-0000-00002A010000}"/>
    <cellStyle name="Hyperlink 7 8" xfId="301" xr:uid="{00000000-0005-0000-0000-00002B010000}"/>
    <cellStyle name="Hyperlink 7 9" xfId="302" xr:uid="{00000000-0005-0000-0000-00002C010000}"/>
    <cellStyle name="Hyperlink 8 10" xfId="303" xr:uid="{00000000-0005-0000-0000-00002D010000}"/>
    <cellStyle name="Hyperlink 8 11" xfId="304" xr:uid="{00000000-0005-0000-0000-00002E010000}"/>
    <cellStyle name="Hyperlink 8 12" xfId="305" xr:uid="{00000000-0005-0000-0000-00002F010000}"/>
    <cellStyle name="Hyperlink 8 13" xfId="306" xr:uid="{00000000-0005-0000-0000-000030010000}"/>
    <cellStyle name="Hyperlink 8 14" xfId="307" xr:uid="{00000000-0005-0000-0000-000031010000}"/>
    <cellStyle name="Hyperlink 8 2" xfId="308" xr:uid="{00000000-0005-0000-0000-000032010000}"/>
    <cellStyle name="Hyperlink 8 3" xfId="309" xr:uid="{00000000-0005-0000-0000-000033010000}"/>
    <cellStyle name="Hyperlink 8 4" xfId="310" xr:uid="{00000000-0005-0000-0000-000034010000}"/>
    <cellStyle name="Hyperlink 8 5" xfId="311" xr:uid="{00000000-0005-0000-0000-000035010000}"/>
    <cellStyle name="Hyperlink 8 6" xfId="312" xr:uid="{00000000-0005-0000-0000-000036010000}"/>
    <cellStyle name="Hyperlink 8 7" xfId="313" xr:uid="{00000000-0005-0000-0000-000037010000}"/>
    <cellStyle name="Hyperlink 8 8" xfId="314" xr:uid="{00000000-0005-0000-0000-000038010000}"/>
    <cellStyle name="Hyperlink 8 9" xfId="315" xr:uid="{00000000-0005-0000-0000-000039010000}"/>
    <cellStyle name="Hyperlink 9 10" xfId="316" xr:uid="{00000000-0005-0000-0000-00003A010000}"/>
    <cellStyle name="Hyperlink 9 11" xfId="317" xr:uid="{00000000-0005-0000-0000-00003B010000}"/>
    <cellStyle name="Hyperlink 9 12" xfId="318" xr:uid="{00000000-0005-0000-0000-00003C010000}"/>
    <cellStyle name="Hyperlink 9 13" xfId="319" xr:uid="{00000000-0005-0000-0000-00003D010000}"/>
    <cellStyle name="Hyperlink 9 14" xfId="320" xr:uid="{00000000-0005-0000-0000-00003E010000}"/>
    <cellStyle name="Hyperlink 9 2" xfId="321" xr:uid="{00000000-0005-0000-0000-00003F010000}"/>
    <cellStyle name="Hyperlink 9 3" xfId="322" xr:uid="{00000000-0005-0000-0000-000040010000}"/>
    <cellStyle name="Hyperlink 9 4" xfId="323" xr:uid="{00000000-0005-0000-0000-000041010000}"/>
    <cellStyle name="Hyperlink 9 5" xfId="324" xr:uid="{00000000-0005-0000-0000-000042010000}"/>
    <cellStyle name="Hyperlink 9 6" xfId="325" xr:uid="{00000000-0005-0000-0000-000043010000}"/>
    <cellStyle name="Hyperlink 9 7" xfId="326" xr:uid="{00000000-0005-0000-0000-000044010000}"/>
    <cellStyle name="Hyperlink 9 8" xfId="327" xr:uid="{00000000-0005-0000-0000-000045010000}"/>
    <cellStyle name="Hyperlink 9 9" xfId="328" xr:uid="{00000000-0005-0000-0000-000046010000}"/>
    <cellStyle name="Normal" xfId="0" builtinId="0"/>
    <cellStyle name="Normal 10" xfId="329" xr:uid="{00000000-0005-0000-0000-000048010000}"/>
    <cellStyle name="Normal 10 10" xfId="330" xr:uid="{00000000-0005-0000-0000-000049010000}"/>
    <cellStyle name="Normal 10 11" xfId="331" xr:uid="{00000000-0005-0000-0000-00004A010000}"/>
    <cellStyle name="Normal 10 12" xfId="332" xr:uid="{00000000-0005-0000-0000-00004B010000}"/>
    <cellStyle name="Normal 10 13" xfId="333" xr:uid="{00000000-0005-0000-0000-00004C010000}"/>
    <cellStyle name="Normal 10 14" xfId="334" xr:uid="{00000000-0005-0000-0000-00004D010000}"/>
    <cellStyle name="Normal 10 15" xfId="335" xr:uid="{00000000-0005-0000-0000-00004E010000}"/>
    <cellStyle name="Normal 10 16" xfId="336" xr:uid="{00000000-0005-0000-0000-00004F010000}"/>
    <cellStyle name="Normal 10 17" xfId="337" xr:uid="{00000000-0005-0000-0000-000050010000}"/>
    <cellStyle name="Normal 10 2" xfId="338" xr:uid="{00000000-0005-0000-0000-000051010000}"/>
    <cellStyle name="Normal 10 3" xfId="339" xr:uid="{00000000-0005-0000-0000-000052010000}"/>
    <cellStyle name="Normal 10 4" xfId="340" xr:uid="{00000000-0005-0000-0000-000053010000}"/>
    <cellStyle name="Normal 10 5" xfId="341" xr:uid="{00000000-0005-0000-0000-000054010000}"/>
    <cellStyle name="Normal 10 6" xfId="342" xr:uid="{00000000-0005-0000-0000-000055010000}"/>
    <cellStyle name="Normal 10 7" xfId="343" xr:uid="{00000000-0005-0000-0000-000056010000}"/>
    <cellStyle name="Normal 10 8" xfId="344" xr:uid="{00000000-0005-0000-0000-000057010000}"/>
    <cellStyle name="Normal 10 9" xfId="345" xr:uid="{00000000-0005-0000-0000-000058010000}"/>
    <cellStyle name="Normal 11" xfId="346" xr:uid="{00000000-0005-0000-0000-000059010000}"/>
    <cellStyle name="Normal 11 10" xfId="347" xr:uid="{00000000-0005-0000-0000-00005A010000}"/>
    <cellStyle name="Normal 11 11" xfId="348" xr:uid="{00000000-0005-0000-0000-00005B010000}"/>
    <cellStyle name="Normal 11 12" xfId="349" xr:uid="{00000000-0005-0000-0000-00005C010000}"/>
    <cellStyle name="Normal 11 13" xfId="350" xr:uid="{00000000-0005-0000-0000-00005D010000}"/>
    <cellStyle name="Normal 11 14" xfId="351" xr:uid="{00000000-0005-0000-0000-00005E010000}"/>
    <cellStyle name="Normal 11 15" xfId="352" xr:uid="{00000000-0005-0000-0000-00005F010000}"/>
    <cellStyle name="Normal 11 16" xfId="353" xr:uid="{00000000-0005-0000-0000-000060010000}"/>
    <cellStyle name="Normal 11 17" xfId="354" xr:uid="{00000000-0005-0000-0000-000061010000}"/>
    <cellStyle name="Normal 11 2" xfId="355" xr:uid="{00000000-0005-0000-0000-000062010000}"/>
    <cellStyle name="Normal 11 3" xfId="356" xr:uid="{00000000-0005-0000-0000-000063010000}"/>
    <cellStyle name="Normal 11 4" xfId="357" xr:uid="{00000000-0005-0000-0000-000064010000}"/>
    <cellStyle name="Normal 11 5" xfId="358" xr:uid="{00000000-0005-0000-0000-000065010000}"/>
    <cellStyle name="Normal 11 6" xfId="359" xr:uid="{00000000-0005-0000-0000-000066010000}"/>
    <cellStyle name="Normal 11 7" xfId="360" xr:uid="{00000000-0005-0000-0000-000067010000}"/>
    <cellStyle name="Normal 11 8" xfId="361" xr:uid="{00000000-0005-0000-0000-000068010000}"/>
    <cellStyle name="Normal 11 9" xfId="362" xr:uid="{00000000-0005-0000-0000-000069010000}"/>
    <cellStyle name="Normal 12" xfId="363" xr:uid="{00000000-0005-0000-0000-00006A010000}"/>
    <cellStyle name="Normal 12 10" xfId="364" xr:uid="{00000000-0005-0000-0000-00006B010000}"/>
    <cellStyle name="Normal 12 11" xfId="365" xr:uid="{00000000-0005-0000-0000-00006C010000}"/>
    <cellStyle name="Normal 12 12" xfId="366" xr:uid="{00000000-0005-0000-0000-00006D010000}"/>
    <cellStyle name="Normal 12 13" xfId="367" xr:uid="{00000000-0005-0000-0000-00006E010000}"/>
    <cellStyle name="Normal 12 14" xfId="368" xr:uid="{00000000-0005-0000-0000-00006F010000}"/>
    <cellStyle name="Normal 12 15" xfId="369" xr:uid="{00000000-0005-0000-0000-000070010000}"/>
    <cellStyle name="Normal 12 16" xfId="370" xr:uid="{00000000-0005-0000-0000-000071010000}"/>
    <cellStyle name="Normal 12 17" xfId="371" xr:uid="{00000000-0005-0000-0000-000072010000}"/>
    <cellStyle name="Normal 12 2" xfId="372" xr:uid="{00000000-0005-0000-0000-000073010000}"/>
    <cellStyle name="Normal 12 3" xfId="373" xr:uid="{00000000-0005-0000-0000-000074010000}"/>
    <cellStyle name="Normal 12 4" xfId="374" xr:uid="{00000000-0005-0000-0000-000075010000}"/>
    <cellStyle name="Normal 12 5" xfId="375" xr:uid="{00000000-0005-0000-0000-000076010000}"/>
    <cellStyle name="Normal 12 6" xfId="376" xr:uid="{00000000-0005-0000-0000-000077010000}"/>
    <cellStyle name="Normal 12 7" xfId="377" xr:uid="{00000000-0005-0000-0000-000078010000}"/>
    <cellStyle name="Normal 12 8" xfId="378" xr:uid="{00000000-0005-0000-0000-000079010000}"/>
    <cellStyle name="Normal 12 9" xfId="379" xr:uid="{00000000-0005-0000-0000-00007A010000}"/>
    <cellStyle name="Normal 13" xfId="380" xr:uid="{00000000-0005-0000-0000-00007B010000}"/>
    <cellStyle name="Normal 13 10" xfId="381" xr:uid="{00000000-0005-0000-0000-00007C010000}"/>
    <cellStyle name="Normal 13 11" xfId="382" xr:uid="{00000000-0005-0000-0000-00007D010000}"/>
    <cellStyle name="Normal 13 12" xfId="383" xr:uid="{00000000-0005-0000-0000-00007E010000}"/>
    <cellStyle name="Normal 13 13" xfId="384" xr:uid="{00000000-0005-0000-0000-00007F010000}"/>
    <cellStyle name="Normal 13 14" xfId="385" xr:uid="{00000000-0005-0000-0000-000080010000}"/>
    <cellStyle name="Normal 13 15" xfId="386" xr:uid="{00000000-0005-0000-0000-000081010000}"/>
    <cellStyle name="Normal 13 16" xfId="387" xr:uid="{00000000-0005-0000-0000-000082010000}"/>
    <cellStyle name="Normal 13 17" xfId="388" xr:uid="{00000000-0005-0000-0000-000083010000}"/>
    <cellStyle name="Normal 13 2" xfId="389" xr:uid="{00000000-0005-0000-0000-000084010000}"/>
    <cellStyle name="Normal 13 3" xfId="390" xr:uid="{00000000-0005-0000-0000-000085010000}"/>
    <cellStyle name="Normal 13 4" xfId="391" xr:uid="{00000000-0005-0000-0000-000086010000}"/>
    <cellStyle name="Normal 13 5" xfId="392" xr:uid="{00000000-0005-0000-0000-000087010000}"/>
    <cellStyle name="Normal 13 6" xfId="393" xr:uid="{00000000-0005-0000-0000-000088010000}"/>
    <cellStyle name="Normal 13 7" xfId="394" xr:uid="{00000000-0005-0000-0000-000089010000}"/>
    <cellStyle name="Normal 13 8" xfId="395" xr:uid="{00000000-0005-0000-0000-00008A010000}"/>
    <cellStyle name="Normal 13 9" xfId="396" xr:uid="{00000000-0005-0000-0000-00008B010000}"/>
    <cellStyle name="Normal 14" xfId="397" xr:uid="{00000000-0005-0000-0000-00008C010000}"/>
    <cellStyle name="Normal 14 10" xfId="398" xr:uid="{00000000-0005-0000-0000-00008D010000}"/>
    <cellStyle name="Normal 14 11" xfId="399" xr:uid="{00000000-0005-0000-0000-00008E010000}"/>
    <cellStyle name="Normal 14 12" xfId="400" xr:uid="{00000000-0005-0000-0000-00008F010000}"/>
    <cellStyle name="Normal 14 13" xfId="401" xr:uid="{00000000-0005-0000-0000-000090010000}"/>
    <cellStyle name="Normal 14 14" xfId="402" xr:uid="{00000000-0005-0000-0000-000091010000}"/>
    <cellStyle name="Normal 14 15" xfId="403" xr:uid="{00000000-0005-0000-0000-000092010000}"/>
    <cellStyle name="Normal 14 16" xfId="404" xr:uid="{00000000-0005-0000-0000-000093010000}"/>
    <cellStyle name="Normal 14 17" xfId="405" xr:uid="{00000000-0005-0000-0000-000094010000}"/>
    <cellStyle name="Normal 14 2" xfId="406" xr:uid="{00000000-0005-0000-0000-000095010000}"/>
    <cellStyle name="Normal 14 3" xfId="407" xr:uid="{00000000-0005-0000-0000-000096010000}"/>
    <cellStyle name="Normal 14 4" xfId="408" xr:uid="{00000000-0005-0000-0000-000097010000}"/>
    <cellStyle name="Normal 14 5" xfId="409" xr:uid="{00000000-0005-0000-0000-000098010000}"/>
    <cellStyle name="Normal 14 6" xfId="410" xr:uid="{00000000-0005-0000-0000-000099010000}"/>
    <cellStyle name="Normal 14 7" xfId="411" xr:uid="{00000000-0005-0000-0000-00009A010000}"/>
    <cellStyle name="Normal 14 8" xfId="412" xr:uid="{00000000-0005-0000-0000-00009B010000}"/>
    <cellStyle name="Normal 14 9" xfId="413" xr:uid="{00000000-0005-0000-0000-00009C010000}"/>
    <cellStyle name="Normal 15" xfId="414" xr:uid="{00000000-0005-0000-0000-00009D010000}"/>
    <cellStyle name="Normal 15 10" xfId="415" xr:uid="{00000000-0005-0000-0000-00009E010000}"/>
    <cellStyle name="Normal 15 11" xfId="416" xr:uid="{00000000-0005-0000-0000-00009F010000}"/>
    <cellStyle name="Normal 15 12" xfId="417" xr:uid="{00000000-0005-0000-0000-0000A0010000}"/>
    <cellStyle name="Normal 15 13" xfId="418" xr:uid="{00000000-0005-0000-0000-0000A1010000}"/>
    <cellStyle name="Normal 15 14" xfId="419" xr:uid="{00000000-0005-0000-0000-0000A2010000}"/>
    <cellStyle name="Normal 15 15" xfId="420" xr:uid="{00000000-0005-0000-0000-0000A3010000}"/>
    <cellStyle name="Normal 15 16" xfId="421" xr:uid="{00000000-0005-0000-0000-0000A4010000}"/>
    <cellStyle name="Normal 15 17" xfId="422" xr:uid="{00000000-0005-0000-0000-0000A5010000}"/>
    <cellStyle name="Normal 15 2" xfId="423" xr:uid="{00000000-0005-0000-0000-0000A6010000}"/>
    <cellStyle name="Normal 15 3" xfId="424" xr:uid="{00000000-0005-0000-0000-0000A7010000}"/>
    <cellStyle name="Normal 15 4" xfId="425" xr:uid="{00000000-0005-0000-0000-0000A8010000}"/>
    <cellStyle name="Normal 15 5" xfId="426" xr:uid="{00000000-0005-0000-0000-0000A9010000}"/>
    <cellStyle name="Normal 15 6" xfId="427" xr:uid="{00000000-0005-0000-0000-0000AA010000}"/>
    <cellStyle name="Normal 15 7" xfId="428" xr:uid="{00000000-0005-0000-0000-0000AB010000}"/>
    <cellStyle name="Normal 15 8" xfId="429" xr:uid="{00000000-0005-0000-0000-0000AC010000}"/>
    <cellStyle name="Normal 15 9" xfId="430" xr:uid="{00000000-0005-0000-0000-0000AD010000}"/>
    <cellStyle name="Normal 16" xfId="431" xr:uid="{00000000-0005-0000-0000-0000AE010000}"/>
    <cellStyle name="Normal 16 10" xfId="432" xr:uid="{00000000-0005-0000-0000-0000AF010000}"/>
    <cellStyle name="Normal 16 11" xfId="433" xr:uid="{00000000-0005-0000-0000-0000B0010000}"/>
    <cellStyle name="Normal 16 12" xfId="434" xr:uid="{00000000-0005-0000-0000-0000B1010000}"/>
    <cellStyle name="Normal 16 13" xfId="435" xr:uid="{00000000-0005-0000-0000-0000B2010000}"/>
    <cellStyle name="Normal 16 14" xfId="436" xr:uid="{00000000-0005-0000-0000-0000B3010000}"/>
    <cellStyle name="Normal 16 15" xfId="437" xr:uid="{00000000-0005-0000-0000-0000B4010000}"/>
    <cellStyle name="Normal 16 16" xfId="438" xr:uid="{00000000-0005-0000-0000-0000B5010000}"/>
    <cellStyle name="Normal 16 17" xfId="439" xr:uid="{00000000-0005-0000-0000-0000B6010000}"/>
    <cellStyle name="Normal 16 2" xfId="440" xr:uid="{00000000-0005-0000-0000-0000B7010000}"/>
    <cellStyle name="Normal 16 3" xfId="441" xr:uid="{00000000-0005-0000-0000-0000B8010000}"/>
    <cellStyle name="Normal 16 4" xfId="442" xr:uid="{00000000-0005-0000-0000-0000B9010000}"/>
    <cellStyle name="Normal 16 5" xfId="443" xr:uid="{00000000-0005-0000-0000-0000BA010000}"/>
    <cellStyle name="Normal 16 6" xfId="444" xr:uid="{00000000-0005-0000-0000-0000BB010000}"/>
    <cellStyle name="Normal 16 7" xfId="445" xr:uid="{00000000-0005-0000-0000-0000BC010000}"/>
    <cellStyle name="Normal 16 8" xfId="446" xr:uid="{00000000-0005-0000-0000-0000BD010000}"/>
    <cellStyle name="Normal 16 9" xfId="447" xr:uid="{00000000-0005-0000-0000-0000BE010000}"/>
    <cellStyle name="Normal 17" xfId="448" xr:uid="{00000000-0005-0000-0000-0000BF010000}"/>
    <cellStyle name="Normal 17 10" xfId="449" xr:uid="{00000000-0005-0000-0000-0000C0010000}"/>
    <cellStyle name="Normal 17 11" xfId="450" xr:uid="{00000000-0005-0000-0000-0000C1010000}"/>
    <cellStyle name="Normal 17 12" xfId="451" xr:uid="{00000000-0005-0000-0000-0000C2010000}"/>
    <cellStyle name="Normal 17 13" xfId="452" xr:uid="{00000000-0005-0000-0000-0000C3010000}"/>
    <cellStyle name="Normal 17 14" xfId="453" xr:uid="{00000000-0005-0000-0000-0000C4010000}"/>
    <cellStyle name="Normal 17 15" xfId="454" xr:uid="{00000000-0005-0000-0000-0000C5010000}"/>
    <cellStyle name="Normal 17 16" xfId="455" xr:uid="{00000000-0005-0000-0000-0000C6010000}"/>
    <cellStyle name="Normal 17 17" xfId="456" xr:uid="{00000000-0005-0000-0000-0000C7010000}"/>
    <cellStyle name="Normal 17 2" xfId="457" xr:uid="{00000000-0005-0000-0000-0000C8010000}"/>
    <cellStyle name="Normal 17 3" xfId="458" xr:uid="{00000000-0005-0000-0000-0000C9010000}"/>
    <cellStyle name="Normal 17 4" xfId="459" xr:uid="{00000000-0005-0000-0000-0000CA010000}"/>
    <cellStyle name="Normal 17 5" xfId="460" xr:uid="{00000000-0005-0000-0000-0000CB010000}"/>
    <cellStyle name="Normal 17 6" xfId="461" xr:uid="{00000000-0005-0000-0000-0000CC010000}"/>
    <cellStyle name="Normal 17 7" xfId="462" xr:uid="{00000000-0005-0000-0000-0000CD010000}"/>
    <cellStyle name="Normal 17 8" xfId="463" xr:uid="{00000000-0005-0000-0000-0000CE010000}"/>
    <cellStyle name="Normal 17 9" xfId="464" xr:uid="{00000000-0005-0000-0000-0000CF010000}"/>
    <cellStyle name="Normal 18" xfId="465" xr:uid="{00000000-0005-0000-0000-0000D0010000}"/>
    <cellStyle name="Normal 18 10" xfId="466" xr:uid="{00000000-0005-0000-0000-0000D1010000}"/>
    <cellStyle name="Normal 18 11" xfId="467" xr:uid="{00000000-0005-0000-0000-0000D2010000}"/>
    <cellStyle name="Normal 18 12" xfId="468" xr:uid="{00000000-0005-0000-0000-0000D3010000}"/>
    <cellStyle name="Normal 18 13" xfId="469" xr:uid="{00000000-0005-0000-0000-0000D4010000}"/>
    <cellStyle name="Normal 18 14" xfId="470" xr:uid="{00000000-0005-0000-0000-0000D5010000}"/>
    <cellStyle name="Normal 18 15" xfId="471" xr:uid="{00000000-0005-0000-0000-0000D6010000}"/>
    <cellStyle name="Normal 18 16" xfId="472" xr:uid="{00000000-0005-0000-0000-0000D7010000}"/>
    <cellStyle name="Normal 18 17" xfId="473" xr:uid="{00000000-0005-0000-0000-0000D8010000}"/>
    <cellStyle name="Normal 18 2" xfId="474" xr:uid="{00000000-0005-0000-0000-0000D9010000}"/>
    <cellStyle name="Normal 18 3" xfId="475" xr:uid="{00000000-0005-0000-0000-0000DA010000}"/>
    <cellStyle name="Normal 18 4" xfId="476" xr:uid="{00000000-0005-0000-0000-0000DB010000}"/>
    <cellStyle name="Normal 18 5" xfId="477" xr:uid="{00000000-0005-0000-0000-0000DC010000}"/>
    <cellStyle name="Normal 18 6" xfId="478" xr:uid="{00000000-0005-0000-0000-0000DD010000}"/>
    <cellStyle name="Normal 18 7" xfId="479" xr:uid="{00000000-0005-0000-0000-0000DE010000}"/>
    <cellStyle name="Normal 18 8" xfId="480" xr:uid="{00000000-0005-0000-0000-0000DF010000}"/>
    <cellStyle name="Normal 18 9" xfId="481" xr:uid="{00000000-0005-0000-0000-0000E0010000}"/>
    <cellStyle name="Normal 19" xfId="482" xr:uid="{00000000-0005-0000-0000-0000E1010000}"/>
    <cellStyle name="Normal 19 10" xfId="483" xr:uid="{00000000-0005-0000-0000-0000E2010000}"/>
    <cellStyle name="Normal 19 11" xfId="484" xr:uid="{00000000-0005-0000-0000-0000E3010000}"/>
    <cellStyle name="Normal 19 12" xfId="485" xr:uid="{00000000-0005-0000-0000-0000E4010000}"/>
    <cellStyle name="Normal 19 13" xfId="486" xr:uid="{00000000-0005-0000-0000-0000E5010000}"/>
    <cellStyle name="Normal 19 14" xfId="487" xr:uid="{00000000-0005-0000-0000-0000E6010000}"/>
    <cellStyle name="Normal 19 15" xfId="488" xr:uid="{00000000-0005-0000-0000-0000E7010000}"/>
    <cellStyle name="Normal 19 16" xfId="489" xr:uid="{00000000-0005-0000-0000-0000E8010000}"/>
    <cellStyle name="Normal 19 17" xfId="490" xr:uid="{00000000-0005-0000-0000-0000E9010000}"/>
    <cellStyle name="Normal 19 2" xfId="491" xr:uid="{00000000-0005-0000-0000-0000EA010000}"/>
    <cellStyle name="Normal 19 3" xfId="492" xr:uid="{00000000-0005-0000-0000-0000EB010000}"/>
    <cellStyle name="Normal 19 4" xfId="493" xr:uid="{00000000-0005-0000-0000-0000EC010000}"/>
    <cellStyle name="Normal 19 5" xfId="494" xr:uid="{00000000-0005-0000-0000-0000ED010000}"/>
    <cellStyle name="Normal 19 6" xfId="495" xr:uid="{00000000-0005-0000-0000-0000EE010000}"/>
    <cellStyle name="Normal 19 7" xfId="496" xr:uid="{00000000-0005-0000-0000-0000EF010000}"/>
    <cellStyle name="Normal 19 8" xfId="497" xr:uid="{00000000-0005-0000-0000-0000F0010000}"/>
    <cellStyle name="Normal 19 9" xfId="498" xr:uid="{00000000-0005-0000-0000-0000F1010000}"/>
    <cellStyle name="Normal 2" xfId="2" xr:uid="{00000000-0005-0000-0000-0000F2010000}"/>
    <cellStyle name="Normal 2 10" xfId="499" xr:uid="{00000000-0005-0000-0000-0000F3010000}"/>
    <cellStyle name="Normal 2 11" xfId="500" xr:uid="{00000000-0005-0000-0000-0000F4010000}"/>
    <cellStyle name="Normal 2 12" xfId="501" xr:uid="{00000000-0005-0000-0000-0000F5010000}"/>
    <cellStyle name="Normal 2 13" xfId="502" xr:uid="{00000000-0005-0000-0000-0000F6010000}"/>
    <cellStyle name="Normal 2 14" xfId="503" xr:uid="{00000000-0005-0000-0000-0000F7010000}"/>
    <cellStyle name="Normal 2 15" xfId="504" xr:uid="{00000000-0005-0000-0000-0000F8010000}"/>
    <cellStyle name="Normal 2 16" xfId="505" xr:uid="{00000000-0005-0000-0000-0000F9010000}"/>
    <cellStyle name="Normal 2 17" xfId="506" xr:uid="{00000000-0005-0000-0000-0000FA010000}"/>
    <cellStyle name="Normal 2 18" xfId="507" xr:uid="{00000000-0005-0000-0000-0000FB010000}"/>
    <cellStyle name="Normal 2 18 10" xfId="508" xr:uid="{00000000-0005-0000-0000-0000FC010000}"/>
    <cellStyle name="Normal 2 18 10 2" xfId="509" xr:uid="{00000000-0005-0000-0000-0000FD010000}"/>
    <cellStyle name="Normal 2 18 10 2 2" xfId="510" xr:uid="{00000000-0005-0000-0000-0000FE010000}"/>
    <cellStyle name="Normal 2 18 10 2 2 2" xfId="511" xr:uid="{00000000-0005-0000-0000-0000FF010000}"/>
    <cellStyle name="Normal 2 18 10 2 2 2 2" xfId="512" xr:uid="{00000000-0005-0000-0000-000000020000}"/>
    <cellStyle name="Normal 2 18 10 2 2 2 3" xfId="513" xr:uid="{00000000-0005-0000-0000-000001020000}"/>
    <cellStyle name="Normal 2 18 10 2 2 3" xfId="514" xr:uid="{00000000-0005-0000-0000-000002020000}"/>
    <cellStyle name="Normal 2 18 10 2 2 4" xfId="515" xr:uid="{00000000-0005-0000-0000-000003020000}"/>
    <cellStyle name="Normal 2 18 10 2 3" xfId="516" xr:uid="{00000000-0005-0000-0000-000004020000}"/>
    <cellStyle name="Normal 2 18 10 2 3 2" xfId="517" xr:uid="{00000000-0005-0000-0000-000005020000}"/>
    <cellStyle name="Normal 2 18 10 2 3 2 2" xfId="518" xr:uid="{00000000-0005-0000-0000-000006020000}"/>
    <cellStyle name="Normal 2 18 10 2 3 2 3" xfId="519" xr:uid="{00000000-0005-0000-0000-000007020000}"/>
    <cellStyle name="Normal 2 18 10 2 3 3" xfId="520" xr:uid="{00000000-0005-0000-0000-000008020000}"/>
    <cellStyle name="Normal 2 18 10 2 3 4" xfId="521" xr:uid="{00000000-0005-0000-0000-000009020000}"/>
    <cellStyle name="Normal 2 18 10 2 4" xfId="522" xr:uid="{00000000-0005-0000-0000-00000A020000}"/>
    <cellStyle name="Normal 2 18 10 2 4 2" xfId="523" xr:uid="{00000000-0005-0000-0000-00000B020000}"/>
    <cellStyle name="Normal 2 18 10 2 4 3" xfId="524" xr:uid="{00000000-0005-0000-0000-00000C020000}"/>
    <cellStyle name="Normal 2 18 10 2 5" xfId="525" xr:uid="{00000000-0005-0000-0000-00000D020000}"/>
    <cellStyle name="Normal 2 18 10 2 6" xfId="526" xr:uid="{00000000-0005-0000-0000-00000E020000}"/>
    <cellStyle name="Normal 2 18 10 3" xfId="527" xr:uid="{00000000-0005-0000-0000-00000F020000}"/>
    <cellStyle name="Normal 2 18 10 3 2" xfId="528" xr:uid="{00000000-0005-0000-0000-000010020000}"/>
    <cellStyle name="Normal 2 18 10 3 2 2" xfId="529" xr:uid="{00000000-0005-0000-0000-000011020000}"/>
    <cellStyle name="Normal 2 18 10 3 2 2 2" xfId="530" xr:uid="{00000000-0005-0000-0000-000012020000}"/>
    <cellStyle name="Normal 2 18 10 3 2 2 3" xfId="531" xr:uid="{00000000-0005-0000-0000-000013020000}"/>
    <cellStyle name="Normal 2 18 10 3 2 3" xfId="532" xr:uid="{00000000-0005-0000-0000-000014020000}"/>
    <cellStyle name="Normal 2 18 10 3 2 4" xfId="533" xr:uid="{00000000-0005-0000-0000-000015020000}"/>
    <cellStyle name="Normal 2 18 10 3 3" xfId="534" xr:uid="{00000000-0005-0000-0000-000016020000}"/>
    <cellStyle name="Normal 2 18 10 3 3 2" xfId="535" xr:uid="{00000000-0005-0000-0000-000017020000}"/>
    <cellStyle name="Normal 2 18 10 3 3 2 2" xfId="536" xr:uid="{00000000-0005-0000-0000-000018020000}"/>
    <cellStyle name="Normal 2 18 10 3 3 2 3" xfId="537" xr:uid="{00000000-0005-0000-0000-000019020000}"/>
    <cellStyle name="Normal 2 18 10 3 3 3" xfId="538" xr:uid="{00000000-0005-0000-0000-00001A020000}"/>
    <cellStyle name="Normal 2 18 10 3 3 4" xfId="539" xr:uid="{00000000-0005-0000-0000-00001B020000}"/>
    <cellStyle name="Normal 2 18 10 3 4" xfId="540" xr:uid="{00000000-0005-0000-0000-00001C020000}"/>
    <cellStyle name="Normal 2 18 10 3 4 2" xfId="541" xr:uid="{00000000-0005-0000-0000-00001D020000}"/>
    <cellStyle name="Normal 2 18 10 3 4 3" xfId="542" xr:uid="{00000000-0005-0000-0000-00001E020000}"/>
    <cellStyle name="Normal 2 18 10 3 5" xfId="543" xr:uid="{00000000-0005-0000-0000-00001F020000}"/>
    <cellStyle name="Normal 2 18 10 3 6" xfId="544" xr:uid="{00000000-0005-0000-0000-000020020000}"/>
    <cellStyle name="Normal 2 18 10 4" xfId="545" xr:uid="{00000000-0005-0000-0000-000021020000}"/>
    <cellStyle name="Normal 2 18 10 4 2" xfId="546" xr:uid="{00000000-0005-0000-0000-000022020000}"/>
    <cellStyle name="Normal 2 18 10 4 2 2" xfId="547" xr:uid="{00000000-0005-0000-0000-000023020000}"/>
    <cellStyle name="Normal 2 18 10 4 2 3" xfId="548" xr:uid="{00000000-0005-0000-0000-000024020000}"/>
    <cellStyle name="Normal 2 18 10 4 3" xfId="549" xr:uid="{00000000-0005-0000-0000-000025020000}"/>
    <cellStyle name="Normal 2 18 10 4 4" xfId="550" xr:uid="{00000000-0005-0000-0000-000026020000}"/>
    <cellStyle name="Normal 2 18 10 5" xfId="551" xr:uid="{00000000-0005-0000-0000-000027020000}"/>
    <cellStyle name="Normal 2 18 10 5 2" xfId="552" xr:uid="{00000000-0005-0000-0000-000028020000}"/>
    <cellStyle name="Normal 2 18 10 5 2 2" xfId="553" xr:uid="{00000000-0005-0000-0000-000029020000}"/>
    <cellStyle name="Normal 2 18 10 5 2 3" xfId="554" xr:uid="{00000000-0005-0000-0000-00002A020000}"/>
    <cellStyle name="Normal 2 18 10 5 3" xfId="555" xr:uid="{00000000-0005-0000-0000-00002B020000}"/>
    <cellStyle name="Normal 2 18 10 5 4" xfId="556" xr:uid="{00000000-0005-0000-0000-00002C020000}"/>
    <cellStyle name="Normal 2 18 10 6" xfId="557" xr:uid="{00000000-0005-0000-0000-00002D020000}"/>
    <cellStyle name="Normal 2 18 10 6 2" xfId="558" xr:uid="{00000000-0005-0000-0000-00002E020000}"/>
    <cellStyle name="Normal 2 18 10 6 3" xfId="559" xr:uid="{00000000-0005-0000-0000-00002F020000}"/>
    <cellStyle name="Normal 2 18 10 7" xfId="560" xr:uid="{00000000-0005-0000-0000-000030020000}"/>
    <cellStyle name="Normal 2 18 10 8" xfId="561" xr:uid="{00000000-0005-0000-0000-000031020000}"/>
    <cellStyle name="Normal 2 18 11" xfId="562" xr:uid="{00000000-0005-0000-0000-000032020000}"/>
    <cellStyle name="Normal 2 18 11 2" xfId="563" xr:uid="{00000000-0005-0000-0000-000033020000}"/>
    <cellStyle name="Normal 2 18 11 2 2" xfId="564" xr:uid="{00000000-0005-0000-0000-000034020000}"/>
    <cellStyle name="Normal 2 18 11 2 2 2" xfId="565" xr:uid="{00000000-0005-0000-0000-000035020000}"/>
    <cellStyle name="Normal 2 18 11 2 2 2 2" xfId="566" xr:uid="{00000000-0005-0000-0000-000036020000}"/>
    <cellStyle name="Normal 2 18 11 2 2 2 3" xfId="567" xr:uid="{00000000-0005-0000-0000-000037020000}"/>
    <cellStyle name="Normal 2 18 11 2 2 3" xfId="568" xr:uid="{00000000-0005-0000-0000-000038020000}"/>
    <cellStyle name="Normal 2 18 11 2 2 4" xfId="569" xr:uid="{00000000-0005-0000-0000-000039020000}"/>
    <cellStyle name="Normal 2 18 11 2 3" xfId="570" xr:uid="{00000000-0005-0000-0000-00003A020000}"/>
    <cellStyle name="Normal 2 18 11 2 3 2" xfId="571" xr:uid="{00000000-0005-0000-0000-00003B020000}"/>
    <cellStyle name="Normal 2 18 11 2 3 2 2" xfId="572" xr:uid="{00000000-0005-0000-0000-00003C020000}"/>
    <cellStyle name="Normal 2 18 11 2 3 2 3" xfId="573" xr:uid="{00000000-0005-0000-0000-00003D020000}"/>
    <cellStyle name="Normal 2 18 11 2 3 3" xfId="574" xr:uid="{00000000-0005-0000-0000-00003E020000}"/>
    <cellStyle name="Normal 2 18 11 2 3 4" xfId="575" xr:uid="{00000000-0005-0000-0000-00003F020000}"/>
    <cellStyle name="Normal 2 18 11 2 4" xfId="576" xr:uid="{00000000-0005-0000-0000-000040020000}"/>
    <cellStyle name="Normal 2 18 11 2 4 2" xfId="577" xr:uid="{00000000-0005-0000-0000-000041020000}"/>
    <cellStyle name="Normal 2 18 11 2 4 3" xfId="578" xr:uid="{00000000-0005-0000-0000-000042020000}"/>
    <cellStyle name="Normal 2 18 11 2 5" xfId="579" xr:uid="{00000000-0005-0000-0000-000043020000}"/>
    <cellStyle name="Normal 2 18 11 2 6" xfId="580" xr:uid="{00000000-0005-0000-0000-000044020000}"/>
    <cellStyle name="Normal 2 18 11 3" xfId="581" xr:uid="{00000000-0005-0000-0000-000045020000}"/>
    <cellStyle name="Normal 2 18 11 3 2" xfId="582" xr:uid="{00000000-0005-0000-0000-000046020000}"/>
    <cellStyle name="Normal 2 18 11 3 2 2" xfId="583" xr:uid="{00000000-0005-0000-0000-000047020000}"/>
    <cellStyle name="Normal 2 18 11 3 2 2 2" xfId="584" xr:uid="{00000000-0005-0000-0000-000048020000}"/>
    <cellStyle name="Normal 2 18 11 3 2 2 3" xfId="585" xr:uid="{00000000-0005-0000-0000-000049020000}"/>
    <cellStyle name="Normal 2 18 11 3 2 3" xfId="586" xr:uid="{00000000-0005-0000-0000-00004A020000}"/>
    <cellStyle name="Normal 2 18 11 3 2 4" xfId="587" xr:uid="{00000000-0005-0000-0000-00004B020000}"/>
    <cellStyle name="Normal 2 18 11 3 3" xfId="588" xr:uid="{00000000-0005-0000-0000-00004C020000}"/>
    <cellStyle name="Normal 2 18 11 3 3 2" xfId="589" xr:uid="{00000000-0005-0000-0000-00004D020000}"/>
    <cellStyle name="Normal 2 18 11 3 3 2 2" xfId="590" xr:uid="{00000000-0005-0000-0000-00004E020000}"/>
    <cellStyle name="Normal 2 18 11 3 3 2 3" xfId="591" xr:uid="{00000000-0005-0000-0000-00004F020000}"/>
    <cellStyle name="Normal 2 18 11 3 3 3" xfId="592" xr:uid="{00000000-0005-0000-0000-000050020000}"/>
    <cellStyle name="Normal 2 18 11 3 3 4" xfId="593" xr:uid="{00000000-0005-0000-0000-000051020000}"/>
    <cellStyle name="Normal 2 18 11 3 4" xfId="594" xr:uid="{00000000-0005-0000-0000-000052020000}"/>
    <cellStyle name="Normal 2 18 11 3 4 2" xfId="595" xr:uid="{00000000-0005-0000-0000-000053020000}"/>
    <cellStyle name="Normal 2 18 11 3 4 3" xfId="596" xr:uid="{00000000-0005-0000-0000-000054020000}"/>
    <cellStyle name="Normal 2 18 11 3 5" xfId="597" xr:uid="{00000000-0005-0000-0000-000055020000}"/>
    <cellStyle name="Normal 2 18 11 3 6" xfId="598" xr:uid="{00000000-0005-0000-0000-000056020000}"/>
    <cellStyle name="Normal 2 18 11 4" xfId="599" xr:uid="{00000000-0005-0000-0000-000057020000}"/>
    <cellStyle name="Normal 2 18 11 4 2" xfId="600" xr:uid="{00000000-0005-0000-0000-000058020000}"/>
    <cellStyle name="Normal 2 18 11 4 2 2" xfId="601" xr:uid="{00000000-0005-0000-0000-000059020000}"/>
    <cellStyle name="Normal 2 18 11 4 2 3" xfId="602" xr:uid="{00000000-0005-0000-0000-00005A020000}"/>
    <cellStyle name="Normal 2 18 11 4 3" xfId="603" xr:uid="{00000000-0005-0000-0000-00005B020000}"/>
    <cellStyle name="Normal 2 18 11 4 4" xfId="604" xr:uid="{00000000-0005-0000-0000-00005C020000}"/>
    <cellStyle name="Normal 2 18 11 5" xfId="605" xr:uid="{00000000-0005-0000-0000-00005D020000}"/>
    <cellStyle name="Normal 2 18 11 5 2" xfId="606" xr:uid="{00000000-0005-0000-0000-00005E020000}"/>
    <cellStyle name="Normal 2 18 11 5 2 2" xfId="607" xr:uid="{00000000-0005-0000-0000-00005F020000}"/>
    <cellStyle name="Normal 2 18 11 5 2 3" xfId="608" xr:uid="{00000000-0005-0000-0000-000060020000}"/>
    <cellStyle name="Normal 2 18 11 5 3" xfId="609" xr:uid="{00000000-0005-0000-0000-000061020000}"/>
    <cellStyle name="Normal 2 18 11 5 4" xfId="610" xr:uid="{00000000-0005-0000-0000-000062020000}"/>
    <cellStyle name="Normal 2 18 11 6" xfId="611" xr:uid="{00000000-0005-0000-0000-000063020000}"/>
    <cellStyle name="Normal 2 18 11 6 2" xfId="612" xr:uid="{00000000-0005-0000-0000-000064020000}"/>
    <cellStyle name="Normal 2 18 11 6 3" xfId="613" xr:uid="{00000000-0005-0000-0000-000065020000}"/>
    <cellStyle name="Normal 2 18 11 7" xfId="614" xr:uid="{00000000-0005-0000-0000-000066020000}"/>
    <cellStyle name="Normal 2 18 11 8" xfId="615" xr:uid="{00000000-0005-0000-0000-000067020000}"/>
    <cellStyle name="Normal 2 18 12" xfId="616" xr:uid="{00000000-0005-0000-0000-000068020000}"/>
    <cellStyle name="Normal 2 18 12 2" xfId="617" xr:uid="{00000000-0005-0000-0000-000069020000}"/>
    <cellStyle name="Normal 2 18 12 2 2" xfId="618" xr:uid="{00000000-0005-0000-0000-00006A020000}"/>
    <cellStyle name="Normal 2 18 12 2 2 2" xfId="619" xr:uid="{00000000-0005-0000-0000-00006B020000}"/>
    <cellStyle name="Normal 2 18 12 2 2 2 2" xfId="620" xr:uid="{00000000-0005-0000-0000-00006C020000}"/>
    <cellStyle name="Normal 2 18 12 2 2 2 3" xfId="621" xr:uid="{00000000-0005-0000-0000-00006D020000}"/>
    <cellStyle name="Normal 2 18 12 2 2 3" xfId="622" xr:uid="{00000000-0005-0000-0000-00006E020000}"/>
    <cellStyle name="Normal 2 18 12 2 2 4" xfId="623" xr:uid="{00000000-0005-0000-0000-00006F020000}"/>
    <cellStyle name="Normal 2 18 12 2 3" xfId="624" xr:uid="{00000000-0005-0000-0000-000070020000}"/>
    <cellStyle name="Normal 2 18 12 2 3 2" xfId="625" xr:uid="{00000000-0005-0000-0000-000071020000}"/>
    <cellStyle name="Normal 2 18 12 2 3 2 2" xfId="626" xr:uid="{00000000-0005-0000-0000-000072020000}"/>
    <cellStyle name="Normal 2 18 12 2 3 2 3" xfId="627" xr:uid="{00000000-0005-0000-0000-000073020000}"/>
    <cellStyle name="Normal 2 18 12 2 3 3" xfId="628" xr:uid="{00000000-0005-0000-0000-000074020000}"/>
    <cellStyle name="Normal 2 18 12 2 3 4" xfId="629" xr:uid="{00000000-0005-0000-0000-000075020000}"/>
    <cellStyle name="Normal 2 18 12 2 4" xfId="630" xr:uid="{00000000-0005-0000-0000-000076020000}"/>
    <cellStyle name="Normal 2 18 12 2 4 2" xfId="631" xr:uid="{00000000-0005-0000-0000-000077020000}"/>
    <cellStyle name="Normal 2 18 12 2 4 3" xfId="632" xr:uid="{00000000-0005-0000-0000-000078020000}"/>
    <cellStyle name="Normal 2 18 12 2 5" xfId="633" xr:uid="{00000000-0005-0000-0000-000079020000}"/>
    <cellStyle name="Normal 2 18 12 2 6" xfId="634" xr:uid="{00000000-0005-0000-0000-00007A020000}"/>
    <cellStyle name="Normal 2 18 12 3" xfId="635" xr:uid="{00000000-0005-0000-0000-00007B020000}"/>
    <cellStyle name="Normal 2 18 12 3 2" xfId="636" xr:uid="{00000000-0005-0000-0000-00007C020000}"/>
    <cellStyle name="Normal 2 18 12 3 2 2" xfId="637" xr:uid="{00000000-0005-0000-0000-00007D020000}"/>
    <cellStyle name="Normal 2 18 12 3 2 2 2" xfId="638" xr:uid="{00000000-0005-0000-0000-00007E020000}"/>
    <cellStyle name="Normal 2 18 12 3 2 2 3" xfId="639" xr:uid="{00000000-0005-0000-0000-00007F020000}"/>
    <cellStyle name="Normal 2 18 12 3 2 3" xfId="640" xr:uid="{00000000-0005-0000-0000-000080020000}"/>
    <cellStyle name="Normal 2 18 12 3 2 4" xfId="641" xr:uid="{00000000-0005-0000-0000-000081020000}"/>
    <cellStyle name="Normal 2 18 12 3 3" xfId="642" xr:uid="{00000000-0005-0000-0000-000082020000}"/>
    <cellStyle name="Normal 2 18 12 3 3 2" xfId="643" xr:uid="{00000000-0005-0000-0000-000083020000}"/>
    <cellStyle name="Normal 2 18 12 3 3 2 2" xfId="644" xr:uid="{00000000-0005-0000-0000-000084020000}"/>
    <cellStyle name="Normal 2 18 12 3 3 2 3" xfId="645" xr:uid="{00000000-0005-0000-0000-000085020000}"/>
    <cellStyle name="Normal 2 18 12 3 3 3" xfId="646" xr:uid="{00000000-0005-0000-0000-000086020000}"/>
    <cellStyle name="Normal 2 18 12 3 3 4" xfId="647" xr:uid="{00000000-0005-0000-0000-000087020000}"/>
    <cellStyle name="Normal 2 18 12 3 4" xfId="648" xr:uid="{00000000-0005-0000-0000-000088020000}"/>
    <cellStyle name="Normal 2 18 12 3 4 2" xfId="649" xr:uid="{00000000-0005-0000-0000-000089020000}"/>
    <cellStyle name="Normal 2 18 12 3 4 3" xfId="650" xr:uid="{00000000-0005-0000-0000-00008A020000}"/>
    <cellStyle name="Normal 2 18 12 3 5" xfId="651" xr:uid="{00000000-0005-0000-0000-00008B020000}"/>
    <cellStyle name="Normal 2 18 12 3 6" xfId="652" xr:uid="{00000000-0005-0000-0000-00008C020000}"/>
    <cellStyle name="Normal 2 18 12 4" xfId="653" xr:uid="{00000000-0005-0000-0000-00008D020000}"/>
    <cellStyle name="Normal 2 18 12 4 2" xfId="654" xr:uid="{00000000-0005-0000-0000-00008E020000}"/>
    <cellStyle name="Normal 2 18 12 4 2 2" xfId="655" xr:uid="{00000000-0005-0000-0000-00008F020000}"/>
    <cellStyle name="Normal 2 18 12 4 2 3" xfId="656" xr:uid="{00000000-0005-0000-0000-000090020000}"/>
    <cellStyle name="Normal 2 18 12 4 3" xfId="657" xr:uid="{00000000-0005-0000-0000-000091020000}"/>
    <cellStyle name="Normal 2 18 12 4 4" xfId="658" xr:uid="{00000000-0005-0000-0000-000092020000}"/>
    <cellStyle name="Normal 2 18 12 5" xfId="659" xr:uid="{00000000-0005-0000-0000-000093020000}"/>
    <cellStyle name="Normal 2 18 12 5 2" xfId="660" xr:uid="{00000000-0005-0000-0000-000094020000}"/>
    <cellStyle name="Normal 2 18 12 5 2 2" xfId="661" xr:uid="{00000000-0005-0000-0000-000095020000}"/>
    <cellStyle name="Normal 2 18 12 5 2 3" xfId="662" xr:uid="{00000000-0005-0000-0000-000096020000}"/>
    <cellStyle name="Normal 2 18 12 5 3" xfId="663" xr:uid="{00000000-0005-0000-0000-000097020000}"/>
    <cellStyle name="Normal 2 18 12 5 4" xfId="664" xr:uid="{00000000-0005-0000-0000-000098020000}"/>
    <cellStyle name="Normal 2 18 12 6" xfId="665" xr:uid="{00000000-0005-0000-0000-000099020000}"/>
    <cellStyle name="Normal 2 18 12 6 2" xfId="666" xr:uid="{00000000-0005-0000-0000-00009A020000}"/>
    <cellStyle name="Normal 2 18 12 6 3" xfId="667" xr:uid="{00000000-0005-0000-0000-00009B020000}"/>
    <cellStyle name="Normal 2 18 12 7" xfId="668" xr:uid="{00000000-0005-0000-0000-00009C020000}"/>
    <cellStyle name="Normal 2 18 12 8" xfId="669" xr:uid="{00000000-0005-0000-0000-00009D020000}"/>
    <cellStyle name="Normal 2 18 13" xfId="670" xr:uid="{00000000-0005-0000-0000-00009E020000}"/>
    <cellStyle name="Normal 2 18 13 2" xfId="671" xr:uid="{00000000-0005-0000-0000-00009F020000}"/>
    <cellStyle name="Normal 2 18 13 2 2" xfId="672" xr:uid="{00000000-0005-0000-0000-0000A0020000}"/>
    <cellStyle name="Normal 2 18 13 2 2 2" xfId="673" xr:uid="{00000000-0005-0000-0000-0000A1020000}"/>
    <cellStyle name="Normal 2 18 13 2 2 2 2" xfId="674" xr:uid="{00000000-0005-0000-0000-0000A2020000}"/>
    <cellStyle name="Normal 2 18 13 2 2 2 3" xfId="675" xr:uid="{00000000-0005-0000-0000-0000A3020000}"/>
    <cellStyle name="Normal 2 18 13 2 2 3" xfId="676" xr:uid="{00000000-0005-0000-0000-0000A4020000}"/>
    <cellStyle name="Normal 2 18 13 2 2 4" xfId="677" xr:uid="{00000000-0005-0000-0000-0000A5020000}"/>
    <cellStyle name="Normal 2 18 13 2 3" xfId="678" xr:uid="{00000000-0005-0000-0000-0000A6020000}"/>
    <cellStyle name="Normal 2 18 13 2 3 2" xfId="679" xr:uid="{00000000-0005-0000-0000-0000A7020000}"/>
    <cellStyle name="Normal 2 18 13 2 3 2 2" xfId="680" xr:uid="{00000000-0005-0000-0000-0000A8020000}"/>
    <cellStyle name="Normal 2 18 13 2 3 2 3" xfId="681" xr:uid="{00000000-0005-0000-0000-0000A9020000}"/>
    <cellStyle name="Normal 2 18 13 2 3 3" xfId="682" xr:uid="{00000000-0005-0000-0000-0000AA020000}"/>
    <cellStyle name="Normal 2 18 13 2 3 4" xfId="683" xr:uid="{00000000-0005-0000-0000-0000AB020000}"/>
    <cellStyle name="Normal 2 18 13 2 4" xfId="684" xr:uid="{00000000-0005-0000-0000-0000AC020000}"/>
    <cellStyle name="Normal 2 18 13 2 4 2" xfId="685" xr:uid="{00000000-0005-0000-0000-0000AD020000}"/>
    <cellStyle name="Normal 2 18 13 2 4 3" xfId="686" xr:uid="{00000000-0005-0000-0000-0000AE020000}"/>
    <cellStyle name="Normal 2 18 13 2 5" xfId="687" xr:uid="{00000000-0005-0000-0000-0000AF020000}"/>
    <cellStyle name="Normal 2 18 13 2 6" xfId="688" xr:uid="{00000000-0005-0000-0000-0000B0020000}"/>
    <cellStyle name="Normal 2 18 13 3" xfId="689" xr:uid="{00000000-0005-0000-0000-0000B1020000}"/>
    <cellStyle name="Normal 2 18 13 3 2" xfId="690" xr:uid="{00000000-0005-0000-0000-0000B2020000}"/>
    <cellStyle name="Normal 2 18 13 3 2 2" xfId="691" xr:uid="{00000000-0005-0000-0000-0000B3020000}"/>
    <cellStyle name="Normal 2 18 13 3 2 2 2" xfId="692" xr:uid="{00000000-0005-0000-0000-0000B4020000}"/>
    <cellStyle name="Normal 2 18 13 3 2 2 3" xfId="693" xr:uid="{00000000-0005-0000-0000-0000B5020000}"/>
    <cellStyle name="Normal 2 18 13 3 2 3" xfId="694" xr:uid="{00000000-0005-0000-0000-0000B6020000}"/>
    <cellStyle name="Normal 2 18 13 3 2 4" xfId="695" xr:uid="{00000000-0005-0000-0000-0000B7020000}"/>
    <cellStyle name="Normal 2 18 13 3 3" xfId="696" xr:uid="{00000000-0005-0000-0000-0000B8020000}"/>
    <cellStyle name="Normal 2 18 13 3 3 2" xfId="697" xr:uid="{00000000-0005-0000-0000-0000B9020000}"/>
    <cellStyle name="Normal 2 18 13 3 3 2 2" xfId="698" xr:uid="{00000000-0005-0000-0000-0000BA020000}"/>
    <cellStyle name="Normal 2 18 13 3 3 2 3" xfId="699" xr:uid="{00000000-0005-0000-0000-0000BB020000}"/>
    <cellStyle name="Normal 2 18 13 3 3 3" xfId="700" xr:uid="{00000000-0005-0000-0000-0000BC020000}"/>
    <cellStyle name="Normal 2 18 13 3 3 4" xfId="701" xr:uid="{00000000-0005-0000-0000-0000BD020000}"/>
    <cellStyle name="Normal 2 18 13 3 4" xfId="702" xr:uid="{00000000-0005-0000-0000-0000BE020000}"/>
    <cellStyle name="Normal 2 18 13 3 4 2" xfId="703" xr:uid="{00000000-0005-0000-0000-0000BF020000}"/>
    <cellStyle name="Normal 2 18 13 3 4 3" xfId="704" xr:uid="{00000000-0005-0000-0000-0000C0020000}"/>
    <cellStyle name="Normal 2 18 13 3 5" xfId="705" xr:uid="{00000000-0005-0000-0000-0000C1020000}"/>
    <cellStyle name="Normal 2 18 13 3 6" xfId="706" xr:uid="{00000000-0005-0000-0000-0000C2020000}"/>
    <cellStyle name="Normal 2 18 13 4" xfId="707" xr:uid="{00000000-0005-0000-0000-0000C3020000}"/>
    <cellStyle name="Normal 2 18 13 4 2" xfId="708" xr:uid="{00000000-0005-0000-0000-0000C4020000}"/>
    <cellStyle name="Normal 2 18 13 4 2 2" xfId="709" xr:uid="{00000000-0005-0000-0000-0000C5020000}"/>
    <cellStyle name="Normal 2 18 13 4 2 3" xfId="710" xr:uid="{00000000-0005-0000-0000-0000C6020000}"/>
    <cellStyle name="Normal 2 18 13 4 3" xfId="711" xr:uid="{00000000-0005-0000-0000-0000C7020000}"/>
    <cellStyle name="Normal 2 18 13 4 4" xfId="712" xr:uid="{00000000-0005-0000-0000-0000C8020000}"/>
    <cellStyle name="Normal 2 18 13 5" xfId="713" xr:uid="{00000000-0005-0000-0000-0000C9020000}"/>
    <cellStyle name="Normal 2 18 13 5 2" xfId="714" xr:uid="{00000000-0005-0000-0000-0000CA020000}"/>
    <cellStyle name="Normal 2 18 13 5 2 2" xfId="715" xr:uid="{00000000-0005-0000-0000-0000CB020000}"/>
    <cellStyle name="Normal 2 18 13 5 2 3" xfId="716" xr:uid="{00000000-0005-0000-0000-0000CC020000}"/>
    <cellStyle name="Normal 2 18 13 5 3" xfId="717" xr:uid="{00000000-0005-0000-0000-0000CD020000}"/>
    <cellStyle name="Normal 2 18 13 5 4" xfId="718" xr:uid="{00000000-0005-0000-0000-0000CE020000}"/>
    <cellStyle name="Normal 2 18 13 6" xfId="719" xr:uid="{00000000-0005-0000-0000-0000CF020000}"/>
    <cellStyle name="Normal 2 18 13 6 2" xfId="720" xr:uid="{00000000-0005-0000-0000-0000D0020000}"/>
    <cellStyle name="Normal 2 18 13 6 3" xfId="721" xr:uid="{00000000-0005-0000-0000-0000D1020000}"/>
    <cellStyle name="Normal 2 18 13 7" xfId="722" xr:uid="{00000000-0005-0000-0000-0000D2020000}"/>
    <cellStyle name="Normal 2 18 13 8" xfId="723" xr:uid="{00000000-0005-0000-0000-0000D3020000}"/>
    <cellStyle name="Normal 2 18 14" xfId="724" xr:uid="{00000000-0005-0000-0000-0000D4020000}"/>
    <cellStyle name="Normal 2 18 14 2" xfId="725" xr:uid="{00000000-0005-0000-0000-0000D5020000}"/>
    <cellStyle name="Normal 2 18 14 2 2" xfId="726" xr:uid="{00000000-0005-0000-0000-0000D6020000}"/>
    <cellStyle name="Normal 2 18 14 2 2 2" xfId="727" xr:uid="{00000000-0005-0000-0000-0000D7020000}"/>
    <cellStyle name="Normal 2 18 14 2 2 2 2" xfId="728" xr:uid="{00000000-0005-0000-0000-0000D8020000}"/>
    <cellStyle name="Normal 2 18 14 2 2 2 3" xfId="729" xr:uid="{00000000-0005-0000-0000-0000D9020000}"/>
    <cellStyle name="Normal 2 18 14 2 2 3" xfId="730" xr:uid="{00000000-0005-0000-0000-0000DA020000}"/>
    <cellStyle name="Normal 2 18 14 2 2 4" xfId="731" xr:uid="{00000000-0005-0000-0000-0000DB020000}"/>
    <cellStyle name="Normal 2 18 14 2 3" xfId="732" xr:uid="{00000000-0005-0000-0000-0000DC020000}"/>
    <cellStyle name="Normal 2 18 14 2 3 2" xfId="733" xr:uid="{00000000-0005-0000-0000-0000DD020000}"/>
    <cellStyle name="Normal 2 18 14 2 3 2 2" xfId="734" xr:uid="{00000000-0005-0000-0000-0000DE020000}"/>
    <cellStyle name="Normal 2 18 14 2 3 2 3" xfId="735" xr:uid="{00000000-0005-0000-0000-0000DF020000}"/>
    <cellStyle name="Normal 2 18 14 2 3 3" xfId="736" xr:uid="{00000000-0005-0000-0000-0000E0020000}"/>
    <cellStyle name="Normal 2 18 14 2 3 4" xfId="737" xr:uid="{00000000-0005-0000-0000-0000E1020000}"/>
    <cellStyle name="Normal 2 18 14 2 4" xfId="738" xr:uid="{00000000-0005-0000-0000-0000E2020000}"/>
    <cellStyle name="Normal 2 18 14 2 4 2" xfId="739" xr:uid="{00000000-0005-0000-0000-0000E3020000}"/>
    <cellStyle name="Normal 2 18 14 2 4 3" xfId="740" xr:uid="{00000000-0005-0000-0000-0000E4020000}"/>
    <cellStyle name="Normal 2 18 14 2 5" xfId="741" xr:uid="{00000000-0005-0000-0000-0000E5020000}"/>
    <cellStyle name="Normal 2 18 14 2 6" xfId="742" xr:uid="{00000000-0005-0000-0000-0000E6020000}"/>
    <cellStyle name="Normal 2 18 14 3" xfId="743" xr:uid="{00000000-0005-0000-0000-0000E7020000}"/>
    <cellStyle name="Normal 2 18 14 3 2" xfId="744" xr:uid="{00000000-0005-0000-0000-0000E8020000}"/>
    <cellStyle name="Normal 2 18 14 3 2 2" xfId="745" xr:uid="{00000000-0005-0000-0000-0000E9020000}"/>
    <cellStyle name="Normal 2 18 14 3 2 2 2" xfId="746" xr:uid="{00000000-0005-0000-0000-0000EA020000}"/>
    <cellStyle name="Normal 2 18 14 3 2 2 3" xfId="747" xr:uid="{00000000-0005-0000-0000-0000EB020000}"/>
    <cellStyle name="Normal 2 18 14 3 2 3" xfId="748" xr:uid="{00000000-0005-0000-0000-0000EC020000}"/>
    <cellStyle name="Normal 2 18 14 3 2 4" xfId="749" xr:uid="{00000000-0005-0000-0000-0000ED020000}"/>
    <cellStyle name="Normal 2 18 14 3 3" xfId="750" xr:uid="{00000000-0005-0000-0000-0000EE020000}"/>
    <cellStyle name="Normal 2 18 14 3 3 2" xfId="751" xr:uid="{00000000-0005-0000-0000-0000EF020000}"/>
    <cellStyle name="Normal 2 18 14 3 3 2 2" xfId="752" xr:uid="{00000000-0005-0000-0000-0000F0020000}"/>
    <cellStyle name="Normal 2 18 14 3 3 2 3" xfId="753" xr:uid="{00000000-0005-0000-0000-0000F1020000}"/>
    <cellStyle name="Normal 2 18 14 3 3 3" xfId="754" xr:uid="{00000000-0005-0000-0000-0000F2020000}"/>
    <cellStyle name="Normal 2 18 14 3 3 4" xfId="755" xr:uid="{00000000-0005-0000-0000-0000F3020000}"/>
    <cellStyle name="Normal 2 18 14 3 4" xfId="756" xr:uid="{00000000-0005-0000-0000-0000F4020000}"/>
    <cellStyle name="Normal 2 18 14 3 4 2" xfId="757" xr:uid="{00000000-0005-0000-0000-0000F5020000}"/>
    <cellStyle name="Normal 2 18 14 3 4 3" xfId="758" xr:uid="{00000000-0005-0000-0000-0000F6020000}"/>
    <cellStyle name="Normal 2 18 14 3 5" xfId="759" xr:uid="{00000000-0005-0000-0000-0000F7020000}"/>
    <cellStyle name="Normal 2 18 14 3 6" xfId="760" xr:uid="{00000000-0005-0000-0000-0000F8020000}"/>
    <cellStyle name="Normal 2 18 14 4" xfId="761" xr:uid="{00000000-0005-0000-0000-0000F9020000}"/>
    <cellStyle name="Normal 2 18 14 4 2" xfId="762" xr:uid="{00000000-0005-0000-0000-0000FA020000}"/>
    <cellStyle name="Normal 2 18 14 4 2 2" xfId="763" xr:uid="{00000000-0005-0000-0000-0000FB020000}"/>
    <cellStyle name="Normal 2 18 14 4 2 3" xfId="764" xr:uid="{00000000-0005-0000-0000-0000FC020000}"/>
    <cellStyle name="Normal 2 18 14 4 3" xfId="765" xr:uid="{00000000-0005-0000-0000-0000FD020000}"/>
    <cellStyle name="Normal 2 18 14 4 4" xfId="766" xr:uid="{00000000-0005-0000-0000-0000FE020000}"/>
    <cellStyle name="Normal 2 18 14 5" xfId="767" xr:uid="{00000000-0005-0000-0000-0000FF020000}"/>
    <cellStyle name="Normal 2 18 14 5 2" xfId="768" xr:uid="{00000000-0005-0000-0000-000000030000}"/>
    <cellStyle name="Normal 2 18 14 5 2 2" xfId="769" xr:uid="{00000000-0005-0000-0000-000001030000}"/>
    <cellStyle name="Normal 2 18 14 5 2 3" xfId="770" xr:uid="{00000000-0005-0000-0000-000002030000}"/>
    <cellStyle name="Normal 2 18 14 5 3" xfId="771" xr:uid="{00000000-0005-0000-0000-000003030000}"/>
    <cellStyle name="Normal 2 18 14 5 4" xfId="772" xr:uid="{00000000-0005-0000-0000-000004030000}"/>
    <cellStyle name="Normal 2 18 14 6" xfId="773" xr:uid="{00000000-0005-0000-0000-000005030000}"/>
    <cellStyle name="Normal 2 18 14 6 2" xfId="774" xr:uid="{00000000-0005-0000-0000-000006030000}"/>
    <cellStyle name="Normal 2 18 14 6 3" xfId="775" xr:uid="{00000000-0005-0000-0000-000007030000}"/>
    <cellStyle name="Normal 2 18 14 7" xfId="776" xr:uid="{00000000-0005-0000-0000-000008030000}"/>
    <cellStyle name="Normal 2 18 14 8" xfId="777" xr:uid="{00000000-0005-0000-0000-000009030000}"/>
    <cellStyle name="Normal 2 18 15" xfId="778" xr:uid="{00000000-0005-0000-0000-00000A030000}"/>
    <cellStyle name="Normal 2 18 15 2" xfId="779" xr:uid="{00000000-0005-0000-0000-00000B030000}"/>
    <cellStyle name="Normal 2 18 15 2 2" xfId="780" xr:uid="{00000000-0005-0000-0000-00000C030000}"/>
    <cellStyle name="Normal 2 18 15 2 2 2" xfId="781" xr:uid="{00000000-0005-0000-0000-00000D030000}"/>
    <cellStyle name="Normal 2 18 15 2 2 2 2" xfId="782" xr:uid="{00000000-0005-0000-0000-00000E030000}"/>
    <cellStyle name="Normal 2 18 15 2 2 2 3" xfId="783" xr:uid="{00000000-0005-0000-0000-00000F030000}"/>
    <cellStyle name="Normal 2 18 15 2 2 3" xfId="784" xr:uid="{00000000-0005-0000-0000-000010030000}"/>
    <cellStyle name="Normal 2 18 15 2 2 4" xfId="785" xr:uid="{00000000-0005-0000-0000-000011030000}"/>
    <cellStyle name="Normal 2 18 15 2 3" xfId="786" xr:uid="{00000000-0005-0000-0000-000012030000}"/>
    <cellStyle name="Normal 2 18 15 2 3 2" xfId="787" xr:uid="{00000000-0005-0000-0000-000013030000}"/>
    <cellStyle name="Normal 2 18 15 2 3 2 2" xfId="788" xr:uid="{00000000-0005-0000-0000-000014030000}"/>
    <cellStyle name="Normal 2 18 15 2 3 2 3" xfId="789" xr:uid="{00000000-0005-0000-0000-000015030000}"/>
    <cellStyle name="Normal 2 18 15 2 3 3" xfId="790" xr:uid="{00000000-0005-0000-0000-000016030000}"/>
    <cellStyle name="Normal 2 18 15 2 3 4" xfId="791" xr:uid="{00000000-0005-0000-0000-000017030000}"/>
    <cellStyle name="Normal 2 18 15 2 4" xfId="792" xr:uid="{00000000-0005-0000-0000-000018030000}"/>
    <cellStyle name="Normal 2 18 15 2 4 2" xfId="793" xr:uid="{00000000-0005-0000-0000-000019030000}"/>
    <cellStyle name="Normal 2 18 15 2 4 3" xfId="794" xr:uid="{00000000-0005-0000-0000-00001A030000}"/>
    <cellStyle name="Normal 2 18 15 2 5" xfId="795" xr:uid="{00000000-0005-0000-0000-00001B030000}"/>
    <cellStyle name="Normal 2 18 15 2 6" xfId="796" xr:uid="{00000000-0005-0000-0000-00001C030000}"/>
    <cellStyle name="Normal 2 18 15 3" xfId="797" xr:uid="{00000000-0005-0000-0000-00001D030000}"/>
    <cellStyle name="Normal 2 18 15 3 2" xfId="798" xr:uid="{00000000-0005-0000-0000-00001E030000}"/>
    <cellStyle name="Normal 2 18 15 3 2 2" xfId="799" xr:uid="{00000000-0005-0000-0000-00001F030000}"/>
    <cellStyle name="Normal 2 18 15 3 2 2 2" xfId="800" xr:uid="{00000000-0005-0000-0000-000020030000}"/>
    <cellStyle name="Normal 2 18 15 3 2 2 3" xfId="801" xr:uid="{00000000-0005-0000-0000-000021030000}"/>
    <cellStyle name="Normal 2 18 15 3 2 3" xfId="802" xr:uid="{00000000-0005-0000-0000-000022030000}"/>
    <cellStyle name="Normal 2 18 15 3 2 4" xfId="803" xr:uid="{00000000-0005-0000-0000-000023030000}"/>
    <cellStyle name="Normal 2 18 15 3 3" xfId="804" xr:uid="{00000000-0005-0000-0000-000024030000}"/>
    <cellStyle name="Normal 2 18 15 3 3 2" xfId="805" xr:uid="{00000000-0005-0000-0000-000025030000}"/>
    <cellStyle name="Normal 2 18 15 3 3 2 2" xfId="806" xr:uid="{00000000-0005-0000-0000-000026030000}"/>
    <cellStyle name="Normal 2 18 15 3 3 2 3" xfId="807" xr:uid="{00000000-0005-0000-0000-000027030000}"/>
    <cellStyle name="Normal 2 18 15 3 3 3" xfId="808" xr:uid="{00000000-0005-0000-0000-000028030000}"/>
    <cellStyle name="Normal 2 18 15 3 3 4" xfId="809" xr:uid="{00000000-0005-0000-0000-000029030000}"/>
    <cellStyle name="Normal 2 18 15 3 4" xfId="810" xr:uid="{00000000-0005-0000-0000-00002A030000}"/>
    <cellStyle name="Normal 2 18 15 3 4 2" xfId="811" xr:uid="{00000000-0005-0000-0000-00002B030000}"/>
    <cellStyle name="Normal 2 18 15 3 4 3" xfId="812" xr:uid="{00000000-0005-0000-0000-00002C030000}"/>
    <cellStyle name="Normal 2 18 15 3 5" xfId="813" xr:uid="{00000000-0005-0000-0000-00002D030000}"/>
    <cellStyle name="Normal 2 18 15 3 6" xfId="814" xr:uid="{00000000-0005-0000-0000-00002E030000}"/>
    <cellStyle name="Normal 2 18 15 4" xfId="815" xr:uid="{00000000-0005-0000-0000-00002F030000}"/>
    <cellStyle name="Normal 2 18 15 4 2" xfId="816" xr:uid="{00000000-0005-0000-0000-000030030000}"/>
    <cellStyle name="Normal 2 18 15 4 2 2" xfId="817" xr:uid="{00000000-0005-0000-0000-000031030000}"/>
    <cellStyle name="Normal 2 18 15 4 2 3" xfId="818" xr:uid="{00000000-0005-0000-0000-000032030000}"/>
    <cellStyle name="Normal 2 18 15 4 3" xfId="819" xr:uid="{00000000-0005-0000-0000-000033030000}"/>
    <cellStyle name="Normal 2 18 15 4 4" xfId="820" xr:uid="{00000000-0005-0000-0000-000034030000}"/>
    <cellStyle name="Normal 2 18 15 5" xfId="821" xr:uid="{00000000-0005-0000-0000-000035030000}"/>
    <cellStyle name="Normal 2 18 15 5 2" xfId="822" xr:uid="{00000000-0005-0000-0000-000036030000}"/>
    <cellStyle name="Normal 2 18 15 5 2 2" xfId="823" xr:uid="{00000000-0005-0000-0000-000037030000}"/>
    <cellStyle name="Normal 2 18 15 5 2 3" xfId="824" xr:uid="{00000000-0005-0000-0000-000038030000}"/>
    <cellStyle name="Normal 2 18 15 5 3" xfId="825" xr:uid="{00000000-0005-0000-0000-000039030000}"/>
    <cellStyle name="Normal 2 18 15 5 4" xfId="826" xr:uid="{00000000-0005-0000-0000-00003A030000}"/>
    <cellStyle name="Normal 2 18 15 6" xfId="827" xr:uid="{00000000-0005-0000-0000-00003B030000}"/>
    <cellStyle name="Normal 2 18 15 6 2" xfId="828" xr:uid="{00000000-0005-0000-0000-00003C030000}"/>
    <cellStyle name="Normal 2 18 15 6 3" xfId="829" xr:uid="{00000000-0005-0000-0000-00003D030000}"/>
    <cellStyle name="Normal 2 18 15 7" xfId="830" xr:uid="{00000000-0005-0000-0000-00003E030000}"/>
    <cellStyle name="Normal 2 18 15 8" xfId="831" xr:uid="{00000000-0005-0000-0000-00003F030000}"/>
    <cellStyle name="Normal 2 18 16" xfId="832" xr:uid="{00000000-0005-0000-0000-000040030000}"/>
    <cellStyle name="Normal 2 18 16 2" xfId="833" xr:uid="{00000000-0005-0000-0000-000041030000}"/>
    <cellStyle name="Normal 2 18 16 2 2" xfId="834" xr:uid="{00000000-0005-0000-0000-000042030000}"/>
    <cellStyle name="Normal 2 18 16 2 2 2" xfId="835" xr:uid="{00000000-0005-0000-0000-000043030000}"/>
    <cellStyle name="Normal 2 18 16 2 2 3" xfId="836" xr:uid="{00000000-0005-0000-0000-000044030000}"/>
    <cellStyle name="Normal 2 18 16 2 3" xfId="837" xr:uid="{00000000-0005-0000-0000-000045030000}"/>
    <cellStyle name="Normal 2 18 16 2 4" xfId="838" xr:uid="{00000000-0005-0000-0000-000046030000}"/>
    <cellStyle name="Normal 2 18 16 3" xfId="839" xr:uid="{00000000-0005-0000-0000-000047030000}"/>
    <cellStyle name="Normal 2 18 16 3 2" xfId="840" xr:uid="{00000000-0005-0000-0000-000048030000}"/>
    <cellStyle name="Normal 2 18 16 3 2 2" xfId="841" xr:uid="{00000000-0005-0000-0000-000049030000}"/>
    <cellStyle name="Normal 2 18 16 3 2 3" xfId="842" xr:uid="{00000000-0005-0000-0000-00004A030000}"/>
    <cellStyle name="Normal 2 18 16 3 3" xfId="843" xr:uid="{00000000-0005-0000-0000-00004B030000}"/>
    <cellStyle name="Normal 2 18 16 3 4" xfId="844" xr:uid="{00000000-0005-0000-0000-00004C030000}"/>
    <cellStyle name="Normal 2 18 16 4" xfId="845" xr:uid="{00000000-0005-0000-0000-00004D030000}"/>
    <cellStyle name="Normal 2 18 16 4 2" xfId="846" xr:uid="{00000000-0005-0000-0000-00004E030000}"/>
    <cellStyle name="Normal 2 18 16 4 3" xfId="847" xr:uid="{00000000-0005-0000-0000-00004F030000}"/>
    <cellStyle name="Normal 2 18 16 5" xfId="848" xr:uid="{00000000-0005-0000-0000-000050030000}"/>
    <cellStyle name="Normal 2 18 16 6" xfId="849" xr:uid="{00000000-0005-0000-0000-000051030000}"/>
    <cellStyle name="Normal 2 18 17" xfId="850" xr:uid="{00000000-0005-0000-0000-000052030000}"/>
    <cellStyle name="Normal 2 18 17 2" xfId="851" xr:uid="{00000000-0005-0000-0000-000053030000}"/>
    <cellStyle name="Normal 2 18 17 2 2" xfId="852" xr:uid="{00000000-0005-0000-0000-000054030000}"/>
    <cellStyle name="Normal 2 18 17 2 2 2" xfId="853" xr:uid="{00000000-0005-0000-0000-000055030000}"/>
    <cellStyle name="Normal 2 18 17 2 2 3" xfId="854" xr:uid="{00000000-0005-0000-0000-000056030000}"/>
    <cellStyle name="Normal 2 18 17 2 3" xfId="855" xr:uid="{00000000-0005-0000-0000-000057030000}"/>
    <cellStyle name="Normal 2 18 17 2 4" xfId="856" xr:uid="{00000000-0005-0000-0000-000058030000}"/>
    <cellStyle name="Normal 2 18 17 3" xfId="857" xr:uid="{00000000-0005-0000-0000-000059030000}"/>
    <cellStyle name="Normal 2 18 17 3 2" xfId="858" xr:uid="{00000000-0005-0000-0000-00005A030000}"/>
    <cellStyle name="Normal 2 18 17 3 2 2" xfId="859" xr:uid="{00000000-0005-0000-0000-00005B030000}"/>
    <cellStyle name="Normal 2 18 17 3 2 3" xfId="860" xr:uid="{00000000-0005-0000-0000-00005C030000}"/>
    <cellStyle name="Normal 2 18 17 3 3" xfId="861" xr:uid="{00000000-0005-0000-0000-00005D030000}"/>
    <cellStyle name="Normal 2 18 17 3 4" xfId="862" xr:uid="{00000000-0005-0000-0000-00005E030000}"/>
    <cellStyle name="Normal 2 18 17 4" xfId="863" xr:uid="{00000000-0005-0000-0000-00005F030000}"/>
    <cellStyle name="Normal 2 18 17 4 2" xfId="864" xr:uid="{00000000-0005-0000-0000-000060030000}"/>
    <cellStyle name="Normal 2 18 17 4 3" xfId="865" xr:uid="{00000000-0005-0000-0000-000061030000}"/>
    <cellStyle name="Normal 2 18 17 5" xfId="866" xr:uid="{00000000-0005-0000-0000-000062030000}"/>
    <cellStyle name="Normal 2 18 17 6" xfId="867" xr:uid="{00000000-0005-0000-0000-000063030000}"/>
    <cellStyle name="Normal 2 18 18" xfId="868" xr:uid="{00000000-0005-0000-0000-000064030000}"/>
    <cellStyle name="Normal 2 18 18 2" xfId="869" xr:uid="{00000000-0005-0000-0000-000065030000}"/>
    <cellStyle name="Normal 2 18 18 2 2" xfId="870" xr:uid="{00000000-0005-0000-0000-000066030000}"/>
    <cellStyle name="Normal 2 18 18 2 2 2" xfId="871" xr:uid="{00000000-0005-0000-0000-000067030000}"/>
    <cellStyle name="Normal 2 18 18 2 2 3" xfId="872" xr:uid="{00000000-0005-0000-0000-000068030000}"/>
    <cellStyle name="Normal 2 18 18 2 3" xfId="873" xr:uid="{00000000-0005-0000-0000-000069030000}"/>
    <cellStyle name="Normal 2 18 18 2 4" xfId="874" xr:uid="{00000000-0005-0000-0000-00006A030000}"/>
    <cellStyle name="Normal 2 18 18 3" xfId="875" xr:uid="{00000000-0005-0000-0000-00006B030000}"/>
    <cellStyle name="Normal 2 18 18 3 2" xfId="876" xr:uid="{00000000-0005-0000-0000-00006C030000}"/>
    <cellStyle name="Normal 2 18 18 3 2 2" xfId="877" xr:uid="{00000000-0005-0000-0000-00006D030000}"/>
    <cellStyle name="Normal 2 18 18 3 2 3" xfId="878" xr:uid="{00000000-0005-0000-0000-00006E030000}"/>
    <cellStyle name="Normal 2 18 18 3 3" xfId="879" xr:uid="{00000000-0005-0000-0000-00006F030000}"/>
    <cellStyle name="Normal 2 18 18 3 4" xfId="880" xr:uid="{00000000-0005-0000-0000-000070030000}"/>
    <cellStyle name="Normal 2 18 18 4" xfId="881" xr:uid="{00000000-0005-0000-0000-000071030000}"/>
    <cellStyle name="Normal 2 18 18 4 2" xfId="882" xr:uid="{00000000-0005-0000-0000-000072030000}"/>
    <cellStyle name="Normal 2 18 18 4 3" xfId="883" xr:uid="{00000000-0005-0000-0000-000073030000}"/>
    <cellStyle name="Normal 2 18 18 5" xfId="884" xr:uid="{00000000-0005-0000-0000-000074030000}"/>
    <cellStyle name="Normal 2 18 18 6" xfId="885" xr:uid="{00000000-0005-0000-0000-000075030000}"/>
    <cellStyle name="Normal 2 18 19" xfId="886" xr:uid="{00000000-0005-0000-0000-000076030000}"/>
    <cellStyle name="Normal 2 18 19 2" xfId="887" xr:uid="{00000000-0005-0000-0000-000077030000}"/>
    <cellStyle name="Normal 2 18 19 2 2" xfId="888" xr:uid="{00000000-0005-0000-0000-000078030000}"/>
    <cellStyle name="Normal 2 18 19 2 2 2" xfId="889" xr:uid="{00000000-0005-0000-0000-000079030000}"/>
    <cellStyle name="Normal 2 18 19 2 2 3" xfId="890" xr:uid="{00000000-0005-0000-0000-00007A030000}"/>
    <cellStyle name="Normal 2 18 19 2 3" xfId="891" xr:uid="{00000000-0005-0000-0000-00007B030000}"/>
    <cellStyle name="Normal 2 18 19 2 4" xfId="892" xr:uid="{00000000-0005-0000-0000-00007C030000}"/>
    <cellStyle name="Normal 2 18 19 3" xfId="893" xr:uid="{00000000-0005-0000-0000-00007D030000}"/>
    <cellStyle name="Normal 2 18 19 3 2" xfId="894" xr:uid="{00000000-0005-0000-0000-00007E030000}"/>
    <cellStyle name="Normal 2 18 19 3 2 2" xfId="895" xr:uid="{00000000-0005-0000-0000-00007F030000}"/>
    <cellStyle name="Normal 2 18 19 3 2 3" xfId="896" xr:uid="{00000000-0005-0000-0000-000080030000}"/>
    <cellStyle name="Normal 2 18 19 3 3" xfId="897" xr:uid="{00000000-0005-0000-0000-000081030000}"/>
    <cellStyle name="Normal 2 18 19 3 4" xfId="898" xr:uid="{00000000-0005-0000-0000-000082030000}"/>
    <cellStyle name="Normal 2 18 19 4" xfId="899" xr:uid="{00000000-0005-0000-0000-000083030000}"/>
    <cellStyle name="Normal 2 18 19 4 2" xfId="900" xr:uid="{00000000-0005-0000-0000-000084030000}"/>
    <cellStyle name="Normal 2 18 19 4 3" xfId="901" xr:uid="{00000000-0005-0000-0000-000085030000}"/>
    <cellStyle name="Normal 2 18 19 5" xfId="902" xr:uid="{00000000-0005-0000-0000-000086030000}"/>
    <cellStyle name="Normal 2 18 19 6" xfId="903" xr:uid="{00000000-0005-0000-0000-000087030000}"/>
    <cellStyle name="Normal 2 18 2" xfId="904" xr:uid="{00000000-0005-0000-0000-000088030000}"/>
    <cellStyle name="Normal 2 18 2 10" xfId="905" xr:uid="{00000000-0005-0000-0000-000089030000}"/>
    <cellStyle name="Normal 2 18 2 10 2" xfId="906" xr:uid="{00000000-0005-0000-0000-00008A030000}"/>
    <cellStyle name="Normal 2 18 2 10 2 2" xfId="907" xr:uid="{00000000-0005-0000-0000-00008B030000}"/>
    <cellStyle name="Normal 2 18 2 10 2 3" xfId="908" xr:uid="{00000000-0005-0000-0000-00008C030000}"/>
    <cellStyle name="Normal 2 18 2 10 3" xfId="909" xr:uid="{00000000-0005-0000-0000-00008D030000}"/>
    <cellStyle name="Normal 2 18 2 10 4" xfId="910" xr:uid="{00000000-0005-0000-0000-00008E030000}"/>
    <cellStyle name="Normal 2 18 2 11" xfId="911" xr:uid="{00000000-0005-0000-0000-00008F030000}"/>
    <cellStyle name="Normal 2 18 2 11 2" xfId="912" xr:uid="{00000000-0005-0000-0000-000090030000}"/>
    <cellStyle name="Normal 2 18 2 11 2 2" xfId="913" xr:uid="{00000000-0005-0000-0000-000091030000}"/>
    <cellStyle name="Normal 2 18 2 11 2 3" xfId="914" xr:uid="{00000000-0005-0000-0000-000092030000}"/>
    <cellStyle name="Normal 2 18 2 11 3" xfId="915" xr:uid="{00000000-0005-0000-0000-000093030000}"/>
    <cellStyle name="Normal 2 18 2 11 4" xfId="916" xr:uid="{00000000-0005-0000-0000-000094030000}"/>
    <cellStyle name="Normal 2 18 2 12" xfId="917" xr:uid="{00000000-0005-0000-0000-000095030000}"/>
    <cellStyle name="Normal 2 18 2 12 2" xfId="918" xr:uid="{00000000-0005-0000-0000-000096030000}"/>
    <cellStyle name="Normal 2 18 2 12 3" xfId="919" xr:uid="{00000000-0005-0000-0000-000097030000}"/>
    <cellStyle name="Normal 2 18 2 13" xfId="920" xr:uid="{00000000-0005-0000-0000-000098030000}"/>
    <cellStyle name="Normal 2 18 2 14" xfId="921" xr:uid="{00000000-0005-0000-0000-000099030000}"/>
    <cellStyle name="Normal 2 18 2 2" xfId="922" xr:uid="{00000000-0005-0000-0000-00009A030000}"/>
    <cellStyle name="Normal 2 18 2 2 2" xfId="923" xr:uid="{00000000-0005-0000-0000-00009B030000}"/>
    <cellStyle name="Normal 2 18 2 2 2 2" xfId="924" xr:uid="{00000000-0005-0000-0000-00009C030000}"/>
    <cellStyle name="Normal 2 18 2 2 2 2 2" xfId="925" xr:uid="{00000000-0005-0000-0000-00009D030000}"/>
    <cellStyle name="Normal 2 18 2 2 2 2 3" xfId="926" xr:uid="{00000000-0005-0000-0000-00009E030000}"/>
    <cellStyle name="Normal 2 18 2 2 2 3" xfId="927" xr:uid="{00000000-0005-0000-0000-00009F030000}"/>
    <cellStyle name="Normal 2 18 2 2 2 4" xfId="928" xr:uid="{00000000-0005-0000-0000-0000A0030000}"/>
    <cellStyle name="Normal 2 18 2 2 3" xfId="929" xr:uid="{00000000-0005-0000-0000-0000A1030000}"/>
    <cellStyle name="Normal 2 18 2 2 3 2" xfId="930" xr:uid="{00000000-0005-0000-0000-0000A2030000}"/>
    <cellStyle name="Normal 2 18 2 2 3 2 2" xfId="931" xr:uid="{00000000-0005-0000-0000-0000A3030000}"/>
    <cellStyle name="Normal 2 18 2 2 3 2 3" xfId="932" xr:uid="{00000000-0005-0000-0000-0000A4030000}"/>
    <cellStyle name="Normal 2 18 2 2 3 3" xfId="933" xr:uid="{00000000-0005-0000-0000-0000A5030000}"/>
    <cellStyle name="Normal 2 18 2 2 3 4" xfId="934" xr:uid="{00000000-0005-0000-0000-0000A6030000}"/>
    <cellStyle name="Normal 2 18 2 2 4" xfId="935" xr:uid="{00000000-0005-0000-0000-0000A7030000}"/>
    <cellStyle name="Normal 2 18 2 2 4 2" xfId="936" xr:uid="{00000000-0005-0000-0000-0000A8030000}"/>
    <cellStyle name="Normal 2 18 2 2 4 3" xfId="937" xr:uid="{00000000-0005-0000-0000-0000A9030000}"/>
    <cellStyle name="Normal 2 18 2 2 5" xfId="938" xr:uid="{00000000-0005-0000-0000-0000AA030000}"/>
    <cellStyle name="Normal 2 18 2 2 6" xfId="939" xr:uid="{00000000-0005-0000-0000-0000AB030000}"/>
    <cellStyle name="Normal 2 18 2 3" xfId="940" xr:uid="{00000000-0005-0000-0000-0000AC030000}"/>
    <cellStyle name="Normal 2 18 2 3 2" xfId="941" xr:uid="{00000000-0005-0000-0000-0000AD030000}"/>
    <cellStyle name="Normal 2 18 2 3 2 2" xfId="942" xr:uid="{00000000-0005-0000-0000-0000AE030000}"/>
    <cellStyle name="Normal 2 18 2 3 2 2 2" xfId="943" xr:uid="{00000000-0005-0000-0000-0000AF030000}"/>
    <cellStyle name="Normal 2 18 2 3 2 2 3" xfId="944" xr:uid="{00000000-0005-0000-0000-0000B0030000}"/>
    <cellStyle name="Normal 2 18 2 3 2 3" xfId="945" xr:uid="{00000000-0005-0000-0000-0000B1030000}"/>
    <cellStyle name="Normal 2 18 2 3 2 4" xfId="946" xr:uid="{00000000-0005-0000-0000-0000B2030000}"/>
    <cellStyle name="Normal 2 18 2 3 3" xfId="947" xr:uid="{00000000-0005-0000-0000-0000B3030000}"/>
    <cellStyle name="Normal 2 18 2 3 3 2" xfId="948" xr:uid="{00000000-0005-0000-0000-0000B4030000}"/>
    <cellStyle name="Normal 2 18 2 3 3 2 2" xfId="949" xr:uid="{00000000-0005-0000-0000-0000B5030000}"/>
    <cellStyle name="Normal 2 18 2 3 3 2 3" xfId="950" xr:uid="{00000000-0005-0000-0000-0000B6030000}"/>
    <cellStyle name="Normal 2 18 2 3 3 3" xfId="951" xr:uid="{00000000-0005-0000-0000-0000B7030000}"/>
    <cellStyle name="Normal 2 18 2 3 3 4" xfId="952" xr:uid="{00000000-0005-0000-0000-0000B8030000}"/>
    <cellStyle name="Normal 2 18 2 3 4" xfId="953" xr:uid="{00000000-0005-0000-0000-0000B9030000}"/>
    <cellStyle name="Normal 2 18 2 3 4 2" xfId="954" xr:uid="{00000000-0005-0000-0000-0000BA030000}"/>
    <cellStyle name="Normal 2 18 2 3 4 3" xfId="955" xr:uid="{00000000-0005-0000-0000-0000BB030000}"/>
    <cellStyle name="Normal 2 18 2 3 5" xfId="956" xr:uid="{00000000-0005-0000-0000-0000BC030000}"/>
    <cellStyle name="Normal 2 18 2 3 6" xfId="957" xr:uid="{00000000-0005-0000-0000-0000BD030000}"/>
    <cellStyle name="Normal 2 18 2 4" xfId="958" xr:uid="{00000000-0005-0000-0000-0000BE030000}"/>
    <cellStyle name="Normal 2 18 2 4 2" xfId="959" xr:uid="{00000000-0005-0000-0000-0000BF030000}"/>
    <cellStyle name="Normal 2 18 2 4 2 2" xfId="960" xr:uid="{00000000-0005-0000-0000-0000C0030000}"/>
    <cellStyle name="Normal 2 18 2 4 2 2 2" xfId="961" xr:uid="{00000000-0005-0000-0000-0000C1030000}"/>
    <cellStyle name="Normal 2 18 2 4 2 2 3" xfId="962" xr:uid="{00000000-0005-0000-0000-0000C2030000}"/>
    <cellStyle name="Normal 2 18 2 4 2 3" xfId="963" xr:uid="{00000000-0005-0000-0000-0000C3030000}"/>
    <cellStyle name="Normal 2 18 2 4 2 4" xfId="964" xr:uid="{00000000-0005-0000-0000-0000C4030000}"/>
    <cellStyle name="Normal 2 18 2 4 3" xfId="965" xr:uid="{00000000-0005-0000-0000-0000C5030000}"/>
    <cellStyle name="Normal 2 18 2 4 3 2" xfId="966" xr:uid="{00000000-0005-0000-0000-0000C6030000}"/>
    <cellStyle name="Normal 2 18 2 4 3 2 2" xfId="967" xr:uid="{00000000-0005-0000-0000-0000C7030000}"/>
    <cellStyle name="Normal 2 18 2 4 3 2 3" xfId="968" xr:uid="{00000000-0005-0000-0000-0000C8030000}"/>
    <cellStyle name="Normal 2 18 2 4 3 3" xfId="969" xr:uid="{00000000-0005-0000-0000-0000C9030000}"/>
    <cellStyle name="Normal 2 18 2 4 3 4" xfId="970" xr:uid="{00000000-0005-0000-0000-0000CA030000}"/>
    <cellStyle name="Normal 2 18 2 4 4" xfId="971" xr:uid="{00000000-0005-0000-0000-0000CB030000}"/>
    <cellStyle name="Normal 2 18 2 4 4 2" xfId="972" xr:uid="{00000000-0005-0000-0000-0000CC030000}"/>
    <cellStyle name="Normal 2 18 2 4 4 3" xfId="973" xr:uid="{00000000-0005-0000-0000-0000CD030000}"/>
    <cellStyle name="Normal 2 18 2 4 5" xfId="974" xr:uid="{00000000-0005-0000-0000-0000CE030000}"/>
    <cellStyle name="Normal 2 18 2 4 6" xfId="975" xr:uid="{00000000-0005-0000-0000-0000CF030000}"/>
    <cellStyle name="Normal 2 18 2 5" xfId="976" xr:uid="{00000000-0005-0000-0000-0000D0030000}"/>
    <cellStyle name="Normal 2 18 2 5 2" xfId="977" xr:uid="{00000000-0005-0000-0000-0000D1030000}"/>
    <cellStyle name="Normal 2 18 2 5 2 2" xfId="978" xr:uid="{00000000-0005-0000-0000-0000D2030000}"/>
    <cellStyle name="Normal 2 18 2 5 2 2 2" xfId="979" xr:uid="{00000000-0005-0000-0000-0000D3030000}"/>
    <cellStyle name="Normal 2 18 2 5 2 2 3" xfId="980" xr:uid="{00000000-0005-0000-0000-0000D4030000}"/>
    <cellStyle name="Normal 2 18 2 5 2 3" xfId="981" xr:uid="{00000000-0005-0000-0000-0000D5030000}"/>
    <cellStyle name="Normal 2 18 2 5 2 4" xfId="982" xr:uid="{00000000-0005-0000-0000-0000D6030000}"/>
    <cellStyle name="Normal 2 18 2 5 3" xfId="983" xr:uid="{00000000-0005-0000-0000-0000D7030000}"/>
    <cellStyle name="Normal 2 18 2 5 3 2" xfId="984" xr:uid="{00000000-0005-0000-0000-0000D8030000}"/>
    <cellStyle name="Normal 2 18 2 5 3 2 2" xfId="985" xr:uid="{00000000-0005-0000-0000-0000D9030000}"/>
    <cellStyle name="Normal 2 18 2 5 3 2 3" xfId="986" xr:uid="{00000000-0005-0000-0000-0000DA030000}"/>
    <cellStyle name="Normal 2 18 2 5 3 3" xfId="987" xr:uid="{00000000-0005-0000-0000-0000DB030000}"/>
    <cellStyle name="Normal 2 18 2 5 3 4" xfId="988" xr:uid="{00000000-0005-0000-0000-0000DC030000}"/>
    <cellStyle name="Normal 2 18 2 5 4" xfId="989" xr:uid="{00000000-0005-0000-0000-0000DD030000}"/>
    <cellStyle name="Normal 2 18 2 5 4 2" xfId="990" xr:uid="{00000000-0005-0000-0000-0000DE030000}"/>
    <cellStyle name="Normal 2 18 2 5 4 3" xfId="991" xr:uid="{00000000-0005-0000-0000-0000DF030000}"/>
    <cellStyle name="Normal 2 18 2 5 5" xfId="992" xr:uid="{00000000-0005-0000-0000-0000E0030000}"/>
    <cellStyle name="Normal 2 18 2 5 6" xfId="993" xr:uid="{00000000-0005-0000-0000-0000E1030000}"/>
    <cellStyle name="Normal 2 18 2 6" xfId="994" xr:uid="{00000000-0005-0000-0000-0000E2030000}"/>
    <cellStyle name="Normal 2 18 2 6 2" xfId="995" xr:uid="{00000000-0005-0000-0000-0000E3030000}"/>
    <cellStyle name="Normal 2 18 2 6 2 2" xfId="996" xr:uid="{00000000-0005-0000-0000-0000E4030000}"/>
    <cellStyle name="Normal 2 18 2 6 2 2 2" xfId="997" xr:uid="{00000000-0005-0000-0000-0000E5030000}"/>
    <cellStyle name="Normal 2 18 2 6 2 2 3" xfId="998" xr:uid="{00000000-0005-0000-0000-0000E6030000}"/>
    <cellStyle name="Normal 2 18 2 6 2 3" xfId="999" xr:uid="{00000000-0005-0000-0000-0000E7030000}"/>
    <cellStyle name="Normal 2 18 2 6 2 4" xfId="1000" xr:uid="{00000000-0005-0000-0000-0000E8030000}"/>
    <cellStyle name="Normal 2 18 2 6 3" xfId="1001" xr:uid="{00000000-0005-0000-0000-0000E9030000}"/>
    <cellStyle name="Normal 2 18 2 6 3 2" xfId="1002" xr:uid="{00000000-0005-0000-0000-0000EA030000}"/>
    <cellStyle name="Normal 2 18 2 6 3 2 2" xfId="1003" xr:uid="{00000000-0005-0000-0000-0000EB030000}"/>
    <cellStyle name="Normal 2 18 2 6 3 2 3" xfId="1004" xr:uid="{00000000-0005-0000-0000-0000EC030000}"/>
    <cellStyle name="Normal 2 18 2 6 3 3" xfId="1005" xr:uid="{00000000-0005-0000-0000-0000ED030000}"/>
    <cellStyle name="Normal 2 18 2 6 3 4" xfId="1006" xr:uid="{00000000-0005-0000-0000-0000EE030000}"/>
    <cellStyle name="Normal 2 18 2 6 4" xfId="1007" xr:uid="{00000000-0005-0000-0000-0000EF030000}"/>
    <cellStyle name="Normal 2 18 2 6 4 2" xfId="1008" xr:uid="{00000000-0005-0000-0000-0000F0030000}"/>
    <cellStyle name="Normal 2 18 2 6 4 3" xfId="1009" xr:uid="{00000000-0005-0000-0000-0000F1030000}"/>
    <cellStyle name="Normal 2 18 2 6 5" xfId="1010" xr:uid="{00000000-0005-0000-0000-0000F2030000}"/>
    <cellStyle name="Normal 2 18 2 6 6" xfId="1011" xr:uid="{00000000-0005-0000-0000-0000F3030000}"/>
    <cellStyle name="Normal 2 18 2 7" xfId="1012" xr:uid="{00000000-0005-0000-0000-0000F4030000}"/>
    <cellStyle name="Normal 2 18 2 7 2" xfId="1013" xr:uid="{00000000-0005-0000-0000-0000F5030000}"/>
    <cellStyle name="Normal 2 18 2 7 2 2" xfId="1014" xr:uid="{00000000-0005-0000-0000-0000F6030000}"/>
    <cellStyle name="Normal 2 18 2 7 2 2 2" xfId="1015" xr:uid="{00000000-0005-0000-0000-0000F7030000}"/>
    <cellStyle name="Normal 2 18 2 7 2 2 3" xfId="1016" xr:uid="{00000000-0005-0000-0000-0000F8030000}"/>
    <cellStyle name="Normal 2 18 2 7 2 3" xfId="1017" xr:uid="{00000000-0005-0000-0000-0000F9030000}"/>
    <cellStyle name="Normal 2 18 2 7 2 4" xfId="1018" xr:uid="{00000000-0005-0000-0000-0000FA030000}"/>
    <cellStyle name="Normal 2 18 2 7 3" xfId="1019" xr:uid="{00000000-0005-0000-0000-0000FB030000}"/>
    <cellStyle name="Normal 2 18 2 7 3 2" xfId="1020" xr:uid="{00000000-0005-0000-0000-0000FC030000}"/>
    <cellStyle name="Normal 2 18 2 7 3 2 2" xfId="1021" xr:uid="{00000000-0005-0000-0000-0000FD030000}"/>
    <cellStyle name="Normal 2 18 2 7 3 2 3" xfId="1022" xr:uid="{00000000-0005-0000-0000-0000FE030000}"/>
    <cellStyle name="Normal 2 18 2 7 3 3" xfId="1023" xr:uid="{00000000-0005-0000-0000-0000FF030000}"/>
    <cellStyle name="Normal 2 18 2 7 3 4" xfId="1024" xr:uid="{00000000-0005-0000-0000-000000040000}"/>
    <cellStyle name="Normal 2 18 2 7 4" xfId="1025" xr:uid="{00000000-0005-0000-0000-000001040000}"/>
    <cellStyle name="Normal 2 18 2 7 4 2" xfId="1026" xr:uid="{00000000-0005-0000-0000-000002040000}"/>
    <cellStyle name="Normal 2 18 2 7 4 3" xfId="1027" xr:uid="{00000000-0005-0000-0000-000003040000}"/>
    <cellStyle name="Normal 2 18 2 7 5" xfId="1028" xr:uid="{00000000-0005-0000-0000-000004040000}"/>
    <cellStyle name="Normal 2 18 2 7 6" xfId="1029" xr:uid="{00000000-0005-0000-0000-000005040000}"/>
    <cellStyle name="Normal 2 18 2 8" xfId="1030" xr:uid="{00000000-0005-0000-0000-000006040000}"/>
    <cellStyle name="Normal 2 18 2 8 2" xfId="1031" xr:uid="{00000000-0005-0000-0000-000007040000}"/>
    <cellStyle name="Normal 2 18 2 8 2 2" xfId="1032" xr:uid="{00000000-0005-0000-0000-000008040000}"/>
    <cellStyle name="Normal 2 18 2 8 2 2 2" xfId="1033" xr:uid="{00000000-0005-0000-0000-000009040000}"/>
    <cellStyle name="Normal 2 18 2 8 2 2 3" xfId="1034" xr:uid="{00000000-0005-0000-0000-00000A040000}"/>
    <cellStyle name="Normal 2 18 2 8 2 3" xfId="1035" xr:uid="{00000000-0005-0000-0000-00000B040000}"/>
    <cellStyle name="Normal 2 18 2 8 2 4" xfId="1036" xr:uid="{00000000-0005-0000-0000-00000C040000}"/>
    <cellStyle name="Normal 2 18 2 8 3" xfId="1037" xr:uid="{00000000-0005-0000-0000-00000D040000}"/>
    <cellStyle name="Normal 2 18 2 8 3 2" xfId="1038" xr:uid="{00000000-0005-0000-0000-00000E040000}"/>
    <cellStyle name="Normal 2 18 2 8 3 2 2" xfId="1039" xr:uid="{00000000-0005-0000-0000-00000F040000}"/>
    <cellStyle name="Normal 2 18 2 8 3 2 3" xfId="1040" xr:uid="{00000000-0005-0000-0000-000010040000}"/>
    <cellStyle name="Normal 2 18 2 8 3 3" xfId="1041" xr:uid="{00000000-0005-0000-0000-000011040000}"/>
    <cellStyle name="Normal 2 18 2 8 3 4" xfId="1042" xr:uid="{00000000-0005-0000-0000-000012040000}"/>
    <cellStyle name="Normal 2 18 2 8 4" xfId="1043" xr:uid="{00000000-0005-0000-0000-000013040000}"/>
    <cellStyle name="Normal 2 18 2 8 4 2" xfId="1044" xr:uid="{00000000-0005-0000-0000-000014040000}"/>
    <cellStyle name="Normal 2 18 2 8 4 3" xfId="1045" xr:uid="{00000000-0005-0000-0000-000015040000}"/>
    <cellStyle name="Normal 2 18 2 8 5" xfId="1046" xr:uid="{00000000-0005-0000-0000-000016040000}"/>
    <cellStyle name="Normal 2 18 2 8 6" xfId="1047" xr:uid="{00000000-0005-0000-0000-000017040000}"/>
    <cellStyle name="Normal 2 18 2 9" xfId="1048" xr:uid="{00000000-0005-0000-0000-000018040000}"/>
    <cellStyle name="Normal 2 18 2 9 2" xfId="1049" xr:uid="{00000000-0005-0000-0000-000019040000}"/>
    <cellStyle name="Normal 2 18 2 9 2 2" xfId="1050" xr:uid="{00000000-0005-0000-0000-00001A040000}"/>
    <cellStyle name="Normal 2 18 2 9 2 2 2" xfId="1051" xr:uid="{00000000-0005-0000-0000-00001B040000}"/>
    <cellStyle name="Normal 2 18 2 9 2 2 3" xfId="1052" xr:uid="{00000000-0005-0000-0000-00001C040000}"/>
    <cellStyle name="Normal 2 18 2 9 2 3" xfId="1053" xr:uid="{00000000-0005-0000-0000-00001D040000}"/>
    <cellStyle name="Normal 2 18 2 9 2 4" xfId="1054" xr:uid="{00000000-0005-0000-0000-00001E040000}"/>
    <cellStyle name="Normal 2 18 2 9 3" xfId="1055" xr:uid="{00000000-0005-0000-0000-00001F040000}"/>
    <cellStyle name="Normal 2 18 2 9 3 2" xfId="1056" xr:uid="{00000000-0005-0000-0000-000020040000}"/>
    <cellStyle name="Normal 2 18 2 9 3 2 2" xfId="1057" xr:uid="{00000000-0005-0000-0000-000021040000}"/>
    <cellStyle name="Normal 2 18 2 9 3 2 3" xfId="1058" xr:uid="{00000000-0005-0000-0000-000022040000}"/>
    <cellStyle name="Normal 2 18 2 9 3 3" xfId="1059" xr:uid="{00000000-0005-0000-0000-000023040000}"/>
    <cellStyle name="Normal 2 18 2 9 3 4" xfId="1060" xr:uid="{00000000-0005-0000-0000-000024040000}"/>
    <cellStyle name="Normal 2 18 2 9 4" xfId="1061" xr:uid="{00000000-0005-0000-0000-000025040000}"/>
    <cellStyle name="Normal 2 18 2 9 4 2" xfId="1062" xr:uid="{00000000-0005-0000-0000-000026040000}"/>
    <cellStyle name="Normal 2 18 2 9 4 3" xfId="1063" xr:uid="{00000000-0005-0000-0000-000027040000}"/>
    <cellStyle name="Normal 2 18 2 9 5" xfId="1064" xr:uid="{00000000-0005-0000-0000-000028040000}"/>
    <cellStyle name="Normal 2 18 2 9 6" xfId="1065" xr:uid="{00000000-0005-0000-0000-000029040000}"/>
    <cellStyle name="Normal 2 18 20" xfId="1066" xr:uid="{00000000-0005-0000-0000-00002A040000}"/>
    <cellStyle name="Normal 2 18 20 2" xfId="1067" xr:uid="{00000000-0005-0000-0000-00002B040000}"/>
    <cellStyle name="Normal 2 18 20 2 2" xfId="1068" xr:uid="{00000000-0005-0000-0000-00002C040000}"/>
    <cellStyle name="Normal 2 18 20 2 2 2" xfId="1069" xr:uid="{00000000-0005-0000-0000-00002D040000}"/>
    <cellStyle name="Normal 2 18 20 2 2 3" xfId="1070" xr:uid="{00000000-0005-0000-0000-00002E040000}"/>
    <cellStyle name="Normal 2 18 20 2 3" xfId="1071" xr:uid="{00000000-0005-0000-0000-00002F040000}"/>
    <cellStyle name="Normal 2 18 20 2 4" xfId="1072" xr:uid="{00000000-0005-0000-0000-000030040000}"/>
    <cellStyle name="Normal 2 18 20 3" xfId="1073" xr:uid="{00000000-0005-0000-0000-000031040000}"/>
    <cellStyle name="Normal 2 18 20 3 2" xfId="1074" xr:uid="{00000000-0005-0000-0000-000032040000}"/>
    <cellStyle name="Normal 2 18 20 3 2 2" xfId="1075" xr:uid="{00000000-0005-0000-0000-000033040000}"/>
    <cellStyle name="Normal 2 18 20 3 2 3" xfId="1076" xr:uid="{00000000-0005-0000-0000-000034040000}"/>
    <cellStyle name="Normal 2 18 20 3 3" xfId="1077" xr:uid="{00000000-0005-0000-0000-000035040000}"/>
    <cellStyle name="Normal 2 18 20 3 4" xfId="1078" xr:uid="{00000000-0005-0000-0000-000036040000}"/>
    <cellStyle name="Normal 2 18 20 4" xfId="1079" xr:uid="{00000000-0005-0000-0000-000037040000}"/>
    <cellStyle name="Normal 2 18 20 4 2" xfId="1080" xr:uid="{00000000-0005-0000-0000-000038040000}"/>
    <cellStyle name="Normal 2 18 20 4 3" xfId="1081" xr:uid="{00000000-0005-0000-0000-000039040000}"/>
    <cellStyle name="Normal 2 18 20 5" xfId="1082" xr:uid="{00000000-0005-0000-0000-00003A040000}"/>
    <cellStyle name="Normal 2 18 20 6" xfId="1083" xr:uid="{00000000-0005-0000-0000-00003B040000}"/>
    <cellStyle name="Normal 2 18 21" xfId="1084" xr:uid="{00000000-0005-0000-0000-00003C040000}"/>
    <cellStyle name="Normal 2 18 21 2" xfId="1085" xr:uid="{00000000-0005-0000-0000-00003D040000}"/>
    <cellStyle name="Normal 2 18 21 2 2" xfId="1086" xr:uid="{00000000-0005-0000-0000-00003E040000}"/>
    <cellStyle name="Normal 2 18 21 2 2 2" xfId="1087" xr:uid="{00000000-0005-0000-0000-00003F040000}"/>
    <cellStyle name="Normal 2 18 21 2 2 3" xfId="1088" xr:uid="{00000000-0005-0000-0000-000040040000}"/>
    <cellStyle name="Normal 2 18 21 2 3" xfId="1089" xr:uid="{00000000-0005-0000-0000-000041040000}"/>
    <cellStyle name="Normal 2 18 21 2 4" xfId="1090" xr:uid="{00000000-0005-0000-0000-000042040000}"/>
    <cellStyle name="Normal 2 18 21 3" xfId="1091" xr:uid="{00000000-0005-0000-0000-000043040000}"/>
    <cellStyle name="Normal 2 18 21 3 2" xfId="1092" xr:uid="{00000000-0005-0000-0000-000044040000}"/>
    <cellStyle name="Normal 2 18 21 3 2 2" xfId="1093" xr:uid="{00000000-0005-0000-0000-000045040000}"/>
    <cellStyle name="Normal 2 18 21 3 2 3" xfId="1094" xr:uid="{00000000-0005-0000-0000-000046040000}"/>
    <cellStyle name="Normal 2 18 21 3 3" xfId="1095" xr:uid="{00000000-0005-0000-0000-000047040000}"/>
    <cellStyle name="Normal 2 18 21 3 4" xfId="1096" xr:uid="{00000000-0005-0000-0000-000048040000}"/>
    <cellStyle name="Normal 2 18 21 4" xfId="1097" xr:uid="{00000000-0005-0000-0000-000049040000}"/>
    <cellStyle name="Normal 2 18 21 4 2" xfId="1098" xr:uid="{00000000-0005-0000-0000-00004A040000}"/>
    <cellStyle name="Normal 2 18 21 4 3" xfId="1099" xr:uid="{00000000-0005-0000-0000-00004B040000}"/>
    <cellStyle name="Normal 2 18 21 5" xfId="1100" xr:uid="{00000000-0005-0000-0000-00004C040000}"/>
    <cellStyle name="Normal 2 18 21 6" xfId="1101" xr:uid="{00000000-0005-0000-0000-00004D040000}"/>
    <cellStyle name="Normal 2 18 22" xfId="1102" xr:uid="{00000000-0005-0000-0000-00004E040000}"/>
    <cellStyle name="Normal 2 18 22 2" xfId="1103" xr:uid="{00000000-0005-0000-0000-00004F040000}"/>
    <cellStyle name="Normal 2 18 22 2 2" xfId="1104" xr:uid="{00000000-0005-0000-0000-000050040000}"/>
    <cellStyle name="Normal 2 18 22 2 3" xfId="1105" xr:uid="{00000000-0005-0000-0000-000051040000}"/>
    <cellStyle name="Normal 2 18 22 3" xfId="1106" xr:uid="{00000000-0005-0000-0000-000052040000}"/>
    <cellStyle name="Normal 2 18 22 4" xfId="1107" xr:uid="{00000000-0005-0000-0000-000053040000}"/>
    <cellStyle name="Normal 2 18 23" xfId="1108" xr:uid="{00000000-0005-0000-0000-000054040000}"/>
    <cellStyle name="Normal 2 18 23 2" xfId="1109" xr:uid="{00000000-0005-0000-0000-000055040000}"/>
    <cellStyle name="Normal 2 18 23 2 2" xfId="1110" xr:uid="{00000000-0005-0000-0000-000056040000}"/>
    <cellStyle name="Normal 2 18 23 2 3" xfId="1111" xr:uid="{00000000-0005-0000-0000-000057040000}"/>
    <cellStyle name="Normal 2 18 23 3" xfId="1112" xr:uid="{00000000-0005-0000-0000-000058040000}"/>
    <cellStyle name="Normal 2 18 23 4" xfId="1113" xr:uid="{00000000-0005-0000-0000-000059040000}"/>
    <cellStyle name="Normal 2 18 24" xfId="1114" xr:uid="{00000000-0005-0000-0000-00005A040000}"/>
    <cellStyle name="Normal 2 18 24 2" xfId="1115" xr:uid="{00000000-0005-0000-0000-00005B040000}"/>
    <cellStyle name="Normal 2 18 24 3" xfId="1116" xr:uid="{00000000-0005-0000-0000-00005C040000}"/>
    <cellStyle name="Normal 2 18 25" xfId="1117" xr:uid="{00000000-0005-0000-0000-00005D040000}"/>
    <cellStyle name="Normal 2 18 26" xfId="1118" xr:uid="{00000000-0005-0000-0000-00005E040000}"/>
    <cellStyle name="Normal 2 18 3" xfId="1119" xr:uid="{00000000-0005-0000-0000-00005F040000}"/>
    <cellStyle name="Normal 2 18 3 10" xfId="1120" xr:uid="{00000000-0005-0000-0000-000060040000}"/>
    <cellStyle name="Normal 2 18 3 10 2" xfId="1121" xr:uid="{00000000-0005-0000-0000-000061040000}"/>
    <cellStyle name="Normal 2 18 3 10 2 2" xfId="1122" xr:uid="{00000000-0005-0000-0000-000062040000}"/>
    <cellStyle name="Normal 2 18 3 10 2 3" xfId="1123" xr:uid="{00000000-0005-0000-0000-000063040000}"/>
    <cellStyle name="Normal 2 18 3 10 3" xfId="1124" xr:uid="{00000000-0005-0000-0000-000064040000}"/>
    <cellStyle name="Normal 2 18 3 10 4" xfId="1125" xr:uid="{00000000-0005-0000-0000-000065040000}"/>
    <cellStyle name="Normal 2 18 3 11" xfId="1126" xr:uid="{00000000-0005-0000-0000-000066040000}"/>
    <cellStyle name="Normal 2 18 3 11 2" xfId="1127" xr:uid="{00000000-0005-0000-0000-000067040000}"/>
    <cellStyle name="Normal 2 18 3 11 3" xfId="1128" xr:uid="{00000000-0005-0000-0000-000068040000}"/>
    <cellStyle name="Normal 2 18 3 12" xfId="1129" xr:uid="{00000000-0005-0000-0000-000069040000}"/>
    <cellStyle name="Normal 2 18 3 13" xfId="1130" xr:uid="{00000000-0005-0000-0000-00006A040000}"/>
    <cellStyle name="Normal 2 18 3 2" xfId="1131" xr:uid="{00000000-0005-0000-0000-00006B040000}"/>
    <cellStyle name="Normal 2 18 3 2 2" xfId="1132" xr:uid="{00000000-0005-0000-0000-00006C040000}"/>
    <cellStyle name="Normal 2 18 3 2 2 2" xfId="1133" xr:uid="{00000000-0005-0000-0000-00006D040000}"/>
    <cellStyle name="Normal 2 18 3 2 2 2 2" xfId="1134" xr:uid="{00000000-0005-0000-0000-00006E040000}"/>
    <cellStyle name="Normal 2 18 3 2 2 2 3" xfId="1135" xr:uid="{00000000-0005-0000-0000-00006F040000}"/>
    <cellStyle name="Normal 2 18 3 2 2 3" xfId="1136" xr:uid="{00000000-0005-0000-0000-000070040000}"/>
    <cellStyle name="Normal 2 18 3 2 2 4" xfId="1137" xr:uid="{00000000-0005-0000-0000-000071040000}"/>
    <cellStyle name="Normal 2 18 3 2 3" xfId="1138" xr:uid="{00000000-0005-0000-0000-000072040000}"/>
    <cellStyle name="Normal 2 18 3 2 3 2" xfId="1139" xr:uid="{00000000-0005-0000-0000-000073040000}"/>
    <cellStyle name="Normal 2 18 3 2 3 2 2" xfId="1140" xr:uid="{00000000-0005-0000-0000-000074040000}"/>
    <cellStyle name="Normal 2 18 3 2 3 2 3" xfId="1141" xr:uid="{00000000-0005-0000-0000-000075040000}"/>
    <cellStyle name="Normal 2 18 3 2 3 3" xfId="1142" xr:uid="{00000000-0005-0000-0000-000076040000}"/>
    <cellStyle name="Normal 2 18 3 2 3 4" xfId="1143" xr:uid="{00000000-0005-0000-0000-000077040000}"/>
    <cellStyle name="Normal 2 18 3 2 4" xfId="1144" xr:uid="{00000000-0005-0000-0000-000078040000}"/>
    <cellStyle name="Normal 2 18 3 2 4 2" xfId="1145" xr:uid="{00000000-0005-0000-0000-000079040000}"/>
    <cellStyle name="Normal 2 18 3 2 4 3" xfId="1146" xr:uid="{00000000-0005-0000-0000-00007A040000}"/>
    <cellStyle name="Normal 2 18 3 2 5" xfId="1147" xr:uid="{00000000-0005-0000-0000-00007B040000}"/>
    <cellStyle name="Normal 2 18 3 2 6" xfId="1148" xr:uid="{00000000-0005-0000-0000-00007C040000}"/>
    <cellStyle name="Normal 2 18 3 3" xfId="1149" xr:uid="{00000000-0005-0000-0000-00007D040000}"/>
    <cellStyle name="Normal 2 18 3 3 2" xfId="1150" xr:uid="{00000000-0005-0000-0000-00007E040000}"/>
    <cellStyle name="Normal 2 18 3 3 2 2" xfId="1151" xr:uid="{00000000-0005-0000-0000-00007F040000}"/>
    <cellStyle name="Normal 2 18 3 3 2 2 2" xfId="1152" xr:uid="{00000000-0005-0000-0000-000080040000}"/>
    <cellStyle name="Normal 2 18 3 3 2 2 3" xfId="1153" xr:uid="{00000000-0005-0000-0000-000081040000}"/>
    <cellStyle name="Normal 2 18 3 3 2 3" xfId="1154" xr:uid="{00000000-0005-0000-0000-000082040000}"/>
    <cellStyle name="Normal 2 18 3 3 2 4" xfId="1155" xr:uid="{00000000-0005-0000-0000-000083040000}"/>
    <cellStyle name="Normal 2 18 3 3 3" xfId="1156" xr:uid="{00000000-0005-0000-0000-000084040000}"/>
    <cellStyle name="Normal 2 18 3 3 3 2" xfId="1157" xr:uid="{00000000-0005-0000-0000-000085040000}"/>
    <cellStyle name="Normal 2 18 3 3 3 2 2" xfId="1158" xr:uid="{00000000-0005-0000-0000-000086040000}"/>
    <cellStyle name="Normal 2 18 3 3 3 2 3" xfId="1159" xr:uid="{00000000-0005-0000-0000-000087040000}"/>
    <cellStyle name="Normal 2 18 3 3 3 3" xfId="1160" xr:uid="{00000000-0005-0000-0000-000088040000}"/>
    <cellStyle name="Normal 2 18 3 3 3 4" xfId="1161" xr:uid="{00000000-0005-0000-0000-000089040000}"/>
    <cellStyle name="Normal 2 18 3 3 4" xfId="1162" xr:uid="{00000000-0005-0000-0000-00008A040000}"/>
    <cellStyle name="Normal 2 18 3 3 4 2" xfId="1163" xr:uid="{00000000-0005-0000-0000-00008B040000}"/>
    <cellStyle name="Normal 2 18 3 3 4 3" xfId="1164" xr:uid="{00000000-0005-0000-0000-00008C040000}"/>
    <cellStyle name="Normal 2 18 3 3 5" xfId="1165" xr:uid="{00000000-0005-0000-0000-00008D040000}"/>
    <cellStyle name="Normal 2 18 3 3 6" xfId="1166" xr:uid="{00000000-0005-0000-0000-00008E040000}"/>
    <cellStyle name="Normal 2 18 3 4" xfId="1167" xr:uid="{00000000-0005-0000-0000-00008F040000}"/>
    <cellStyle name="Normal 2 18 3 4 2" xfId="1168" xr:uid="{00000000-0005-0000-0000-000090040000}"/>
    <cellStyle name="Normal 2 18 3 4 2 2" xfId="1169" xr:uid="{00000000-0005-0000-0000-000091040000}"/>
    <cellStyle name="Normal 2 18 3 4 2 2 2" xfId="1170" xr:uid="{00000000-0005-0000-0000-000092040000}"/>
    <cellStyle name="Normal 2 18 3 4 2 2 3" xfId="1171" xr:uid="{00000000-0005-0000-0000-000093040000}"/>
    <cellStyle name="Normal 2 18 3 4 2 3" xfId="1172" xr:uid="{00000000-0005-0000-0000-000094040000}"/>
    <cellStyle name="Normal 2 18 3 4 2 4" xfId="1173" xr:uid="{00000000-0005-0000-0000-000095040000}"/>
    <cellStyle name="Normal 2 18 3 4 3" xfId="1174" xr:uid="{00000000-0005-0000-0000-000096040000}"/>
    <cellStyle name="Normal 2 18 3 4 3 2" xfId="1175" xr:uid="{00000000-0005-0000-0000-000097040000}"/>
    <cellStyle name="Normal 2 18 3 4 3 2 2" xfId="1176" xr:uid="{00000000-0005-0000-0000-000098040000}"/>
    <cellStyle name="Normal 2 18 3 4 3 2 3" xfId="1177" xr:uid="{00000000-0005-0000-0000-000099040000}"/>
    <cellStyle name="Normal 2 18 3 4 3 3" xfId="1178" xr:uid="{00000000-0005-0000-0000-00009A040000}"/>
    <cellStyle name="Normal 2 18 3 4 3 4" xfId="1179" xr:uid="{00000000-0005-0000-0000-00009B040000}"/>
    <cellStyle name="Normal 2 18 3 4 4" xfId="1180" xr:uid="{00000000-0005-0000-0000-00009C040000}"/>
    <cellStyle name="Normal 2 18 3 4 4 2" xfId="1181" xr:uid="{00000000-0005-0000-0000-00009D040000}"/>
    <cellStyle name="Normal 2 18 3 4 4 3" xfId="1182" xr:uid="{00000000-0005-0000-0000-00009E040000}"/>
    <cellStyle name="Normal 2 18 3 4 5" xfId="1183" xr:uid="{00000000-0005-0000-0000-00009F040000}"/>
    <cellStyle name="Normal 2 18 3 4 6" xfId="1184" xr:uid="{00000000-0005-0000-0000-0000A0040000}"/>
    <cellStyle name="Normal 2 18 3 5" xfId="1185" xr:uid="{00000000-0005-0000-0000-0000A1040000}"/>
    <cellStyle name="Normal 2 18 3 5 2" xfId="1186" xr:uid="{00000000-0005-0000-0000-0000A2040000}"/>
    <cellStyle name="Normal 2 18 3 5 2 2" xfId="1187" xr:uid="{00000000-0005-0000-0000-0000A3040000}"/>
    <cellStyle name="Normal 2 18 3 5 2 2 2" xfId="1188" xr:uid="{00000000-0005-0000-0000-0000A4040000}"/>
    <cellStyle name="Normal 2 18 3 5 2 2 3" xfId="1189" xr:uid="{00000000-0005-0000-0000-0000A5040000}"/>
    <cellStyle name="Normal 2 18 3 5 2 3" xfId="1190" xr:uid="{00000000-0005-0000-0000-0000A6040000}"/>
    <cellStyle name="Normal 2 18 3 5 2 4" xfId="1191" xr:uid="{00000000-0005-0000-0000-0000A7040000}"/>
    <cellStyle name="Normal 2 18 3 5 3" xfId="1192" xr:uid="{00000000-0005-0000-0000-0000A8040000}"/>
    <cellStyle name="Normal 2 18 3 5 3 2" xfId="1193" xr:uid="{00000000-0005-0000-0000-0000A9040000}"/>
    <cellStyle name="Normal 2 18 3 5 3 2 2" xfId="1194" xr:uid="{00000000-0005-0000-0000-0000AA040000}"/>
    <cellStyle name="Normal 2 18 3 5 3 2 3" xfId="1195" xr:uid="{00000000-0005-0000-0000-0000AB040000}"/>
    <cellStyle name="Normal 2 18 3 5 3 3" xfId="1196" xr:uid="{00000000-0005-0000-0000-0000AC040000}"/>
    <cellStyle name="Normal 2 18 3 5 3 4" xfId="1197" xr:uid="{00000000-0005-0000-0000-0000AD040000}"/>
    <cellStyle name="Normal 2 18 3 5 4" xfId="1198" xr:uid="{00000000-0005-0000-0000-0000AE040000}"/>
    <cellStyle name="Normal 2 18 3 5 4 2" xfId="1199" xr:uid="{00000000-0005-0000-0000-0000AF040000}"/>
    <cellStyle name="Normal 2 18 3 5 4 3" xfId="1200" xr:uid="{00000000-0005-0000-0000-0000B0040000}"/>
    <cellStyle name="Normal 2 18 3 5 5" xfId="1201" xr:uid="{00000000-0005-0000-0000-0000B1040000}"/>
    <cellStyle name="Normal 2 18 3 5 6" xfId="1202" xr:uid="{00000000-0005-0000-0000-0000B2040000}"/>
    <cellStyle name="Normal 2 18 3 6" xfId="1203" xr:uid="{00000000-0005-0000-0000-0000B3040000}"/>
    <cellStyle name="Normal 2 18 3 6 2" xfId="1204" xr:uid="{00000000-0005-0000-0000-0000B4040000}"/>
    <cellStyle name="Normal 2 18 3 6 2 2" xfId="1205" xr:uid="{00000000-0005-0000-0000-0000B5040000}"/>
    <cellStyle name="Normal 2 18 3 6 2 2 2" xfId="1206" xr:uid="{00000000-0005-0000-0000-0000B6040000}"/>
    <cellStyle name="Normal 2 18 3 6 2 2 3" xfId="1207" xr:uid="{00000000-0005-0000-0000-0000B7040000}"/>
    <cellStyle name="Normal 2 18 3 6 2 3" xfId="1208" xr:uid="{00000000-0005-0000-0000-0000B8040000}"/>
    <cellStyle name="Normal 2 18 3 6 2 4" xfId="1209" xr:uid="{00000000-0005-0000-0000-0000B9040000}"/>
    <cellStyle name="Normal 2 18 3 6 3" xfId="1210" xr:uid="{00000000-0005-0000-0000-0000BA040000}"/>
    <cellStyle name="Normal 2 18 3 6 3 2" xfId="1211" xr:uid="{00000000-0005-0000-0000-0000BB040000}"/>
    <cellStyle name="Normal 2 18 3 6 3 2 2" xfId="1212" xr:uid="{00000000-0005-0000-0000-0000BC040000}"/>
    <cellStyle name="Normal 2 18 3 6 3 2 3" xfId="1213" xr:uid="{00000000-0005-0000-0000-0000BD040000}"/>
    <cellStyle name="Normal 2 18 3 6 3 3" xfId="1214" xr:uid="{00000000-0005-0000-0000-0000BE040000}"/>
    <cellStyle name="Normal 2 18 3 6 3 4" xfId="1215" xr:uid="{00000000-0005-0000-0000-0000BF040000}"/>
    <cellStyle name="Normal 2 18 3 6 4" xfId="1216" xr:uid="{00000000-0005-0000-0000-0000C0040000}"/>
    <cellStyle name="Normal 2 18 3 6 4 2" xfId="1217" xr:uid="{00000000-0005-0000-0000-0000C1040000}"/>
    <cellStyle name="Normal 2 18 3 6 4 3" xfId="1218" xr:uid="{00000000-0005-0000-0000-0000C2040000}"/>
    <cellStyle name="Normal 2 18 3 6 5" xfId="1219" xr:uid="{00000000-0005-0000-0000-0000C3040000}"/>
    <cellStyle name="Normal 2 18 3 6 6" xfId="1220" xr:uid="{00000000-0005-0000-0000-0000C4040000}"/>
    <cellStyle name="Normal 2 18 3 7" xfId="1221" xr:uid="{00000000-0005-0000-0000-0000C5040000}"/>
    <cellStyle name="Normal 2 18 3 7 2" xfId="1222" xr:uid="{00000000-0005-0000-0000-0000C6040000}"/>
    <cellStyle name="Normal 2 18 3 7 2 2" xfId="1223" xr:uid="{00000000-0005-0000-0000-0000C7040000}"/>
    <cellStyle name="Normal 2 18 3 7 2 2 2" xfId="1224" xr:uid="{00000000-0005-0000-0000-0000C8040000}"/>
    <cellStyle name="Normal 2 18 3 7 2 2 3" xfId="1225" xr:uid="{00000000-0005-0000-0000-0000C9040000}"/>
    <cellStyle name="Normal 2 18 3 7 2 3" xfId="1226" xr:uid="{00000000-0005-0000-0000-0000CA040000}"/>
    <cellStyle name="Normal 2 18 3 7 2 4" xfId="1227" xr:uid="{00000000-0005-0000-0000-0000CB040000}"/>
    <cellStyle name="Normal 2 18 3 7 3" xfId="1228" xr:uid="{00000000-0005-0000-0000-0000CC040000}"/>
    <cellStyle name="Normal 2 18 3 7 3 2" xfId="1229" xr:uid="{00000000-0005-0000-0000-0000CD040000}"/>
    <cellStyle name="Normal 2 18 3 7 3 2 2" xfId="1230" xr:uid="{00000000-0005-0000-0000-0000CE040000}"/>
    <cellStyle name="Normal 2 18 3 7 3 2 3" xfId="1231" xr:uid="{00000000-0005-0000-0000-0000CF040000}"/>
    <cellStyle name="Normal 2 18 3 7 3 3" xfId="1232" xr:uid="{00000000-0005-0000-0000-0000D0040000}"/>
    <cellStyle name="Normal 2 18 3 7 3 4" xfId="1233" xr:uid="{00000000-0005-0000-0000-0000D1040000}"/>
    <cellStyle name="Normal 2 18 3 7 4" xfId="1234" xr:uid="{00000000-0005-0000-0000-0000D2040000}"/>
    <cellStyle name="Normal 2 18 3 7 4 2" xfId="1235" xr:uid="{00000000-0005-0000-0000-0000D3040000}"/>
    <cellStyle name="Normal 2 18 3 7 4 3" xfId="1236" xr:uid="{00000000-0005-0000-0000-0000D4040000}"/>
    <cellStyle name="Normal 2 18 3 7 5" xfId="1237" xr:uid="{00000000-0005-0000-0000-0000D5040000}"/>
    <cellStyle name="Normal 2 18 3 7 6" xfId="1238" xr:uid="{00000000-0005-0000-0000-0000D6040000}"/>
    <cellStyle name="Normal 2 18 3 8" xfId="1239" xr:uid="{00000000-0005-0000-0000-0000D7040000}"/>
    <cellStyle name="Normal 2 18 3 8 2" xfId="1240" xr:uid="{00000000-0005-0000-0000-0000D8040000}"/>
    <cellStyle name="Normal 2 18 3 8 2 2" xfId="1241" xr:uid="{00000000-0005-0000-0000-0000D9040000}"/>
    <cellStyle name="Normal 2 18 3 8 2 2 2" xfId="1242" xr:uid="{00000000-0005-0000-0000-0000DA040000}"/>
    <cellStyle name="Normal 2 18 3 8 2 2 3" xfId="1243" xr:uid="{00000000-0005-0000-0000-0000DB040000}"/>
    <cellStyle name="Normal 2 18 3 8 2 3" xfId="1244" xr:uid="{00000000-0005-0000-0000-0000DC040000}"/>
    <cellStyle name="Normal 2 18 3 8 2 4" xfId="1245" xr:uid="{00000000-0005-0000-0000-0000DD040000}"/>
    <cellStyle name="Normal 2 18 3 8 3" xfId="1246" xr:uid="{00000000-0005-0000-0000-0000DE040000}"/>
    <cellStyle name="Normal 2 18 3 8 3 2" xfId="1247" xr:uid="{00000000-0005-0000-0000-0000DF040000}"/>
    <cellStyle name="Normal 2 18 3 8 3 2 2" xfId="1248" xr:uid="{00000000-0005-0000-0000-0000E0040000}"/>
    <cellStyle name="Normal 2 18 3 8 3 2 3" xfId="1249" xr:uid="{00000000-0005-0000-0000-0000E1040000}"/>
    <cellStyle name="Normal 2 18 3 8 3 3" xfId="1250" xr:uid="{00000000-0005-0000-0000-0000E2040000}"/>
    <cellStyle name="Normal 2 18 3 8 3 4" xfId="1251" xr:uid="{00000000-0005-0000-0000-0000E3040000}"/>
    <cellStyle name="Normal 2 18 3 8 4" xfId="1252" xr:uid="{00000000-0005-0000-0000-0000E4040000}"/>
    <cellStyle name="Normal 2 18 3 8 4 2" xfId="1253" xr:uid="{00000000-0005-0000-0000-0000E5040000}"/>
    <cellStyle name="Normal 2 18 3 8 4 3" xfId="1254" xr:uid="{00000000-0005-0000-0000-0000E6040000}"/>
    <cellStyle name="Normal 2 18 3 8 5" xfId="1255" xr:uid="{00000000-0005-0000-0000-0000E7040000}"/>
    <cellStyle name="Normal 2 18 3 8 6" xfId="1256" xr:uid="{00000000-0005-0000-0000-0000E8040000}"/>
    <cellStyle name="Normal 2 18 3 9" xfId="1257" xr:uid="{00000000-0005-0000-0000-0000E9040000}"/>
    <cellStyle name="Normal 2 18 3 9 2" xfId="1258" xr:uid="{00000000-0005-0000-0000-0000EA040000}"/>
    <cellStyle name="Normal 2 18 3 9 2 2" xfId="1259" xr:uid="{00000000-0005-0000-0000-0000EB040000}"/>
    <cellStyle name="Normal 2 18 3 9 2 3" xfId="1260" xr:uid="{00000000-0005-0000-0000-0000EC040000}"/>
    <cellStyle name="Normal 2 18 3 9 3" xfId="1261" xr:uid="{00000000-0005-0000-0000-0000ED040000}"/>
    <cellStyle name="Normal 2 18 3 9 4" xfId="1262" xr:uid="{00000000-0005-0000-0000-0000EE040000}"/>
    <cellStyle name="Normal 2 18 4" xfId="1263" xr:uid="{00000000-0005-0000-0000-0000EF040000}"/>
    <cellStyle name="Normal 2 18 4 10" xfId="1264" xr:uid="{00000000-0005-0000-0000-0000F0040000}"/>
    <cellStyle name="Normal 2 18 4 10 2" xfId="1265" xr:uid="{00000000-0005-0000-0000-0000F1040000}"/>
    <cellStyle name="Normal 2 18 4 10 2 2" xfId="1266" xr:uid="{00000000-0005-0000-0000-0000F2040000}"/>
    <cellStyle name="Normal 2 18 4 10 2 3" xfId="1267" xr:uid="{00000000-0005-0000-0000-0000F3040000}"/>
    <cellStyle name="Normal 2 18 4 10 3" xfId="1268" xr:uid="{00000000-0005-0000-0000-0000F4040000}"/>
    <cellStyle name="Normal 2 18 4 10 4" xfId="1269" xr:uid="{00000000-0005-0000-0000-0000F5040000}"/>
    <cellStyle name="Normal 2 18 4 11" xfId="1270" xr:uid="{00000000-0005-0000-0000-0000F6040000}"/>
    <cellStyle name="Normal 2 18 4 11 2" xfId="1271" xr:uid="{00000000-0005-0000-0000-0000F7040000}"/>
    <cellStyle name="Normal 2 18 4 11 3" xfId="1272" xr:uid="{00000000-0005-0000-0000-0000F8040000}"/>
    <cellStyle name="Normal 2 18 4 12" xfId="1273" xr:uid="{00000000-0005-0000-0000-0000F9040000}"/>
    <cellStyle name="Normal 2 18 4 13" xfId="1274" xr:uid="{00000000-0005-0000-0000-0000FA040000}"/>
    <cellStyle name="Normal 2 18 4 2" xfId="1275" xr:uid="{00000000-0005-0000-0000-0000FB040000}"/>
    <cellStyle name="Normal 2 18 4 2 2" xfId="1276" xr:uid="{00000000-0005-0000-0000-0000FC040000}"/>
    <cellStyle name="Normal 2 18 4 2 2 2" xfId="1277" xr:uid="{00000000-0005-0000-0000-0000FD040000}"/>
    <cellStyle name="Normal 2 18 4 2 2 2 2" xfId="1278" xr:uid="{00000000-0005-0000-0000-0000FE040000}"/>
    <cellStyle name="Normal 2 18 4 2 2 2 3" xfId="1279" xr:uid="{00000000-0005-0000-0000-0000FF040000}"/>
    <cellStyle name="Normal 2 18 4 2 2 3" xfId="1280" xr:uid="{00000000-0005-0000-0000-000000050000}"/>
    <cellStyle name="Normal 2 18 4 2 2 4" xfId="1281" xr:uid="{00000000-0005-0000-0000-000001050000}"/>
    <cellStyle name="Normal 2 18 4 2 3" xfId="1282" xr:uid="{00000000-0005-0000-0000-000002050000}"/>
    <cellStyle name="Normal 2 18 4 2 3 2" xfId="1283" xr:uid="{00000000-0005-0000-0000-000003050000}"/>
    <cellStyle name="Normal 2 18 4 2 3 2 2" xfId="1284" xr:uid="{00000000-0005-0000-0000-000004050000}"/>
    <cellStyle name="Normal 2 18 4 2 3 2 3" xfId="1285" xr:uid="{00000000-0005-0000-0000-000005050000}"/>
    <cellStyle name="Normal 2 18 4 2 3 3" xfId="1286" xr:uid="{00000000-0005-0000-0000-000006050000}"/>
    <cellStyle name="Normal 2 18 4 2 3 4" xfId="1287" xr:uid="{00000000-0005-0000-0000-000007050000}"/>
    <cellStyle name="Normal 2 18 4 2 4" xfId="1288" xr:uid="{00000000-0005-0000-0000-000008050000}"/>
    <cellStyle name="Normal 2 18 4 2 4 2" xfId="1289" xr:uid="{00000000-0005-0000-0000-000009050000}"/>
    <cellStyle name="Normal 2 18 4 2 4 3" xfId="1290" xr:uid="{00000000-0005-0000-0000-00000A050000}"/>
    <cellStyle name="Normal 2 18 4 2 5" xfId="1291" xr:uid="{00000000-0005-0000-0000-00000B050000}"/>
    <cellStyle name="Normal 2 18 4 2 6" xfId="1292" xr:uid="{00000000-0005-0000-0000-00000C050000}"/>
    <cellStyle name="Normal 2 18 4 3" xfId="1293" xr:uid="{00000000-0005-0000-0000-00000D050000}"/>
    <cellStyle name="Normal 2 18 4 3 2" xfId="1294" xr:uid="{00000000-0005-0000-0000-00000E050000}"/>
    <cellStyle name="Normal 2 18 4 3 2 2" xfId="1295" xr:uid="{00000000-0005-0000-0000-00000F050000}"/>
    <cellStyle name="Normal 2 18 4 3 2 2 2" xfId="1296" xr:uid="{00000000-0005-0000-0000-000010050000}"/>
    <cellStyle name="Normal 2 18 4 3 2 2 3" xfId="1297" xr:uid="{00000000-0005-0000-0000-000011050000}"/>
    <cellStyle name="Normal 2 18 4 3 2 3" xfId="1298" xr:uid="{00000000-0005-0000-0000-000012050000}"/>
    <cellStyle name="Normal 2 18 4 3 2 4" xfId="1299" xr:uid="{00000000-0005-0000-0000-000013050000}"/>
    <cellStyle name="Normal 2 18 4 3 3" xfId="1300" xr:uid="{00000000-0005-0000-0000-000014050000}"/>
    <cellStyle name="Normal 2 18 4 3 3 2" xfId="1301" xr:uid="{00000000-0005-0000-0000-000015050000}"/>
    <cellStyle name="Normal 2 18 4 3 3 2 2" xfId="1302" xr:uid="{00000000-0005-0000-0000-000016050000}"/>
    <cellStyle name="Normal 2 18 4 3 3 2 3" xfId="1303" xr:uid="{00000000-0005-0000-0000-000017050000}"/>
    <cellStyle name="Normal 2 18 4 3 3 3" xfId="1304" xr:uid="{00000000-0005-0000-0000-000018050000}"/>
    <cellStyle name="Normal 2 18 4 3 3 4" xfId="1305" xr:uid="{00000000-0005-0000-0000-000019050000}"/>
    <cellStyle name="Normal 2 18 4 3 4" xfId="1306" xr:uid="{00000000-0005-0000-0000-00001A050000}"/>
    <cellStyle name="Normal 2 18 4 3 4 2" xfId="1307" xr:uid="{00000000-0005-0000-0000-00001B050000}"/>
    <cellStyle name="Normal 2 18 4 3 4 3" xfId="1308" xr:uid="{00000000-0005-0000-0000-00001C050000}"/>
    <cellStyle name="Normal 2 18 4 3 5" xfId="1309" xr:uid="{00000000-0005-0000-0000-00001D050000}"/>
    <cellStyle name="Normal 2 18 4 3 6" xfId="1310" xr:uid="{00000000-0005-0000-0000-00001E050000}"/>
    <cellStyle name="Normal 2 18 4 4" xfId="1311" xr:uid="{00000000-0005-0000-0000-00001F050000}"/>
    <cellStyle name="Normal 2 18 4 4 2" xfId="1312" xr:uid="{00000000-0005-0000-0000-000020050000}"/>
    <cellStyle name="Normal 2 18 4 4 2 2" xfId="1313" xr:uid="{00000000-0005-0000-0000-000021050000}"/>
    <cellStyle name="Normal 2 18 4 4 2 2 2" xfId="1314" xr:uid="{00000000-0005-0000-0000-000022050000}"/>
    <cellStyle name="Normal 2 18 4 4 2 2 3" xfId="1315" xr:uid="{00000000-0005-0000-0000-000023050000}"/>
    <cellStyle name="Normal 2 18 4 4 2 3" xfId="1316" xr:uid="{00000000-0005-0000-0000-000024050000}"/>
    <cellStyle name="Normal 2 18 4 4 2 4" xfId="1317" xr:uid="{00000000-0005-0000-0000-000025050000}"/>
    <cellStyle name="Normal 2 18 4 4 3" xfId="1318" xr:uid="{00000000-0005-0000-0000-000026050000}"/>
    <cellStyle name="Normal 2 18 4 4 3 2" xfId="1319" xr:uid="{00000000-0005-0000-0000-000027050000}"/>
    <cellStyle name="Normal 2 18 4 4 3 2 2" xfId="1320" xr:uid="{00000000-0005-0000-0000-000028050000}"/>
    <cellStyle name="Normal 2 18 4 4 3 2 3" xfId="1321" xr:uid="{00000000-0005-0000-0000-000029050000}"/>
    <cellStyle name="Normal 2 18 4 4 3 3" xfId="1322" xr:uid="{00000000-0005-0000-0000-00002A050000}"/>
    <cellStyle name="Normal 2 18 4 4 3 4" xfId="1323" xr:uid="{00000000-0005-0000-0000-00002B050000}"/>
    <cellStyle name="Normal 2 18 4 4 4" xfId="1324" xr:uid="{00000000-0005-0000-0000-00002C050000}"/>
    <cellStyle name="Normal 2 18 4 4 4 2" xfId="1325" xr:uid="{00000000-0005-0000-0000-00002D050000}"/>
    <cellStyle name="Normal 2 18 4 4 4 3" xfId="1326" xr:uid="{00000000-0005-0000-0000-00002E050000}"/>
    <cellStyle name="Normal 2 18 4 4 5" xfId="1327" xr:uid="{00000000-0005-0000-0000-00002F050000}"/>
    <cellStyle name="Normal 2 18 4 4 6" xfId="1328" xr:uid="{00000000-0005-0000-0000-000030050000}"/>
    <cellStyle name="Normal 2 18 4 5" xfId="1329" xr:uid="{00000000-0005-0000-0000-000031050000}"/>
    <cellStyle name="Normal 2 18 4 5 2" xfId="1330" xr:uid="{00000000-0005-0000-0000-000032050000}"/>
    <cellStyle name="Normal 2 18 4 5 2 2" xfId="1331" xr:uid="{00000000-0005-0000-0000-000033050000}"/>
    <cellStyle name="Normal 2 18 4 5 2 2 2" xfId="1332" xr:uid="{00000000-0005-0000-0000-000034050000}"/>
    <cellStyle name="Normal 2 18 4 5 2 2 3" xfId="1333" xr:uid="{00000000-0005-0000-0000-000035050000}"/>
    <cellStyle name="Normal 2 18 4 5 2 3" xfId="1334" xr:uid="{00000000-0005-0000-0000-000036050000}"/>
    <cellStyle name="Normal 2 18 4 5 2 4" xfId="1335" xr:uid="{00000000-0005-0000-0000-000037050000}"/>
    <cellStyle name="Normal 2 18 4 5 3" xfId="1336" xr:uid="{00000000-0005-0000-0000-000038050000}"/>
    <cellStyle name="Normal 2 18 4 5 3 2" xfId="1337" xr:uid="{00000000-0005-0000-0000-000039050000}"/>
    <cellStyle name="Normal 2 18 4 5 3 2 2" xfId="1338" xr:uid="{00000000-0005-0000-0000-00003A050000}"/>
    <cellStyle name="Normal 2 18 4 5 3 2 3" xfId="1339" xr:uid="{00000000-0005-0000-0000-00003B050000}"/>
    <cellStyle name="Normal 2 18 4 5 3 3" xfId="1340" xr:uid="{00000000-0005-0000-0000-00003C050000}"/>
    <cellStyle name="Normal 2 18 4 5 3 4" xfId="1341" xr:uid="{00000000-0005-0000-0000-00003D050000}"/>
    <cellStyle name="Normal 2 18 4 5 4" xfId="1342" xr:uid="{00000000-0005-0000-0000-00003E050000}"/>
    <cellStyle name="Normal 2 18 4 5 4 2" xfId="1343" xr:uid="{00000000-0005-0000-0000-00003F050000}"/>
    <cellStyle name="Normal 2 18 4 5 4 3" xfId="1344" xr:uid="{00000000-0005-0000-0000-000040050000}"/>
    <cellStyle name="Normal 2 18 4 5 5" xfId="1345" xr:uid="{00000000-0005-0000-0000-000041050000}"/>
    <cellStyle name="Normal 2 18 4 5 6" xfId="1346" xr:uid="{00000000-0005-0000-0000-000042050000}"/>
    <cellStyle name="Normal 2 18 4 6" xfId="1347" xr:uid="{00000000-0005-0000-0000-000043050000}"/>
    <cellStyle name="Normal 2 18 4 6 2" xfId="1348" xr:uid="{00000000-0005-0000-0000-000044050000}"/>
    <cellStyle name="Normal 2 18 4 6 2 2" xfId="1349" xr:uid="{00000000-0005-0000-0000-000045050000}"/>
    <cellStyle name="Normal 2 18 4 6 2 2 2" xfId="1350" xr:uid="{00000000-0005-0000-0000-000046050000}"/>
    <cellStyle name="Normal 2 18 4 6 2 2 3" xfId="1351" xr:uid="{00000000-0005-0000-0000-000047050000}"/>
    <cellStyle name="Normal 2 18 4 6 2 3" xfId="1352" xr:uid="{00000000-0005-0000-0000-000048050000}"/>
    <cellStyle name="Normal 2 18 4 6 2 4" xfId="1353" xr:uid="{00000000-0005-0000-0000-000049050000}"/>
    <cellStyle name="Normal 2 18 4 6 3" xfId="1354" xr:uid="{00000000-0005-0000-0000-00004A050000}"/>
    <cellStyle name="Normal 2 18 4 6 3 2" xfId="1355" xr:uid="{00000000-0005-0000-0000-00004B050000}"/>
    <cellStyle name="Normal 2 18 4 6 3 2 2" xfId="1356" xr:uid="{00000000-0005-0000-0000-00004C050000}"/>
    <cellStyle name="Normal 2 18 4 6 3 2 3" xfId="1357" xr:uid="{00000000-0005-0000-0000-00004D050000}"/>
    <cellStyle name="Normal 2 18 4 6 3 3" xfId="1358" xr:uid="{00000000-0005-0000-0000-00004E050000}"/>
    <cellStyle name="Normal 2 18 4 6 3 4" xfId="1359" xr:uid="{00000000-0005-0000-0000-00004F050000}"/>
    <cellStyle name="Normal 2 18 4 6 4" xfId="1360" xr:uid="{00000000-0005-0000-0000-000050050000}"/>
    <cellStyle name="Normal 2 18 4 6 4 2" xfId="1361" xr:uid="{00000000-0005-0000-0000-000051050000}"/>
    <cellStyle name="Normal 2 18 4 6 4 3" xfId="1362" xr:uid="{00000000-0005-0000-0000-000052050000}"/>
    <cellStyle name="Normal 2 18 4 6 5" xfId="1363" xr:uid="{00000000-0005-0000-0000-000053050000}"/>
    <cellStyle name="Normal 2 18 4 6 6" xfId="1364" xr:uid="{00000000-0005-0000-0000-000054050000}"/>
    <cellStyle name="Normal 2 18 4 7" xfId="1365" xr:uid="{00000000-0005-0000-0000-000055050000}"/>
    <cellStyle name="Normal 2 18 4 7 2" xfId="1366" xr:uid="{00000000-0005-0000-0000-000056050000}"/>
    <cellStyle name="Normal 2 18 4 7 2 2" xfId="1367" xr:uid="{00000000-0005-0000-0000-000057050000}"/>
    <cellStyle name="Normal 2 18 4 7 2 2 2" xfId="1368" xr:uid="{00000000-0005-0000-0000-000058050000}"/>
    <cellStyle name="Normal 2 18 4 7 2 2 3" xfId="1369" xr:uid="{00000000-0005-0000-0000-000059050000}"/>
    <cellStyle name="Normal 2 18 4 7 2 3" xfId="1370" xr:uid="{00000000-0005-0000-0000-00005A050000}"/>
    <cellStyle name="Normal 2 18 4 7 2 4" xfId="1371" xr:uid="{00000000-0005-0000-0000-00005B050000}"/>
    <cellStyle name="Normal 2 18 4 7 3" xfId="1372" xr:uid="{00000000-0005-0000-0000-00005C050000}"/>
    <cellStyle name="Normal 2 18 4 7 3 2" xfId="1373" xr:uid="{00000000-0005-0000-0000-00005D050000}"/>
    <cellStyle name="Normal 2 18 4 7 3 2 2" xfId="1374" xr:uid="{00000000-0005-0000-0000-00005E050000}"/>
    <cellStyle name="Normal 2 18 4 7 3 2 3" xfId="1375" xr:uid="{00000000-0005-0000-0000-00005F050000}"/>
    <cellStyle name="Normal 2 18 4 7 3 3" xfId="1376" xr:uid="{00000000-0005-0000-0000-000060050000}"/>
    <cellStyle name="Normal 2 18 4 7 3 4" xfId="1377" xr:uid="{00000000-0005-0000-0000-000061050000}"/>
    <cellStyle name="Normal 2 18 4 7 4" xfId="1378" xr:uid="{00000000-0005-0000-0000-000062050000}"/>
    <cellStyle name="Normal 2 18 4 7 4 2" xfId="1379" xr:uid="{00000000-0005-0000-0000-000063050000}"/>
    <cellStyle name="Normal 2 18 4 7 4 3" xfId="1380" xr:uid="{00000000-0005-0000-0000-000064050000}"/>
    <cellStyle name="Normal 2 18 4 7 5" xfId="1381" xr:uid="{00000000-0005-0000-0000-000065050000}"/>
    <cellStyle name="Normal 2 18 4 7 6" xfId="1382" xr:uid="{00000000-0005-0000-0000-000066050000}"/>
    <cellStyle name="Normal 2 18 4 8" xfId="1383" xr:uid="{00000000-0005-0000-0000-000067050000}"/>
    <cellStyle name="Normal 2 18 4 8 2" xfId="1384" xr:uid="{00000000-0005-0000-0000-000068050000}"/>
    <cellStyle name="Normal 2 18 4 8 2 2" xfId="1385" xr:uid="{00000000-0005-0000-0000-000069050000}"/>
    <cellStyle name="Normal 2 18 4 8 2 2 2" xfId="1386" xr:uid="{00000000-0005-0000-0000-00006A050000}"/>
    <cellStyle name="Normal 2 18 4 8 2 2 3" xfId="1387" xr:uid="{00000000-0005-0000-0000-00006B050000}"/>
    <cellStyle name="Normal 2 18 4 8 2 3" xfId="1388" xr:uid="{00000000-0005-0000-0000-00006C050000}"/>
    <cellStyle name="Normal 2 18 4 8 2 4" xfId="1389" xr:uid="{00000000-0005-0000-0000-00006D050000}"/>
    <cellStyle name="Normal 2 18 4 8 3" xfId="1390" xr:uid="{00000000-0005-0000-0000-00006E050000}"/>
    <cellStyle name="Normal 2 18 4 8 3 2" xfId="1391" xr:uid="{00000000-0005-0000-0000-00006F050000}"/>
    <cellStyle name="Normal 2 18 4 8 3 2 2" xfId="1392" xr:uid="{00000000-0005-0000-0000-000070050000}"/>
    <cellStyle name="Normal 2 18 4 8 3 2 3" xfId="1393" xr:uid="{00000000-0005-0000-0000-000071050000}"/>
    <cellStyle name="Normal 2 18 4 8 3 3" xfId="1394" xr:uid="{00000000-0005-0000-0000-000072050000}"/>
    <cellStyle name="Normal 2 18 4 8 3 4" xfId="1395" xr:uid="{00000000-0005-0000-0000-000073050000}"/>
    <cellStyle name="Normal 2 18 4 8 4" xfId="1396" xr:uid="{00000000-0005-0000-0000-000074050000}"/>
    <cellStyle name="Normal 2 18 4 8 4 2" xfId="1397" xr:uid="{00000000-0005-0000-0000-000075050000}"/>
    <cellStyle name="Normal 2 18 4 8 4 3" xfId="1398" xr:uid="{00000000-0005-0000-0000-000076050000}"/>
    <cellStyle name="Normal 2 18 4 8 5" xfId="1399" xr:uid="{00000000-0005-0000-0000-000077050000}"/>
    <cellStyle name="Normal 2 18 4 8 6" xfId="1400" xr:uid="{00000000-0005-0000-0000-000078050000}"/>
    <cellStyle name="Normal 2 18 4 9" xfId="1401" xr:uid="{00000000-0005-0000-0000-000079050000}"/>
    <cellStyle name="Normal 2 18 4 9 2" xfId="1402" xr:uid="{00000000-0005-0000-0000-00007A050000}"/>
    <cellStyle name="Normal 2 18 4 9 2 2" xfId="1403" xr:uid="{00000000-0005-0000-0000-00007B050000}"/>
    <cellStyle name="Normal 2 18 4 9 2 3" xfId="1404" xr:uid="{00000000-0005-0000-0000-00007C050000}"/>
    <cellStyle name="Normal 2 18 4 9 3" xfId="1405" xr:uid="{00000000-0005-0000-0000-00007D050000}"/>
    <cellStyle name="Normal 2 18 4 9 4" xfId="1406" xr:uid="{00000000-0005-0000-0000-00007E050000}"/>
    <cellStyle name="Normal 2 18 5" xfId="1407" xr:uid="{00000000-0005-0000-0000-00007F050000}"/>
    <cellStyle name="Normal 2 18 5 2" xfId="1408" xr:uid="{00000000-0005-0000-0000-000080050000}"/>
    <cellStyle name="Normal 2 18 5 2 2" xfId="1409" xr:uid="{00000000-0005-0000-0000-000081050000}"/>
    <cellStyle name="Normal 2 18 5 2 2 2" xfId="1410" xr:uid="{00000000-0005-0000-0000-000082050000}"/>
    <cellStyle name="Normal 2 18 5 2 2 2 2" xfId="1411" xr:uid="{00000000-0005-0000-0000-000083050000}"/>
    <cellStyle name="Normal 2 18 5 2 2 2 3" xfId="1412" xr:uid="{00000000-0005-0000-0000-000084050000}"/>
    <cellStyle name="Normal 2 18 5 2 2 3" xfId="1413" xr:uid="{00000000-0005-0000-0000-000085050000}"/>
    <cellStyle name="Normal 2 18 5 2 2 4" xfId="1414" xr:uid="{00000000-0005-0000-0000-000086050000}"/>
    <cellStyle name="Normal 2 18 5 2 3" xfId="1415" xr:uid="{00000000-0005-0000-0000-000087050000}"/>
    <cellStyle name="Normal 2 18 5 2 3 2" xfId="1416" xr:uid="{00000000-0005-0000-0000-000088050000}"/>
    <cellStyle name="Normal 2 18 5 2 3 2 2" xfId="1417" xr:uid="{00000000-0005-0000-0000-000089050000}"/>
    <cellStyle name="Normal 2 18 5 2 3 2 3" xfId="1418" xr:uid="{00000000-0005-0000-0000-00008A050000}"/>
    <cellStyle name="Normal 2 18 5 2 3 3" xfId="1419" xr:uid="{00000000-0005-0000-0000-00008B050000}"/>
    <cellStyle name="Normal 2 18 5 2 3 4" xfId="1420" xr:uid="{00000000-0005-0000-0000-00008C050000}"/>
    <cellStyle name="Normal 2 18 5 2 4" xfId="1421" xr:uid="{00000000-0005-0000-0000-00008D050000}"/>
    <cellStyle name="Normal 2 18 5 2 4 2" xfId="1422" xr:uid="{00000000-0005-0000-0000-00008E050000}"/>
    <cellStyle name="Normal 2 18 5 2 4 3" xfId="1423" xr:uid="{00000000-0005-0000-0000-00008F050000}"/>
    <cellStyle name="Normal 2 18 5 2 5" xfId="1424" xr:uid="{00000000-0005-0000-0000-000090050000}"/>
    <cellStyle name="Normal 2 18 5 2 6" xfId="1425" xr:uid="{00000000-0005-0000-0000-000091050000}"/>
    <cellStyle name="Normal 2 18 5 3" xfId="1426" xr:uid="{00000000-0005-0000-0000-000092050000}"/>
    <cellStyle name="Normal 2 18 5 3 2" xfId="1427" xr:uid="{00000000-0005-0000-0000-000093050000}"/>
    <cellStyle name="Normal 2 18 5 3 2 2" xfId="1428" xr:uid="{00000000-0005-0000-0000-000094050000}"/>
    <cellStyle name="Normal 2 18 5 3 2 2 2" xfId="1429" xr:uid="{00000000-0005-0000-0000-000095050000}"/>
    <cellStyle name="Normal 2 18 5 3 2 2 3" xfId="1430" xr:uid="{00000000-0005-0000-0000-000096050000}"/>
    <cellStyle name="Normal 2 18 5 3 2 3" xfId="1431" xr:uid="{00000000-0005-0000-0000-000097050000}"/>
    <cellStyle name="Normal 2 18 5 3 2 4" xfId="1432" xr:uid="{00000000-0005-0000-0000-000098050000}"/>
    <cellStyle name="Normal 2 18 5 3 3" xfId="1433" xr:uid="{00000000-0005-0000-0000-000099050000}"/>
    <cellStyle name="Normal 2 18 5 3 3 2" xfId="1434" xr:uid="{00000000-0005-0000-0000-00009A050000}"/>
    <cellStyle name="Normal 2 18 5 3 3 2 2" xfId="1435" xr:uid="{00000000-0005-0000-0000-00009B050000}"/>
    <cellStyle name="Normal 2 18 5 3 3 2 3" xfId="1436" xr:uid="{00000000-0005-0000-0000-00009C050000}"/>
    <cellStyle name="Normal 2 18 5 3 3 3" xfId="1437" xr:uid="{00000000-0005-0000-0000-00009D050000}"/>
    <cellStyle name="Normal 2 18 5 3 3 4" xfId="1438" xr:uid="{00000000-0005-0000-0000-00009E050000}"/>
    <cellStyle name="Normal 2 18 5 3 4" xfId="1439" xr:uid="{00000000-0005-0000-0000-00009F050000}"/>
    <cellStyle name="Normal 2 18 5 3 4 2" xfId="1440" xr:uid="{00000000-0005-0000-0000-0000A0050000}"/>
    <cellStyle name="Normal 2 18 5 3 4 3" xfId="1441" xr:uid="{00000000-0005-0000-0000-0000A1050000}"/>
    <cellStyle name="Normal 2 18 5 3 5" xfId="1442" xr:uid="{00000000-0005-0000-0000-0000A2050000}"/>
    <cellStyle name="Normal 2 18 5 3 6" xfId="1443" xr:uid="{00000000-0005-0000-0000-0000A3050000}"/>
    <cellStyle name="Normal 2 18 5 4" xfId="1444" xr:uid="{00000000-0005-0000-0000-0000A4050000}"/>
    <cellStyle name="Normal 2 18 5 4 2" xfId="1445" xr:uid="{00000000-0005-0000-0000-0000A5050000}"/>
    <cellStyle name="Normal 2 18 5 4 2 2" xfId="1446" xr:uid="{00000000-0005-0000-0000-0000A6050000}"/>
    <cellStyle name="Normal 2 18 5 4 2 3" xfId="1447" xr:uid="{00000000-0005-0000-0000-0000A7050000}"/>
    <cellStyle name="Normal 2 18 5 4 3" xfId="1448" xr:uid="{00000000-0005-0000-0000-0000A8050000}"/>
    <cellStyle name="Normal 2 18 5 4 4" xfId="1449" xr:uid="{00000000-0005-0000-0000-0000A9050000}"/>
    <cellStyle name="Normal 2 18 5 5" xfId="1450" xr:uid="{00000000-0005-0000-0000-0000AA050000}"/>
    <cellStyle name="Normal 2 18 5 5 2" xfId="1451" xr:uid="{00000000-0005-0000-0000-0000AB050000}"/>
    <cellStyle name="Normal 2 18 5 5 2 2" xfId="1452" xr:uid="{00000000-0005-0000-0000-0000AC050000}"/>
    <cellStyle name="Normal 2 18 5 5 2 3" xfId="1453" xr:uid="{00000000-0005-0000-0000-0000AD050000}"/>
    <cellStyle name="Normal 2 18 5 5 3" xfId="1454" xr:uid="{00000000-0005-0000-0000-0000AE050000}"/>
    <cellStyle name="Normal 2 18 5 5 4" xfId="1455" xr:uid="{00000000-0005-0000-0000-0000AF050000}"/>
    <cellStyle name="Normal 2 18 5 6" xfId="1456" xr:uid="{00000000-0005-0000-0000-0000B0050000}"/>
    <cellStyle name="Normal 2 18 5 6 2" xfId="1457" xr:uid="{00000000-0005-0000-0000-0000B1050000}"/>
    <cellStyle name="Normal 2 18 5 6 3" xfId="1458" xr:uid="{00000000-0005-0000-0000-0000B2050000}"/>
    <cellStyle name="Normal 2 18 5 7" xfId="1459" xr:uid="{00000000-0005-0000-0000-0000B3050000}"/>
    <cellStyle name="Normal 2 18 5 8" xfId="1460" xr:uid="{00000000-0005-0000-0000-0000B4050000}"/>
    <cellStyle name="Normal 2 18 6" xfId="1461" xr:uid="{00000000-0005-0000-0000-0000B5050000}"/>
    <cellStyle name="Normal 2 18 6 2" xfId="1462" xr:uid="{00000000-0005-0000-0000-0000B6050000}"/>
    <cellStyle name="Normal 2 18 6 2 2" xfId="1463" xr:uid="{00000000-0005-0000-0000-0000B7050000}"/>
    <cellStyle name="Normal 2 18 6 2 2 2" xfId="1464" xr:uid="{00000000-0005-0000-0000-0000B8050000}"/>
    <cellStyle name="Normal 2 18 6 2 2 2 2" xfId="1465" xr:uid="{00000000-0005-0000-0000-0000B9050000}"/>
    <cellStyle name="Normal 2 18 6 2 2 2 3" xfId="1466" xr:uid="{00000000-0005-0000-0000-0000BA050000}"/>
    <cellStyle name="Normal 2 18 6 2 2 3" xfId="1467" xr:uid="{00000000-0005-0000-0000-0000BB050000}"/>
    <cellStyle name="Normal 2 18 6 2 2 4" xfId="1468" xr:uid="{00000000-0005-0000-0000-0000BC050000}"/>
    <cellStyle name="Normal 2 18 6 2 3" xfId="1469" xr:uid="{00000000-0005-0000-0000-0000BD050000}"/>
    <cellStyle name="Normal 2 18 6 2 3 2" xfId="1470" xr:uid="{00000000-0005-0000-0000-0000BE050000}"/>
    <cellStyle name="Normal 2 18 6 2 3 2 2" xfId="1471" xr:uid="{00000000-0005-0000-0000-0000BF050000}"/>
    <cellStyle name="Normal 2 18 6 2 3 2 3" xfId="1472" xr:uid="{00000000-0005-0000-0000-0000C0050000}"/>
    <cellStyle name="Normal 2 18 6 2 3 3" xfId="1473" xr:uid="{00000000-0005-0000-0000-0000C1050000}"/>
    <cellStyle name="Normal 2 18 6 2 3 4" xfId="1474" xr:uid="{00000000-0005-0000-0000-0000C2050000}"/>
    <cellStyle name="Normal 2 18 6 2 4" xfId="1475" xr:uid="{00000000-0005-0000-0000-0000C3050000}"/>
    <cellStyle name="Normal 2 18 6 2 4 2" xfId="1476" xr:uid="{00000000-0005-0000-0000-0000C4050000}"/>
    <cellStyle name="Normal 2 18 6 2 4 3" xfId="1477" xr:uid="{00000000-0005-0000-0000-0000C5050000}"/>
    <cellStyle name="Normal 2 18 6 2 5" xfId="1478" xr:uid="{00000000-0005-0000-0000-0000C6050000}"/>
    <cellStyle name="Normal 2 18 6 2 6" xfId="1479" xr:uid="{00000000-0005-0000-0000-0000C7050000}"/>
    <cellStyle name="Normal 2 18 6 3" xfId="1480" xr:uid="{00000000-0005-0000-0000-0000C8050000}"/>
    <cellStyle name="Normal 2 18 6 3 2" xfId="1481" xr:uid="{00000000-0005-0000-0000-0000C9050000}"/>
    <cellStyle name="Normal 2 18 6 3 2 2" xfId="1482" xr:uid="{00000000-0005-0000-0000-0000CA050000}"/>
    <cellStyle name="Normal 2 18 6 3 2 2 2" xfId="1483" xr:uid="{00000000-0005-0000-0000-0000CB050000}"/>
    <cellStyle name="Normal 2 18 6 3 2 2 3" xfId="1484" xr:uid="{00000000-0005-0000-0000-0000CC050000}"/>
    <cellStyle name="Normal 2 18 6 3 2 3" xfId="1485" xr:uid="{00000000-0005-0000-0000-0000CD050000}"/>
    <cellStyle name="Normal 2 18 6 3 2 4" xfId="1486" xr:uid="{00000000-0005-0000-0000-0000CE050000}"/>
    <cellStyle name="Normal 2 18 6 3 3" xfId="1487" xr:uid="{00000000-0005-0000-0000-0000CF050000}"/>
    <cellStyle name="Normal 2 18 6 3 3 2" xfId="1488" xr:uid="{00000000-0005-0000-0000-0000D0050000}"/>
    <cellStyle name="Normal 2 18 6 3 3 2 2" xfId="1489" xr:uid="{00000000-0005-0000-0000-0000D1050000}"/>
    <cellStyle name="Normal 2 18 6 3 3 2 3" xfId="1490" xr:uid="{00000000-0005-0000-0000-0000D2050000}"/>
    <cellStyle name="Normal 2 18 6 3 3 3" xfId="1491" xr:uid="{00000000-0005-0000-0000-0000D3050000}"/>
    <cellStyle name="Normal 2 18 6 3 3 4" xfId="1492" xr:uid="{00000000-0005-0000-0000-0000D4050000}"/>
    <cellStyle name="Normal 2 18 6 3 4" xfId="1493" xr:uid="{00000000-0005-0000-0000-0000D5050000}"/>
    <cellStyle name="Normal 2 18 6 3 4 2" xfId="1494" xr:uid="{00000000-0005-0000-0000-0000D6050000}"/>
    <cellStyle name="Normal 2 18 6 3 4 3" xfId="1495" xr:uid="{00000000-0005-0000-0000-0000D7050000}"/>
    <cellStyle name="Normal 2 18 6 3 5" xfId="1496" xr:uid="{00000000-0005-0000-0000-0000D8050000}"/>
    <cellStyle name="Normal 2 18 6 3 6" xfId="1497" xr:uid="{00000000-0005-0000-0000-0000D9050000}"/>
    <cellStyle name="Normal 2 18 6 4" xfId="1498" xr:uid="{00000000-0005-0000-0000-0000DA050000}"/>
    <cellStyle name="Normal 2 18 6 4 2" xfId="1499" xr:uid="{00000000-0005-0000-0000-0000DB050000}"/>
    <cellStyle name="Normal 2 18 6 4 2 2" xfId="1500" xr:uid="{00000000-0005-0000-0000-0000DC050000}"/>
    <cellStyle name="Normal 2 18 6 4 2 3" xfId="1501" xr:uid="{00000000-0005-0000-0000-0000DD050000}"/>
    <cellStyle name="Normal 2 18 6 4 3" xfId="1502" xr:uid="{00000000-0005-0000-0000-0000DE050000}"/>
    <cellStyle name="Normal 2 18 6 4 4" xfId="1503" xr:uid="{00000000-0005-0000-0000-0000DF050000}"/>
    <cellStyle name="Normal 2 18 6 5" xfId="1504" xr:uid="{00000000-0005-0000-0000-0000E0050000}"/>
    <cellStyle name="Normal 2 18 6 5 2" xfId="1505" xr:uid="{00000000-0005-0000-0000-0000E1050000}"/>
    <cellStyle name="Normal 2 18 6 5 2 2" xfId="1506" xr:uid="{00000000-0005-0000-0000-0000E2050000}"/>
    <cellStyle name="Normal 2 18 6 5 2 3" xfId="1507" xr:uid="{00000000-0005-0000-0000-0000E3050000}"/>
    <cellStyle name="Normal 2 18 6 5 3" xfId="1508" xr:uid="{00000000-0005-0000-0000-0000E4050000}"/>
    <cellStyle name="Normal 2 18 6 5 4" xfId="1509" xr:uid="{00000000-0005-0000-0000-0000E5050000}"/>
    <cellStyle name="Normal 2 18 6 6" xfId="1510" xr:uid="{00000000-0005-0000-0000-0000E6050000}"/>
    <cellStyle name="Normal 2 18 6 6 2" xfId="1511" xr:uid="{00000000-0005-0000-0000-0000E7050000}"/>
    <cellStyle name="Normal 2 18 6 6 3" xfId="1512" xr:uid="{00000000-0005-0000-0000-0000E8050000}"/>
    <cellStyle name="Normal 2 18 6 7" xfId="1513" xr:uid="{00000000-0005-0000-0000-0000E9050000}"/>
    <cellStyle name="Normal 2 18 6 8" xfId="1514" xr:uid="{00000000-0005-0000-0000-0000EA050000}"/>
    <cellStyle name="Normal 2 18 7" xfId="1515" xr:uid="{00000000-0005-0000-0000-0000EB050000}"/>
    <cellStyle name="Normal 2 18 7 2" xfId="1516" xr:uid="{00000000-0005-0000-0000-0000EC050000}"/>
    <cellStyle name="Normal 2 18 7 2 2" xfId="1517" xr:uid="{00000000-0005-0000-0000-0000ED050000}"/>
    <cellStyle name="Normal 2 18 7 2 2 2" xfId="1518" xr:uid="{00000000-0005-0000-0000-0000EE050000}"/>
    <cellStyle name="Normal 2 18 7 2 2 2 2" xfId="1519" xr:uid="{00000000-0005-0000-0000-0000EF050000}"/>
    <cellStyle name="Normal 2 18 7 2 2 2 3" xfId="1520" xr:uid="{00000000-0005-0000-0000-0000F0050000}"/>
    <cellStyle name="Normal 2 18 7 2 2 3" xfId="1521" xr:uid="{00000000-0005-0000-0000-0000F1050000}"/>
    <cellStyle name="Normal 2 18 7 2 2 4" xfId="1522" xr:uid="{00000000-0005-0000-0000-0000F2050000}"/>
    <cellStyle name="Normal 2 18 7 2 3" xfId="1523" xr:uid="{00000000-0005-0000-0000-0000F3050000}"/>
    <cellStyle name="Normal 2 18 7 2 3 2" xfId="1524" xr:uid="{00000000-0005-0000-0000-0000F4050000}"/>
    <cellStyle name="Normal 2 18 7 2 3 2 2" xfId="1525" xr:uid="{00000000-0005-0000-0000-0000F5050000}"/>
    <cellStyle name="Normal 2 18 7 2 3 2 3" xfId="1526" xr:uid="{00000000-0005-0000-0000-0000F6050000}"/>
    <cellStyle name="Normal 2 18 7 2 3 3" xfId="1527" xr:uid="{00000000-0005-0000-0000-0000F7050000}"/>
    <cellStyle name="Normal 2 18 7 2 3 4" xfId="1528" xr:uid="{00000000-0005-0000-0000-0000F8050000}"/>
    <cellStyle name="Normal 2 18 7 2 4" xfId="1529" xr:uid="{00000000-0005-0000-0000-0000F9050000}"/>
    <cellStyle name="Normal 2 18 7 2 4 2" xfId="1530" xr:uid="{00000000-0005-0000-0000-0000FA050000}"/>
    <cellStyle name="Normal 2 18 7 2 4 3" xfId="1531" xr:uid="{00000000-0005-0000-0000-0000FB050000}"/>
    <cellStyle name="Normal 2 18 7 2 5" xfId="1532" xr:uid="{00000000-0005-0000-0000-0000FC050000}"/>
    <cellStyle name="Normal 2 18 7 2 6" xfId="1533" xr:uid="{00000000-0005-0000-0000-0000FD050000}"/>
    <cellStyle name="Normal 2 18 7 3" xfId="1534" xr:uid="{00000000-0005-0000-0000-0000FE050000}"/>
    <cellStyle name="Normal 2 18 7 3 2" xfId="1535" xr:uid="{00000000-0005-0000-0000-0000FF050000}"/>
    <cellStyle name="Normal 2 18 7 3 2 2" xfId="1536" xr:uid="{00000000-0005-0000-0000-000000060000}"/>
    <cellStyle name="Normal 2 18 7 3 2 2 2" xfId="1537" xr:uid="{00000000-0005-0000-0000-000001060000}"/>
    <cellStyle name="Normal 2 18 7 3 2 2 3" xfId="1538" xr:uid="{00000000-0005-0000-0000-000002060000}"/>
    <cellStyle name="Normal 2 18 7 3 2 3" xfId="1539" xr:uid="{00000000-0005-0000-0000-000003060000}"/>
    <cellStyle name="Normal 2 18 7 3 2 4" xfId="1540" xr:uid="{00000000-0005-0000-0000-000004060000}"/>
    <cellStyle name="Normal 2 18 7 3 3" xfId="1541" xr:uid="{00000000-0005-0000-0000-000005060000}"/>
    <cellStyle name="Normal 2 18 7 3 3 2" xfId="1542" xr:uid="{00000000-0005-0000-0000-000006060000}"/>
    <cellStyle name="Normal 2 18 7 3 3 2 2" xfId="1543" xr:uid="{00000000-0005-0000-0000-000007060000}"/>
    <cellStyle name="Normal 2 18 7 3 3 2 3" xfId="1544" xr:uid="{00000000-0005-0000-0000-000008060000}"/>
    <cellStyle name="Normal 2 18 7 3 3 3" xfId="1545" xr:uid="{00000000-0005-0000-0000-000009060000}"/>
    <cellStyle name="Normal 2 18 7 3 3 4" xfId="1546" xr:uid="{00000000-0005-0000-0000-00000A060000}"/>
    <cellStyle name="Normal 2 18 7 3 4" xfId="1547" xr:uid="{00000000-0005-0000-0000-00000B060000}"/>
    <cellStyle name="Normal 2 18 7 3 4 2" xfId="1548" xr:uid="{00000000-0005-0000-0000-00000C060000}"/>
    <cellStyle name="Normal 2 18 7 3 4 3" xfId="1549" xr:uid="{00000000-0005-0000-0000-00000D060000}"/>
    <cellStyle name="Normal 2 18 7 3 5" xfId="1550" xr:uid="{00000000-0005-0000-0000-00000E060000}"/>
    <cellStyle name="Normal 2 18 7 3 6" xfId="1551" xr:uid="{00000000-0005-0000-0000-00000F060000}"/>
    <cellStyle name="Normal 2 18 7 4" xfId="1552" xr:uid="{00000000-0005-0000-0000-000010060000}"/>
    <cellStyle name="Normal 2 18 7 4 2" xfId="1553" xr:uid="{00000000-0005-0000-0000-000011060000}"/>
    <cellStyle name="Normal 2 18 7 4 2 2" xfId="1554" xr:uid="{00000000-0005-0000-0000-000012060000}"/>
    <cellStyle name="Normal 2 18 7 4 2 3" xfId="1555" xr:uid="{00000000-0005-0000-0000-000013060000}"/>
    <cellStyle name="Normal 2 18 7 4 3" xfId="1556" xr:uid="{00000000-0005-0000-0000-000014060000}"/>
    <cellStyle name="Normal 2 18 7 4 4" xfId="1557" xr:uid="{00000000-0005-0000-0000-000015060000}"/>
    <cellStyle name="Normal 2 18 7 5" xfId="1558" xr:uid="{00000000-0005-0000-0000-000016060000}"/>
    <cellStyle name="Normal 2 18 7 5 2" xfId="1559" xr:uid="{00000000-0005-0000-0000-000017060000}"/>
    <cellStyle name="Normal 2 18 7 5 2 2" xfId="1560" xr:uid="{00000000-0005-0000-0000-000018060000}"/>
    <cellStyle name="Normal 2 18 7 5 2 3" xfId="1561" xr:uid="{00000000-0005-0000-0000-000019060000}"/>
    <cellStyle name="Normal 2 18 7 5 3" xfId="1562" xr:uid="{00000000-0005-0000-0000-00001A060000}"/>
    <cellStyle name="Normal 2 18 7 5 4" xfId="1563" xr:uid="{00000000-0005-0000-0000-00001B060000}"/>
    <cellStyle name="Normal 2 18 7 6" xfId="1564" xr:uid="{00000000-0005-0000-0000-00001C060000}"/>
    <cellStyle name="Normal 2 18 7 6 2" xfId="1565" xr:uid="{00000000-0005-0000-0000-00001D060000}"/>
    <cellStyle name="Normal 2 18 7 6 3" xfId="1566" xr:uid="{00000000-0005-0000-0000-00001E060000}"/>
    <cellStyle name="Normal 2 18 7 7" xfId="1567" xr:uid="{00000000-0005-0000-0000-00001F060000}"/>
    <cellStyle name="Normal 2 18 7 8" xfId="1568" xr:uid="{00000000-0005-0000-0000-000020060000}"/>
    <cellStyle name="Normal 2 18 8" xfId="1569" xr:uid="{00000000-0005-0000-0000-000021060000}"/>
    <cellStyle name="Normal 2 18 8 2" xfId="1570" xr:uid="{00000000-0005-0000-0000-000022060000}"/>
    <cellStyle name="Normal 2 18 8 2 2" xfId="1571" xr:uid="{00000000-0005-0000-0000-000023060000}"/>
    <cellStyle name="Normal 2 18 8 2 2 2" xfId="1572" xr:uid="{00000000-0005-0000-0000-000024060000}"/>
    <cellStyle name="Normal 2 18 8 2 2 2 2" xfId="1573" xr:uid="{00000000-0005-0000-0000-000025060000}"/>
    <cellStyle name="Normal 2 18 8 2 2 2 3" xfId="1574" xr:uid="{00000000-0005-0000-0000-000026060000}"/>
    <cellStyle name="Normal 2 18 8 2 2 3" xfId="1575" xr:uid="{00000000-0005-0000-0000-000027060000}"/>
    <cellStyle name="Normal 2 18 8 2 2 4" xfId="1576" xr:uid="{00000000-0005-0000-0000-000028060000}"/>
    <cellStyle name="Normal 2 18 8 2 3" xfId="1577" xr:uid="{00000000-0005-0000-0000-000029060000}"/>
    <cellStyle name="Normal 2 18 8 2 3 2" xfId="1578" xr:uid="{00000000-0005-0000-0000-00002A060000}"/>
    <cellStyle name="Normal 2 18 8 2 3 2 2" xfId="1579" xr:uid="{00000000-0005-0000-0000-00002B060000}"/>
    <cellStyle name="Normal 2 18 8 2 3 2 3" xfId="1580" xr:uid="{00000000-0005-0000-0000-00002C060000}"/>
    <cellStyle name="Normal 2 18 8 2 3 3" xfId="1581" xr:uid="{00000000-0005-0000-0000-00002D060000}"/>
    <cellStyle name="Normal 2 18 8 2 3 4" xfId="1582" xr:uid="{00000000-0005-0000-0000-00002E060000}"/>
    <cellStyle name="Normal 2 18 8 2 4" xfId="1583" xr:uid="{00000000-0005-0000-0000-00002F060000}"/>
    <cellStyle name="Normal 2 18 8 2 4 2" xfId="1584" xr:uid="{00000000-0005-0000-0000-000030060000}"/>
    <cellStyle name="Normal 2 18 8 2 4 3" xfId="1585" xr:uid="{00000000-0005-0000-0000-000031060000}"/>
    <cellStyle name="Normal 2 18 8 2 5" xfId="1586" xr:uid="{00000000-0005-0000-0000-000032060000}"/>
    <cellStyle name="Normal 2 18 8 2 6" xfId="1587" xr:uid="{00000000-0005-0000-0000-000033060000}"/>
    <cellStyle name="Normal 2 18 8 3" xfId="1588" xr:uid="{00000000-0005-0000-0000-000034060000}"/>
    <cellStyle name="Normal 2 18 8 3 2" xfId="1589" xr:uid="{00000000-0005-0000-0000-000035060000}"/>
    <cellStyle name="Normal 2 18 8 3 2 2" xfId="1590" xr:uid="{00000000-0005-0000-0000-000036060000}"/>
    <cellStyle name="Normal 2 18 8 3 2 2 2" xfId="1591" xr:uid="{00000000-0005-0000-0000-000037060000}"/>
    <cellStyle name="Normal 2 18 8 3 2 2 3" xfId="1592" xr:uid="{00000000-0005-0000-0000-000038060000}"/>
    <cellStyle name="Normal 2 18 8 3 2 3" xfId="1593" xr:uid="{00000000-0005-0000-0000-000039060000}"/>
    <cellStyle name="Normal 2 18 8 3 2 4" xfId="1594" xr:uid="{00000000-0005-0000-0000-00003A060000}"/>
    <cellStyle name="Normal 2 18 8 3 3" xfId="1595" xr:uid="{00000000-0005-0000-0000-00003B060000}"/>
    <cellStyle name="Normal 2 18 8 3 3 2" xfId="1596" xr:uid="{00000000-0005-0000-0000-00003C060000}"/>
    <cellStyle name="Normal 2 18 8 3 3 2 2" xfId="1597" xr:uid="{00000000-0005-0000-0000-00003D060000}"/>
    <cellStyle name="Normal 2 18 8 3 3 2 3" xfId="1598" xr:uid="{00000000-0005-0000-0000-00003E060000}"/>
    <cellStyle name="Normal 2 18 8 3 3 3" xfId="1599" xr:uid="{00000000-0005-0000-0000-00003F060000}"/>
    <cellStyle name="Normal 2 18 8 3 3 4" xfId="1600" xr:uid="{00000000-0005-0000-0000-000040060000}"/>
    <cellStyle name="Normal 2 18 8 3 4" xfId="1601" xr:uid="{00000000-0005-0000-0000-000041060000}"/>
    <cellStyle name="Normal 2 18 8 3 4 2" xfId="1602" xr:uid="{00000000-0005-0000-0000-000042060000}"/>
    <cellStyle name="Normal 2 18 8 3 4 3" xfId="1603" xr:uid="{00000000-0005-0000-0000-000043060000}"/>
    <cellStyle name="Normal 2 18 8 3 5" xfId="1604" xr:uid="{00000000-0005-0000-0000-000044060000}"/>
    <cellStyle name="Normal 2 18 8 3 6" xfId="1605" xr:uid="{00000000-0005-0000-0000-000045060000}"/>
    <cellStyle name="Normal 2 18 8 4" xfId="1606" xr:uid="{00000000-0005-0000-0000-000046060000}"/>
    <cellStyle name="Normal 2 18 8 4 2" xfId="1607" xr:uid="{00000000-0005-0000-0000-000047060000}"/>
    <cellStyle name="Normal 2 18 8 4 2 2" xfId="1608" xr:uid="{00000000-0005-0000-0000-000048060000}"/>
    <cellStyle name="Normal 2 18 8 4 2 3" xfId="1609" xr:uid="{00000000-0005-0000-0000-000049060000}"/>
    <cellStyle name="Normal 2 18 8 4 3" xfId="1610" xr:uid="{00000000-0005-0000-0000-00004A060000}"/>
    <cellStyle name="Normal 2 18 8 4 4" xfId="1611" xr:uid="{00000000-0005-0000-0000-00004B060000}"/>
    <cellStyle name="Normal 2 18 8 5" xfId="1612" xr:uid="{00000000-0005-0000-0000-00004C060000}"/>
    <cellStyle name="Normal 2 18 8 5 2" xfId="1613" xr:uid="{00000000-0005-0000-0000-00004D060000}"/>
    <cellStyle name="Normal 2 18 8 5 2 2" xfId="1614" xr:uid="{00000000-0005-0000-0000-00004E060000}"/>
    <cellStyle name="Normal 2 18 8 5 2 3" xfId="1615" xr:uid="{00000000-0005-0000-0000-00004F060000}"/>
    <cellStyle name="Normal 2 18 8 5 3" xfId="1616" xr:uid="{00000000-0005-0000-0000-000050060000}"/>
    <cellStyle name="Normal 2 18 8 5 4" xfId="1617" xr:uid="{00000000-0005-0000-0000-000051060000}"/>
    <cellStyle name="Normal 2 18 8 6" xfId="1618" xr:uid="{00000000-0005-0000-0000-000052060000}"/>
    <cellStyle name="Normal 2 18 8 6 2" xfId="1619" xr:uid="{00000000-0005-0000-0000-000053060000}"/>
    <cellStyle name="Normal 2 18 8 6 3" xfId="1620" xr:uid="{00000000-0005-0000-0000-000054060000}"/>
    <cellStyle name="Normal 2 18 8 7" xfId="1621" xr:uid="{00000000-0005-0000-0000-000055060000}"/>
    <cellStyle name="Normal 2 18 8 8" xfId="1622" xr:uid="{00000000-0005-0000-0000-000056060000}"/>
    <cellStyle name="Normal 2 18 9" xfId="1623" xr:uid="{00000000-0005-0000-0000-000057060000}"/>
    <cellStyle name="Normal 2 18 9 2" xfId="1624" xr:uid="{00000000-0005-0000-0000-000058060000}"/>
    <cellStyle name="Normal 2 18 9 2 2" xfId="1625" xr:uid="{00000000-0005-0000-0000-000059060000}"/>
    <cellStyle name="Normal 2 18 9 2 2 2" xfId="1626" xr:uid="{00000000-0005-0000-0000-00005A060000}"/>
    <cellStyle name="Normal 2 18 9 2 2 2 2" xfId="1627" xr:uid="{00000000-0005-0000-0000-00005B060000}"/>
    <cellStyle name="Normal 2 18 9 2 2 2 3" xfId="1628" xr:uid="{00000000-0005-0000-0000-00005C060000}"/>
    <cellStyle name="Normal 2 18 9 2 2 3" xfId="1629" xr:uid="{00000000-0005-0000-0000-00005D060000}"/>
    <cellStyle name="Normal 2 18 9 2 2 4" xfId="1630" xr:uid="{00000000-0005-0000-0000-00005E060000}"/>
    <cellStyle name="Normal 2 18 9 2 3" xfId="1631" xr:uid="{00000000-0005-0000-0000-00005F060000}"/>
    <cellStyle name="Normal 2 18 9 2 3 2" xfId="1632" xr:uid="{00000000-0005-0000-0000-000060060000}"/>
    <cellStyle name="Normal 2 18 9 2 3 2 2" xfId="1633" xr:uid="{00000000-0005-0000-0000-000061060000}"/>
    <cellStyle name="Normal 2 18 9 2 3 2 3" xfId="1634" xr:uid="{00000000-0005-0000-0000-000062060000}"/>
    <cellStyle name="Normal 2 18 9 2 3 3" xfId="1635" xr:uid="{00000000-0005-0000-0000-000063060000}"/>
    <cellStyle name="Normal 2 18 9 2 3 4" xfId="1636" xr:uid="{00000000-0005-0000-0000-000064060000}"/>
    <cellStyle name="Normal 2 18 9 2 4" xfId="1637" xr:uid="{00000000-0005-0000-0000-000065060000}"/>
    <cellStyle name="Normal 2 18 9 2 4 2" xfId="1638" xr:uid="{00000000-0005-0000-0000-000066060000}"/>
    <cellStyle name="Normal 2 18 9 2 4 3" xfId="1639" xr:uid="{00000000-0005-0000-0000-000067060000}"/>
    <cellStyle name="Normal 2 18 9 2 5" xfId="1640" xr:uid="{00000000-0005-0000-0000-000068060000}"/>
    <cellStyle name="Normal 2 18 9 2 6" xfId="1641" xr:uid="{00000000-0005-0000-0000-000069060000}"/>
    <cellStyle name="Normal 2 18 9 3" xfId="1642" xr:uid="{00000000-0005-0000-0000-00006A060000}"/>
    <cellStyle name="Normal 2 18 9 3 2" xfId="1643" xr:uid="{00000000-0005-0000-0000-00006B060000}"/>
    <cellStyle name="Normal 2 18 9 3 2 2" xfId="1644" xr:uid="{00000000-0005-0000-0000-00006C060000}"/>
    <cellStyle name="Normal 2 18 9 3 2 2 2" xfId="1645" xr:uid="{00000000-0005-0000-0000-00006D060000}"/>
    <cellStyle name="Normal 2 18 9 3 2 2 3" xfId="1646" xr:uid="{00000000-0005-0000-0000-00006E060000}"/>
    <cellStyle name="Normal 2 18 9 3 2 3" xfId="1647" xr:uid="{00000000-0005-0000-0000-00006F060000}"/>
    <cellStyle name="Normal 2 18 9 3 2 4" xfId="1648" xr:uid="{00000000-0005-0000-0000-000070060000}"/>
    <cellStyle name="Normal 2 18 9 3 3" xfId="1649" xr:uid="{00000000-0005-0000-0000-000071060000}"/>
    <cellStyle name="Normal 2 18 9 3 3 2" xfId="1650" xr:uid="{00000000-0005-0000-0000-000072060000}"/>
    <cellStyle name="Normal 2 18 9 3 3 2 2" xfId="1651" xr:uid="{00000000-0005-0000-0000-000073060000}"/>
    <cellStyle name="Normal 2 18 9 3 3 2 3" xfId="1652" xr:uid="{00000000-0005-0000-0000-000074060000}"/>
    <cellStyle name="Normal 2 18 9 3 3 3" xfId="1653" xr:uid="{00000000-0005-0000-0000-000075060000}"/>
    <cellStyle name="Normal 2 18 9 3 3 4" xfId="1654" xr:uid="{00000000-0005-0000-0000-000076060000}"/>
    <cellStyle name="Normal 2 18 9 3 4" xfId="1655" xr:uid="{00000000-0005-0000-0000-000077060000}"/>
    <cellStyle name="Normal 2 18 9 3 4 2" xfId="1656" xr:uid="{00000000-0005-0000-0000-000078060000}"/>
    <cellStyle name="Normal 2 18 9 3 4 3" xfId="1657" xr:uid="{00000000-0005-0000-0000-000079060000}"/>
    <cellStyle name="Normal 2 18 9 3 5" xfId="1658" xr:uid="{00000000-0005-0000-0000-00007A060000}"/>
    <cellStyle name="Normal 2 18 9 3 6" xfId="1659" xr:uid="{00000000-0005-0000-0000-00007B060000}"/>
    <cellStyle name="Normal 2 18 9 4" xfId="1660" xr:uid="{00000000-0005-0000-0000-00007C060000}"/>
    <cellStyle name="Normal 2 18 9 4 2" xfId="1661" xr:uid="{00000000-0005-0000-0000-00007D060000}"/>
    <cellStyle name="Normal 2 18 9 4 2 2" xfId="1662" xr:uid="{00000000-0005-0000-0000-00007E060000}"/>
    <cellStyle name="Normal 2 18 9 4 2 3" xfId="1663" xr:uid="{00000000-0005-0000-0000-00007F060000}"/>
    <cellStyle name="Normal 2 18 9 4 3" xfId="1664" xr:uid="{00000000-0005-0000-0000-000080060000}"/>
    <cellStyle name="Normal 2 18 9 4 4" xfId="1665" xr:uid="{00000000-0005-0000-0000-000081060000}"/>
    <cellStyle name="Normal 2 18 9 5" xfId="1666" xr:uid="{00000000-0005-0000-0000-000082060000}"/>
    <cellStyle name="Normal 2 18 9 5 2" xfId="1667" xr:uid="{00000000-0005-0000-0000-000083060000}"/>
    <cellStyle name="Normal 2 18 9 5 2 2" xfId="1668" xr:uid="{00000000-0005-0000-0000-000084060000}"/>
    <cellStyle name="Normal 2 18 9 5 2 3" xfId="1669" xr:uid="{00000000-0005-0000-0000-000085060000}"/>
    <cellStyle name="Normal 2 18 9 5 3" xfId="1670" xr:uid="{00000000-0005-0000-0000-000086060000}"/>
    <cellStyle name="Normal 2 18 9 5 4" xfId="1671" xr:uid="{00000000-0005-0000-0000-000087060000}"/>
    <cellStyle name="Normal 2 18 9 6" xfId="1672" xr:uid="{00000000-0005-0000-0000-000088060000}"/>
    <cellStyle name="Normal 2 18 9 6 2" xfId="1673" xr:uid="{00000000-0005-0000-0000-000089060000}"/>
    <cellStyle name="Normal 2 18 9 6 3" xfId="1674" xr:uid="{00000000-0005-0000-0000-00008A060000}"/>
    <cellStyle name="Normal 2 18 9 7" xfId="1675" xr:uid="{00000000-0005-0000-0000-00008B060000}"/>
    <cellStyle name="Normal 2 18 9 8" xfId="1676" xr:uid="{00000000-0005-0000-0000-00008C060000}"/>
    <cellStyle name="Normal 2 19" xfId="1677" xr:uid="{00000000-0005-0000-0000-00008D060000}"/>
    <cellStyle name="Normal 2 19 10" xfId="1678" xr:uid="{00000000-0005-0000-0000-00008E060000}"/>
    <cellStyle name="Normal 2 19 10 2" xfId="1679" xr:uid="{00000000-0005-0000-0000-00008F060000}"/>
    <cellStyle name="Normal 2 19 10 2 2" xfId="1680" xr:uid="{00000000-0005-0000-0000-000090060000}"/>
    <cellStyle name="Normal 2 19 10 2 2 2" xfId="1681" xr:uid="{00000000-0005-0000-0000-000091060000}"/>
    <cellStyle name="Normal 2 19 10 2 2 2 2" xfId="1682" xr:uid="{00000000-0005-0000-0000-000092060000}"/>
    <cellStyle name="Normal 2 19 10 2 2 2 3" xfId="1683" xr:uid="{00000000-0005-0000-0000-000093060000}"/>
    <cellStyle name="Normal 2 19 10 2 2 3" xfId="1684" xr:uid="{00000000-0005-0000-0000-000094060000}"/>
    <cellStyle name="Normal 2 19 10 2 2 4" xfId="1685" xr:uid="{00000000-0005-0000-0000-000095060000}"/>
    <cellStyle name="Normal 2 19 10 2 3" xfId="1686" xr:uid="{00000000-0005-0000-0000-000096060000}"/>
    <cellStyle name="Normal 2 19 10 2 3 2" xfId="1687" xr:uid="{00000000-0005-0000-0000-000097060000}"/>
    <cellStyle name="Normal 2 19 10 2 3 2 2" xfId="1688" xr:uid="{00000000-0005-0000-0000-000098060000}"/>
    <cellStyle name="Normal 2 19 10 2 3 2 3" xfId="1689" xr:uid="{00000000-0005-0000-0000-000099060000}"/>
    <cellStyle name="Normal 2 19 10 2 3 3" xfId="1690" xr:uid="{00000000-0005-0000-0000-00009A060000}"/>
    <cellStyle name="Normal 2 19 10 2 3 4" xfId="1691" xr:uid="{00000000-0005-0000-0000-00009B060000}"/>
    <cellStyle name="Normal 2 19 10 2 4" xfId="1692" xr:uid="{00000000-0005-0000-0000-00009C060000}"/>
    <cellStyle name="Normal 2 19 10 2 4 2" xfId="1693" xr:uid="{00000000-0005-0000-0000-00009D060000}"/>
    <cellStyle name="Normal 2 19 10 2 4 3" xfId="1694" xr:uid="{00000000-0005-0000-0000-00009E060000}"/>
    <cellStyle name="Normal 2 19 10 2 5" xfId="1695" xr:uid="{00000000-0005-0000-0000-00009F060000}"/>
    <cellStyle name="Normal 2 19 10 2 6" xfId="1696" xr:uid="{00000000-0005-0000-0000-0000A0060000}"/>
    <cellStyle name="Normal 2 19 10 3" xfId="1697" xr:uid="{00000000-0005-0000-0000-0000A1060000}"/>
    <cellStyle name="Normal 2 19 10 3 2" xfId="1698" xr:uid="{00000000-0005-0000-0000-0000A2060000}"/>
    <cellStyle name="Normal 2 19 10 3 2 2" xfId="1699" xr:uid="{00000000-0005-0000-0000-0000A3060000}"/>
    <cellStyle name="Normal 2 19 10 3 2 2 2" xfId="1700" xr:uid="{00000000-0005-0000-0000-0000A4060000}"/>
    <cellStyle name="Normal 2 19 10 3 2 2 3" xfId="1701" xr:uid="{00000000-0005-0000-0000-0000A5060000}"/>
    <cellStyle name="Normal 2 19 10 3 2 3" xfId="1702" xr:uid="{00000000-0005-0000-0000-0000A6060000}"/>
    <cellStyle name="Normal 2 19 10 3 2 4" xfId="1703" xr:uid="{00000000-0005-0000-0000-0000A7060000}"/>
    <cellStyle name="Normal 2 19 10 3 3" xfId="1704" xr:uid="{00000000-0005-0000-0000-0000A8060000}"/>
    <cellStyle name="Normal 2 19 10 3 3 2" xfId="1705" xr:uid="{00000000-0005-0000-0000-0000A9060000}"/>
    <cellStyle name="Normal 2 19 10 3 3 2 2" xfId="1706" xr:uid="{00000000-0005-0000-0000-0000AA060000}"/>
    <cellStyle name="Normal 2 19 10 3 3 2 3" xfId="1707" xr:uid="{00000000-0005-0000-0000-0000AB060000}"/>
    <cellStyle name="Normal 2 19 10 3 3 3" xfId="1708" xr:uid="{00000000-0005-0000-0000-0000AC060000}"/>
    <cellStyle name="Normal 2 19 10 3 3 4" xfId="1709" xr:uid="{00000000-0005-0000-0000-0000AD060000}"/>
    <cellStyle name="Normal 2 19 10 3 4" xfId="1710" xr:uid="{00000000-0005-0000-0000-0000AE060000}"/>
    <cellStyle name="Normal 2 19 10 3 4 2" xfId="1711" xr:uid="{00000000-0005-0000-0000-0000AF060000}"/>
    <cellStyle name="Normal 2 19 10 3 4 3" xfId="1712" xr:uid="{00000000-0005-0000-0000-0000B0060000}"/>
    <cellStyle name="Normal 2 19 10 3 5" xfId="1713" xr:uid="{00000000-0005-0000-0000-0000B1060000}"/>
    <cellStyle name="Normal 2 19 10 3 6" xfId="1714" xr:uid="{00000000-0005-0000-0000-0000B2060000}"/>
    <cellStyle name="Normal 2 19 10 4" xfId="1715" xr:uid="{00000000-0005-0000-0000-0000B3060000}"/>
    <cellStyle name="Normal 2 19 10 4 2" xfId="1716" xr:uid="{00000000-0005-0000-0000-0000B4060000}"/>
    <cellStyle name="Normal 2 19 10 4 2 2" xfId="1717" xr:uid="{00000000-0005-0000-0000-0000B5060000}"/>
    <cellStyle name="Normal 2 19 10 4 2 3" xfId="1718" xr:uid="{00000000-0005-0000-0000-0000B6060000}"/>
    <cellStyle name="Normal 2 19 10 4 3" xfId="1719" xr:uid="{00000000-0005-0000-0000-0000B7060000}"/>
    <cellStyle name="Normal 2 19 10 4 4" xfId="1720" xr:uid="{00000000-0005-0000-0000-0000B8060000}"/>
    <cellStyle name="Normal 2 19 10 5" xfId="1721" xr:uid="{00000000-0005-0000-0000-0000B9060000}"/>
    <cellStyle name="Normal 2 19 10 5 2" xfId="1722" xr:uid="{00000000-0005-0000-0000-0000BA060000}"/>
    <cellStyle name="Normal 2 19 10 5 2 2" xfId="1723" xr:uid="{00000000-0005-0000-0000-0000BB060000}"/>
    <cellStyle name="Normal 2 19 10 5 2 3" xfId="1724" xr:uid="{00000000-0005-0000-0000-0000BC060000}"/>
    <cellStyle name="Normal 2 19 10 5 3" xfId="1725" xr:uid="{00000000-0005-0000-0000-0000BD060000}"/>
    <cellStyle name="Normal 2 19 10 5 4" xfId="1726" xr:uid="{00000000-0005-0000-0000-0000BE060000}"/>
    <cellStyle name="Normal 2 19 10 6" xfId="1727" xr:uid="{00000000-0005-0000-0000-0000BF060000}"/>
    <cellStyle name="Normal 2 19 10 6 2" xfId="1728" xr:uid="{00000000-0005-0000-0000-0000C0060000}"/>
    <cellStyle name="Normal 2 19 10 6 3" xfId="1729" xr:uid="{00000000-0005-0000-0000-0000C1060000}"/>
    <cellStyle name="Normal 2 19 10 7" xfId="1730" xr:uid="{00000000-0005-0000-0000-0000C2060000}"/>
    <cellStyle name="Normal 2 19 10 8" xfId="1731" xr:uid="{00000000-0005-0000-0000-0000C3060000}"/>
    <cellStyle name="Normal 2 19 11" xfId="1732" xr:uid="{00000000-0005-0000-0000-0000C4060000}"/>
    <cellStyle name="Normal 2 19 11 2" xfId="1733" xr:uid="{00000000-0005-0000-0000-0000C5060000}"/>
    <cellStyle name="Normal 2 19 11 2 2" xfId="1734" xr:uid="{00000000-0005-0000-0000-0000C6060000}"/>
    <cellStyle name="Normal 2 19 11 2 2 2" xfId="1735" xr:uid="{00000000-0005-0000-0000-0000C7060000}"/>
    <cellStyle name="Normal 2 19 11 2 2 2 2" xfId="1736" xr:uid="{00000000-0005-0000-0000-0000C8060000}"/>
    <cellStyle name="Normal 2 19 11 2 2 2 3" xfId="1737" xr:uid="{00000000-0005-0000-0000-0000C9060000}"/>
    <cellStyle name="Normal 2 19 11 2 2 3" xfId="1738" xr:uid="{00000000-0005-0000-0000-0000CA060000}"/>
    <cellStyle name="Normal 2 19 11 2 2 4" xfId="1739" xr:uid="{00000000-0005-0000-0000-0000CB060000}"/>
    <cellStyle name="Normal 2 19 11 2 3" xfId="1740" xr:uid="{00000000-0005-0000-0000-0000CC060000}"/>
    <cellStyle name="Normal 2 19 11 2 3 2" xfId="1741" xr:uid="{00000000-0005-0000-0000-0000CD060000}"/>
    <cellStyle name="Normal 2 19 11 2 3 2 2" xfId="1742" xr:uid="{00000000-0005-0000-0000-0000CE060000}"/>
    <cellStyle name="Normal 2 19 11 2 3 2 3" xfId="1743" xr:uid="{00000000-0005-0000-0000-0000CF060000}"/>
    <cellStyle name="Normal 2 19 11 2 3 3" xfId="1744" xr:uid="{00000000-0005-0000-0000-0000D0060000}"/>
    <cellStyle name="Normal 2 19 11 2 3 4" xfId="1745" xr:uid="{00000000-0005-0000-0000-0000D1060000}"/>
    <cellStyle name="Normal 2 19 11 2 4" xfId="1746" xr:uid="{00000000-0005-0000-0000-0000D2060000}"/>
    <cellStyle name="Normal 2 19 11 2 4 2" xfId="1747" xr:uid="{00000000-0005-0000-0000-0000D3060000}"/>
    <cellStyle name="Normal 2 19 11 2 4 3" xfId="1748" xr:uid="{00000000-0005-0000-0000-0000D4060000}"/>
    <cellStyle name="Normal 2 19 11 2 5" xfId="1749" xr:uid="{00000000-0005-0000-0000-0000D5060000}"/>
    <cellStyle name="Normal 2 19 11 2 6" xfId="1750" xr:uid="{00000000-0005-0000-0000-0000D6060000}"/>
    <cellStyle name="Normal 2 19 11 3" xfId="1751" xr:uid="{00000000-0005-0000-0000-0000D7060000}"/>
    <cellStyle name="Normal 2 19 11 3 2" xfId="1752" xr:uid="{00000000-0005-0000-0000-0000D8060000}"/>
    <cellStyle name="Normal 2 19 11 3 2 2" xfId="1753" xr:uid="{00000000-0005-0000-0000-0000D9060000}"/>
    <cellStyle name="Normal 2 19 11 3 2 2 2" xfId="1754" xr:uid="{00000000-0005-0000-0000-0000DA060000}"/>
    <cellStyle name="Normal 2 19 11 3 2 2 3" xfId="1755" xr:uid="{00000000-0005-0000-0000-0000DB060000}"/>
    <cellStyle name="Normal 2 19 11 3 2 3" xfId="1756" xr:uid="{00000000-0005-0000-0000-0000DC060000}"/>
    <cellStyle name="Normal 2 19 11 3 2 4" xfId="1757" xr:uid="{00000000-0005-0000-0000-0000DD060000}"/>
    <cellStyle name="Normal 2 19 11 3 3" xfId="1758" xr:uid="{00000000-0005-0000-0000-0000DE060000}"/>
    <cellStyle name="Normal 2 19 11 3 3 2" xfId="1759" xr:uid="{00000000-0005-0000-0000-0000DF060000}"/>
    <cellStyle name="Normal 2 19 11 3 3 2 2" xfId="1760" xr:uid="{00000000-0005-0000-0000-0000E0060000}"/>
    <cellStyle name="Normal 2 19 11 3 3 2 3" xfId="1761" xr:uid="{00000000-0005-0000-0000-0000E1060000}"/>
    <cellStyle name="Normal 2 19 11 3 3 3" xfId="1762" xr:uid="{00000000-0005-0000-0000-0000E2060000}"/>
    <cellStyle name="Normal 2 19 11 3 3 4" xfId="1763" xr:uid="{00000000-0005-0000-0000-0000E3060000}"/>
    <cellStyle name="Normal 2 19 11 3 4" xfId="1764" xr:uid="{00000000-0005-0000-0000-0000E4060000}"/>
    <cellStyle name="Normal 2 19 11 3 4 2" xfId="1765" xr:uid="{00000000-0005-0000-0000-0000E5060000}"/>
    <cellStyle name="Normal 2 19 11 3 4 3" xfId="1766" xr:uid="{00000000-0005-0000-0000-0000E6060000}"/>
    <cellStyle name="Normal 2 19 11 3 5" xfId="1767" xr:uid="{00000000-0005-0000-0000-0000E7060000}"/>
    <cellStyle name="Normal 2 19 11 3 6" xfId="1768" xr:uid="{00000000-0005-0000-0000-0000E8060000}"/>
    <cellStyle name="Normal 2 19 11 4" xfId="1769" xr:uid="{00000000-0005-0000-0000-0000E9060000}"/>
    <cellStyle name="Normal 2 19 11 4 2" xfId="1770" xr:uid="{00000000-0005-0000-0000-0000EA060000}"/>
    <cellStyle name="Normal 2 19 11 4 2 2" xfId="1771" xr:uid="{00000000-0005-0000-0000-0000EB060000}"/>
    <cellStyle name="Normal 2 19 11 4 2 3" xfId="1772" xr:uid="{00000000-0005-0000-0000-0000EC060000}"/>
    <cellStyle name="Normal 2 19 11 4 3" xfId="1773" xr:uid="{00000000-0005-0000-0000-0000ED060000}"/>
    <cellStyle name="Normal 2 19 11 4 4" xfId="1774" xr:uid="{00000000-0005-0000-0000-0000EE060000}"/>
    <cellStyle name="Normal 2 19 11 5" xfId="1775" xr:uid="{00000000-0005-0000-0000-0000EF060000}"/>
    <cellStyle name="Normal 2 19 11 5 2" xfId="1776" xr:uid="{00000000-0005-0000-0000-0000F0060000}"/>
    <cellStyle name="Normal 2 19 11 5 2 2" xfId="1777" xr:uid="{00000000-0005-0000-0000-0000F1060000}"/>
    <cellStyle name="Normal 2 19 11 5 2 3" xfId="1778" xr:uid="{00000000-0005-0000-0000-0000F2060000}"/>
    <cellStyle name="Normal 2 19 11 5 3" xfId="1779" xr:uid="{00000000-0005-0000-0000-0000F3060000}"/>
    <cellStyle name="Normal 2 19 11 5 4" xfId="1780" xr:uid="{00000000-0005-0000-0000-0000F4060000}"/>
    <cellStyle name="Normal 2 19 11 6" xfId="1781" xr:uid="{00000000-0005-0000-0000-0000F5060000}"/>
    <cellStyle name="Normal 2 19 11 6 2" xfId="1782" xr:uid="{00000000-0005-0000-0000-0000F6060000}"/>
    <cellStyle name="Normal 2 19 11 6 3" xfId="1783" xr:uid="{00000000-0005-0000-0000-0000F7060000}"/>
    <cellStyle name="Normal 2 19 11 7" xfId="1784" xr:uid="{00000000-0005-0000-0000-0000F8060000}"/>
    <cellStyle name="Normal 2 19 11 8" xfId="1785" xr:uid="{00000000-0005-0000-0000-0000F9060000}"/>
    <cellStyle name="Normal 2 19 12" xfId="1786" xr:uid="{00000000-0005-0000-0000-0000FA060000}"/>
    <cellStyle name="Normal 2 19 12 2" xfId="1787" xr:uid="{00000000-0005-0000-0000-0000FB060000}"/>
    <cellStyle name="Normal 2 19 12 2 2" xfId="1788" xr:uid="{00000000-0005-0000-0000-0000FC060000}"/>
    <cellStyle name="Normal 2 19 12 2 2 2" xfId="1789" xr:uid="{00000000-0005-0000-0000-0000FD060000}"/>
    <cellStyle name="Normal 2 19 12 2 2 2 2" xfId="1790" xr:uid="{00000000-0005-0000-0000-0000FE060000}"/>
    <cellStyle name="Normal 2 19 12 2 2 2 3" xfId="1791" xr:uid="{00000000-0005-0000-0000-0000FF060000}"/>
    <cellStyle name="Normal 2 19 12 2 2 3" xfId="1792" xr:uid="{00000000-0005-0000-0000-000000070000}"/>
    <cellStyle name="Normal 2 19 12 2 2 4" xfId="1793" xr:uid="{00000000-0005-0000-0000-000001070000}"/>
    <cellStyle name="Normal 2 19 12 2 3" xfId="1794" xr:uid="{00000000-0005-0000-0000-000002070000}"/>
    <cellStyle name="Normal 2 19 12 2 3 2" xfId="1795" xr:uid="{00000000-0005-0000-0000-000003070000}"/>
    <cellStyle name="Normal 2 19 12 2 3 2 2" xfId="1796" xr:uid="{00000000-0005-0000-0000-000004070000}"/>
    <cellStyle name="Normal 2 19 12 2 3 2 3" xfId="1797" xr:uid="{00000000-0005-0000-0000-000005070000}"/>
    <cellStyle name="Normal 2 19 12 2 3 3" xfId="1798" xr:uid="{00000000-0005-0000-0000-000006070000}"/>
    <cellStyle name="Normal 2 19 12 2 3 4" xfId="1799" xr:uid="{00000000-0005-0000-0000-000007070000}"/>
    <cellStyle name="Normal 2 19 12 2 4" xfId="1800" xr:uid="{00000000-0005-0000-0000-000008070000}"/>
    <cellStyle name="Normal 2 19 12 2 4 2" xfId="1801" xr:uid="{00000000-0005-0000-0000-000009070000}"/>
    <cellStyle name="Normal 2 19 12 2 4 3" xfId="1802" xr:uid="{00000000-0005-0000-0000-00000A070000}"/>
    <cellStyle name="Normal 2 19 12 2 5" xfId="1803" xr:uid="{00000000-0005-0000-0000-00000B070000}"/>
    <cellStyle name="Normal 2 19 12 2 6" xfId="1804" xr:uid="{00000000-0005-0000-0000-00000C070000}"/>
    <cellStyle name="Normal 2 19 12 3" xfId="1805" xr:uid="{00000000-0005-0000-0000-00000D070000}"/>
    <cellStyle name="Normal 2 19 12 3 2" xfId="1806" xr:uid="{00000000-0005-0000-0000-00000E070000}"/>
    <cellStyle name="Normal 2 19 12 3 2 2" xfId="1807" xr:uid="{00000000-0005-0000-0000-00000F070000}"/>
    <cellStyle name="Normal 2 19 12 3 2 2 2" xfId="1808" xr:uid="{00000000-0005-0000-0000-000010070000}"/>
    <cellStyle name="Normal 2 19 12 3 2 2 3" xfId="1809" xr:uid="{00000000-0005-0000-0000-000011070000}"/>
    <cellStyle name="Normal 2 19 12 3 2 3" xfId="1810" xr:uid="{00000000-0005-0000-0000-000012070000}"/>
    <cellStyle name="Normal 2 19 12 3 2 4" xfId="1811" xr:uid="{00000000-0005-0000-0000-000013070000}"/>
    <cellStyle name="Normal 2 19 12 3 3" xfId="1812" xr:uid="{00000000-0005-0000-0000-000014070000}"/>
    <cellStyle name="Normal 2 19 12 3 3 2" xfId="1813" xr:uid="{00000000-0005-0000-0000-000015070000}"/>
    <cellStyle name="Normal 2 19 12 3 3 2 2" xfId="1814" xr:uid="{00000000-0005-0000-0000-000016070000}"/>
    <cellStyle name="Normal 2 19 12 3 3 2 3" xfId="1815" xr:uid="{00000000-0005-0000-0000-000017070000}"/>
    <cellStyle name="Normal 2 19 12 3 3 3" xfId="1816" xr:uid="{00000000-0005-0000-0000-000018070000}"/>
    <cellStyle name="Normal 2 19 12 3 3 4" xfId="1817" xr:uid="{00000000-0005-0000-0000-000019070000}"/>
    <cellStyle name="Normal 2 19 12 3 4" xfId="1818" xr:uid="{00000000-0005-0000-0000-00001A070000}"/>
    <cellStyle name="Normal 2 19 12 3 4 2" xfId="1819" xr:uid="{00000000-0005-0000-0000-00001B070000}"/>
    <cellStyle name="Normal 2 19 12 3 4 3" xfId="1820" xr:uid="{00000000-0005-0000-0000-00001C070000}"/>
    <cellStyle name="Normal 2 19 12 3 5" xfId="1821" xr:uid="{00000000-0005-0000-0000-00001D070000}"/>
    <cellStyle name="Normal 2 19 12 3 6" xfId="1822" xr:uid="{00000000-0005-0000-0000-00001E070000}"/>
    <cellStyle name="Normal 2 19 12 4" xfId="1823" xr:uid="{00000000-0005-0000-0000-00001F070000}"/>
    <cellStyle name="Normal 2 19 12 4 2" xfId="1824" xr:uid="{00000000-0005-0000-0000-000020070000}"/>
    <cellStyle name="Normal 2 19 12 4 2 2" xfId="1825" xr:uid="{00000000-0005-0000-0000-000021070000}"/>
    <cellStyle name="Normal 2 19 12 4 2 3" xfId="1826" xr:uid="{00000000-0005-0000-0000-000022070000}"/>
    <cellStyle name="Normal 2 19 12 4 3" xfId="1827" xr:uid="{00000000-0005-0000-0000-000023070000}"/>
    <cellStyle name="Normal 2 19 12 4 4" xfId="1828" xr:uid="{00000000-0005-0000-0000-000024070000}"/>
    <cellStyle name="Normal 2 19 12 5" xfId="1829" xr:uid="{00000000-0005-0000-0000-000025070000}"/>
    <cellStyle name="Normal 2 19 12 5 2" xfId="1830" xr:uid="{00000000-0005-0000-0000-000026070000}"/>
    <cellStyle name="Normal 2 19 12 5 2 2" xfId="1831" xr:uid="{00000000-0005-0000-0000-000027070000}"/>
    <cellStyle name="Normal 2 19 12 5 2 3" xfId="1832" xr:uid="{00000000-0005-0000-0000-000028070000}"/>
    <cellStyle name="Normal 2 19 12 5 3" xfId="1833" xr:uid="{00000000-0005-0000-0000-000029070000}"/>
    <cellStyle name="Normal 2 19 12 5 4" xfId="1834" xr:uid="{00000000-0005-0000-0000-00002A070000}"/>
    <cellStyle name="Normal 2 19 12 6" xfId="1835" xr:uid="{00000000-0005-0000-0000-00002B070000}"/>
    <cellStyle name="Normal 2 19 12 6 2" xfId="1836" xr:uid="{00000000-0005-0000-0000-00002C070000}"/>
    <cellStyle name="Normal 2 19 12 6 3" xfId="1837" xr:uid="{00000000-0005-0000-0000-00002D070000}"/>
    <cellStyle name="Normal 2 19 12 7" xfId="1838" xr:uid="{00000000-0005-0000-0000-00002E070000}"/>
    <cellStyle name="Normal 2 19 12 8" xfId="1839" xr:uid="{00000000-0005-0000-0000-00002F070000}"/>
    <cellStyle name="Normal 2 19 13" xfId="1840" xr:uid="{00000000-0005-0000-0000-000030070000}"/>
    <cellStyle name="Normal 2 19 13 2" xfId="1841" xr:uid="{00000000-0005-0000-0000-000031070000}"/>
    <cellStyle name="Normal 2 19 13 2 2" xfId="1842" xr:uid="{00000000-0005-0000-0000-000032070000}"/>
    <cellStyle name="Normal 2 19 13 2 2 2" xfId="1843" xr:uid="{00000000-0005-0000-0000-000033070000}"/>
    <cellStyle name="Normal 2 19 13 2 2 2 2" xfId="1844" xr:uid="{00000000-0005-0000-0000-000034070000}"/>
    <cellStyle name="Normal 2 19 13 2 2 2 3" xfId="1845" xr:uid="{00000000-0005-0000-0000-000035070000}"/>
    <cellStyle name="Normal 2 19 13 2 2 3" xfId="1846" xr:uid="{00000000-0005-0000-0000-000036070000}"/>
    <cellStyle name="Normal 2 19 13 2 2 4" xfId="1847" xr:uid="{00000000-0005-0000-0000-000037070000}"/>
    <cellStyle name="Normal 2 19 13 2 3" xfId="1848" xr:uid="{00000000-0005-0000-0000-000038070000}"/>
    <cellStyle name="Normal 2 19 13 2 3 2" xfId="1849" xr:uid="{00000000-0005-0000-0000-000039070000}"/>
    <cellStyle name="Normal 2 19 13 2 3 2 2" xfId="1850" xr:uid="{00000000-0005-0000-0000-00003A070000}"/>
    <cellStyle name="Normal 2 19 13 2 3 2 3" xfId="1851" xr:uid="{00000000-0005-0000-0000-00003B070000}"/>
    <cellStyle name="Normal 2 19 13 2 3 3" xfId="1852" xr:uid="{00000000-0005-0000-0000-00003C070000}"/>
    <cellStyle name="Normal 2 19 13 2 3 4" xfId="1853" xr:uid="{00000000-0005-0000-0000-00003D070000}"/>
    <cellStyle name="Normal 2 19 13 2 4" xfId="1854" xr:uid="{00000000-0005-0000-0000-00003E070000}"/>
    <cellStyle name="Normal 2 19 13 2 4 2" xfId="1855" xr:uid="{00000000-0005-0000-0000-00003F070000}"/>
    <cellStyle name="Normal 2 19 13 2 4 3" xfId="1856" xr:uid="{00000000-0005-0000-0000-000040070000}"/>
    <cellStyle name="Normal 2 19 13 2 5" xfId="1857" xr:uid="{00000000-0005-0000-0000-000041070000}"/>
    <cellStyle name="Normal 2 19 13 2 6" xfId="1858" xr:uid="{00000000-0005-0000-0000-000042070000}"/>
    <cellStyle name="Normal 2 19 13 3" xfId="1859" xr:uid="{00000000-0005-0000-0000-000043070000}"/>
    <cellStyle name="Normal 2 19 13 3 2" xfId="1860" xr:uid="{00000000-0005-0000-0000-000044070000}"/>
    <cellStyle name="Normal 2 19 13 3 2 2" xfId="1861" xr:uid="{00000000-0005-0000-0000-000045070000}"/>
    <cellStyle name="Normal 2 19 13 3 2 2 2" xfId="1862" xr:uid="{00000000-0005-0000-0000-000046070000}"/>
    <cellStyle name="Normal 2 19 13 3 2 2 3" xfId="1863" xr:uid="{00000000-0005-0000-0000-000047070000}"/>
    <cellStyle name="Normal 2 19 13 3 2 3" xfId="1864" xr:uid="{00000000-0005-0000-0000-000048070000}"/>
    <cellStyle name="Normal 2 19 13 3 2 4" xfId="1865" xr:uid="{00000000-0005-0000-0000-000049070000}"/>
    <cellStyle name="Normal 2 19 13 3 3" xfId="1866" xr:uid="{00000000-0005-0000-0000-00004A070000}"/>
    <cellStyle name="Normal 2 19 13 3 3 2" xfId="1867" xr:uid="{00000000-0005-0000-0000-00004B070000}"/>
    <cellStyle name="Normal 2 19 13 3 3 2 2" xfId="1868" xr:uid="{00000000-0005-0000-0000-00004C070000}"/>
    <cellStyle name="Normal 2 19 13 3 3 2 3" xfId="1869" xr:uid="{00000000-0005-0000-0000-00004D070000}"/>
    <cellStyle name="Normal 2 19 13 3 3 3" xfId="1870" xr:uid="{00000000-0005-0000-0000-00004E070000}"/>
    <cellStyle name="Normal 2 19 13 3 3 4" xfId="1871" xr:uid="{00000000-0005-0000-0000-00004F070000}"/>
    <cellStyle name="Normal 2 19 13 3 4" xfId="1872" xr:uid="{00000000-0005-0000-0000-000050070000}"/>
    <cellStyle name="Normal 2 19 13 3 4 2" xfId="1873" xr:uid="{00000000-0005-0000-0000-000051070000}"/>
    <cellStyle name="Normal 2 19 13 3 4 3" xfId="1874" xr:uid="{00000000-0005-0000-0000-000052070000}"/>
    <cellStyle name="Normal 2 19 13 3 5" xfId="1875" xr:uid="{00000000-0005-0000-0000-000053070000}"/>
    <cellStyle name="Normal 2 19 13 3 6" xfId="1876" xr:uid="{00000000-0005-0000-0000-000054070000}"/>
    <cellStyle name="Normal 2 19 13 4" xfId="1877" xr:uid="{00000000-0005-0000-0000-000055070000}"/>
    <cellStyle name="Normal 2 19 13 4 2" xfId="1878" xr:uid="{00000000-0005-0000-0000-000056070000}"/>
    <cellStyle name="Normal 2 19 13 4 2 2" xfId="1879" xr:uid="{00000000-0005-0000-0000-000057070000}"/>
    <cellStyle name="Normal 2 19 13 4 2 3" xfId="1880" xr:uid="{00000000-0005-0000-0000-000058070000}"/>
    <cellStyle name="Normal 2 19 13 4 3" xfId="1881" xr:uid="{00000000-0005-0000-0000-000059070000}"/>
    <cellStyle name="Normal 2 19 13 4 4" xfId="1882" xr:uid="{00000000-0005-0000-0000-00005A070000}"/>
    <cellStyle name="Normal 2 19 13 5" xfId="1883" xr:uid="{00000000-0005-0000-0000-00005B070000}"/>
    <cellStyle name="Normal 2 19 13 5 2" xfId="1884" xr:uid="{00000000-0005-0000-0000-00005C070000}"/>
    <cellStyle name="Normal 2 19 13 5 2 2" xfId="1885" xr:uid="{00000000-0005-0000-0000-00005D070000}"/>
    <cellStyle name="Normal 2 19 13 5 2 3" xfId="1886" xr:uid="{00000000-0005-0000-0000-00005E070000}"/>
    <cellStyle name="Normal 2 19 13 5 3" xfId="1887" xr:uid="{00000000-0005-0000-0000-00005F070000}"/>
    <cellStyle name="Normal 2 19 13 5 4" xfId="1888" xr:uid="{00000000-0005-0000-0000-000060070000}"/>
    <cellStyle name="Normal 2 19 13 6" xfId="1889" xr:uid="{00000000-0005-0000-0000-000061070000}"/>
    <cellStyle name="Normal 2 19 13 6 2" xfId="1890" xr:uid="{00000000-0005-0000-0000-000062070000}"/>
    <cellStyle name="Normal 2 19 13 6 3" xfId="1891" xr:uid="{00000000-0005-0000-0000-000063070000}"/>
    <cellStyle name="Normal 2 19 13 7" xfId="1892" xr:uid="{00000000-0005-0000-0000-000064070000}"/>
    <cellStyle name="Normal 2 19 13 8" xfId="1893" xr:uid="{00000000-0005-0000-0000-000065070000}"/>
    <cellStyle name="Normal 2 19 14" xfId="1894" xr:uid="{00000000-0005-0000-0000-000066070000}"/>
    <cellStyle name="Normal 2 19 14 2" xfId="1895" xr:uid="{00000000-0005-0000-0000-000067070000}"/>
    <cellStyle name="Normal 2 19 14 2 2" xfId="1896" xr:uid="{00000000-0005-0000-0000-000068070000}"/>
    <cellStyle name="Normal 2 19 14 2 2 2" xfId="1897" xr:uid="{00000000-0005-0000-0000-000069070000}"/>
    <cellStyle name="Normal 2 19 14 2 2 2 2" xfId="1898" xr:uid="{00000000-0005-0000-0000-00006A070000}"/>
    <cellStyle name="Normal 2 19 14 2 2 2 3" xfId="1899" xr:uid="{00000000-0005-0000-0000-00006B070000}"/>
    <cellStyle name="Normal 2 19 14 2 2 3" xfId="1900" xr:uid="{00000000-0005-0000-0000-00006C070000}"/>
    <cellStyle name="Normal 2 19 14 2 2 4" xfId="1901" xr:uid="{00000000-0005-0000-0000-00006D070000}"/>
    <cellStyle name="Normal 2 19 14 2 3" xfId="1902" xr:uid="{00000000-0005-0000-0000-00006E070000}"/>
    <cellStyle name="Normal 2 19 14 2 3 2" xfId="1903" xr:uid="{00000000-0005-0000-0000-00006F070000}"/>
    <cellStyle name="Normal 2 19 14 2 3 2 2" xfId="1904" xr:uid="{00000000-0005-0000-0000-000070070000}"/>
    <cellStyle name="Normal 2 19 14 2 3 2 3" xfId="1905" xr:uid="{00000000-0005-0000-0000-000071070000}"/>
    <cellStyle name="Normal 2 19 14 2 3 3" xfId="1906" xr:uid="{00000000-0005-0000-0000-000072070000}"/>
    <cellStyle name="Normal 2 19 14 2 3 4" xfId="1907" xr:uid="{00000000-0005-0000-0000-000073070000}"/>
    <cellStyle name="Normal 2 19 14 2 4" xfId="1908" xr:uid="{00000000-0005-0000-0000-000074070000}"/>
    <cellStyle name="Normal 2 19 14 2 4 2" xfId="1909" xr:uid="{00000000-0005-0000-0000-000075070000}"/>
    <cellStyle name="Normal 2 19 14 2 4 3" xfId="1910" xr:uid="{00000000-0005-0000-0000-000076070000}"/>
    <cellStyle name="Normal 2 19 14 2 5" xfId="1911" xr:uid="{00000000-0005-0000-0000-000077070000}"/>
    <cellStyle name="Normal 2 19 14 2 6" xfId="1912" xr:uid="{00000000-0005-0000-0000-000078070000}"/>
    <cellStyle name="Normal 2 19 14 3" xfId="1913" xr:uid="{00000000-0005-0000-0000-000079070000}"/>
    <cellStyle name="Normal 2 19 14 3 2" xfId="1914" xr:uid="{00000000-0005-0000-0000-00007A070000}"/>
    <cellStyle name="Normal 2 19 14 3 2 2" xfId="1915" xr:uid="{00000000-0005-0000-0000-00007B070000}"/>
    <cellStyle name="Normal 2 19 14 3 2 2 2" xfId="1916" xr:uid="{00000000-0005-0000-0000-00007C070000}"/>
    <cellStyle name="Normal 2 19 14 3 2 2 3" xfId="1917" xr:uid="{00000000-0005-0000-0000-00007D070000}"/>
    <cellStyle name="Normal 2 19 14 3 2 3" xfId="1918" xr:uid="{00000000-0005-0000-0000-00007E070000}"/>
    <cellStyle name="Normal 2 19 14 3 2 4" xfId="1919" xr:uid="{00000000-0005-0000-0000-00007F070000}"/>
    <cellStyle name="Normal 2 19 14 3 3" xfId="1920" xr:uid="{00000000-0005-0000-0000-000080070000}"/>
    <cellStyle name="Normal 2 19 14 3 3 2" xfId="1921" xr:uid="{00000000-0005-0000-0000-000081070000}"/>
    <cellStyle name="Normal 2 19 14 3 3 2 2" xfId="1922" xr:uid="{00000000-0005-0000-0000-000082070000}"/>
    <cellStyle name="Normal 2 19 14 3 3 2 3" xfId="1923" xr:uid="{00000000-0005-0000-0000-000083070000}"/>
    <cellStyle name="Normal 2 19 14 3 3 3" xfId="1924" xr:uid="{00000000-0005-0000-0000-000084070000}"/>
    <cellStyle name="Normal 2 19 14 3 3 4" xfId="1925" xr:uid="{00000000-0005-0000-0000-000085070000}"/>
    <cellStyle name="Normal 2 19 14 3 4" xfId="1926" xr:uid="{00000000-0005-0000-0000-000086070000}"/>
    <cellStyle name="Normal 2 19 14 3 4 2" xfId="1927" xr:uid="{00000000-0005-0000-0000-000087070000}"/>
    <cellStyle name="Normal 2 19 14 3 4 3" xfId="1928" xr:uid="{00000000-0005-0000-0000-000088070000}"/>
    <cellStyle name="Normal 2 19 14 3 5" xfId="1929" xr:uid="{00000000-0005-0000-0000-000089070000}"/>
    <cellStyle name="Normal 2 19 14 3 6" xfId="1930" xr:uid="{00000000-0005-0000-0000-00008A070000}"/>
    <cellStyle name="Normal 2 19 14 4" xfId="1931" xr:uid="{00000000-0005-0000-0000-00008B070000}"/>
    <cellStyle name="Normal 2 19 14 4 2" xfId="1932" xr:uid="{00000000-0005-0000-0000-00008C070000}"/>
    <cellStyle name="Normal 2 19 14 4 2 2" xfId="1933" xr:uid="{00000000-0005-0000-0000-00008D070000}"/>
    <cellStyle name="Normal 2 19 14 4 2 3" xfId="1934" xr:uid="{00000000-0005-0000-0000-00008E070000}"/>
    <cellStyle name="Normal 2 19 14 4 3" xfId="1935" xr:uid="{00000000-0005-0000-0000-00008F070000}"/>
    <cellStyle name="Normal 2 19 14 4 4" xfId="1936" xr:uid="{00000000-0005-0000-0000-000090070000}"/>
    <cellStyle name="Normal 2 19 14 5" xfId="1937" xr:uid="{00000000-0005-0000-0000-000091070000}"/>
    <cellStyle name="Normal 2 19 14 5 2" xfId="1938" xr:uid="{00000000-0005-0000-0000-000092070000}"/>
    <cellStyle name="Normal 2 19 14 5 2 2" xfId="1939" xr:uid="{00000000-0005-0000-0000-000093070000}"/>
    <cellStyle name="Normal 2 19 14 5 2 3" xfId="1940" xr:uid="{00000000-0005-0000-0000-000094070000}"/>
    <cellStyle name="Normal 2 19 14 5 3" xfId="1941" xr:uid="{00000000-0005-0000-0000-000095070000}"/>
    <cellStyle name="Normal 2 19 14 5 4" xfId="1942" xr:uid="{00000000-0005-0000-0000-000096070000}"/>
    <cellStyle name="Normal 2 19 14 6" xfId="1943" xr:uid="{00000000-0005-0000-0000-000097070000}"/>
    <cellStyle name="Normal 2 19 14 6 2" xfId="1944" xr:uid="{00000000-0005-0000-0000-000098070000}"/>
    <cellStyle name="Normal 2 19 14 6 3" xfId="1945" xr:uid="{00000000-0005-0000-0000-000099070000}"/>
    <cellStyle name="Normal 2 19 14 7" xfId="1946" xr:uid="{00000000-0005-0000-0000-00009A070000}"/>
    <cellStyle name="Normal 2 19 14 8" xfId="1947" xr:uid="{00000000-0005-0000-0000-00009B070000}"/>
    <cellStyle name="Normal 2 19 15" xfId="1948" xr:uid="{00000000-0005-0000-0000-00009C070000}"/>
    <cellStyle name="Normal 2 19 15 2" xfId="1949" xr:uid="{00000000-0005-0000-0000-00009D070000}"/>
    <cellStyle name="Normal 2 19 15 2 2" xfId="1950" xr:uid="{00000000-0005-0000-0000-00009E070000}"/>
    <cellStyle name="Normal 2 19 15 2 2 2" xfId="1951" xr:uid="{00000000-0005-0000-0000-00009F070000}"/>
    <cellStyle name="Normal 2 19 15 2 2 2 2" xfId="1952" xr:uid="{00000000-0005-0000-0000-0000A0070000}"/>
    <cellStyle name="Normal 2 19 15 2 2 2 3" xfId="1953" xr:uid="{00000000-0005-0000-0000-0000A1070000}"/>
    <cellStyle name="Normal 2 19 15 2 2 3" xfId="1954" xr:uid="{00000000-0005-0000-0000-0000A2070000}"/>
    <cellStyle name="Normal 2 19 15 2 2 4" xfId="1955" xr:uid="{00000000-0005-0000-0000-0000A3070000}"/>
    <cellStyle name="Normal 2 19 15 2 3" xfId="1956" xr:uid="{00000000-0005-0000-0000-0000A4070000}"/>
    <cellStyle name="Normal 2 19 15 2 3 2" xfId="1957" xr:uid="{00000000-0005-0000-0000-0000A5070000}"/>
    <cellStyle name="Normal 2 19 15 2 3 2 2" xfId="1958" xr:uid="{00000000-0005-0000-0000-0000A6070000}"/>
    <cellStyle name="Normal 2 19 15 2 3 2 3" xfId="1959" xr:uid="{00000000-0005-0000-0000-0000A7070000}"/>
    <cellStyle name="Normal 2 19 15 2 3 3" xfId="1960" xr:uid="{00000000-0005-0000-0000-0000A8070000}"/>
    <cellStyle name="Normal 2 19 15 2 3 4" xfId="1961" xr:uid="{00000000-0005-0000-0000-0000A9070000}"/>
    <cellStyle name="Normal 2 19 15 2 4" xfId="1962" xr:uid="{00000000-0005-0000-0000-0000AA070000}"/>
    <cellStyle name="Normal 2 19 15 2 4 2" xfId="1963" xr:uid="{00000000-0005-0000-0000-0000AB070000}"/>
    <cellStyle name="Normal 2 19 15 2 4 3" xfId="1964" xr:uid="{00000000-0005-0000-0000-0000AC070000}"/>
    <cellStyle name="Normal 2 19 15 2 5" xfId="1965" xr:uid="{00000000-0005-0000-0000-0000AD070000}"/>
    <cellStyle name="Normal 2 19 15 2 6" xfId="1966" xr:uid="{00000000-0005-0000-0000-0000AE070000}"/>
    <cellStyle name="Normal 2 19 15 3" xfId="1967" xr:uid="{00000000-0005-0000-0000-0000AF070000}"/>
    <cellStyle name="Normal 2 19 15 3 2" xfId="1968" xr:uid="{00000000-0005-0000-0000-0000B0070000}"/>
    <cellStyle name="Normal 2 19 15 3 2 2" xfId="1969" xr:uid="{00000000-0005-0000-0000-0000B1070000}"/>
    <cellStyle name="Normal 2 19 15 3 2 2 2" xfId="1970" xr:uid="{00000000-0005-0000-0000-0000B2070000}"/>
    <cellStyle name="Normal 2 19 15 3 2 2 3" xfId="1971" xr:uid="{00000000-0005-0000-0000-0000B3070000}"/>
    <cellStyle name="Normal 2 19 15 3 2 3" xfId="1972" xr:uid="{00000000-0005-0000-0000-0000B4070000}"/>
    <cellStyle name="Normal 2 19 15 3 2 4" xfId="1973" xr:uid="{00000000-0005-0000-0000-0000B5070000}"/>
    <cellStyle name="Normal 2 19 15 3 3" xfId="1974" xr:uid="{00000000-0005-0000-0000-0000B6070000}"/>
    <cellStyle name="Normal 2 19 15 3 3 2" xfId="1975" xr:uid="{00000000-0005-0000-0000-0000B7070000}"/>
    <cellStyle name="Normal 2 19 15 3 3 2 2" xfId="1976" xr:uid="{00000000-0005-0000-0000-0000B8070000}"/>
    <cellStyle name="Normal 2 19 15 3 3 2 3" xfId="1977" xr:uid="{00000000-0005-0000-0000-0000B9070000}"/>
    <cellStyle name="Normal 2 19 15 3 3 3" xfId="1978" xr:uid="{00000000-0005-0000-0000-0000BA070000}"/>
    <cellStyle name="Normal 2 19 15 3 3 4" xfId="1979" xr:uid="{00000000-0005-0000-0000-0000BB070000}"/>
    <cellStyle name="Normal 2 19 15 3 4" xfId="1980" xr:uid="{00000000-0005-0000-0000-0000BC070000}"/>
    <cellStyle name="Normal 2 19 15 3 4 2" xfId="1981" xr:uid="{00000000-0005-0000-0000-0000BD070000}"/>
    <cellStyle name="Normal 2 19 15 3 4 3" xfId="1982" xr:uid="{00000000-0005-0000-0000-0000BE070000}"/>
    <cellStyle name="Normal 2 19 15 3 5" xfId="1983" xr:uid="{00000000-0005-0000-0000-0000BF070000}"/>
    <cellStyle name="Normal 2 19 15 3 6" xfId="1984" xr:uid="{00000000-0005-0000-0000-0000C0070000}"/>
    <cellStyle name="Normal 2 19 15 4" xfId="1985" xr:uid="{00000000-0005-0000-0000-0000C1070000}"/>
    <cellStyle name="Normal 2 19 15 4 2" xfId="1986" xr:uid="{00000000-0005-0000-0000-0000C2070000}"/>
    <cellStyle name="Normal 2 19 15 4 2 2" xfId="1987" xr:uid="{00000000-0005-0000-0000-0000C3070000}"/>
    <cellStyle name="Normal 2 19 15 4 2 3" xfId="1988" xr:uid="{00000000-0005-0000-0000-0000C4070000}"/>
    <cellStyle name="Normal 2 19 15 4 3" xfId="1989" xr:uid="{00000000-0005-0000-0000-0000C5070000}"/>
    <cellStyle name="Normal 2 19 15 4 4" xfId="1990" xr:uid="{00000000-0005-0000-0000-0000C6070000}"/>
    <cellStyle name="Normal 2 19 15 5" xfId="1991" xr:uid="{00000000-0005-0000-0000-0000C7070000}"/>
    <cellStyle name="Normal 2 19 15 5 2" xfId="1992" xr:uid="{00000000-0005-0000-0000-0000C8070000}"/>
    <cellStyle name="Normal 2 19 15 5 2 2" xfId="1993" xr:uid="{00000000-0005-0000-0000-0000C9070000}"/>
    <cellStyle name="Normal 2 19 15 5 2 3" xfId="1994" xr:uid="{00000000-0005-0000-0000-0000CA070000}"/>
    <cellStyle name="Normal 2 19 15 5 3" xfId="1995" xr:uid="{00000000-0005-0000-0000-0000CB070000}"/>
    <cellStyle name="Normal 2 19 15 5 4" xfId="1996" xr:uid="{00000000-0005-0000-0000-0000CC070000}"/>
    <cellStyle name="Normal 2 19 15 6" xfId="1997" xr:uid="{00000000-0005-0000-0000-0000CD070000}"/>
    <cellStyle name="Normal 2 19 15 6 2" xfId="1998" xr:uid="{00000000-0005-0000-0000-0000CE070000}"/>
    <cellStyle name="Normal 2 19 15 6 3" xfId="1999" xr:uid="{00000000-0005-0000-0000-0000CF070000}"/>
    <cellStyle name="Normal 2 19 15 7" xfId="2000" xr:uid="{00000000-0005-0000-0000-0000D0070000}"/>
    <cellStyle name="Normal 2 19 15 8" xfId="2001" xr:uid="{00000000-0005-0000-0000-0000D1070000}"/>
    <cellStyle name="Normal 2 19 16" xfId="2002" xr:uid="{00000000-0005-0000-0000-0000D2070000}"/>
    <cellStyle name="Normal 2 19 16 2" xfId="2003" xr:uid="{00000000-0005-0000-0000-0000D3070000}"/>
    <cellStyle name="Normal 2 19 16 2 2" xfId="2004" xr:uid="{00000000-0005-0000-0000-0000D4070000}"/>
    <cellStyle name="Normal 2 19 16 2 2 2" xfId="2005" xr:uid="{00000000-0005-0000-0000-0000D5070000}"/>
    <cellStyle name="Normal 2 19 16 2 2 3" xfId="2006" xr:uid="{00000000-0005-0000-0000-0000D6070000}"/>
    <cellStyle name="Normal 2 19 16 2 3" xfId="2007" xr:uid="{00000000-0005-0000-0000-0000D7070000}"/>
    <cellStyle name="Normal 2 19 16 2 4" xfId="2008" xr:uid="{00000000-0005-0000-0000-0000D8070000}"/>
    <cellStyle name="Normal 2 19 16 3" xfId="2009" xr:uid="{00000000-0005-0000-0000-0000D9070000}"/>
    <cellStyle name="Normal 2 19 16 3 2" xfId="2010" xr:uid="{00000000-0005-0000-0000-0000DA070000}"/>
    <cellStyle name="Normal 2 19 16 3 2 2" xfId="2011" xr:uid="{00000000-0005-0000-0000-0000DB070000}"/>
    <cellStyle name="Normal 2 19 16 3 2 3" xfId="2012" xr:uid="{00000000-0005-0000-0000-0000DC070000}"/>
    <cellStyle name="Normal 2 19 16 3 3" xfId="2013" xr:uid="{00000000-0005-0000-0000-0000DD070000}"/>
    <cellStyle name="Normal 2 19 16 3 4" xfId="2014" xr:uid="{00000000-0005-0000-0000-0000DE070000}"/>
    <cellStyle name="Normal 2 19 16 4" xfId="2015" xr:uid="{00000000-0005-0000-0000-0000DF070000}"/>
    <cellStyle name="Normal 2 19 16 4 2" xfId="2016" xr:uid="{00000000-0005-0000-0000-0000E0070000}"/>
    <cellStyle name="Normal 2 19 16 4 3" xfId="2017" xr:uid="{00000000-0005-0000-0000-0000E1070000}"/>
    <cellStyle name="Normal 2 19 16 5" xfId="2018" xr:uid="{00000000-0005-0000-0000-0000E2070000}"/>
    <cellStyle name="Normal 2 19 16 6" xfId="2019" xr:uid="{00000000-0005-0000-0000-0000E3070000}"/>
    <cellStyle name="Normal 2 19 17" xfId="2020" xr:uid="{00000000-0005-0000-0000-0000E4070000}"/>
    <cellStyle name="Normal 2 19 17 2" xfId="2021" xr:uid="{00000000-0005-0000-0000-0000E5070000}"/>
    <cellStyle name="Normal 2 19 17 2 2" xfId="2022" xr:uid="{00000000-0005-0000-0000-0000E6070000}"/>
    <cellStyle name="Normal 2 19 17 2 2 2" xfId="2023" xr:uid="{00000000-0005-0000-0000-0000E7070000}"/>
    <cellStyle name="Normal 2 19 17 2 2 3" xfId="2024" xr:uid="{00000000-0005-0000-0000-0000E8070000}"/>
    <cellStyle name="Normal 2 19 17 2 3" xfId="2025" xr:uid="{00000000-0005-0000-0000-0000E9070000}"/>
    <cellStyle name="Normal 2 19 17 2 4" xfId="2026" xr:uid="{00000000-0005-0000-0000-0000EA070000}"/>
    <cellStyle name="Normal 2 19 17 3" xfId="2027" xr:uid="{00000000-0005-0000-0000-0000EB070000}"/>
    <cellStyle name="Normal 2 19 17 3 2" xfId="2028" xr:uid="{00000000-0005-0000-0000-0000EC070000}"/>
    <cellStyle name="Normal 2 19 17 3 2 2" xfId="2029" xr:uid="{00000000-0005-0000-0000-0000ED070000}"/>
    <cellStyle name="Normal 2 19 17 3 2 3" xfId="2030" xr:uid="{00000000-0005-0000-0000-0000EE070000}"/>
    <cellStyle name="Normal 2 19 17 3 3" xfId="2031" xr:uid="{00000000-0005-0000-0000-0000EF070000}"/>
    <cellStyle name="Normal 2 19 17 3 4" xfId="2032" xr:uid="{00000000-0005-0000-0000-0000F0070000}"/>
    <cellStyle name="Normal 2 19 17 4" xfId="2033" xr:uid="{00000000-0005-0000-0000-0000F1070000}"/>
    <cellStyle name="Normal 2 19 17 4 2" xfId="2034" xr:uid="{00000000-0005-0000-0000-0000F2070000}"/>
    <cellStyle name="Normal 2 19 17 4 3" xfId="2035" xr:uid="{00000000-0005-0000-0000-0000F3070000}"/>
    <cellStyle name="Normal 2 19 17 5" xfId="2036" xr:uid="{00000000-0005-0000-0000-0000F4070000}"/>
    <cellStyle name="Normal 2 19 17 6" xfId="2037" xr:uid="{00000000-0005-0000-0000-0000F5070000}"/>
    <cellStyle name="Normal 2 19 18" xfId="2038" xr:uid="{00000000-0005-0000-0000-0000F6070000}"/>
    <cellStyle name="Normal 2 19 18 2" xfId="2039" xr:uid="{00000000-0005-0000-0000-0000F7070000}"/>
    <cellStyle name="Normal 2 19 18 2 2" xfId="2040" xr:uid="{00000000-0005-0000-0000-0000F8070000}"/>
    <cellStyle name="Normal 2 19 18 2 2 2" xfId="2041" xr:uid="{00000000-0005-0000-0000-0000F9070000}"/>
    <cellStyle name="Normal 2 19 18 2 2 3" xfId="2042" xr:uid="{00000000-0005-0000-0000-0000FA070000}"/>
    <cellStyle name="Normal 2 19 18 2 3" xfId="2043" xr:uid="{00000000-0005-0000-0000-0000FB070000}"/>
    <cellStyle name="Normal 2 19 18 2 4" xfId="2044" xr:uid="{00000000-0005-0000-0000-0000FC070000}"/>
    <cellStyle name="Normal 2 19 18 3" xfId="2045" xr:uid="{00000000-0005-0000-0000-0000FD070000}"/>
    <cellStyle name="Normal 2 19 18 3 2" xfId="2046" xr:uid="{00000000-0005-0000-0000-0000FE070000}"/>
    <cellStyle name="Normal 2 19 18 3 2 2" xfId="2047" xr:uid="{00000000-0005-0000-0000-0000FF070000}"/>
    <cellStyle name="Normal 2 19 18 3 2 3" xfId="2048" xr:uid="{00000000-0005-0000-0000-000000080000}"/>
    <cellStyle name="Normal 2 19 18 3 3" xfId="2049" xr:uid="{00000000-0005-0000-0000-000001080000}"/>
    <cellStyle name="Normal 2 19 18 3 4" xfId="2050" xr:uid="{00000000-0005-0000-0000-000002080000}"/>
    <cellStyle name="Normal 2 19 18 4" xfId="2051" xr:uid="{00000000-0005-0000-0000-000003080000}"/>
    <cellStyle name="Normal 2 19 18 4 2" xfId="2052" xr:uid="{00000000-0005-0000-0000-000004080000}"/>
    <cellStyle name="Normal 2 19 18 4 3" xfId="2053" xr:uid="{00000000-0005-0000-0000-000005080000}"/>
    <cellStyle name="Normal 2 19 18 5" xfId="2054" xr:uid="{00000000-0005-0000-0000-000006080000}"/>
    <cellStyle name="Normal 2 19 18 6" xfId="2055" xr:uid="{00000000-0005-0000-0000-000007080000}"/>
    <cellStyle name="Normal 2 19 19" xfId="2056" xr:uid="{00000000-0005-0000-0000-000008080000}"/>
    <cellStyle name="Normal 2 19 19 2" xfId="2057" xr:uid="{00000000-0005-0000-0000-000009080000}"/>
    <cellStyle name="Normal 2 19 19 2 2" xfId="2058" xr:uid="{00000000-0005-0000-0000-00000A080000}"/>
    <cellStyle name="Normal 2 19 19 2 2 2" xfId="2059" xr:uid="{00000000-0005-0000-0000-00000B080000}"/>
    <cellStyle name="Normal 2 19 19 2 2 3" xfId="2060" xr:uid="{00000000-0005-0000-0000-00000C080000}"/>
    <cellStyle name="Normal 2 19 19 2 3" xfId="2061" xr:uid="{00000000-0005-0000-0000-00000D080000}"/>
    <cellStyle name="Normal 2 19 19 2 4" xfId="2062" xr:uid="{00000000-0005-0000-0000-00000E080000}"/>
    <cellStyle name="Normal 2 19 19 3" xfId="2063" xr:uid="{00000000-0005-0000-0000-00000F080000}"/>
    <cellStyle name="Normal 2 19 19 3 2" xfId="2064" xr:uid="{00000000-0005-0000-0000-000010080000}"/>
    <cellStyle name="Normal 2 19 19 3 2 2" xfId="2065" xr:uid="{00000000-0005-0000-0000-000011080000}"/>
    <cellStyle name="Normal 2 19 19 3 2 3" xfId="2066" xr:uid="{00000000-0005-0000-0000-000012080000}"/>
    <cellStyle name="Normal 2 19 19 3 3" xfId="2067" xr:uid="{00000000-0005-0000-0000-000013080000}"/>
    <cellStyle name="Normal 2 19 19 3 4" xfId="2068" xr:uid="{00000000-0005-0000-0000-000014080000}"/>
    <cellStyle name="Normal 2 19 19 4" xfId="2069" xr:uid="{00000000-0005-0000-0000-000015080000}"/>
    <cellStyle name="Normal 2 19 19 4 2" xfId="2070" xr:uid="{00000000-0005-0000-0000-000016080000}"/>
    <cellStyle name="Normal 2 19 19 4 3" xfId="2071" xr:uid="{00000000-0005-0000-0000-000017080000}"/>
    <cellStyle name="Normal 2 19 19 5" xfId="2072" xr:uid="{00000000-0005-0000-0000-000018080000}"/>
    <cellStyle name="Normal 2 19 19 6" xfId="2073" xr:uid="{00000000-0005-0000-0000-000019080000}"/>
    <cellStyle name="Normal 2 19 2" xfId="2074" xr:uid="{00000000-0005-0000-0000-00001A080000}"/>
    <cellStyle name="Normal 2 19 2 10" xfId="2075" xr:uid="{00000000-0005-0000-0000-00001B080000}"/>
    <cellStyle name="Normal 2 19 2 10 2" xfId="2076" xr:uid="{00000000-0005-0000-0000-00001C080000}"/>
    <cellStyle name="Normal 2 19 2 10 2 2" xfId="2077" xr:uid="{00000000-0005-0000-0000-00001D080000}"/>
    <cellStyle name="Normal 2 19 2 10 2 3" xfId="2078" xr:uid="{00000000-0005-0000-0000-00001E080000}"/>
    <cellStyle name="Normal 2 19 2 10 3" xfId="2079" xr:uid="{00000000-0005-0000-0000-00001F080000}"/>
    <cellStyle name="Normal 2 19 2 10 4" xfId="2080" xr:uid="{00000000-0005-0000-0000-000020080000}"/>
    <cellStyle name="Normal 2 19 2 11" xfId="2081" xr:uid="{00000000-0005-0000-0000-000021080000}"/>
    <cellStyle name="Normal 2 19 2 11 2" xfId="2082" xr:uid="{00000000-0005-0000-0000-000022080000}"/>
    <cellStyle name="Normal 2 19 2 11 2 2" xfId="2083" xr:uid="{00000000-0005-0000-0000-000023080000}"/>
    <cellStyle name="Normal 2 19 2 11 2 3" xfId="2084" xr:uid="{00000000-0005-0000-0000-000024080000}"/>
    <cellStyle name="Normal 2 19 2 11 3" xfId="2085" xr:uid="{00000000-0005-0000-0000-000025080000}"/>
    <cellStyle name="Normal 2 19 2 11 4" xfId="2086" xr:uid="{00000000-0005-0000-0000-000026080000}"/>
    <cellStyle name="Normal 2 19 2 12" xfId="2087" xr:uid="{00000000-0005-0000-0000-000027080000}"/>
    <cellStyle name="Normal 2 19 2 12 2" xfId="2088" xr:uid="{00000000-0005-0000-0000-000028080000}"/>
    <cellStyle name="Normal 2 19 2 12 3" xfId="2089" xr:uid="{00000000-0005-0000-0000-000029080000}"/>
    <cellStyle name="Normal 2 19 2 13" xfId="2090" xr:uid="{00000000-0005-0000-0000-00002A080000}"/>
    <cellStyle name="Normal 2 19 2 14" xfId="2091" xr:uid="{00000000-0005-0000-0000-00002B080000}"/>
    <cellStyle name="Normal 2 19 2 2" xfId="2092" xr:uid="{00000000-0005-0000-0000-00002C080000}"/>
    <cellStyle name="Normal 2 19 2 2 2" xfId="2093" xr:uid="{00000000-0005-0000-0000-00002D080000}"/>
    <cellStyle name="Normal 2 19 2 2 2 2" xfId="2094" xr:uid="{00000000-0005-0000-0000-00002E080000}"/>
    <cellStyle name="Normal 2 19 2 2 2 2 2" xfId="2095" xr:uid="{00000000-0005-0000-0000-00002F080000}"/>
    <cellStyle name="Normal 2 19 2 2 2 2 3" xfId="2096" xr:uid="{00000000-0005-0000-0000-000030080000}"/>
    <cellStyle name="Normal 2 19 2 2 2 3" xfId="2097" xr:uid="{00000000-0005-0000-0000-000031080000}"/>
    <cellStyle name="Normal 2 19 2 2 2 4" xfId="2098" xr:uid="{00000000-0005-0000-0000-000032080000}"/>
    <cellStyle name="Normal 2 19 2 2 3" xfId="2099" xr:uid="{00000000-0005-0000-0000-000033080000}"/>
    <cellStyle name="Normal 2 19 2 2 3 2" xfId="2100" xr:uid="{00000000-0005-0000-0000-000034080000}"/>
    <cellStyle name="Normal 2 19 2 2 3 2 2" xfId="2101" xr:uid="{00000000-0005-0000-0000-000035080000}"/>
    <cellStyle name="Normal 2 19 2 2 3 2 3" xfId="2102" xr:uid="{00000000-0005-0000-0000-000036080000}"/>
    <cellStyle name="Normal 2 19 2 2 3 3" xfId="2103" xr:uid="{00000000-0005-0000-0000-000037080000}"/>
    <cellStyle name="Normal 2 19 2 2 3 4" xfId="2104" xr:uid="{00000000-0005-0000-0000-000038080000}"/>
    <cellStyle name="Normal 2 19 2 2 4" xfId="2105" xr:uid="{00000000-0005-0000-0000-000039080000}"/>
    <cellStyle name="Normal 2 19 2 2 4 2" xfId="2106" xr:uid="{00000000-0005-0000-0000-00003A080000}"/>
    <cellStyle name="Normal 2 19 2 2 4 3" xfId="2107" xr:uid="{00000000-0005-0000-0000-00003B080000}"/>
    <cellStyle name="Normal 2 19 2 2 5" xfId="2108" xr:uid="{00000000-0005-0000-0000-00003C080000}"/>
    <cellStyle name="Normal 2 19 2 2 6" xfId="2109" xr:uid="{00000000-0005-0000-0000-00003D080000}"/>
    <cellStyle name="Normal 2 19 2 3" xfId="2110" xr:uid="{00000000-0005-0000-0000-00003E080000}"/>
    <cellStyle name="Normal 2 19 2 3 2" xfId="2111" xr:uid="{00000000-0005-0000-0000-00003F080000}"/>
    <cellStyle name="Normal 2 19 2 3 2 2" xfId="2112" xr:uid="{00000000-0005-0000-0000-000040080000}"/>
    <cellStyle name="Normal 2 19 2 3 2 2 2" xfId="2113" xr:uid="{00000000-0005-0000-0000-000041080000}"/>
    <cellStyle name="Normal 2 19 2 3 2 2 3" xfId="2114" xr:uid="{00000000-0005-0000-0000-000042080000}"/>
    <cellStyle name="Normal 2 19 2 3 2 3" xfId="2115" xr:uid="{00000000-0005-0000-0000-000043080000}"/>
    <cellStyle name="Normal 2 19 2 3 2 4" xfId="2116" xr:uid="{00000000-0005-0000-0000-000044080000}"/>
    <cellStyle name="Normal 2 19 2 3 3" xfId="2117" xr:uid="{00000000-0005-0000-0000-000045080000}"/>
    <cellStyle name="Normal 2 19 2 3 3 2" xfId="2118" xr:uid="{00000000-0005-0000-0000-000046080000}"/>
    <cellStyle name="Normal 2 19 2 3 3 2 2" xfId="2119" xr:uid="{00000000-0005-0000-0000-000047080000}"/>
    <cellStyle name="Normal 2 19 2 3 3 2 3" xfId="2120" xr:uid="{00000000-0005-0000-0000-000048080000}"/>
    <cellStyle name="Normal 2 19 2 3 3 3" xfId="2121" xr:uid="{00000000-0005-0000-0000-000049080000}"/>
    <cellStyle name="Normal 2 19 2 3 3 4" xfId="2122" xr:uid="{00000000-0005-0000-0000-00004A080000}"/>
    <cellStyle name="Normal 2 19 2 3 4" xfId="2123" xr:uid="{00000000-0005-0000-0000-00004B080000}"/>
    <cellStyle name="Normal 2 19 2 3 4 2" xfId="2124" xr:uid="{00000000-0005-0000-0000-00004C080000}"/>
    <cellStyle name="Normal 2 19 2 3 4 3" xfId="2125" xr:uid="{00000000-0005-0000-0000-00004D080000}"/>
    <cellStyle name="Normal 2 19 2 3 5" xfId="2126" xr:uid="{00000000-0005-0000-0000-00004E080000}"/>
    <cellStyle name="Normal 2 19 2 3 6" xfId="2127" xr:uid="{00000000-0005-0000-0000-00004F080000}"/>
    <cellStyle name="Normal 2 19 2 4" xfId="2128" xr:uid="{00000000-0005-0000-0000-000050080000}"/>
    <cellStyle name="Normal 2 19 2 4 2" xfId="2129" xr:uid="{00000000-0005-0000-0000-000051080000}"/>
    <cellStyle name="Normal 2 19 2 4 2 2" xfId="2130" xr:uid="{00000000-0005-0000-0000-000052080000}"/>
    <cellStyle name="Normal 2 19 2 4 2 2 2" xfId="2131" xr:uid="{00000000-0005-0000-0000-000053080000}"/>
    <cellStyle name="Normal 2 19 2 4 2 2 3" xfId="2132" xr:uid="{00000000-0005-0000-0000-000054080000}"/>
    <cellStyle name="Normal 2 19 2 4 2 3" xfId="2133" xr:uid="{00000000-0005-0000-0000-000055080000}"/>
    <cellStyle name="Normal 2 19 2 4 2 4" xfId="2134" xr:uid="{00000000-0005-0000-0000-000056080000}"/>
    <cellStyle name="Normal 2 19 2 4 3" xfId="2135" xr:uid="{00000000-0005-0000-0000-000057080000}"/>
    <cellStyle name="Normal 2 19 2 4 3 2" xfId="2136" xr:uid="{00000000-0005-0000-0000-000058080000}"/>
    <cellStyle name="Normal 2 19 2 4 3 2 2" xfId="2137" xr:uid="{00000000-0005-0000-0000-000059080000}"/>
    <cellStyle name="Normal 2 19 2 4 3 2 3" xfId="2138" xr:uid="{00000000-0005-0000-0000-00005A080000}"/>
    <cellStyle name="Normal 2 19 2 4 3 3" xfId="2139" xr:uid="{00000000-0005-0000-0000-00005B080000}"/>
    <cellStyle name="Normal 2 19 2 4 3 4" xfId="2140" xr:uid="{00000000-0005-0000-0000-00005C080000}"/>
    <cellStyle name="Normal 2 19 2 4 4" xfId="2141" xr:uid="{00000000-0005-0000-0000-00005D080000}"/>
    <cellStyle name="Normal 2 19 2 4 4 2" xfId="2142" xr:uid="{00000000-0005-0000-0000-00005E080000}"/>
    <cellStyle name="Normal 2 19 2 4 4 3" xfId="2143" xr:uid="{00000000-0005-0000-0000-00005F080000}"/>
    <cellStyle name="Normal 2 19 2 4 5" xfId="2144" xr:uid="{00000000-0005-0000-0000-000060080000}"/>
    <cellStyle name="Normal 2 19 2 4 6" xfId="2145" xr:uid="{00000000-0005-0000-0000-000061080000}"/>
    <cellStyle name="Normal 2 19 2 5" xfId="2146" xr:uid="{00000000-0005-0000-0000-000062080000}"/>
    <cellStyle name="Normal 2 19 2 5 2" xfId="2147" xr:uid="{00000000-0005-0000-0000-000063080000}"/>
    <cellStyle name="Normal 2 19 2 5 2 2" xfId="2148" xr:uid="{00000000-0005-0000-0000-000064080000}"/>
    <cellStyle name="Normal 2 19 2 5 2 2 2" xfId="2149" xr:uid="{00000000-0005-0000-0000-000065080000}"/>
    <cellStyle name="Normal 2 19 2 5 2 2 3" xfId="2150" xr:uid="{00000000-0005-0000-0000-000066080000}"/>
    <cellStyle name="Normal 2 19 2 5 2 3" xfId="2151" xr:uid="{00000000-0005-0000-0000-000067080000}"/>
    <cellStyle name="Normal 2 19 2 5 2 4" xfId="2152" xr:uid="{00000000-0005-0000-0000-000068080000}"/>
    <cellStyle name="Normal 2 19 2 5 3" xfId="2153" xr:uid="{00000000-0005-0000-0000-000069080000}"/>
    <cellStyle name="Normal 2 19 2 5 3 2" xfId="2154" xr:uid="{00000000-0005-0000-0000-00006A080000}"/>
    <cellStyle name="Normal 2 19 2 5 3 2 2" xfId="2155" xr:uid="{00000000-0005-0000-0000-00006B080000}"/>
    <cellStyle name="Normal 2 19 2 5 3 2 3" xfId="2156" xr:uid="{00000000-0005-0000-0000-00006C080000}"/>
    <cellStyle name="Normal 2 19 2 5 3 3" xfId="2157" xr:uid="{00000000-0005-0000-0000-00006D080000}"/>
    <cellStyle name="Normal 2 19 2 5 3 4" xfId="2158" xr:uid="{00000000-0005-0000-0000-00006E080000}"/>
    <cellStyle name="Normal 2 19 2 5 4" xfId="2159" xr:uid="{00000000-0005-0000-0000-00006F080000}"/>
    <cellStyle name="Normal 2 19 2 5 4 2" xfId="2160" xr:uid="{00000000-0005-0000-0000-000070080000}"/>
    <cellStyle name="Normal 2 19 2 5 4 3" xfId="2161" xr:uid="{00000000-0005-0000-0000-000071080000}"/>
    <cellStyle name="Normal 2 19 2 5 5" xfId="2162" xr:uid="{00000000-0005-0000-0000-000072080000}"/>
    <cellStyle name="Normal 2 19 2 5 6" xfId="2163" xr:uid="{00000000-0005-0000-0000-000073080000}"/>
    <cellStyle name="Normal 2 19 2 6" xfId="2164" xr:uid="{00000000-0005-0000-0000-000074080000}"/>
    <cellStyle name="Normal 2 19 2 6 2" xfId="2165" xr:uid="{00000000-0005-0000-0000-000075080000}"/>
    <cellStyle name="Normal 2 19 2 6 2 2" xfId="2166" xr:uid="{00000000-0005-0000-0000-000076080000}"/>
    <cellStyle name="Normal 2 19 2 6 2 2 2" xfId="2167" xr:uid="{00000000-0005-0000-0000-000077080000}"/>
    <cellStyle name="Normal 2 19 2 6 2 2 3" xfId="2168" xr:uid="{00000000-0005-0000-0000-000078080000}"/>
    <cellStyle name="Normal 2 19 2 6 2 3" xfId="2169" xr:uid="{00000000-0005-0000-0000-000079080000}"/>
    <cellStyle name="Normal 2 19 2 6 2 4" xfId="2170" xr:uid="{00000000-0005-0000-0000-00007A080000}"/>
    <cellStyle name="Normal 2 19 2 6 3" xfId="2171" xr:uid="{00000000-0005-0000-0000-00007B080000}"/>
    <cellStyle name="Normal 2 19 2 6 3 2" xfId="2172" xr:uid="{00000000-0005-0000-0000-00007C080000}"/>
    <cellStyle name="Normal 2 19 2 6 3 2 2" xfId="2173" xr:uid="{00000000-0005-0000-0000-00007D080000}"/>
    <cellStyle name="Normal 2 19 2 6 3 2 3" xfId="2174" xr:uid="{00000000-0005-0000-0000-00007E080000}"/>
    <cellStyle name="Normal 2 19 2 6 3 3" xfId="2175" xr:uid="{00000000-0005-0000-0000-00007F080000}"/>
    <cellStyle name="Normal 2 19 2 6 3 4" xfId="2176" xr:uid="{00000000-0005-0000-0000-000080080000}"/>
    <cellStyle name="Normal 2 19 2 6 4" xfId="2177" xr:uid="{00000000-0005-0000-0000-000081080000}"/>
    <cellStyle name="Normal 2 19 2 6 4 2" xfId="2178" xr:uid="{00000000-0005-0000-0000-000082080000}"/>
    <cellStyle name="Normal 2 19 2 6 4 3" xfId="2179" xr:uid="{00000000-0005-0000-0000-000083080000}"/>
    <cellStyle name="Normal 2 19 2 6 5" xfId="2180" xr:uid="{00000000-0005-0000-0000-000084080000}"/>
    <cellStyle name="Normal 2 19 2 6 6" xfId="2181" xr:uid="{00000000-0005-0000-0000-000085080000}"/>
    <cellStyle name="Normal 2 19 2 7" xfId="2182" xr:uid="{00000000-0005-0000-0000-000086080000}"/>
    <cellStyle name="Normal 2 19 2 7 2" xfId="2183" xr:uid="{00000000-0005-0000-0000-000087080000}"/>
    <cellStyle name="Normal 2 19 2 7 2 2" xfId="2184" xr:uid="{00000000-0005-0000-0000-000088080000}"/>
    <cellStyle name="Normal 2 19 2 7 2 2 2" xfId="2185" xr:uid="{00000000-0005-0000-0000-000089080000}"/>
    <cellStyle name="Normal 2 19 2 7 2 2 3" xfId="2186" xr:uid="{00000000-0005-0000-0000-00008A080000}"/>
    <cellStyle name="Normal 2 19 2 7 2 3" xfId="2187" xr:uid="{00000000-0005-0000-0000-00008B080000}"/>
    <cellStyle name="Normal 2 19 2 7 2 4" xfId="2188" xr:uid="{00000000-0005-0000-0000-00008C080000}"/>
    <cellStyle name="Normal 2 19 2 7 3" xfId="2189" xr:uid="{00000000-0005-0000-0000-00008D080000}"/>
    <cellStyle name="Normal 2 19 2 7 3 2" xfId="2190" xr:uid="{00000000-0005-0000-0000-00008E080000}"/>
    <cellStyle name="Normal 2 19 2 7 3 2 2" xfId="2191" xr:uid="{00000000-0005-0000-0000-00008F080000}"/>
    <cellStyle name="Normal 2 19 2 7 3 2 3" xfId="2192" xr:uid="{00000000-0005-0000-0000-000090080000}"/>
    <cellStyle name="Normal 2 19 2 7 3 3" xfId="2193" xr:uid="{00000000-0005-0000-0000-000091080000}"/>
    <cellStyle name="Normal 2 19 2 7 3 4" xfId="2194" xr:uid="{00000000-0005-0000-0000-000092080000}"/>
    <cellStyle name="Normal 2 19 2 7 4" xfId="2195" xr:uid="{00000000-0005-0000-0000-000093080000}"/>
    <cellStyle name="Normal 2 19 2 7 4 2" xfId="2196" xr:uid="{00000000-0005-0000-0000-000094080000}"/>
    <cellStyle name="Normal 2 19 2 7 4 3" xfId="2197" xr:uid="{00000000-0005-0000-0000-000095080000}"/>
    <cellStyle name="Normal 2 19 2 7 5" xfId="2198" xr:uid="{00000000-0005-0000-0000-000096080000}"/>
    <cellStyle name="Normal 2 19 2 7 6" xfId="2199" xr:uid="{00000000-0005-0000-0000-000097080000}"/>
    <cellStyle name="Normal 2 19 2 8" xfId="2200" xr:uid="{00000000-0005-0000-0000-000098080000}"/>
    <cellStyle name="Normal 2 19 2 8 2" xfId="2201" xr:uid="{00000000-0005-0000-0000-000099080000}"/>
    <cellStyle name="Normal 2 19 2 8 2 2" xfId="2202" xr:uid="{00000000-0005-0000-0000-00009A080000}"/>
    <cellStyle name="Normal 2 19 2 8 2 2 2" xfId="2203" xr:uid="{00000000-0005-0000-0000-00009B080000}"/>
    <cellStyle name="Normal 2 19 2 8 2 2 3" xfId="2204" xr:uid="{00000000-0005-0000-0000-00009C080000}"/>
    <cellStyle name="Normal 2 19 2 8 2 3" xfId="2205" xr:uid="{00000000-0005-0000-0000-00009D080000}"/>
    <cellStyle name="Normal 2 19 2 8 2 4" xfId="2206" xr:uid="{00000000-0005-0000-0000-00009E080000}"/>
    <cellStyle name="Normal 2 19 2 8 3" xfId="2207" xr:uid="{00000000-0005-0000-0000-00009F080000}"/>
    <cellStyle name="Normal 2 19 2 8 3 2" xfId="2208" xr:uid="{00000000-0005-0000-0000-0000A0080000}"/>
    <cellStyle name="Normal 2 19 2 8 3 2 2" xfId="2209" xr:uid="{00000000-0005-0000-0000-0000A1080000}"/>
    <cellStyle name="Normal 2 19 2 8 3 2 3" xfId="2210" xr:uid="{00000000-0005-0000-0000-0000A2080000}"/>
    <cellStyle name="Normal 2 19 2 8 3 3" xfId="2211" xr:uid="{00000000-0005-0000-0000-0000A3080000}"/>
    <cellStyle name="Normal 2 19 2 8 3 4" xfId="2212" xr:uid="{00000000-0005-0000-0000-0000A4080000}"/>
    <cellStyle name="Normal 2 19 2 8 4" xfId="2213" xr:uid="{00000000-0005-0000-0000-0000A5080000}"/>
    <cellStyle name="Normal 2 19 2 8 4 2" xfId="2214" xr:uid="{00000000-0005-0000-0000-0000A6080000}"/>
    <cellStyle name="Normal 2 19 2 8 4 3" xfId="2215" xr:uid="{00000000-0005-0000-0000-0000A7080000}"/>
    <cellStyle name="Normal 2 19 2 8 5" xfId="2216" xr:uid="{00000000-0005-0000-0000-0000A8080000}"/>
    <cellStyle name="Normal 2 19 2 8 6" xfId="2217" xr:uid="{00000000-0005-0000-0000-0000A9080000}"/>
    <cellStyle name="Normal 2 19 2 9" xfId="2218" xr:uid="{00000000-0005-0000-0000-0000AA080000}"/>
    <cellStyle name="Normal 2 19 2 9 2" xfId="2219" xr:uid="{00000000-0005-0000-0000-0000AB080000}"/>
    <cellStyle name="Normal 2 19 2 9 2 2" xfId="2220" xr:uid="{00000000-0005-0000-0000-0000AC080000}"/>
    <cellStyle name="Normal 2 19 2 9 2 2 2" xfId="2221" xr:uid="{00000000-0005-0000-0000-0000AD080000}"/>
    <cellStyle name="Normal 2 19 2 9 2 2 3" xfId="2222" xr:uid="{00000000-0005-0000-0000-0000AE080000}"/>
    <cellStyle name="Normal 2 19 2 9 2 3" xfId="2223" xr:uid="{00000000-0005-0000-0000-0000AF080000}"/>
    <cellStyle name="Normal 2 19 2 9 2 4" xfId="2224" xr:uid="{00000000-0005-0000-0000-0000B0080000}"/>
    <cellStyle name="Normal 2 19 2 9 3" xfId="2225" xr:uid="{00000000-0005-0000-0000-0000B1080000}"/>
    <cellStyle name="Normal 2 19 2 9 3 2" xfId="2226" xr:uid="{00000000-0005-0000-0000-0000B2080000}"/>
    <cellStyle name="Normal 2 19 2 9 3 2 2" xfId="2227" xr:uid="{00000000-0005-0000-0000-0000B3080000}"/>
    <cellStyle name="Normal 2 19 2 9 3 2 3" xfId="2228" xr:uid="{00000000-0005-0000-0000-0000B4080000}"/>
    <cellStyle name="Normal 2 19 2 9 3 3" xfId="2229" xr:uid="{00000000-0005-0000-0000-0000B5080000}"/>
    <cellStyle name="Normal 2 19 2 9 3 4" xfId="2230" xr:uid="{00000000-0005-0000-0000-0000B6080000}"/>
    <cellStyle name="Normal 2 19 2 9 4" xfId="2231" xr:uid="{00000000-0005-0000-0000-0000B7080000}"/>
    <cellStyle name="Normal 2 19 2 9 4 2" xfId="2232" xr:uid="{00000000-0005-0000-0000-0000B8080000}"/>
    <cellStyle name="Normal 2 19 2 9 4 3" xfId="2233" xr:uid="{00000000-0005-0000-0000-0000B9080000}"/>
    <cellStyle name="Normal 2 19 2 9 5" xfId="2234" xr:uid="{00000000-0005-0000-0000-0000BA080000}"/>
    <cellStyle name="Normal 2 19 2 9 6" xfId="2235" xr:uid="{00000000-0005-0000-0000-0000BB080000}"/>
    <cellStyle name="Normal 2 19 20" xfId="2236" xr:uid="{00000000-0005-0000-0000-0000BC080000}"/>
    <cellStyle name="Normal 2 19 20 2" xfId="2237" xr:uid="{00000000-0005-0000-0000-0000BD080000}"/>
    <cellStyle name="Normal 2 19 20 2 2" xfId="2238" xr:uid="{00000000-0005-0000-0000-0000BE080000}"/>
    <cellStyle name="Normal 2 19 20 2 2 2" xfId="2239" xr:uid="{00000000-0005-0000-0000-0000BF080000}"/>
    <cellStyle name="Normal 2 19 20 2 2 3" xfId="2240" xr:uid="{00000000-0005-0000-0000-0000C0080000}"/>
    <cellStyle name="Normal 2 19 20 2 3" xfId="2241" xr:uid="{00000000-0005-0000-0000-0000C1080000}"/>
    <cellStyle name="Normal 2 19 20 2 4" xfId="2242" xr:uid="{00000000-0005-0000-0000-0000C2080000}"/>
    <cellStyle name="Normal 2 19 20 3" xfId="2243" xr:uid="{00000000-0005-0000-0000-0000C3080000}"/>
    <cellStyle name="Normal 2 19 20 3 2" xfId="2244" xr:uid="{00000000-0005-0000-0000-0000C4080000}"/>
    <cellStyle name="Normal 2 19 20 3 2 2" xfId="2245" xr:uid="{00000000-0005-0000-0000-0000C5080000}"/>
    <cellStyle name="Normal 2 19 20 3 2 3" xfId="2246" xr:uid="{00000000-0005-0000-0000-0000C6080000}"/>
    <cellStyle name="Normal 2 19 20 3 3" xfId="2247" xr:uid="{00000000-0005-0000-0000-0000C7080000}"/>
    <cellStyle name="Normal 2 19 20 3 4" xfId="2248" xr:uid="{00000000-0005-0000-0000-0000C8080000}"/>
    <cellStyle name="Normal 2 19 20 4" xfId="2249" xr:uid="{00000000-0005-0000-0000-0000C9080000}"/>
    <cellStyle name="Normal 2 19 20 4 2" xfId="2250" xr:uid="{00000000-0005-0000-0000-0000CA080000}"/>
    <cellStyle name="Normal 2 19 20 4 3" xfId="2251" xr:uid="{00000000-0005-0000-0000-0000CB080000}"/>
    <cellStyle name="Normal 2 19 20 5" xfId="2252" xr:uid="{00000000-0005-0000-0000-0000CC080000}"/>
    <cellStyle name="Normal 2 19 20 6" xfId="2253" xr:uid="{00000000-0005-0000-0000-0000CD080000}"/>
    <cellStyle name="Normal 2 19 21" xfId="2254" xr:uid="{00000000-0005-0000-0000-0000CE080000}"/>
    <cellStyle name="Normal 2 19 21 2" xfId="2255" xr:uid="{00000000-0005-0000-0000-0000CF080000}"/>
    <cellStyle name="Normal 2 19 21 2 2" xfId="2256" xr:uid="{00000000-0005-0000-0000-0000D0080000}"/>
    <cellStyle name="Normal 2 19 21 2 2 2" xfId="2257" xr:uid="{00000000-0005-0000-0000-0000D1080000}"/>
    <cellStyle name="Normal 2 19 21 2 2 3" xfId="2258" xr:uid="{00000000-0005-0000-0000-0000D2080000}"/>
    <cellStyle name="Normal 2 19 21 2 3" xfId="2259" xr:uid="{00000000-0005-0000-0000-0000D3080000}"/>
    <cellStyle name="Normal 2 19 21 2 4" xfId="2260" xr:uid="{00000000-0005-0000-0000-0000D4080000}"/>
    <cellStyle name="Normal 2 19 21 3" xfId="2261" xr:uid="{00000000-0005-0000-0000-0000D5080000}"/>
    <cellStyle name="Normal 2 19 21 3 2" xfId="2262" xr:uid="{00000000-0005-0000-0000-0000D6080000}"/>
    <cellStyle name="Normal 2 19 21 3 2 2" xfId="2263" xr:uid="{00000000-0005-0000-0000-0000D7080000}"/>
    <cellStyle name="Normal 2 19 21 3 2 3" xfId="2264" xr:uid="{00000000-0005-0000-0000-0000D8080000}"/>
    <cellStyle name="Normal 2 19 21 3 3" xfId="2265" xr:uid="{00000000-0005-0000-0000-0000D9080000}"/>
    <cellStyle name="Normal 2 19 21 3 4" xfId="2266" xr:uid="{00000000-0005-0000-0000-0000DA080000}"/>
    <cellStyle name="Normal 2 19 21 4" xfId="2267" xr:uid="{00000000-0005-0000-0000-0000DB080000}"/>
    <cellStyle name="Normal 2 19 21 4 2" xfId="2268" xr:uid="{00000000-0005-0000-0000-0000DC080000}"/>
    <cellStyle name="Normal 2 19 21 4 3" xfId="2269" xr:uid="{00000000-0005-0000-0000-0000DD080000}"/>
    <cellStyle name="Normal 2 19 21 5" xfId="2270" xr:uid="{00000000-0005-0000-0000-0000DE080000}"/>
    <cellStyle name="Normal 2 19 21 6" xfId="2271" xr:uid="{00000000-0005-0000-0000-0000DF080000}"/>
    <cellStyle name="Normal 2 19 22" xfId="2272" xr:uid="{00000000-0005-0000-0000-0000E0080000}"/>
    <cellStyle name="Normal 2 19 22 2" xfId="2273" xr:uid="{00000000-0005-0000-0000-0000E1080000}"/>
    <cellStyle name="Normal 2 19 22 2 2" xfId="2274" xr:uid="{00000000-0005-0000-0000-0000E2080000}"/>
    <cellStyle name="Normal 2 19 22 2 3" xfId="2275" xr:uid="{00000000-0005-0000-0000-0000E3080000}"/>
    <cellStyle name="Normal 2 19 22 3" xfId="2276" xr:uid="{00000000-0005-0000-0000-0000E4080000}"/>
    <cellStyle name="Normal 2 19 22 4" xfId="2277" xr:uid="{00000000-0005-0000-0000-0000E5080000}"/>
    <cellStyle name="Normal 2 19 23" xfId="2278" xr:uid="{00000000-0005-0000-0000-0000E6080000}"/>
    <cellStyle name="Normal 2 19 23 2" xfId="2279" xr:uid="{00000000-0005-0000-0000-0000E7080000}"/>
    <cellStyle name="Normal 2 19 23 2 2" xfId="2280" xr:uid="{00000000-0005-0000-0000-0000E8080000}"/>
    <cellStyle name="Normal 2 19 23 2 3" xfId="2281" xr:uid="{00000000-0005-0000-0000-0000E9080000}"/>
    <cellStyle name="Normal 2 19 23 3" xfId="2282" xr:uid="{00000000-0005-0000-0000-0000EA080000}"/>
    <cellStyle name="Normal 2 19 23 4" xfId="2283" xr:uid="{00000000-0005-0000-0000-0000EB080000}"/>
    <cellStyle name="Normal 2 19 24" xfId="2284" xr:uid="{00000000-0005-0000-0000-0000EC080000}"/>
    <cellStyle name="Normal 2 19 24 2" xfId="2285" xr:uid="{00000000-0005-0000-0000-0000ED080000}"/>
    <cellStyle name="Normal 2 19 24 3" xfId="2286" xr:uid="{00000000-0005-0000-0000-0000EE080000}"/>
    <cellStyle name="Normal 2 19 25" xfId="2287" xr:uid="{00000000-0005-0000-0000-0000EF080000}"/>
    <cellStyle name="Normal 2 19 26" xfId="2288" xr:uid="{00000000-0005-0000-0000-0000F0080000}"/>
    <cellStyle name="Normal 2 19 3" xfId="2289" xr:uid="{00000000-0005-0000-0000-0000F1080000}"/>
    <cellStyle name="Normal 2 19 3 10" xfId="2290" xr:uid="{00000000-0005-0000-0000-0000F2080000}"/>
    <cellStyle name="Normal 2 19 3 10 2" xfId="2291" xr:uid="{00000000-0005-0000-0000-0000F3080000}"/>
    <cellStyle name="Normal 2 19 3 10 2 2" xfId="2292" xr:uid="{00000000-0005-0000-0000-0000F4080000}"/>
    <cellStyle name="Normal 2 19 3 10 2 3" xfId="2293" xr:uid="{00000000-0005-0000-0000-0000F5080000}"/>
    <cellStyle name="Normal 2 19 3 10 3" xfId="2294" xr:uid="{00000000-0005-0000-0000-0000F6080000}"/>
    <cellStyle name="Normal 2 19 3 10 4" xfId="2295" xr:uid="{00000000-0005-0000-0000-0000F7080000}"/>
    <cellStyle name="Normal 2 19 3 11" xfId="2296" xr:uid="{00000000-0005-0000-0000-0000F8080000}"/>
    <cellStyle name="Normal 2 19 3 11 2" xfId="2297" xr:uid="{00000000-0005-0000-0000-0000F9080000}"/>
    <cellStyle name="Normal 2 19 3 11 3" xfId="2298" xr:uid="{00000000-0005-0000-0000-0000FA080000}"/>
    <cellStyle name="Normal 2 19 3 12" xfId="2299" xr:uid="{00000000-0005-0000-0000-0000FB080000}"/>
    <cellStyle name="Normal 2 19 3 13" xfId="2300" xr:uid="{00000000-0005-0000-0000-0000FC080000}"/>
    <cellStyle name="Normal 2 19 3 2" xfId="2301" xr:uid="{00000000-0005-0000-0000-0000FD080000}"/>
    <cellStyle name="Normal 2 19 3 2 2" xfId="2302" xr:uid="{00000000-0005-0000-0000-0000FE080000}"/>
    <cellStyle name="Normal 2 19 3 2 2 2" xfId="2303" xr:uid="{00000000-0005-0000-0000-0000FF080000}"/>
    <cellStyle name="Normal 2 19 3 2 2 2 2" xfId="2304" xr:uid="{00000000-0005-0000-0000-000000090000}"/>
    <cellStyle name="Normal 2 19 3 2 2 2 3" xfId="2305" xr:uid="{00000000-0005-0000-0000-000001090000}"/>
    <cellStyle name="Normal 2 19 3 2 2 3" xfId="2306" xr:uid="{00000000-0005-0000-0000-000002090000}"/>
    <cellStyle name="Normal 2 19 3 2 2 4" xfId="2307" xr:uid="{00000000-0005-0000-0000-000003090000}"/>
    <cellStyle name="Normal 2 19 3 2 3" xfId="2308" xr:uid="{00000000-0005-0000-0000-000004090000}"/>
    <cellStyle name="Normal 2 19 3 2 3 2" xfId="2309" xr:uid="{00000000-0005-0000-0000-000005090000}"/>
    <cellStyle name="Normal 2 19 3 2 3 2 2" xfId="2310" xr:uid="{00000000-0005-0000-0000-000006090000}"/>
    <cellStyle name="Normal 2 19 3 2 3 2 3" xfId="2311" xr:uid="{00000000-0005-0000-0000-000007090000}"/>
    <cellStyle name="Normal 2 19 3 2 3 3" xfId="2312" xr:uid="{00000000-0005-0000-0000-000008090000}"/>
    <cellStyle name="Normal 2 19 3 2 3 4" xfId="2313" xr:uid="{00000000-0005-0000-0000-000009090000}"/>
    <cellStyle name="Normal 2 19 3 2 4" xfId="2314" xr:uid="{00000000-0005-0000-0000-00000A090000}"/>
    <cellStyle name="Normal 2 19 3 2 4 2" xfId="2315" xr:uid="{00000000-0005-0000-0000-00000B090000}"/>
    <cellStyle name="Normal 2 19 3 2 4 3" xfId="2316" xr:uid="{00000000-0005-0000-0000-00000C090000}"/>
    <cellStyle name="Normal 2 19 3 2 5" xfId="2317" xr:uid="{00000000-0005-0000-0000-00000D090000}"/>
    <cellStyle name="Normal 2 19 3 2 6" xfId="2318" xr:uid="{00000000-0005-0000-0000-00000E090000}"/>
    <cellStyle name="Normal 2 19 3 3" xfId="2319" xr:uid="{00000000-0005-0000-0000-00000F090000}"/>
    <cellStyle name="Normal 2 19 3 3 2" xfId="2320" xr:uid="{00000000-0005-0000-0000-000010090000}"/>
    <cellStyle name="Normal 2 19 3 3 2 2" xfId="2321" xr:uid="{00000000-0005-0000-0000-000011090000}"/>
    <cellStyle name="Normal 2 19 3 3 2 2 2" xfId="2322" xr:uid="{00000000-0005-0000-0000-000012090000}"/>
    <cellStyle name="Normal 2 19 3 3 2 2 3" xfId="2323" xr:uid="{00000000-0005-0000-0000-000013090000}"/>
    <cellStyle name="Normal 2 19 3 3 2 3" xfId="2324" xr:uid="{00000000-0005-0000-0000-000014090000}"/>
    <cellStyle name="Normal 2 19 3 3 2 4" xfId="2325" xr:uid="{00000000-0005-0000-0000-000015090000}"/>
    <cellStyle name="Normal 2 19 3 3 3" xfId="2326" xr:uid="{00000000-0005-0000-0000-000016090000}"/>
    <cellStyle name="Normal 2 19 3 3 3 2" xfId="2327" xr:uid="{00000000-0005-0000-0000-000017090000}"/>
    <cellStyle name="Normal 2 19 3 3 3 2 2" xfId="2328" xr:uid="{00000000-0005-0000-0000-000018090000}"/>
    <cellStyle name="Normal 2 19 3 3 3 2 3" xfId="2329" xr:uid="{00000000-0005-0000-0000-000019090000}"/>
    <cellStyle name="Normal 2 19 3 3 3 3" xfId="2330" xr:uid="{00000000-0005-0000-0000-00001A090000}"/>
    <cellStyle name="Normal 2 19 3 3 3 4" xfId="2331" xr:uid="{00000000-0005-0000-0000-00001B090000}"/>
    <cellStyle name="Normal 2 19 3 3 4" xfId="2332" xr:uid="{00000000-0005-0000-0000-00001C090000}"/>
    <cellStyle name="Normal 2 19 3 3 4 2" xfId="2333" xr:uid="{00000000-0005-0000-0000-00001D090000}"/>
    <cellStyle name="Normal 2 19 3 3 4 3" xfId="2334" xr:uid="{00000000-0005-0000-0000-00001E090000}"/>
    <cellStyle name="Normal 2 19 3 3 5" xfId="2335" xr:uid="{00000000-0005-0000-0000-00001F090000}"/>
    <cellStyle name="Normal 2 19 3 3 6" xfId="2336" xr:uid="{00000000-0005-0000-0000-000020090000}"/>
    <cellStyle name="Normal 2 19 3 4" xfId="2337" xr:uid="{00000000-0005-0000-0000-000021090000}"/>
    <cellStyle name="Normal 2 19 3 4 2" xfId="2338" xr:uid="{00000000-0005-0000-0000-000022090000}"/>
    <cellStyle name="Normal 2 19 3 4 2 2" xfId="2339" xr:uid="{00000000-0005-0000-0000-000023090000}"/>
    <cellStyle name="Normal 2 19 3 4 2 2 2" xfId="2340" xr:uid="{00000000-0005-0000-0000-000024090000}"/>
    <cellStyle name="Normal 2 19 3 4 2 2 3" xfId="2341" xr:uid="{00000000-0005-0000-0000-000025090000}"/>
    <cellStyle name="Normal 2 19 3 4 2 3" xfId="2342" xr:uid="{00000000-0005-0000-0000-000026090000}"/>
    <cellStyle name="Normal 2 19 3 4 2 4" xfId="2343" xr:uid="{00000000-0005-0000-0000-000027090000}"/>
    <cellStyle name="Normal 2 19 3 4 3" xfId="2344" xr:uid="{00000000-0005-0000-0000-000028090000}"/>
    <cellStyle name="Normal 2 19 3 4 3 2" xfId="2345" xr:uid="{00000000-0005-0000-0000-000029090000}"/>
    <cellStyle name="Normal 2 19 3 4 3 2 2" xfId="2346" xr:uid="{00000000-0005-0000-0000-00002A090000}"/>
    <cellStyle name="Normal 2 19 3 4 3 2 3" xfId="2347" xr:uid="{00000000-0005-0000-0000-00002B090000}"/>
    <cellStyle name="Normal 2 19 3 4 3 3" xfId="2348" xr:uid="{00000000-0005-0000-0000-00002C090000}"/>
    <cellStyle name="Normal 2 19 3 4 3 4" xfId="2349" xr:uid="{00000000-0005-0000-0000-00002D090000}"/>
    <cellStyle name="Normal 2 19 3 4 4" xfId="2350" xr:uid="{00000000-0005-0000-0000-00002E090000}"/>
    <cellStyle name="Normal 2 19 3 4 4 2" xfId="2351" xr:uid="{00000000-0005-0000-0000-00002F090000}"/>
    <cellStyle name="Normal 2 19 3 4 4 3" xfId="2352" xr:uid="{00000000-0005-0000-0000-000030090000}"/>
    <cellStyle name="Normal 2 19 3 4 5" xfId="2353" xr:uid="{00000000-0005-0000-0000-000031090000}"/>
    <cellStyle name="Normal 2 19 3 4 6" xfId="2354" xr:uid="{00000000-0005-0000-0000-000032090000}"/>
    <cellStyle name="Normal 2 19 3 5" xfId="2355" xr:uid="{00000000-0005-0000-0000-000033090000}"/>
    <cellStyle name="Normal 2 19 3 5 2" xfId="2356" xr:uid="{00000000-0005-0000-0000-000034090000}"/>
    <cellStyle name="Normal 2 19 3 5 2 2" xfId="2357" xr:uid="{00000000-0005-0000-0000-000035090000}"/>
    <cellStyle name="Normal 2 19 3 5 2 2 2" xfId="2358" xr:uid="{00000000-0005-0000-0000-000036090000}"/>
    <cellStyle name="Normal 2 19 3 5 2 2 3" xfId="2359" xr:uid="{00000000-0005-0000-0000-000037090000}"/>
    <cellStyle name="Normal 2 19 3 5 2 3" xfId="2360" xr:uid="{00000000-0005-0000-0000-000038090000}"/>
    <cellStyle name="Normal 2 19 3 5 2 4" xfId="2361" xr:uid="{00000000-0005-0000-0000-000039090000}"/>
    <cellStyle name="Normal 2 19 3 5 3" xfId="2362" xr:uid="{00000000-0005-0000-0000-00003A090000}"/>
    <cellStyle name="Normal 2 19 3 5 3 2" xfId="2363" xr:uid="{00000000-0005-0000-0000-00003B090000}"/>
    <cellStyle name="Normal 2 19 3 5 3 2 2" xfId="2364" xr:uid="{00000000-0005-0000-0000-00003C090000}"/>
    <cellStyle name="Normal 2 19 3 5 3 2 3" xfId="2365" xr:uid="{00000000-0005-0000-0000-00003D090000}"/>
    <cellStyle name="Normal 2 19 3 5 3 3" xfId="2366" xr:uid="{00000000-0005-0000-0000-00003E090000}"/>
    <cellStyle name="Normal 2 19 3 5 3 4" xfId="2367" xr:uid="{00000000-0005-0000-0000-00003F090000}"/>
    <cellStyle name="Normal 2 19 3 5 4" xfId="2368" xr:uid="{00000000-0005-0000-0000-000040090000}"/>
    <cellStyle name="Normal 2 19 3 5 4 2" xfId="2369" xr:uid="{00000000-0005-0000-0000-000041090000}"/>
    <cellStyle name="Normal 2 19 3 5 4 3" xfId="2370" xr:uid="{00000000-0005-0000-0000-000042090000}"/>
    <cellStyle name="Normal 2 19 3 5 5" xfId="2371" xr:uid="{00000000-0005-0000-0000-000043090000}"/>
    <cellStyle name="Normal 2 19 3 5 6" xfId="2372" xr:uid="{00000000-0005-0000-0000-000044090000}"/>
    <cellStyle name="Normal 2 19 3 6" xfId="2373" xr:uid="{00000000-0005-0000-0000-000045090000}"/>
    <cellStyle name="Normal 2 19 3 6 2" xfId="2374" xr:uid="{00000000-0005-0000-0000-000046090000}"/>
    <cellStyle name="Normal 2 19 3 6 2 2" xfId="2375" xr:uid="{00000000-0005-0000-0000-000047090000}"/>
    <cellStyle name="Normal 2 19 3 6 2 2 2" xfId="2376" xr:uid="{00000000-0005-0000-0000-000048090000}"/>
    <cellStyle name="Normal 2 19 3 6 2 2 3" xfId="2377" xr:uid="{00000000-0005-0000-0000-000049090000}"/>
    <cellStyle name="Normal 2 19 3 6 2 3" xfId="2378" xr:uid="{00000000-0005-0000-0000-00004A090000}"/>
    <cellStyle name="Normal 2 19 3 6 2 4" xfId="2379" xr:uid="{00000000-0005-0000-0000-00004B090000}"/>
    <cellStyle name="Normal 2 19 3 6 3" xfId="2380" xr:uid="{00000000-0005-0000-0000-00004C090000}"/>
    <cellStyle name="Normal 2 19 3 6 3 2" xfId="2381" xr:uid="{00000000-0005-0000-0000-00004D090000}"/>
    <cellStyle name="Normal 2 19 3 6 3 2 2" xfId="2382" xr:uid="{00000000-0005-0000-0000-00004E090000}"/>
    <cellStyle name="Normal 2 19 3 6 3 2 3" xfId="2383" xr:uid="{00000000-0005-0000-0000-00004F090000}"/>
    <cellStyle name="Normal 2 19 3 6 3 3" xfId="2384" xr:uid="{00000000-0005-0000-0000-000050090000}"/>
    <cellStyle name="Normal 2 19 3 6 3 4" xfId="2385" xr:uid="{00000000-0005-0000-0000-000051090000}"/>
    <cellStyle name="Normal 2 19 3 6 4" xfId="2386" xr:uid="{00000000-0005-0000-0000-000052090000}"/>
    <cellStyle name="Normal 2 19 3 6 4 2" xfId="2387" xr:uid="{00000000-0005-0000-0000-000053090000}"/>
    <cellStyle name="Normal 2 19 3 6 4 3" xfId="2388" xr:uid="{00000000-0005-0000-0000-000054090000}"/>
    <cellStyle name="Normal 2 19 3 6 5" xfId="2389" xr:uid="{00000000-0005-0000-0000-000055090000}"/>
    <cellStyle name="Normal 2 19 3 6 6" xfId="2390" xr:uid="{00000000-0005-0000-0000-000056090000}"/>
    <cellStyle name="Normal 2 19 3 7" xfId="2391" xr:uid="{00000000-0005-0000-0000-000057090000}"/>
    <cellStyle name="Normal 2 19 3 7 2" xfId="2392" xr:uid="{00000000-0005-0000-0000-000058090000}"/>
    <cellStyle name="Normal 2 19 3 7 2 2" xfId="2393" xr:uid="{00000000-0005-0000-0000-000059090000}"/>
    <cellStyle name="Normal 2 19 3 7 2 2 2" xfId="2394" xr:uid="{00000000-0005-0000-0000-00005A090000}"/>
    <cellStyle name="Normal 2 19 3 7 2 2 3" xfId="2395" xr:uid="{00000000-0005-0000-0000-00005B090000}"/>
    <cellStyle name="Normal 2 19 3 7 2 3" xfId="2396" xr:uid="{00000000-0005-0000-0000-00005C090000}"/>
    <cellStyle name="Normal 2 19 3 7 2 4" xfId="2397" xr:uid="{00000000-0005-0000-0000-00005D090000}"/>
    <cellStyle name="Normal 2 19 3 7 3" xfId="2398" xr:uid="{00000000-0005-0000-0000-00005E090000}"/>
    <cellStyle name="Normal 2 19 3 7 3 2" xfId="2399" xr:uid="{00000000-0005-0000-0000-00005F090000}"/>
    <cellStyle name="Normal 2 19 3 7 3 2 2" xfId="2400" xr:uid="{00000000-0005-0000-0000-000060090000}"/>
    <cellStyle name="Normal 2 19 3 7 3 2 3" xfId="2401" xr:uid="{00000000-0005-0000-0000-000061090000}"/>
    <cellStyle name="Normal 2 19 3 7 3 3" xfId="2402" xr:uid="{00000000-0005-0000-0000-000062090000}"/>
    <cellStyle name="Normal 2 19 3 7 3 4" xfId="2403" xr:uid="{00000000-0005-0000-0000-000063090000}"/>
    <cellStyle name="Normal 2 19 3 7 4" xfId="2404" xr:uid="{00000000-0005-0000-0000-000064090000}"/>
    <cellStyle name="Normal 2 19 3 7 4 2" xfId="2405" xr:uid="{00000000-0005-0000-0000-000065090000}"/>
    <cellStyle name="Normal 2 19 3 7 4 3" xfId="2406" xr:uid="{00000000-0005-0000-0000-000066090000}"/>
    <cellStyle name="Normal 2 19 3 7 5" xfId="2407" xr:uid="{00000000-0005-0000-0000-000067090000}"/>
    <cellStyle name="Normal 2 19 3 7 6" xfId="2408" xr:uid="{00000000-0005-0000-0000-000068090000}"/>
    <cellStyle name="Normal 2 19 3 8" xfId="2409" xr:uid="{00000000-0005-0000-0000-000069090000}"/>
    <cellStyle name="Normal 2 19 3 8 2" xfId="2410" xr:uid="{00000000-0005-0000-0000-00006A090000}"/>
    <cellStyle name="Normal 2 19 3 8 2 2" xfId="2411" xr:uid="{00000000-0005-0000-0000-00006B090000}"/>
    <cellStyle name="Normal 2 19 3 8 2 2 2" xfId="2412" xr:uid="{00000000-0005-0000-0000-00006C090000}"/>
    <cellStyle name="Normal 2 19 3 8 2 2 3" xfId="2413" xr:uid="{00000000-0005-0000-0000-00006D090000}"/>
    <cellStyle name="Normal 2 19 3 8 2 3" xfId="2414" xr:uid="{00000000-0005-0000-0000-00006E090000}"/>
    <cellStyle name="Normal 2 19 3 8 2 4" xfId="2415" xr:uid="{00000000-0005-0000-0000-00006F090000}"/>
    <cellStyle name="Normal 2 19 3 8 3" xfId="2416" xr:uid="{00000000-0005-0000-0000-000070090000}"/>
    <cellStyle name="Normal 2 19 3 8 3 2" xfId="2417" xr:uid="{00000000-0005-0000-0000-000071090000}"/>
    <cellStyle name="Normal 2 19 3 8 3 2 2" xfId="2418" xr:uid="{00000000-0005-0000-0000-000072090000}"/>
    <cellStyle name="Normal 2 19 3 8 3 2 3" xfId="2419" xr:uid="{00000000-0005-0000-0000-000073090000}"/>
    <cellStyle name="Normal 2 19 3 8 3 3" xfId="2420" xr:uid="{00000000-0005-0000-0000-000074090000}"/>
    <cellStyle name="Normal 2 19 3 8 3 4" xfId="2421" xr:uid="{00000000-0005-0000-0000-000075090000}"/>
    <cellStyle name="Normal 2 19 3 8 4" xfId="2422" xr:uid="{00000000-0005-0000-0000-000076090000}"/>
    <cellStyle name="Normal 2 19 3 8 4 2" xfId="2423" xr:uid="{00000000-0005-0000-0000-000077090000}"/>
    <cellStyle name="Normal 2 19 3 8 4 3" xfId="2424" xr:uid="{00000000-0005-0000-0000-000078090000}"/>
    <cellStyle name="Normal 2 19 3 8 5" xfId="2425" xr:uid="{00000000-0005-0000-0000-000079090000}"/>
    <cellStyle name="Normal 2 19 3 8 6" xfId="2426" xr:uid="{00000000-0005-0000-0000-00007A090000}"/>
    <cellStyle name="Normal 2 19 3 9" xfId="2427" xr:uid="{00000000-0005-0000-0000-00007B090000}"/>
    <cellStyle name="Normal 2 19 3 9 2" xfId="2428" xr:uid="{00000000-0005-0000-0000-00007C090000}"/>
    <cellStyle name="Normal 2 19 3 9 2 2" xfId="2429" xr:uid="{00000000-0005-0000-0000-00007D090000}"/>
    <cellStyle name="Normal 2 19 3 9 2 3" xfId="2430" xr:uid="{00000000-0005-0000-0000-00007E090000}"/>
    <cellStyle name="Normal 2 19 3 9 3" xfId="2431" xr:uid="{00000000-0005-0000-0000-00007F090000}"/>
    <cellStyle name="Normal 2 19 3 9 4" xfId="2432" xr:uid="{00000000-0005-0000-0000-000080090000}"/>
    <cellStyle name="Normal 2 19 4" xfId="2433" xr:uid="{00000000-0005-0000-0000-000081090000}"/>
    <cellStyle name="Normal 2 19 4 10" xfId="2434" xr:uid="{00000000-0005-0000-0000-000082090000}"/>
    <cellStyle name="Normal 2 19 4 10 2" xfId="2435" xr:uid="{00000000-0005-0000-0000-000083090000}"/>
    <cellStyle name="Normal 2 19 4 10 2 2" xfId="2436" xr:uid="{00000000-0005-0000-0000-000084090000}"/>
    <cellStyle name="Normal 2 19 4 10 2 3" xfId="2437" xr:uid="{00000000-0005-0000-0000-000085090000}"/>
    <cellStyle name="Normal 2 19 4 10 3" xfId="2438" xr:uid="{00000000-0005-0000-0000-000086090000}"/>
    <cellStyle name="Normal 2 19 4 10 4" xfId="2439" xr:uid="{00000000-0005-0000-0000-000087090000}"/>
    <cellStyle name="Normal 2 19 4 11" xfId="2440" xr:uid="{00000000-0005-0000-0000-000088090000}"/>
    <cellStyle name="Normal 2 19 4 11 2" xfId="2441" xr:uid="{00000000-0005-0000-0000-000089090000}"/>
    <cellStyle name="Normal 2 19 4 11 3" xfId="2442" xr:uid="{00000000-0005-0000-0000-00008A090000}"/>
    <cellStyle name="Normal 2 19 4 12" xfId="2443" xr:uid="{00000000-0005-0000-0000-00008B090000}"/>
    <cellStyle name="Normal 2 19 4 13" xfId="2444" xr:uid="{00000000-0005-0000-0000-00008C090000}"/>
    <cellStyle name="Normal 2 19 4 2" xfId="2445" xr:uid="{00000000-0005-0000-0000-00008D090000}"/>
    <cellStyle name="Normal 2 19 4 2 2" xfId="2446" xr:uid="{00000000-0005-0000-0000-00008E090000}"/>
    <cellStyle name="Normal 2 19 4 2 2 2" xfId="2447" xr:uid="{00000000-0005-0000-0000-00008F090000}"/>
    <cellStyle name="Normal 2 19 4 2 2 2 2" xfId="2448" xr:uid="{00000000-0005-0000-0000-000090090000}"/>
    <cellStyle name="Normal 2 19 4 2 2 2 3" xfId="2449" xr:uid="{00000000-0005-0000-0000-000091090000}"/>
    <cellStyle name="Normal 2 19 4 2 2 3" xfId="2450" xr:uid="{00000000-0005-0000-0000-000092090000}"/>
    <cellStyle name="Normal 2 19 4 2 2 4" xfId="2451" xr:uid="{00000000-0005-0000-0000-000093090000}"/>
    <cellStyle name="Normal 2 19 4 2 3" xfId="2452" xr:uid="{00000000-0005-0000-0000-000094090000}"/>
    <cellStyle name="Normal 2 19 4 2 3 2" xfId="2453" xr:uid="{00000000-0005-0000-0000-000095090000}"/>
    <cellStyle name="Normal 2 19 4 2 3 2 2" xfId="2454" xr:uid="{00000000-0005-0000-0000-000096090000}"/>
    <cellStyle name="Normal 2 19 4 2 3 2 3" xfId="2455" xr:uid="{00000000-0005-0000-0000-000097090000}"/>
    <cellStyle name="Normal 2 19 4 2 3 3" xfId="2456" xr:uid="{00000000-0005-0000-0000-000098090000}"/>
    <cellStyle name="Normal 2 19 4 2 3 4" xfId="2457" xr:uid="{00000000-0005-0000-0000-000099090000}"/>
    <cellStyle name="Normal 2 19 4 2 4" xfId="2458" xr:uid="{00000000-0005-0000-0000-00009A090000}"/>
    <cellStyle name="Normal 2 19 4 2 4 2" xfId="2459" xr:uid="{00000000-0005-0000-0000-00009B090000}"/>
    <cellStyle name="Normal 2 19 4 2 4 3" xfId="2460" xr:uid="{00000000-0005-0000-0000-00009C090000}"/>
    <cellStyle name="Normal 2 19 4 2 5" xfId="2461" xr:uid="{00000000-0005-0000-0000-00009D090000}"/>
    <cellStyle name="Normal 2 19 4 2 6" xfId="2462" xr:uid="{00000000-0005-0000-0000-00009E090000}"/>
    <cellStyle name="Normal 2 19 4 3" xfId="2463" xr:uid="{00000000-0005-0000-0000-00009F090000}"/>
    <cellStyle name="Normal 2 19 4 3 2" xfId="2464" xr:uid="{00000000-0005-0000-0000-0000A0090000}"/>
    <cellStyle name="Normal 2 19 4 3 2 2" xfId="2465" xr:uid="{00000000-0005-0000-0000-0000A1090000}"/>
    <cellStyle name="Normal 2 19 4 3 2 2 2" xfId="2466" xr:uid="{00000000-0005-0000-0000-0000A2090000}"/>
    <cellStyle name="Normal 2 19 4 3 2 2 3" xfId="2467" xr:uid="{00000000-0005-0000-0000-0000A3090000}"/>
    <cellStyle name="Normal 2 19 4 3 2 3" xfId="2468" xr:uid="{00000000-0005-0000-0000-0000A4090000}"/>
    <cellStyle name="Normal 2 19 4 3 2 4" xfId="2469" xr:uid="{00000000-0005-0000-0000-0000A5090000}"/>
    <cellStyle name="Normal 2 19 4 3 3" xfId="2470" xr:uid="{00000000-0005-0000-0000-0000A6090000}"/>
    <cellStyle name="Normal 2 19 4 3 3 2" xfId="2471" xr:uid="{00000000-0005-0000-0000-0000A7090000}"/>
    <cellStyle name="Normal 2 19 4 3 3 2 2" xfId="2472" xr:uid="{00000000-0005-0000-0000-0000A8090000}"/>
    <cellStyle name="Normal 2 19 4 3 3 2 3" xfId="2473" xr:uid="{00000000-0005-0000-0000-0000A9090000}"/>
    <cellStyle name="Normal 2 19 4 3 3 3" xfId="2474" xr:uid="{00000000-0005-0000-0000-0000AA090000}"/>
    <cellStyle name="Normal 2 19 4 3 3 4" xfId="2475" xr:uid="{00000000-0005-0000-0000-0000AB090000}"/>
    <cellStyle name="Normal 2 19 4 3 4" xfId="2476" xr:uid="{00000000-0005-0000-0000-0000AC090000}"/>
    <cellStyle name="Normal 2 19 4 3 4 2" xfId="2477" xr:uid="{00000000-0005-0000-0000-0000AD090000}"/>
    <cellStyle name="Normal 2 19 4 3 4 3" xfId="2478" xr:uid="{00000000-0005-0000-0000-0000AE090000}"/>
    <cellStyle name="Normal 2 19 4 3 5" xfId="2479" xr:uid="{00000000-0005-0000-0000-0000AF090000}"/>
    <cellStyle name="Normal 2 19 4 3 6" xfId="2480" xr:uid="{00000000-0005-0000-0000-0000B0090000}"/>
    <cellStyle name="Normal 2 19 4 4" xfId="2481" xr:uid="{00000000-0005-0000-0000-0000B1090000}"/>
    <cellStyle name="Normal 2 19 4 4 2" xfId="2482" xr:uid="{00000000-0005-0000-0000-0000B2090000}"/>
    <cellStyle name="Normal 2 19 4 4 2 2" xfId="2483" xr:uid="{00000000-0005-0000-0000-0000B3090000}"/>
    <cellStyle name="Normal 2 19 4 4 2 2 2" xfId="2484" xr:uid="{00000000-0005-0000-0000-0000B4090000}"/>
    <cellStyle name="Normal 2 19 4 4 2 2 3" xfId="2485" xr:uid="{00000000-0005-0000-0000-0000B5090000}"/>
    <cellStyle name="Normal 2 19 4 4 2 3" xfId="2486" xr:uid="{00000000-0005-0000-0000-0000B6090000}"/>
    <cellStyle name="Normal 2 19 4 4 2 4" xfId="2487" xr:uid="{00000000-0005-0000-0000-0000B7090000}"/>
    <cellStyle name="Normal 2 19 4 4 3" xfId="2488" xr:uid="{00000000-0005-0000-0000-0000B8090000}"/>
    <cellStyle name="Normal 2 19 4 4 3 2" xfId="2489" xr:uid="{00000000-0005-0000-0000-0000B9090000}"/>
    <cellStyle name="Normal 2 19 4 4 3 2 2" xfId="2490" xr:uid="{00000000-0005-0000-0000-0000BA090000}"/>
    <cellStyle name="Normal 2 19 4 4 3 2 3" xfId="2491" xr:uid="{00000000-0005-0000-0000-0000BB090000}"/>
    <cellStyle name="Normal 2 19 4 4 3 3" xfId="2492" xr:uid="{00000000-0005-0000-0000-0000BC090000}"/>
    <cellStyle name="Normal 2 19 4 4 3 4" xfId="2493" xr:uid="{00000000-0005-0000-0000-0000BD090000}"/>
    <cellStyle name="Normal 2 19 4 4 4" xfId="2494" xr:uid="{00000000-0005-0000-0000-0000BE090000}"/>
    <cellStyle name="Normal 2 19 4 4 4 2" xfId="2495" xr:uid="{00000000-0005-0000-0000-0000BF090000}"/>
    <cellStyle name="Normal 2 19 4 4 4 3" xfId="2496" xr:uid="{00000000-0005-0000-0000-0000C0090000}"/>
    <cellStyle name="Normal 2 19 4 4 5" xfId="2497" xr:uid="{00000000-0005-0000-0000-0000C1090000}"/>
    <cellStyle name="Normal 2 19 4 4 6" xfId="2498" xr:uid="{00000000-0005-0000-0000-0000C2090000}"/>
    <cellStyle name="Normal 2 19 4 5" xfId="2499" xr:uid="{00000000-0005-0000-0000-0000C3090000}"/>
    <cellStyle name="Normal 2 19 4 5 2" xfId="2500" xr:uid="{00000000-0005-0000-0000-0000C4090000}"/>
    <cellStyle name="Normal 2 19 4 5 2 2" xfId="2501" xr:uid="{00000000-0005-0000-0000-0000C5090000}"/>
    <cellStyle name="Normal 2 19 4 5 2 2 2" xfId="2502" xr:uid="{00000000-0005-0000-0000-0000C6090000}"/>
    <cellStyle name="Normal 2 19 4 5 2 2 3" xfId="2503" xr:uid="{00000000-0005-0000-0000-0000C7090000}"/>
    <cellStyle name="Normal 2 19 4 5 2 3" xfId="2504" xr:uid="{00000000-0005-0000-0000-0000C8090000}"/>
    <cellStyle name="Normal 2 19 4 5 2 4" xfId="2505" xr:uid="{00000000-0005-0000-0000-0000C9090000}"/>
    <cellStyle name="Normal 2 19 4 5 3" xfId="2506" xr:uid="{00000000-0005-0000-0000-0000CA090000}"/>
    <cellStyle name="Normal 2 19 4 5 3 2" xfId="2507" xr:uid="{00000000-0005-0000-0000-0000CB090000}"/>
    <cellStyle name="Normal 2 19 4 5 3 2 2" xfId="2508" xr:uid="{00000000-0005-0000-0000-0000CC090000}"/>
    <cellStyle name="Normal 2 19 4 5 3 2 3" xfId="2509" xr:uid="{00000000-0005-0000-0000-0000CD090000}"/>
    <cellStyle name="Normal 2 19 4 5 3 3" xfId="2510" xr:uid="{00000000-0005-0000-0000-0000CE090000}"/>
    <cellStyle name="Normal 2 19 4 5 3 4" xfId="2511" xr:uid="{00000000-0005-0000-0000-0000CF090000}"/>
    <cellStyle name="Normal 2 19 4 5 4" xfId="2512" xr:uid="{00000000-0005-0000-0000-0000D0090000}"/>
    <cellStyle name="Normal 2 19 4 5 4 2" xfId="2513" xr:uid="{00000000-0005-0000-0000-0000D1090000}"/>
    <cellStyle name="Normal 2 19 4 5 4 3" xfId="2514" xr:uid="{00000000-0005-0000-0000-0000D2090000}"/>
    <cellStyle name="Normal 2 19 4 5 5" xfId="2515" xr:uid="{00000000-0005-0000-0000-0000D3090000}"/>
    <cellStyle name="Normal 2 19 4 5 6" xfId="2516" xr:uid="{00000000-0005-0000-0000-0000D4090000}"/>
    <cellStyle name="Normal 2 19 4 6" xfId="2517" xr:uid="{00000000-0005-0000-0000-0000D5090000}"/>
    <cellStyle name="Normal 2 19 4 6 2" xfId="2518" xr:uid="{00000000-0005-0000-0000-0000D6090000}"/>
    <cellStyle name="Normal 2 19 4 6 2 2" xfId="2519" xr:uid="{00000000-0005-0000-0000-0000D7090000}"/>
    <cellStyle name="Normal 2 19 4 6 2 2 2" xfId="2520" xr:uid="{00000000-0005-0000-0000-0000D8090000}"/>
    <cellStyle name="Normal 2 19 4 6 2 2 3" xfId="2521" xr:uid="{00000000-0005-0000-0000-0000D9090000}"/>
    <cellStyle name="Normal 2 19 4 6 2 3" xfId="2522" xr:uid="{00000000-0005-0000-0000-0000DA090000}"/>
    <cellStyle name="Normal 2 19 4 6 2 4" xfId="2523" xr:uid="{00000000-0005-0000-0000-0000DB090000}"/>
    <cellStyle name="Normal 2 19 4 6 3" xfId="2524" xr:uid="{00000000-0005-0000-0000-0000DC090000}"/>
    <cellStyle name="Normal 2 19 4 6 3 2" xfId="2525" xr:uid="{00000000-0005-0000-0000-0000DD090000}"/>
    <cellStyle name="Normal 2 19 4 6 3 2 2" xfId="2526" xr:uid="{00000000-0005-0000-0000-0000DE090000}"/>
    <cellStyle name="Normal 2 19 4 6 3 2 3" xfId="2527" xr:uid="{00000000-0005-0000-0000-0000DF090000}"/>
    <cellStyle name="Normal 2 19 4 6 3 3" xfId="2528" xr:uid="{00000000-0005-0000-0000-0000E0090000}"/>
    <cellStyle name="Normal 2 19 4 6 3 4" xfId="2529" xr:uid="{00000000-0005-0000-0000-0000E1090000}"/>
    <cellStyle name="Normal 2 19 4 6 4" xfId="2530" xr:uid="{00000000-0005-0000-0000-0000E2090000}"/>
    <cellStyle name="Normal 2 19 4 6 4 2" xfId="2531" xr:uid="{00000000-0005-0000-0000-0000E3090000}"/>
    <cellStyle name="Normal 2 19 4 6 4 3" xfId="2532" xr:uid="{00000000-0005-0000-0000-0000E4090000}"/>
    <cellStyle name="Normal 2 19 4 6 5" xfId="2533" xr:uid="{00000000-0005-0000-0000-0000E5090000}"/>
    <cellStyle name="Normal 2 19 4 6 6" xfId="2534" xr:uid="{00000000-0005-0000-0000-0000E6090000}"/>
    <cellStyle name="Normal 2 19 4 7" xfId="2535" xr:uid="{00000000-0005-0000-0000-0000E7090000}"/>
    <cellStyle name="Normal 2 19 4 7 2" xfId="2536" xr:uid="{00000000-0005-0000-0000-0000E8090000}"/>
    <cellStyle name="Normal 2 19 4 7 2 2" xfId="2537" xr:uid="{00000000-0005-0000-0000-0000E9090000}"/>
    <cellStyle name="Normal 2 19 4 7 2 2 2" xfId="2538" xr:uid="{00000000-0005-0000-0000-0000EA090000}"/>
    <cellStyle name="Normal 2 19 4 7 2 2 3" xfId="2539" xr:uid="{00000000-0005-0000-0000-0000EB090000}"/>
    <cellStyle name="Normal 2 19 4 7 2 3" xfId="2540" xr:uid="{00000000-0005-0000-0000-0000EC090000}"/>
    <cellStyle name="Normal 2 19 4 7 2 4" xfId="2541" xr:uid="{00000000-0005-0000-0000-0000ED090000}"/>
    <cellStyle name="Normal 2 19 4 7 3" xfId="2542" xr:uid="{00000000-0005-0000-0000-0000EE090000}"/>
    <cellStyle name="Normal 2 19 4 7 3 2" xfId="2543" xr:uid="{00000000-0005-0000-0000-0000EF090000}"/>
    <cellStyle name="Normal 2 19 4 7 3 2 2" xfId="2544" xr:uid="{00000000-0005-0000-0000-0000F0090000}"/>
    <cellStyle name="Normal 2 19 4 7 3 2 3" xfId="2545" xr:uid="{00000000-0005-0000-0000-0000F1090000}"/>
    <cellStyle name="Normal 2 19 4 7 3 3" xfId="2546" xr:uid="{00000000-0005-0000-0000-0000F2090000}"/>
    <cellStyle name="Normal 2 19 4 7 3 4" xfId="2547" xr:uid="{00000000-0005-0000-0000-0000F3090000}"/>
    <cellStyle name="Normal 2 19 4 7 4" xfId="2548" xr:uid="{00000000-0005-0000-0000-0000F4090000}"/>
    <cellStyle name="Normal 2 19 4 7 4 2" xfId="2549" xr:uid="{00000000-0005-0000-0000-0000F5090000}"/>
    <cellStyle name="Normal 2 19 4 7 4 3" xfId="2550" xr:uid="{00000000-0005-0000-0000-0000F6090000}"/>
    <cellStyle name="Normal 2 19 4 7 5" xfId="2551" xr:uid="{00000000-0005-0000-0000-0000F7090000}"/>
    <cellStyle name="Normal 2 19 4 7 6" xfId="2552" xr:uid="{00000000-0005-0000-0000-0000F8090000}"/>
    <cellStyle name="Normal 2 19 4 8" xfId="2553" xr:uid="{00000000-0005-0000-0000-0000F9090000}"/>
    <cellStyle name="Normal 2 19 4 8 2" xfId="2554" xr:uid="{00000000-0005-0000-0000-0000FA090000}"/>
    <cellStyle name="Normal 2 19 4 8 2 2" xfId="2555" xr:uid="{00000000-0005-0000-0000-0000FB090000}"/>
    <cellStyle name="Normal 2 19 4 8 2 2 2" xfId="2556" xr:uid="{00000000-0005-0000-0000-0000FC090000}"/>
    <cellStyle name="Normal 2 19 4 8 2 2 3" xfId="2557" xr:uid="{00000000-0005-0000-0000-0000FD090000}"/>
    <cellStyle name="Normal 2 19 4 8 2 3" xfId="2558" xr:uid="{00000000-0005-0000-0000-0000FE090000}"/>
    <cellStyle name="Normal 2 19 4 8 2 4" xfId="2559" xr:uid="{00000000-0005-0000-0000-0000FF090000}"/>
    <cellStyle name="Normal 2 19 4 8 3" xfId="2560" xr:uid="{00000000-0005-0000-0000-0000000A0000}"/>
    <cellStyle name="Normal 2 19 4 8 3 2" xfId="2561" xr:uid="{00000000-0005-0000-0000-0000010A0000}"/>
    <cellStyle name="Normal 2 19 4 8 3 2 2" xfId="2562" xr:uid="{00000000-0005-0000-0000-0000020A0000}"/>
    <cellStyle name="Normal 2 19 4 8 3 2 3" xfId="2563" xr:uid="{00000000-0005-0000-0000-0000030A0000}"/>
    <cellStyle name="Normal 2 19 4 8 3 3" xfId="2564" xr:uid="{00000000-0005-0000-0000-0000040A0000}"/>
    <cellStyle name="Normal 2 19 4 8 3 4" xfId="2565" xr:uid="{00000000-0005-0000-0000-0000050A0000}"/>
    <cellStyle name="Normal 2 19 4 8 4" xfId="2566" xr:uid="{00000000-0005-0000-0000-0000060A0000}"/>
    <cellStyle name="Normal 2 19 4 8 4 2" xfId="2567" xr:uid="{00000000-0005-0000-0000-0000070A0000}"/>
    <cellStyle name="Normal 2 19 4 8 4 3" xfId="2568" xr:uid="{00000000-0005-0000-0000-0000080A0000}"/>
    <cellStyle name="Normal 2 19 4 8 5" xfId="2569" xr:uid="{00000000-0005-0000-0000-0000090A0000}"/>
    <cellStyle name="Normal 2 19 4 8 6" xfId="2570" xr:uid="{00000000-0005-0000-0000-00000A0A0000}"/>
    <cellStyle name="Normal 2 19 4 9" xfId="2571" xr:uid="{00000000-0005-0000-0000-00000B0A0000}"/>
    <cellStyle name="Normal 2 19 4 9 2" xfId="2572" xr:uid="{00000000-0005-0000-0000-00000C0A0000}"/>
    <cellStyle name="Normal 2 19 4 9 2 2" xfId="2573" xr:uid="{00000000-0005-0000-0000-00000D0A0000}"/>
    <cellStyle name="Normal 2 19 4 9 2 3" xfId="2574" xr:uid="{00000000-0005-0000-0000-00000E0A0000}"/>
    <cellStyle name="Normal 2 19 4 9 3" xfId="2575" xr:uid="{00000000-0005-0000-0000-00000F0A0000}"/>
    <cellStyle name="Normal 2 19 4 9 4" xfId="2576" xr:uid="{00000000-0005-0000-0000-0000100A0000}"/>
    <cellStyle name="Normal 2 19 5" xfId="2577" xr:uid="{00000000-0005-0000-0000-0000110A0000}"/>
    <cellStyle name="Normal 2 19 5 2" xfId="2578" xr:uid="{00000000-0005-0000-0000-0000120A0000}"/>
    <cellStyle name="Normal 2 19 5 2 2" xfId="2579" xr:uid="{00000000-0005-0000-0000-0000130A0000}"/>
    <cellStyle name="Normal 2 19 5 2 2 2" xfId="2580" xr:uid="{00000000-0005-0000-0000-0000140A0000}"/>
    <cellStyle name="Normal 2 19 5 2 2 2 2" xfId="2581" xr:uid="{00000000-0005-0000-0000-0000150A0000}"/>
    <cellStyle name="Normal 2 19 5 2 2 2 3" xfId="2582" xr:uid="{00000000-0005-0000-0000-0000160A0000}"/>
    <cellStyle name="Normal 2 19 5 2 2 3" xfId="2583" xr:uid="{00000000-0005-0000-0000-0000170A0000}"/>
    <cellStyle name="Normal 2 19 5 2 2 4" xfId="2584" xr:uid="{00000000-0005-0000-0000-0000180A0000}"/>
    <cellStyle name="Normal 2 19 5 2 3" xfId="2585" xr:uid="{00000000-0005-0000-0000-0000190A0000}"/>
    <cellStyle name="Normal 2 19 5 2 3 2" xfId="2586" xr:uid="{00000000-0005-0000-0000-00001A0A0000}"/>
    <cellStyle name="Normal 2 19 5 2 3 2 2" xfId="2587" xr:uid="{00000000-0005-0000-0000-00001B0A0000}"/>
    <cellStyle name="Normal 2 19 5 2 3 2 3" xfId="2588" xr:uid="{00000000-0005-0000-0000-00001C0A0000}"/>
    <cellStyle name="Normal 2 19 5 2 3 3" xfId="2589" xr:uid="{00000000-0005-0000-0000-00001D0A0000}"/>
    <cellStyle name="Normal 2 19 5 2 3 4" xfId="2590" xr:uid="{00000000-0005-0000-0000-00001E0A0000}"/>
    <cellStyle name="Normal 2 19 5 2 4" xfId="2591" xr:uid="{00000000-0005-0000-0000-00001F0A0000}"/>
    <cellStyle name="Normal 2 19 5 2 4 2" xfId="2592" xr:uid="{00000000-0005-0000-0000-0000200A0000}"/>
    <cellStyle name="Normal 2 19 5 2 4 3" xfId="2593" xr:uid="{00000000-0005-0000-0000-0000210A0000}"/>
    <cellStyle name="Normal 2 19 5 2 5" xfId="2594" xr:uid="{00000000-0005-0000-0000-0000220A0000}"/>
    <cellStyle name="Normal 2 19 5 2 6" xfId="2595" xr:uid="{00000000-0005-0000-0000-0000230A0000}"/>
    <cellStyle name="Normal 2 19 5 3" xfId="2596" xr:uid="{00000000-0005-0000-0000-0000240A0000}"/>
    <cellStyle name="Normal 2 19 5 3 2" xfId="2597" xr:uid="{00000000-0005-0000-0000-0000250A0000}"/>
    <cellStyle name="Normal 2 19 5 3 2 2" xfId="2598" xr:uid="{00000000-0005-0000-0000-0000260A0000}"/>
    <cellStyle name="Normal 2 19 5 3 2 2 2" xfId="2599" xr:uid="{00000000-0005-0000-0000-0000270A0000}"/>
    <cellStyle name="Normal 2 19 5 3 2 2 3" xfId="2600" xr:uid="{00000000-0005-0000-0000-0000280A0000}"/>
    <cellStyle name="Normal 2 19 5 3 2 3" xfId="2601" xr:uid="{00000000-0005-0000-0000-0000290A0000}"/>
    <cellStyle name="Normal 2 19 5 3 2 4" xfId="2602" xr:uid="{00000000-0005-0000-0000-00002A0A0000}"/>
    <cellStyle name="Normal 2 19 5 3 3" xfId="2603" xr:uid="{00000000-0005-0000-0000-00002B0A0000}"/>
    <cellStyle name="Normal 2 19 5 3 3 2" xfId="2604" xr:uid="{00000000-0005-0000-0000-00002C0A0000}"/>
    <cellStyle name="Normal 2 19 5 3 3 2 2" xfId="2605" xr:uid="{00000000-0005-0000-0000-00002D0A0000}"/>
    <cellStyle name="Normal 2 19 5 3 3 2 3" xfId="2606" xr:uid="{00000000-0005-0000-0000-00002E0A0000}"/>
    <cellStyle name="Normal 2 19 5 3 3 3" xfId="2607" xr:uid="{00000000-0005-0000-0000-00002F0A0000}"/>
    <cellStyle name="Normal 2 19 5 3 3 4" xfId="2608" xr:uid="{00000000-0005-0000-0000-0000300A0000}"/>
    <cellStyle name="Normal 2 19 5 3 4" xfId="2609" xr:uid="{00000000-0005-0000-0000-0000310A0000}"/>
    <cellStyle name="Normal 2 19 5 3 4 2" xfId="2610" xr:uid="{00000000-0005-0000-0000-0000320A0000}"/>
    <cellStyle name="Normal 2 19 5 3 4 3" xfId="2611" xr:uid="{00000000-0005-0000-0000-0000330A0000}"/>
    <cellStyle name="Normal 2 19 5 3 5" xfId="2612" xr:uid="{00000000-0005-0000-0000-0000340A0000}"/>
    <cellStyle name="Normal 2 19 5 3 6" xfId="2613" xr:uid="{00000000-0005-0000-0000-0000350A0000}"/>
    <cellStyle name="Normal 2 19 5 4" xfId="2614" xr:uid="{00000000-0005-0000-0000-0000360A0000}"/>
    <cellStyle name="Normal 2 19 5 4 2" xfId="2615" xr:uid="{00000000-0005-0000-0000-0000370A0000}"/>
    <cellStyle name="Normal 2 19 5 4 2 2" xfId="2616" xr:uid="{00000000-0005-0000-0000-0000380A0000}"/>
    <cellStyle name="Normal 2 19 5 4 2 3" xfId="2617" xr:uid="{00000000-0005-0000-0000-0000390A0000}"/>
    <cellStyle name="Normal 2 19 5 4 3" xfId="2618" xr:uid="{00000000-0005-0000-0000-00003A0A0000}"/>
    <cellStyle name="Normal 2 19 5 4 4" xfId="2619" xr:uid="{00000000-0005-0000-0000-00003B0A0000}"/>
    <cellStyle name="Normal 2 19 5 5" xfId="2620" xr:uid="{00000000-0005-0000-0000-00003C0A0000}"/>
    <cellStyle name="Normal 2 19 5 5 2" xfId="2621" xr:uid="{00000000-0005-0000-0000-00003D0A0000}"/>
    <cellStyle name="Normal 2 19 5 5 2 2" xfId="2622" xr:uid="{00000000-0005-0000-0000-00003E0A0000}"/>
    <cellStyle name="Normal 2 19 5 5 2 3" xfId="2623" xr:uid="{00000000-0005-0000-0000-00003F0A0000}"/>
    <cellStyle name="Normal 2 19 5 5 3" xfId="2624" xr:uid="{00000000-0005-0000-0000-0000400A0000}"/>
    <cellStyle name="Normal 2 19 5 5 4" xfId="2625" xr:uid="{00000000-0005-0000-0000-0000410A0000}"/>
    <cellStyle name="Normal 2 19 5 6" xfId="2626" xr:uid="{00000000-0005-0000-0000-0000420A0000}"/>
    <cellStyle name="Normal 2 19 5 6 2" xfId="2627" xr:uid="{00000000-0005-0000-0000-0000430A0000}"/>
    <cellStyle name="Normal 2 19 5 6 3" xfId="2628" xr:uid="{00000000-0005-0000-0000-0000440A0000}"/>
    <cellStyle name="Normal 2 19 5 7" xfId="2629" xr:uid="{00000000-0005-0000-0000-0000450A0000}"/>
    <cellStyle name="Normal 2 19 5 8" xfId="2630" xr:uid="{00000000-0005-0000-0000-0000460A0000}"/>
    <cellStyle name="Normal 2 19 6" xfId="2631" xr:uid="{00000000-0005-0000-0000-0000470A0000}"/>
    <cellStyle name="Normal 2 19 6 2" xfId="2632" xr:uid="{00000000-0005-0000-0000-0000480A0000}"/>
    <cellStyle name="Normal 2 19 6 2 2" xfId="2633" xr:uid="{00000000-0005-0000-0000-0000490A0000}"/>
    <cellStyle name="Normal 2 19 6 2 2 2" xfId="2634" xr:uid="{00000000-0005-0000-0000-00004A0A0000}"/>
    <cellStyle name="Normal 2 19 6 2 2 2 2" xfId="2635" xr:uid="{00000000-0005-0000-0000-00004B0A0000}"/>
    <cellStyle name="Normal 2 19 6 2 2 2 3" xfId="2636" xr:uid="{00000000-0005-0000-0000-00004C0A0000}"/>
    <cellStyle name="Normal 2 19 6 2 2 3" xfId="2637" xr:uid="{00000000-0005-0000-0000-00004D0A0000}"/>
    <cellStyle name="Normal 2 19 6 2 2 4" xfId="2638" xr:uid="{00000000-0005-0000-0000-00004E0A0000}"/>
    <cellStyle name="Normal 2 19 6 2 3" xfId="2639" xr:uid="{00000000-0005-0000-0000-00004F0A0000}"/>
    <cellStyle name="Normal 2 19 6 2 3 2" xfId="2640" xr:uid="{00000000-0005-0000-0000-0000500A0000}"/>
    <cellStyle name="Normal 2 19 6 2 3 2 2" xfId="2641" xr:uid="{00000000-0005-0000-0000-0000510A0000}"/>
    <cellStyle name="Normal 2 19 6 2 3 2 3" xfId="2642" xr:uid="{00000000-0005-0000-0000-0000520A0000}"/>
    <cellStyle name="Normal 2 19 6 2 3 3" xfId="2643" xr:uid="{00000000-0005-0000-0000-0000530A0000}"/>
    <cellStyle name="Normal 2 19 6 2 3 4" xfId="2644" xr:uid="{00000000-0005-0000-0000-0000540A0000}"/>
    <cellStyle name="Normal 2 19 6 2 4" xfId="2645" xr:uid="{00000000-0005-0000-0000-0000550A0000}"/>
    <cellStyle name="Normal 2 19 6 2 4 2" xfId="2646" xr:uid="{00000000-0005-0000-0000-0000560A0000}"/>
    <cellStyle name="Normal 2 19 6 2 4 3" xfId="2647" xr:uid="{00000000-0005-0000-0000-0000570A0000}"/>
    <cellStyle name="Normal 2 19 6 2 5" xfId="2648" xr:uid="{00000000-0005-0000-0000-0000580A0000}"/>
    <cellStyle name="Normal 2 19 6 2 6" xfId="2649" xr:uid="{00000000-0005-0000-0000-0000590A0000}"/>
    <cellStyle name="Normal 2 19 6 3" xfId="2650" xr:uid="{00000000-0005-0000-0000-00005A0A0000}"/>
    <cellStyle name="Normal 2 19 6 3 2" xfId="2651" xr:uid="{00000000-0005-0000-0000-00005B0A0000}"/>
    <cellStyle name="Normal 2 19 6 3 2 2" xfId="2652" xr:uid="{00000000-0005-0000-0000-00005C0A0000}"/>
    <cellStyle name="Normal 2 19 6 3 2 2 2" xfId="2653" xr:uid="{00000000-0005-0000-0000-00005D0A0000}"/>
    <cellStyle name="Normal 2 19 6 3 2 2 3" xfId="2654" xr:uid="{00000000-0005-0000-0000-00005E0A0000}"/>
    <cellStyle name="Normal 2 19 6 3 2 3" xfId="2655" xr:uid="{00000000-0005-0000-0000-00005F0A0000}"/>
    <cellStyle name="Normal 2 19 6 3 2 4" xfId="2656" xr:uid="{00000000-0005-0000-0000-0000600A0000}"/>
    <cellStyle name="Normal 2 19 6 3 3" xfId="2657" xr:uid="{00000000-0005-0000-0000-0000610A0000}"/>
    <cellStyle name="Normal 2 19 6 3 3 2" xfId="2658" xr:uid="{00000000-0005-0000-0000-0000620A0000}"/>
    <cellStyle name="Normal 2 19 6 3 3 2 2" xfId="2659" xr:uid="{00000000-0005-0000-0000-0000630A0000}"/>
    <cellStyle name="Normal 2 19 6 3 3 2 3" xfId="2660" xr:uid="{00000000-0005-0000-0000-0000640A0000}"/>
    <cellStyle name="Normal 2 19 6 3 3 3" xfId="2661" xr:uid="{00000000-0005-0000-0000-0000650A0000}"/>
    <cellStyle name="Normal 2 19 6 3 3 4" xfId="2662" xr:uid="{00000000-0005-0000-0000-0000660A0000}"/>
    <cellStyle name="Normal 2 19 6 3 4" xfId="2663" xr:uid="{00000000-0005-0000-0000-0000670A0000}"/>
    <cellStyle name="Normal 2 19 6 3 4 2" xfId="2664" xr:uid="{00000000-0005-0000-0000-0000680A0000}"/>
    <cellStyle name="Normal 2 19 6 3 4 3" xfId="2665" xr:uid="{00000000-0005-0000-0000-0000690A0000}"/>
    <cellStyle name="Normal 2 19 6 3 5" xfId="2666" xr:uid="{00000000-0005-0000-0000-00006A0A0000}"/>
    <cellStyle name="Normal 2 19 6 3 6" xfId="2667" xr:uid="{00000000-0005-0000-0000-00006B0A0000}"/>
    <cellStyle name="Normal 2 19 6 4" xfId="2668" xr:uid="{00000000-0005-0000-0000-00006C0A0000}"/>
    <cellStyle name="Normal 2 19 6 4 2" xfId="2669" xr:uid="{00000000-0005-0000-0000-00006D0A0000}"/>
    <cellStyle name="Normal 2 19 6 4 2 2" xfId="2670" xr:uid="{00000000-0005-0000-0000-00006E0A0000}"/>
    <cellStyle name="Normal 2 19 6 4 2 3" xfId="2671" xr:uid="{00000000-0005-0000-0000-00006F0A0000}"/>
    <cellStyle name="Normal 2 19 6 4 3" xfId="2672" xr:uid="{00000000-0005-0000-0000-0000700A0000}"/>
    <cellStyle name="Normal 2 19 6 4 4" xfId="2673" xr:uid="{00000000-0005-0000-0000-0000710A0000}"/>
    <cellStyle name="Normal 2 19 6 5" xfId="2674" xr:uid="{00000000-0005-0000-0000-0000720A0000}"/>
    <cellStyle name="Normal 2 19 6 5 2" xfId="2675" xr:uid="{00000000-0005-0000-0000-0000730A0000}"/>
    <cellStyle name="Normal 2 19 6 5 2 2" xfId="2676" xr:uid="{00000000-0005-0000-0000-0000740A0000}"/>
    <cellStyle name="Normal 2 19 6 5 2 3" xfId="2677" xr:uid="{00000000-0005-0000-0000-0000750A0000}"/>
    <cellStyle name="Normal 2 19 6 5 3" xfId="2678" xr:uid="{00000000-0005-0000-0000-0000760A0000}"/>
    <cellStyle name="Normal 2 19 6 5 4" xfId="2679" xr:uid="{00000000-0005-0000-0000-0000770A0000}"/>
    <cellStyle name="Normal 2 19 6 6" xfId="2680" xr:uid="{00000000-0005-0000-0000-0000780A0000}"/>
    <cellStyle name="Normal 2 19 6 6 2" xfId="2681" xr:uid="{00000000-0005-0000-0000-0000790A0000}"/>
    <cellStyle name="Normal 2 19 6 6 3" xfId="2682" xr:uid="{00000000-0005-0000-0000-00007A0A0000}"/>
    <cellStyle name="Normal 2 19 6 7" xfId="2683" xr:uid="{00000000-0005-0000-0000-00007B0A0000}"/>
    <cellStyle name="Normal 2 19 6 8" xfId="2684" xr:uid="{00000000-0005-0000-0000-00007C0A0000}"/>
    <cellStyle name="Normal 2 19 7" xfId="2685" xr:uid="{00000000-0005-0000-0000-00007D0A0000}"/>
    <cellStyle name="Normal 2 19 7 2" xfId="2686" xr:uid="{00000000-0005-0000-0000-00007E0A0000}"/>
    <cellStyle name="Normal 2 19 7 2 2" xfId="2687" xr:uid="{00000000-0005-0000-0000-00007F0A0000}"/>
    <cellStyle name="Normal 2 19 7 2 2 2" xfId="2688" xr:uid="{00000000-0005-0000-0000-0000800A0000}"/>
    <cellStyle name="Normal 2 19 7 2 2 2 2" xfId="2689" xr:uid="{00000000-0005-0000-0000-0000810A0000}"/>
    <cellStyle name="Normal 2 19 7 2 2 2 3" xfId="2690" xr:uid="{00000000-0005-0000-0000-0000820A0000}"/>
    <cellStyle name="Normal 2 19 7 2 2 3" xfId="2691" xr:uid="{00000000-0005-0000-0000-0000830A0000}"/>
    <cellStyle name="Normal 2 19 7 2 2 4" xfId="2692" xr:uid="{00000000-0005-0000-0000-0000840A0000}"/>
    <cellStyle name="Normal 2 19 7 2 3" xfId="2693" xr:uid="{00000000-0005-0000-0000-0000850A0000}"/>
    <cellStyle name="Normal 2 19 7 2 3 2" xfId="2694" xr:uid="{00000000-0005-0000-0000-0000860A0000}"/>
    <cellStyle name="Normal 2 19 7 2 3 2 2" xfId="2695" xr:uid="{00000000-0005-0000-0000-0000870A0000}"/>
    <cellStyle name="Normal 2 19 7 2 3 2 3" xfId="2696" xr:uid="{00000000-0005-0000-0000-0000880A0000}"/>
    <cellStyle name="Normal 2 19 7 2 3 3" xfId="2697" xr:uid="{00000000-0005-0000-0000-0000890A0000}"/>
    <cellStyle name="Normal 2 19 7 2 3 4" xfId="2698" xr:uid="{00000000-0005-0000-0000-00008A0A0000}"/>
    <cellStyle name="Normal 2 19 7 2 4" xfId="2699" xr:uid="{00000000-0005-0000-0000-00008B0A0000}"/>
    <cellStyle name="Normal 2 19 7 2 4 2" xfId="2700" xr:uid="{00000000-0005-0000-0000-00008C0A0000}"/>
    <cellStyle name="Normal 2 19 7 2 4 3" xfId="2701" xr:uid="{00000000-0005-0000-0000-00008D0A0000}"/>
    <cellStyle name="Normal 2 19 7 2 5" xfId="2702" xr:uid="{00000000-0005-0000-0000-00008E0A0000}"/>
    <cellStyle name="Normal 2 19 7 2 6" xfId="2703" xr:uid="{00000000-0005-0000-0000-00008F0A0000}"/>
    <cellStyle name="Normal 2 19 7 3" xfId="2704" xr:uid="{00000000-0005-0000-0000-0000900A0000}"/>
    <cellStyle name="Normal 2 19 7 3 2" xfId="2705" xr:uid="{00000000-0005-0000-0000-0000910A0000}"/>
    <cellStyle name="Normal 2 19 7 3 2 2" xfId="2706" xr:uid="{00000000-0005-0000-0000-0000920A0000}"/>
    <cellStyle name="Normal 2 19 7 3 2 2 2" xfId="2707" xr:uid="{00000000-0005-0000-0000-0000930A0000}"/>
    <cellStyle name="Normal 2 19 7 3 2 2 3" xfId="2708" xr:uid="{00000000-0005-0000-0000-0000940A0000}"/>
    <cellStyle name="Normal 2 19 7 3 2 3" xfId="2709" xr:uid="{00000000-0005-0000-0000-0000950A0000}"/>
    <cellStyle name="Normal 2 19 7 3 2 4" xfId="2710" xr:uid="{00000000-0005-0000-0000-0000960A0000}"/>
    <cellStyle name="Normal 2 19 7 3 3" xfId="2711" xr:uid="{00000000-0005-0000-0000-0000970A0000}"/>
    <cellStyle name="Normal 2 19 7 3 3 2" xfId="2712" xr:uid="{00000000-0005-0000-0000-0000980A0000}"/>
    <cellStyle name="Normal 2 19 7 3 3 2 2" xfId="2713" xr:uid="{00000000-0005-0000-0000-0000990A0000}"/>
    <cellStyle name="Normal 2 19 7 3 3 2 3" xfId="2714" xr:uid="{00000000-0005-0000-0000-00009A0A0000}"/>
    <cellStyle name="Normal 2 19 7 3 3 3" xfId="2715" xr:uid="{00000000-0005-0000-0000-00009B0A0000}"/>
    <cellStyle name="Normal 2 19 7 3 3 4" xfId="2716" xr:uid="{00000000-0005-0000-0000-00009C0A0000}"/>
    <cellStyle name="Normal 2 19 7 3 4" xfId="2717" xr:uid="{00000000-0005-0000-0000-00009D0A0000}"/>
    <cellStyle name="Normal 2 19 7 3 4 2" xfId="2718" xr:uid="{00000000-0005-0000-0000-00009E0A0000}"/>
    <cellStyle name="Normal 2 19 7 3 4 3" xfId="2719" xr:uid="{00000000-0005-0000-0000-00009F0A0000}"/>
    <cellStyle name="Normal 2 19 7 3 5" xfId="2720" xr:uid="{00000000-0005-0000-0000-0000A00A0000}"/>
    <cellStyle name="Normal 2 19 7 3 6" xfId="2721" xr:uid="{00000000-0005-0000-0000-0000A10A0000}"/>
    <cellStyle name="Normal 2 19 7 4" xfId="2722" xr:uid="{00000000-0005-0000-0000-0000A20A0000}"/>
    <cellStyle name="Normal 2 19 7 4 2" xfId="2723" xr:uid="{00000000-0005-0000-0000-0000A30A0000}"/>
    <cellStyle name="Normal 2 19 7 4 2 2" xfId="2724" xr:uid="{00000000-0005-0000-0000-0000A40A0000}"/>
    <cellStyle name="Normal 2 19 7 4 2 3" xfId="2725" xr:uid="{00000000-0005-0000-0000-0000A50A0000}"/>
    <cellStyle name="Normal 2 19 7 4 3" xfId="2726" xr:uid="{00000000-0005-0000-0000-0000A60A0000}"/>
    <cellStyle name="Normal 2 19 7 4 4" xfId="2727" xr:uid="{00000000-0005-0000-0000-0000A70A0000}"/>
    <cellStyle name="Normal 2 19 7 5" xfId="2728" xr:uid="{00000000-0005-0000-0000-0000A80A0000}"/>
    <cellStyle name="Normal 2 19 7 5 2" xfId="2729" xr:uid="{00000000-0005-0000-0000-0000A90A0000}"/>
    <cellStyle name="Normal 2 19 7 5 2 2" xfId="2730" xr:uid="{00000000-0005-0000-0000-0000AA0A0000}"/>
    <cellStyle name="Normal 2 19 7 5 2 3" xfId="2731" xr:uid="{00000000-0005-0000-0000-0000AB0A0000}"/>
    <cellStyle name="Normal 2 19 7 5 3" xfId="2732" xr:uid="{00000000-0005-0000-0000-0000AC0A0000}"/>
    <cellStyle name="Normal 2 19 7 5 4" xfId="2733" xr:uid="{00000000-0005-0000-0000-0000AD0A0000}"/>
    <cellStyle name="Normal 2 19 7 6" xfId="2734" xr:uid="{00000000-0005-0000-0000-0000AE0A0000}"/>
    <cellStyle name="Normal 2 19 7 6 2" xfId="2735" xr:uid="{00000000-0005-0000-0000-0000AF0A0000}"/>
    <cellStyle name="Normal 2 19 7 6 3" xfId="2736" xr:uid="{00000000-0005-0000-0000-0000B00A0000}"/>
    <cellStyle name="Normal 2 19 7 7" xfId="2737" xr:uid="{00000000-0005-0000-0000-0000B10A0000}"/>
    <cellStyle name="Normal 2 19 7 8" xfId="2738" xr:uid="{00000000-0005-0000-0000-0000B20A0000}"/>
    <cellStyle name="Normal 2 19 8" xfId="2739" xr:uid="{00000000-0005-0000-0000-0000B30A0000}"/>
    <cellStyle name="Normal 2 19 8 2" xfId="2740" xr:uid="{00000000-0005-0000-0000-0000B40A0000}"/>
    <cellStyle name="Normal 2 19 8 2 2" xfId="2741" xr:uid="{00000000-0005-0000-0000-0000B50A0000}"/>
    <cellStyle name="Normal 2 19 8 2 2 2" xfId="2742" xr:uid="{00000000-0005-0000-0000-0000B60A0000}"/>
    <cellStyle name="Normal 2 19 8 2 2 2 2" xfId="2743" xr:uid="{00000000-0005-0000-0000-0000B70A0000}"/>
    <cellStyle name="Normal 2 19 8 2 2 2 3" xfId="2744" xr:uid="{00000000-0005-0000-0000-0000B80A0000}"/>
    <cellStyle name="Normal 2 19 8 2 2 3" xfId="2745" xr:uid="{00000000-0005-0000-0000-0000B90A0000}"/>
    <cellStyle name="Normal 2 19 8 2 2 4" xfId="2746" xr:uid="{00000000-0005-0000-0000-0000BA0A0000}"/>
    <cellStyle name="Normal 2 19 8 2 3" xfId="2747" xr:uid="{00000000-0005-0000-0000-0000BB0A0000}"/>
    <cellStyle name="Normal 2 19 8 2 3 2" xfId="2748" xr:uid="{00000000-0005-0000-0000-0000BC0A0000}"/>
    <cellStyle name="Normal 2 19 8 2 3 2 2" xfId="2749" xr:uid="{00000000-0005-0000-0000-0000BD0A0000}"/>
    <cellStyle name="Normal 2 19 8 2 3 2 3" xfId="2750" xr:uid="{00000000-0005-0000-0000-0000BE0A0000}"/>
    <cellStyle name="Normal 2 19 8 2 3 3" xfId="2751" xr:uid="{00000000-0005-0000-0000-0000BF0A0000}"/>
    <cellStyle name="Normal 2 19 8 2 3 4" xfId="2752" xr:uid="{00000000-0005-0000-0000-0000C00A0000}"/>
    <cellStyle name="Normal 2 19 8 2 4" xfId="2753" xr:uid="{00000000-0005-0000-0000-0000C10A0000}"/>
    <cellStyle name="Normal 2 19 8 2 4 2" xfId="2754" xr:uid="{00000000-0005-0000-0000-0000C20A0000}"/>
    <cellStyle name="Normal 2 19 8 2 4 3" xfId="2755" xr:uid="{00000000-0005-0000-0000-0000C30A0000}"/>
    <cellStyle name="Normal 2 19 8 2 5" xfId="2756" xr:uid="{00000000-0005-0000-0000-0000C40A0000}"/>
    <cellStyle name="Normal 2 19 8 2 6" xfId="2757" xr:uid="{00000000-0005-0000-0000-0000C50A0000}"/>
    <cellStyle name="Normal 2 19 8 3" xfId="2758" xr:uid="{00000000-0005-0000-0000-0000C60A0000}"/>
    <cellStyle name="Normal 2 19 8 3 2" xfId="2759" xr:uid="{00000000-0005-0000-0000-0000C70A0000}"/>
    <cellStyle name="Normal 2 19 8 3 2 2" xfId="2760" xr:uid="{00000000-0005-0000-0000-0000C80A0000}"/>
    <cellStyle name="Normal 2 19 8 3 2 2 2" xfId="2761" xr:uid="{00000000-0005-0000-0000-0000C90A0000}"/>
    <cellStyle name="Normal 2 19 8 3 2 2 3" xfId="2762" xr:uid="{00000000-0005-0000-0000-0000CA0A0000}"/>
    <cellStyle name="Normal 2 19 8 3 2 3" xfId="2763" xr:uid="{00000000-0005-0000-0000-0000CB0A0000}"/>
    <cellStyle name="Normal 2 19 8 3 2 4" xfId="2764" xr:uid="{00000000-0005-0000-0000-0000CC0A0000}"/>
    <cellStyle name="Normal 2 19 8 3 3" xfId="2765" xr:uid="{00000000-0005-0000-0000-0000CD0A0000}"/>
    <cellStyle name="Normal 2 19 8 3 3 2" xfId="2766" xr:uid="{00000000-0005-0000-0000-0000CE0A0000}"/>
    <cellStyle name="Normal 2 19 8 3 3 2 2" xfId="2767" xr:uid="{00000000-0005-0000-0000-0000CF0A0000}"/>
    <cellStyle name="Normal 2 19 8 3 3 2 3" xfId="2768" xr:uid="{00000000-0005-0000-0000-0000D00A0000}"/>
    <cellStyle name="Normal 2 19 8 3 3 3" xfId="2769" xr:uid="{00000000-0005-0000-0000-0000D10A0000}"/>
    <cellStyle name="Normal 2 19 8 3 3 4" xfId="2770" xr:uid="{00000000-0005-0000-0000-0000D20A0000}"/>
    <cellStyle name="Normal 2 19 8 3 4" xfId="2771" xr:uid="{00000000-0005-0000-0000-0000D30A0000}"/>
    <cellStyle name="Normal 2 19 8 3 4 2" xfId="2772" xr:uid="{00000000-0005-0000-0000-0000D40A0000}"/>
    <cellStyle name="Normal 2 19 8 3 4 3" xfId="2773" xr:uid="{00000000-0005-0000-0000-0000D50A0000}"/>
    <cellStyle name="Normal 2 19 8 3 5" xfId="2774" xr:uid="{00000000-0005-0000-0000-0000D60A0000}"/>
    <cellStyle name="Normal 2 19 8 3 6" xfId="2775" xr:uid="{00000000-0005-0000-0000-0000D70A0000}"/>
    <cellStyle name="Normal 2 19 8 4" xfId="2776" xr:uid="{00000000-0005-0000-0000-0000D80A0000}"/>
    <cellStyle name="Normal 2 19 8 4 2" xfId="2777" xr:uid="{00000000-0005-0000-0000-0000D90A0000}"/>
    <cellStyle name="Normal 2 19 8 4 2 2" xfId="2778" xr:uid="{00000000-0005-0000-0000-0000DA0A0000}"/>
    <cellStyle name="Normal 2 19 8 4 2 3" xfId="2779" xr:uid="{00000000-0005-0000-0000-0000DB0A0000}"/>
    <cellStyle name="Normal 2 19 8 4 3" xfId="2780" xr:uid="{00000000-0005-0000-0000-0000DC0A0000}"/>
    <cellStyle name="Normal 2 19 8 4 4" xfId="2781" xr:uid="{00000000-0005-0000-0000-0000DD0A0000}"/>
    <cellStyle name="Normal 2 19 8 5" xfId="2782" xr:uid="{00000000-0005-0000-0000-0000DE0A0000}"/>
    <cellStyle name="Normal 2 19 8 5 2" xfId="2783" xr:uid="{00000000-0005-0000-0000-0000DF0A0000}"/>
    <cellStyle name="Normal 2 19 8 5 2 2" xfId="2784" xr:uid="{00000000-0005-0000-0000-0000E00A0000}"/>
    <cellStyle name="Normal 2 19 8 5 2 3" xfId="2785" xr:uid="{00000000-0005-0000-0000-0000E10A0000}"/>
    <cellStyle name="Normal 2 19 8 5 3" xfId="2786" xr:uid="{00000000-0005-0000-0000-0000E20A0000}"/>
    <cellStyle name="Normal 2 19 8 5 4" xfId="2787" xr:uid="{00000000-0005-0000-0000-0000E30A0000}"/>
    <cellStyle name="Normal 2 19 8 6" xfId="2788" xr:uid="{00000000-0005-0000-0000-0000E40A0000}"/>
    <cellStyle name="Normal 2 19 8 6 2" xfId="2789" xr:uid="{00000000-0005-0000-0000-0000E50A0000}"/>
    <cellStyle name="Normal 2 19 8 6 3" xfId="2790" xr:uid="{00000000-0005-0000-0000-0000E60A0000}"/>
    <cellStyle name="Normal 2 19 8 7" xfId="2791" xr:uid="{00000000-0005-0000-0000-0000E70A0000}"/>
    <cellStyle name="Normal 2 19 8 8" xfId="2792" xr:uid="{00000000-0005-0000-0000-0000E80A0000}"/>
    <cellStyle name="Normal 2 19 9" xfId="2793" xr:uid="{00000000-0005-0000-0000-0000E90A0000}"/>
    <cellStyle name="Normal 2 19 9 2" xfId="2794" xr:uid="{00000000-0005-0000-0000-0000EA0A0000}"/>
    <cellStyle name="Normal 2 19 9 2 2" xfId="2795" xr:uid="{00000000-0005-0000-0000-0000EB0A0000}"/>
    <cellStyle name="Normal 2 19 9 2 2 2" xfId="2796" xr:uid="{00000000-0005-0000-0000-0000EC0A0000}"/>
    <cellStyle name="Normal 2 19 9 2 2 2 2" xfId="2797" xr:uid="{00000000-0005-0000-0000-0000ED0A0000}"/>
    <cellStyle name="Normal 2 19 9 2 2 2 3" xfId="2798" xr:uid="{00000000-0005-0000-0000-0000EE0A0000}"/>
    <cellStyle name="Normal 2 19 9 2 2 3" xfId="2799" xr:uid="{00000000-0005-0000-0000-0000EF0A0000}"/>
    <cellStyle name="Normal 2 19 9 2 2 4" xfId="2800" xr:uid="{00000000-0005-0000-0000-0000F00A0000}"/>
    <cellStyle name="Normal 2 19 9 2 3" xfId="2801" xr:uid="{00000000-0005-0000-0000-0000F10A0000}"/>
    <cellStyle name="Normal 2 19 9 2 3 2" xfId="2802" xr:uid="{00000000-0005-0000-0000-0000F20A0000}"/>
    <cellStyle name="Normal 2 19 9 2 3 2 2" xfId="2803" xr:uid="{00000000-0005-0000-0000-0000F30A0000}"/>
    <cellStyle name="Normal 2 19 9 2 3 2 3" xfId="2804" xr:uid="{00000000-0005-0000-0000-0000F40A0000}"/>
    <cellStyle name="Normal 2 19 9 2 3 3" xfId="2805" xr:uid="{00000000-0005-0000-0000-0000F50A0000}"/>
    <cellStyle name="Normal 2 19 9 2 3 4" xfId="2806" xr:uid="{00000000-0005-0000-0000-0000F60A0000}"/>
    <cellStyle name="Normal 2 19 9 2 4" xfId="2807" xr:uid="{00000000-0005-0000-0000-0000F70A0000}"/>
    <cellStyle name="Normal 2 19 9 2 4 2" xfId="2808" xr:uid="{00000000-0005-0000-0000-0000F80A0000}"/>
    <cellStyle name="Normal 2 19 9 2 4 3" xfId="2809" xr:uid="{00000000-0005-0000-0000-0000F90A0000}"/>
    <cellStyle name="Normal 2 19 9 2 5" xfId="2810" xr:uid="{00000000-0005-0000-0000-0000FA0A0000}"/>
    <cellStyle name="Normal 2 19 9 2 6" xfId="2811" xr:uid="{00000000-0005-0000-0000-0000FB0A0000}"/>
    <cellStyle name="Normal 2 19 9 3" xfId="2812" xr:uid="{00000000-0005-0000-0000-0000FC0A0000}"/>
    <cellStyle name="Normal 2 19 9 3 2" xfId="2813" xr:uid="{00000000-0005-0000-0000-0000FD0A0000}"/>
    <cellStyle name="Normal 2 19 9 3 2 2" xfId="2814" xr:uid="{00000000-0005-0000-0000-0000FE0A0000}"/>
    <cellStyle name="Normal 2 19 9 3 2 2 2" xfId="2815" xr:uid="{00000000-0005-0000-0000-0000FF0A0000}"/>
    <cellStyle name="Normal 2 19 9 3 2 2 3" xfId="2816" xr:uid="{00000000-0005-0000-0000-0000000B0000}"/>
    <cellStyle name="Normal 2 19 9 3 2 3" xfId="2817" xr:uid="{00000000-0005-0000-0000-0000010B0000}"/>
    <cellStyle name="Normal 2 19 9 3 2 4" xfId="2818" xr:uid="{00000000-0005-0000-0000-0000020B0000}"/>
    <cellStyle name="Normal 2 19 9 3 3" xfId="2819" xr:uid="{00000000-0005-0000-0000-0000030B0000}"/>
    <cellStyle name="Normal 2 19 9 3 3 2" xfId="2820" xr:uid="{00000000-0005-0000-0000-0000040B0000}"/>
    <cellStyle name="Normal 2 19 9 3 3 2 2" xfId="2821" xr:uid="{00000000-0005-0000-0000-0000050B0000}"/>
    <cellStyle name="Normal 2 19 9 3 3 2 3" xfId="2822" xr:uid="{00000000-0005-0000-0000-0000060B0000}"/>
    <cellStyle name="Normal 2 19 9 3 3 3" xfId="2823" xr:uid="{00000000-0005-0000-0000-0000070B0000}"/>
    <cellStyle name="Normal 2 19 9 3 3 4" xfId="2824" xr:uid="{00000000-0005-0000-0000-0000080B0000}"/>
    <cellStyle name="Normal 2 19 9 3 4" xfId="2825" xr:uid="{00000000-0005-0000-0000-0000090B0000}"/>
    <cellStyle name="Normal 2 19 9 3 4 2" xfId="2826" xr:uid="{00000000-0005-0000-0000-00000A0B0000}"/>
    <cellStyle name="Normal 2 19 9 3 4 3" xfId="2827" xr:uid="{00000000-0005-0000-0000-00000B0B0000}"/>
    <cellStyle name="Normal 2 19 9 3 5" xfId="2828" xr:uid="{00000000-0005-0000-0000-00000C0B0000}"/>
    <cellStyle name="Normal 2 19 9 3 6" xfId="2829" xr:uid="{00000000-0005-0000-0000-00000D0B0000}"/>
    <cellStyle name="Normal 2 19 9 4" xfId="2830" xr:uid="{00000000-0005-0000-0000-00000E0B0000}"/>
    <cellStyle name="Normal 2 19 9 4 2" xfId="2831" xr:uid="{00000000-0005-0000-0000-00000F0B0000}"/>
    <cellStyle name="Normal 2 19 9 4 2 2" xfId="2832" xr:uid="{00000000-0005-0000-0000-0000100B0000}"/>
    <cellStyle name="Normal 2 19 9 4 2 3" xfId="2833" xr:uid="{00000000-0005-0000-0000-0000110B0000}"/>
    <cellStyle name="Normal 2 19 9 4 3" xfId="2834" xr:uid="{00000000-0005-0000-0000-0000120B0000}"/>
    <cellStyle name="Normal 2 19 9 4 4" xfId="2835" xr:uid="{00000000-0005-0000-0000-0000130B0000}"/>
    <cellStyle name="Normal 2 19 9 5" xfId="2836" xr:uid="{00000000-0005-0000-0000-0000140B0000}"/>
    <cellStyle name="Normal 2 19 9 5 2" xfId="2837" xr:uid="{00000000-0005-0000-0000-0000150B0000}"/>
    <cellStyle name="Normal 2 19 9 5 2 2" xfId="2838" xr:uid="{00000000-0005-0000-0000-0000160B0000}"/>
    <cellStyle name="Normal 2 19 9 5 2 3" xfId="2839" xr:uid="{00000000-0005-0000-0000-0000170B0000}"/>
    <cellStyle name="Normal 2 19 9 5 3" xfId="2840" xr:uid="{00000000-0005-0000-0000-0000180B0000}"/>
    <cellStyle name="Normal 2 19 9 5 4" xfId="2841" xr:uid="{00000000-0005-0000-0000-0000190B0000}"/>
    <cellStyle name="Normal 2 19 9 6" xfId="2842" xr:uid="{00000000-0005-0000-0000-00001A0B0000}"/>
    <cellStyle name="Normal 2 19 9 6 2" xfId="2843" xr:uid="{00000000-0005-0000-0000-00001B0B0000}"/>
    <cellStyle name="Normal 2 19 9 6 3" xfId="2844" xr:uid="{00000000-0005-0000-0000-00001C0B0000}"/>
    <cellStyle name="Normal 2 19 9 7" xfId="2845" xr:uid="{00000000-0005-0000-0000-00001D0B0000}"/>
    <cellStyle name="Normal 2 19 9 8" xfId="2846" xr:uid="{00000000-0005-0000-0000-00001E0B0000}"/>
    <cellStyle name="Normal 2 2" xfId="2847" xr:uid="{00000000-0005-0000-0000-00001F0B0000}"/>
    <cellStyle name="Normal 2 2 2" xfId="4216" xr:uid="{00000000-0005-0000-0000-0000200B0000}"/>
    <cellStyle name="Normal 2 2 3" xfId="4215" xr:uid="{00000000-0005-0000-0000-0000210B0000}"/>
    <cellStyle name="Normal 2 20" xfId="2848" xr:uid="{00000000-0005-0000-0000-0000220B0000}"/>
    <cellStyle name="Normal 2 20 10" xfId="2849" xr:uid="{00000000-0005-0000-0000-0000230B0000}"/>
    <cellStyle name="Normal 2 20 10 2" xfId="2850" xr:uid="{00000000-0005-0000-0000-0000240B0000}"/>
    <cellStyle name="Normal 2 20 10 2 2" xfId="2851" xr:uid="{00000000-0005-0000-0000-0000250B0000}"/>
    <cellStyle name="Normal 2 20 10 2 2 2" xfId="2852" xr:uid="{00000000-0005-0000-0000-0000260B0000}"/>
    <cellStyle name="Normal 2 20 10 2 2 2 2" xfId="2853" xr:uid="{00000000-0005-0000-0000-0000270B0000}"/>
    <cellStyle name="Normal 2 20 10 2 2 2 3" xfId="2854" xr:uid="{00000000-0005-0000-0000-0000280B0000}"/>
    <cellStyle name="Normal 2 20 10 2 2 3" xfId="2855" xr:uid="{00000000-0005-0000-0000-0000290B0000}"/>
    <cellStyle name="Normal 2 20 10 2 2 4" xfId="2856" xr:uid="{00000000-0005-0000-0000-00002A0B0000}"/>
    <cellStyle name="Normal 2 20 10 2 3" xfId="2857" xr:uid="{00000000-0005-0000-0000-00002B0B0000}"/>
    <cellStyle name="Normal 2 20 10 2 3 2" xfId="2858" xr:uid="{00000000-0005-0000-0000-00002C0B0000}"/>
    <cellStyle name="Normal 2 20 10 2 3 2 2" xfId="2859" xr:uid="{00000000-0005-0000-0000-00002D0B0000}"/>
    <cellStyle name="Normal 2 20 10 2 3 2 3" xfId="2860" xr:uid="{00000000-0005-0000-0000-00002E0B0000}"/>
    <cellStyle name="Normal 2 20 10 2 3 3" xfId="2861" xr:uid="{00000000-0005-0000-0000-00002F0B0000}"/>
    <cellStyle name="Normal 2 20 10 2 3 4" xfId="2862" xr:uid="{00000000-0005-0000-0000-0000300B0000}"/>
    <cellStyle name="Normal 2 20 10 2 4" xfId="2863" xr:uid="{00000000-0005-0000-0000-0000310B0000}"/>
    <cellStyle name="Normal 2 20 10 2 4 2" xfId="2864" xr:uid="{00000000-0005-0000-0000-0000320B0000}"/>
    <cellStyle name="Normal 2 20 10 2 4 3" xfId="2865" xr:uid="{00000000-0005-0000-0000-0000330B0000}"/>
    <cellStyle name="Normal 2 20 10 2 5" xfId="2866" xr:uid="{00000000-0005-0000-0000-0000340B0000}"/>
    <cellStyle name="Normal 2 20 10 2 6" xfId="2867" xr:uid="{00000000-0005-0000-0000-0000350B0000}"/>
    <cellStyle name="Normal 2 20 10 3" xfId="2868" xr:uid="{00000000-0005-0000-0000-0000360B0000}"/>
    <cellStyle name="Normal 2 20 10 3 2" xfId="2869" xr:uid="{00000000-0005-0000-0000-0000370B0000}"/>
    <cellStyle name="Normal 2 20 10 3 2 2" xfId="2870" xr:uid="{00000000-0005-0000-0000-0000380B0000}"/>
    <cellStyle name="Normal 2 20 10 3 2 2 2" xfId="2871" xr:uid="{00000000-0005-0000-0000-0000390B0000}"/>
    <cellStyle name="Normal 2 20 10 3 2 2 3" xfId="2872" xr:uid="{00000000-0005-0000-0000-00003A0B0000}"/>
    <cellStyle name="Normal 2 20 10 3 2 3" xfId="2873" xr:uid="{00000000-0005-0000-0000-00003B0B0000}"/>
    <cellStyle name="Normal 2 20 10 3 2 4" xfId="2874" xr:uid="{00000000-0005-0000-0000-00003C0B0000}"/>
    <cellStyle name="Normal 2 20 10 3 3" xfId="2875" xr:uid="{00000000-0005-0000-0000-00003D0B0000}"/>
    <cellStyle name="Normal 2 20 10 3 3 2" xfId="2876" xr:uid="{00000000-0005-0000-0000-00003E0B0000}"/>
    <cellStyle name="Normal 2 20 10 3 3 2 2" xfId="2877" xr:uid="{00000000-0005-0000-0000-00003F0B0000}"/>
    <cellStyle name="Normal 2 20 10 3 3 2 3" xfId="2878" xr:uid="{00000000-0005-0000-0000-0000400B0000}"/>
    <cellStyle name="Normal 2 20 10 3 3 3" xfId="2879" xr:uid="{00000000-0005-0000-0000-0000410B0000}"/>
    <cellStyle name="Normal 2 20 10 3 3 4" xfId="2880" xr:uid="{00000000-0005-0000-0000-0000420B0000}"/>
    <cellStyle name="Normal 2 20 10 3 4" xfId="2881" xr:uid="{00000000-0005-0000-0000-0000430B0000}"/>
    <cellStyle name="Normal 2 20 10 3 4 2" xfId="2882" xr:uid="{00000000-0005-0000-0000-0000440B0000}"/>
    <cellStyle name="Normal 2 20 10 3 4 3" xfId="2883" xr:uid="{00000000-0005-0000-0000-0000450B0000}"/>
    <cellStyle name="Normal 2 20 10 3 5" xfId="2884" xr:uid="{00000000-0005-0000-0000-0000460B0000}"/>
    <cellStyle name="Normal 2 20 10 3 6" xfId="2885" xr:uid="{00000000-0005-0000-0000-0000470B0000}"/>
    <cellStyle name="Normal 2 20 10 4" xfId="2886" xr:uid="{00000000-0005-0000-0000-0000480B0000}"/>
    <cellStyle name="Normal 2 20 10 4 2" xfId="2887" xr:uid="{00000000-0005-0000-0000-0000490B0000}"/>
    <cellStyle name="Normal 2 20 10 4 2 2" xfId="2888" xr:uid="{00000000-0005-0000-0000-00004A0B0000}"/>
    <cellStyle name="Normal 2 20 10 4 2 3" xfId="2889" xr:uid="{00000000-0005-0000-0000-00004B0B0000}"/>
    <cellStyle name="Normal 2 20 10 4 3" xfId="2890" xr:uid="{00000000-0005-0000-0000-00004C0B0000}"/>
    <cellStyle name="Normal 2 20 10 4 4" xfId="2891" xr:uid="{00000000-0005-0000-0000-00004D0B0000}"/>
    <cellStyle name="Normal 2 20 10 5" xfId="2892" xr:uid="{00000000-0005-0000-0000-00004E0B0000}"/>
    <cellStyle name="Normal 2 20 10 5 2" xfId="2893" xr:uid="{00000000-0005-0000-0000-00004F0B0000}"/>
    <cellStyle name="Normal 2 20 10 5 2 2" xfId="2894" xr:uid="{00000000-0005-0000-0000-0000500B0000}"/>
    <cellStyle name="Normal 2 20 10 5 2 3" xfId="2895" xr:uid="{00000000-0005-0000-0000-0000510B0000}"/>
    <cellStyle name="Normal 2 20 10 5 3" xfId="2896" xr:uid="{00000000-0005-0000-0000-0000520B0000}"/>
    <cellStyle name="Normal 2 20 10 5 4" xfId="2897" xr:uid="{00000000-0005-0000-0000-0000530B0000}"/>
    <cellStyle name="Normal 2 20 10 6" xfId="2898" xr:uid="{00000000-0005-0000-0000-0000540B0000}"/>
    <cellStyle name="Normal 2 20 10 6 2" xfId="2899" xr:uid="{00000000-0005-0000-0000-0000550B0000}"/>
    <cellStyle name="Normal 2 20 10 6 3" xfId="2900" xr:uid="{00000000-0005-0000-0000-0000560B0000}"/>
    <cellStyle name="Normal 2 20 10 7" xfId="2901" xr:uid="{00000000-0005-0000-0000-0000570B0000}"/>
    <cellStyle name="Normal 2 20 10 8" xfId="2902" xr:uid="{00000000-0005-0000-0000-0000580B0000}"/>
    <cellStyle name="Normal 2 20 11" xfId="2903" xr:uid="{00000000-0005-0000-0000-0000590B0000}"/>
    <cellStyle name="Normal 2 20 11 2" xfId="2904" xr:uid="{00000000-0005-0000-0000-00005A0B0000}"/>
    <cellStyle name="Normal 2 20 11 2 2" xfId="2905" xr:uid="{00000000-0005-0000-0000-00005B0B0000}"/>
    <cellStyle name="Normal 2 20 11 2 2 2" xfId="2906" xr:uid="{00000000-0005-0000-0000-00005C0B0000}"/>
    <cellStyle name="Normal 2 20 11 2 2 2 2" xfId="2907" xr:uid="{00000000-0005-0000-0000-00005D0B0000}"/>
    <cellStyle name="Normal 2 20 11 2 2 2 3" xfId="2908" xr:uid="{00000000-0005-0000-0000-00005E0B0000}"/>
    <cellStyle name="Normal 2 20 11 2 2 3" xfId="2909" xr:uid="{00000000-0005-0000-0000-00005F0B0000}"/>
    <cellStyle name="Normal 2 20 11 2 2 4" xfId="2910" xr:uid="{00000000-0005-0000-0000-0000600B0000}"/>
    <cellStyle name="Normal 2 20 11 2 3" xfId="2911" xr:uid="{00000000-0005-0000-0000-0000610B0000}"/>
    <cellStyle name="Normal 2 20 11 2 3 2" xfId="2912" xr:uid="{00000000-0005-0000-0000-0000620B0000}"/>
    <cellStyle name="Normal 2 20 11 2 3 2 2" xfId="2913" xr:uid="{00000000-0005-0000-0000-0000630B0000}"/>
    <cellStyle name="Normal 2 20 11 2 3 2 3" xfId="2914" xr:uid="{00000000-0005-0000-0000-0000640B0000}"/>
    <cellStyle name="Normal 2 20 11 2 3 3" xfId="2915" xr:uid="{00000000-0005-0000-0000-0000650B0000}"/>
    <cellStyle name="Normal 2 20 11 2 3 4" xfId="2916" xr:uid="{00000000-0005-0000-0000-0000660B0000}"/>
    <cellStyle name="Normal 2 20 11 2 4" xfId="2917" xr:uid="{00000000-0005-0000-0000-0000670B0000}"/>
    <cellStyle name="Normal 2 20 11 2 4 2" xfId="2918" xr:uid="{00000000-0005-0000-0000-0000680B0000}"/>
    <cellStyle name="Normal 2 20 11 2 4 3" xfId="2919" xr:uid="{00000000-0005-0000-0000-0000690B0000}"/>
    <cellStyle name="Normal 2 20 11 2 5" xfId="2920" xr:uid="{00000000-0005-0000-0000-00006A0B0000}"/>
    <cellStyle name="Normal 2 20 11 2 6" xfId="2921" xr:uid="{00000000-0005-0000-0000-00006B0B0000}"/>
    <cellStyle name="Normal 2 20 11 3" xfId="2922" xr:uid="{00000000-0005-0000-0000-00006C0B0000}"/>
    <cellStyle name="Normal 2 20 11 3 2" xfId="2923" xr:uid="{00000000-0005-0000-0000-00006D0B0000}"/>
    <cellStyle name="Normal 2 20 11 3 2 2" xfId="2924" xr:uid="{00000000-0005-0000-0000-00006E0B0000}"/>
    <cellStyle name="Normal 2 20 11 3 2 2 2" xfId="2925" xr:uid="{00000000-0005-0000-0000-00006F0B0000}"/>
    <cellStyle name="Normal 2 20 11 3 2 2 3" xfId="2926" xr:uid="{00000000-0005-0000-0000-0000700B0000}"/>
    <cellStyle name="Normal 2 20 11 3 2 3" xfId="2927" xr:uid="{00000000-0005-0000-0000-0000710B0000}"/>
    <cellStyle name="Normal 2 20 11 3 2 4" xfId="2928" xr:uid="{00000000-0005-0000-0000-0000720B0000}"/>
    <cellStyle name="Normal 2 20 11 3 3" xfId="2929" xr:uid="{00000000-0005-0000-0000-0000730B0000}"/>
    <cellStyle name="Normal 2 20 11 3 3 2" xfId="2930" xr:uid="{00000000-0005-0000-0000-0000740B0000}"/>
    <cellStyle name="Normal 2 20 11 3 3 2 2" xfId="2931" xr:uid="{00000000-0005-0000-0000-0000750B0000}"/>
    <cellStyle name="Normal 2 20 11 3 3 2 3" xfId="2932" xr:uid="{00000000-0005-0000-0000-0000760B0000}"/>
    <cellStyle name="Normal 2 20 11 3 3 3" xfId="2933" xr:uid="{00000000-0005-0000-0000-0000770B0000}"/>
    <cellStyle name="Normal 2 20 11 3 3 4" xfId="2934" xr:uid="{00000000-0005-0000-0000-0000780B0000}"/>
    <cellStyle name="Normal 2 20 11 3 4" xfId="2935" xr:uid="{00000000-0005-0000-0000-0000790B0000}"/>
    <cellStyle name="Normal 2 20 11 3 4 2" xfId="2936" xr:uid="{00000000-0005-0000-0000-00007A0B0000}"/>
    <cellStyle name="Normal 2 20 11 3 4 3" xfId="2937" xr:uid="{00000000-0005-0000-0000-00007B0B0000}"/>
    <cellStyle name="Normal 2 20 11 3 5" xfId="2938" xr:uid="{00000000-0005-0000-0000-00007C0B0000}"/>
    <cellStyle name="Normal 2 20 11 3 6" xfId="2939" xr:uid="{00000000-0005-0000-0000-00007D0B0000}"/>
    <cellStyle name="Normal 2 20 11 4" xfId="2940" xr:uid="{00000000-0005-0000-0000-00007E0B0000}"/>
    <cellStyle name="Normal 2 20 11 4 2" xfId="2941" xr:uid="{00000000-0005-0000-0000-00007F0B0000}"/>
    <cellStyle name="Normal 2 20 11 4 2 2" xfId="2942" xr:uid="{00000000-0005-0000-0000-0000800B0000}"/>
    <cellStyle name="Normal 2 20 11 4 2 3" xfId="2943" xr:uid="{00000000-0005-0000-0000-0000810B0000}"/>
    <cellStyle name="Normal 2 20 11 4 3" xfId="2944" xr:uid="{00000000-0005-0000-0000-0000820B0000}"/>
    <cellStyle name="Normal 2 20 11 4 4" xfId="2945" xr:uid="{00000000-0005-0000-0000-0000830B0000}"/>
    <cellStyle name="Normal 2 20 11 5" xfId="2946" xr:uid="{00000000-0005-0000-0000-0000840B0000}"/>
    <cellStyle name="Normal 2 20 11 5 2" xfId="2947" xr:uid="{00000000-0005-0000-0000-0000850B0000}"/>
    <cellStyle name="Normal 2 20 11 5 2 2" xfId="2948" xr:uid="{00000000-0005-0000-0000-0000860B0000}"/>
    <cellStyle name="Normal 2 20 11 5 2 3" xfId="2949" xr:uid="{00000000-0005-0000-0000-0000870B0000}"/>
    <cellStyle name="Normal 2 20 11 5 3" xfId="2950" xr:uid="{00000000-0005-0000-0000-0000880B0000}"/>
    <cellStyle name="Normal 2 20 11 5 4" xfId="2951" xr:uid="{00000000-0005-0000-0000-0000890B0000}"/>
    <cellStyle name="Normal 2 20 11 6" xfId="2952" xr:uid="{00000000-0005-0000-0000-00008A0B0000}"/>
    <cellStyle name="Normal 2 20 11 6 2" xfId="2953" xr:uid="{00000000-0005-0000-0000-00008B0B0000}"/>
    <cellStyle name="Normal 2 20 11 6 3" xfId="2954" xr:uid="{00000000-0005-0000-0000-00008C0B0000}"/>
    <cellStyle name="Normal 2 20 11 7" xfId="2955" xr:uid="{00000000-0005-0000-0000-00008D0B0000}"/>
    <cellStyle name="Normal 2 20 11 8" xfId="2956" xr:uid="{00000000-0005-0000-0000-00008E0B0000}"/>
    <cellStyle name="Normal 2 20 12" xfId="2957" xr:uid="{00000000-0005-0000-0000-00008F0B0000}"/>
    <cellStyle name="Normal 2 20 12 2" xfId="2958" xr:uid="{00000000-0005-0000-0000-0000900B0000}"/>
    <cellStyle name="Normal 2 20 12 2 2" xfId="2959" xr:uid="{00000000-0005-0000-0000-0000910B0000}"/>
    <cellStyle name="Normal 2 20 12 2 2 2" xfId="2960" xr:uid="{00000000-0005-0000-0000-0000920B0000}"/>
    <cellStyle name="Normal 2 20 12 2 2 2 2" xfId="2961" xr:uid="{00000000-0005-0000-0000-0000930B0000}"/>
    <cellStyle name="Normal 2 20 12 2 2 2 3" xfId="2962" xr:uid="{00000000-0005-0000-0000-0000940B0000}"/>
    <cellStyle name="Normal 2 20 12 2 2 3" xfId="2963" xr:uid="{00000000-0005-0000-0000-0000950B0000}"/>
    <cellStyle name="Normal 2 20 12 2 2 4" xfId="2964" xr:uid="{00000000-0005-0000-0000-0000960B0000}"/>
    <cellStyle name="Normal 2 20 12 2 3" xfId="2965" xr:uid="{00000000-0005-0000-0000-0000970B0000}"/>
    <cellStyle name="Normal 2 20 12 2 3 2" xfId="2966" xr:uid="{00000000-0005-0000-0000-0000980B0000}"/>
    <cellStyle name="Normal 2 20 12 2 3 2 2" xfId="2967" xr:uid="{00000000-0005-0000-0000-0000990B0000}"/>
    <cellStyle name="Normal 2 20 12 2 3 2 3" xfId="2968" xr:uid="{00000000-0005-0000-0000-00009A0B0000}"/>
    <cellStyle name="Normal 2 20 12 2 3 3" xfId="2969" xr:uid="{00000000-0005-0000-0000-00009B0B0000}"/>
    <cellStyle name="Normal 2 20 12 2 3 4" xfId="2970" xr:uid="{00000000-0005-0000-0000-00009C0B0000}"/>
    <cellStyle name="Normal 2 20 12 2 4" xfId="2971" xr:uid="{00000000-0005-0000-0000-00009D0B0000}"/>
    <cellStyle name="Normal 2 20 12 2 4 2" xfId="2972" xr:uid="{00000000-0005-0000-0000-00009E0B0000}"/>
    <cellStyle name="Normal 2 20 12 2 4 3" xfId="2973" xr:uid="{00000000-0005-0000-0000-00009F0B0000}"/>
    <cellStyle name="Normal 2 20 12 2 5" xfId="2974" xr:uid="{00000000-0005-0000-0000-0000A00B0000}"/>
    <cellStyle name="Normal 2 20 12 2 6" xfId="2975" xr:uid="{00000000-0005-0000-0000-0000A10B0000}"/>
    <cellStyle name="Normal 2 20 12 3" xfId="2976" xr:uid="{00000000-0005-0000-0000-0000A20B0000}"/>
    <cellStyle name="Normal 2 20 12 3 2" xfId="2977" xr:uid="{00000000-0005-0000-0000-0000A30B0000}"/>
    <cellStyle name="Normal 2 20 12 3 2 2" xfId="2978" xr:uid="{00000000-0005-0000-0000-0000A40B0000}"/>
    <cellStyle name="Normal 2 20 12 3 2 2 2" xfId="2979" xr:uid="{00000000-0005-0000-0000-0000A50B0000}"/>
    <cellStyle name="Normal 2 20 12 3 2 2 3" xfId="2980" xr:uid="{00000000-0005-0000-0000-0000A60B0000}"/>
    <cellStyle name="Normal 2 20 12 3 2 3" xfId="2981" xr:uid="{00000000-0005-0000-0000-0000A70B0000}"/>
    <cellStyle name="Normal 2 20 12 3 2 4" xfId="2982" xr:uid="{00000000-0005-0000-0000-0000A80B0000}"/>
    <cellStyle name="Normal 2 20 12 3 3" xfId="2983" xr:uid="{00000000-0005-0000-0000-0000A90B0000}"/>
    <cellStyle name="Normal 2 20 12 3 3 2" xfId="2984" xr:uid="{00000000-0005-0000-0000-0000AA0B0000}"/>
    <cellStyle name="Normal 2 20 12 3 3 2 2" xfId="2985" xr:uid="{00000000-0005-0000-0000-0000AB0B0000}"/>
    <cellStyle name="Normal 2 20 12 3 3 2 3" xfId="2986" xr:uid="{00000000-0005-0000-0000-0000AC0B0000}"/>
    <cellStyle name="Normal 2 20 12 3 3 3" xfId="2987" xr:uid="{00000000-0005-0000-0000-0000AD0B0000}"/>
    <cellStyle name="Normal 2 20 12 3 3 4" xfId="2988" xr:uid="{00000000-0005-0000-0000-0000AE0B0000}"/>
    <cellStyle name="Normal 2 20 12 3 4" xfId="2989" xr:uid="{00000000-0005-0000-0000-0000AF0B0000}"/>
    <cellStyle name="Normal 2 20 12 3 4 2" xfId="2990" xr:uid="{00000000-0005-0000-0000-0000B00B0000}"/>
    <cellStyle name="Normal 2 20 12 3 4 3" xfId="2991" xr:uid="{00000000-0005-0000-0000-0000B10B0000}"/>
    <cellStyle name="Normal 2 20 12 3 5" xfId="2992" xr:uid="{00000000-0005-0000-0000-0000B20B0000}"/>
    <cellStyle name="Normal 2 20 12 3 6" xfId="2993" xr:uid="{00000000-0005-0000-0000-0000B30B0000}"/>
    <cellStyle name="Normal 2 20 12 4" xfId="2994" xr:uid="{00000000-0005-0000-0000-0000B40B0000}"/>
    <cellStyle name="Normal 2 20 12 4 2" xfId="2995" xr:uid="{00000000-0005-0000-0000-0000B50B0000}"/>
    <cellStyle name="Normal 2 20 12 4 2 2" xfId="2996" xr:uid="{00000000-0005-0000-0000-0000B60B0000}"/>
    <cellStyle name="Normal 2 20 12 4 2 3" xfId="2997" xr:uid="{00000000-0005-0000-0000-0000B70B0000}"/>
    <cellStyle name="Normal 2 20 12 4 3" xfId="2998" xr:uid="{00000000-0005-0000-0000-0000B80B0000}"/>
    <cellStyle name="Normal 2 20 12 4 4" xfId="2999" xr:uid="{00000000-0005-0000-0000-0000B90B0000}"/>
    <cellStyle name="Normal 2 20 12 5" xfId="3000" xr:uid="{00000000-0005-0000-0000-0000BA0B0000}"/>
    <cellStyle name="Normal 2 20 12 5 2" xfId="3001" xr:uid="{00000000-0005-0000-0000-0000BB0B0000}"/>
    <cellStyle name="Normal 2 20 12 5 2 2" xfId="3002" xr:uid="{00000000-0005-0000-0000-0000BC0B0000}"/>
    <cellStyle name="Normal 2 20 12 5 2 3" xfId="3003" xr:uid="{00000000-0005-0000-0000-0000BD0B0000}"/>
    <cellStyle name="Normal 2 20 12 5 3" xfId="3004" xr:uid="{00000000-0005-0000-0000-0000BE0B0000}"/>
    <cellStyle name="Normal 2 20 12 5 4" xfId="3005" xr:uid="{00000000-0005-0000-0000-0000BF0B0000}"/>
    <cellStyle name="Normal 2 20 12 6" xfId="3006" xr:uid="{00000000-0005-0000-0000-0000C00B0000}"/>
    <cellStyle name="Normal 2 20 12 6 2" xfId="3007" xr:uid="{00000000-0005-0000-0000-0000C10B0000}"/>
    <cellStyle name="Normal 2 20 12 6 3" xfId="3008" xr:uid="{00000000-0005-0000-0000-0000C20B0000}"/>
    <cellStyle name="Normal 2 20 12 7" xfId="3009" xr:uid="{00000000-0005-0000-0000-0000C30B0000}"/>
    <cellStyle name="Normal 2 20 12 8" xfId="3010" xr:uid="{00000000-0005-0000-0000-0000C40B0000}"/>
    <cellStyle name="Normal 2 20 13" xfId="3011" xr:uid="{00000000-0005-0000-0000-0000C50B0000}"/>
    <cellStyle name="Normal 2 20 13 2" xfId="3012" xr:uid="{00000000-0005-0000-0000-0000C60B0000}"/>
    <cellStyle name="Normal 2 20 13 2 2" xfId="3013" xr:uid="{00000000-0005-0000-0000-0000C70B0000}"/>
    <cellStyle name="Normal 2 20 13 2 2 2" xfId="3014" xr:uid="{00000000-0005-0000-0000-0000C80B0000}"/>
    <cellStyle name="Normal 2 20 13 2 2 2 2" xfId="3015" xr:uid="{00000000-0005-0000-0000-0000C90B0000}"/>
    <cellStyle name="Normal 2 20 13 2 2 2 3" xfId="3016" xr:uid="{00000000-0005-0000-0000-0000CA0B0000}"/>
    <cellStyle name="Normal 2 20 13 2 2 3" xfId="3017" xr:uid="{00000000-0005-0000-0000-0000CB0B0000}"/>
    <cellStyle name="Normal 2 20 13 2 2 4" xfId="3018" xr:uid="{00000000-0005-0000-0000-0000CC0B0000}"/>
    <cellStyle name="Normal 2 20 13 2 3" xfId="3019" xr:uid="{00000000-0005-0000-0000-0000CD0B0000}"/>
    <cellStyle name="Normal 2 20 13 2 3 2" xfId="3020" xr:uid="{00000000-0005-0000-0000-0000CE0B0000}"/>
    <cellStyle name="Normal 2 20 13 2 3 2 2" xfId="3021" xr:uid="{00000000-0005-0000-0000-0000CF0B0000}"/>
    <cellStyle name="Normal 2 20 13 2 3 2 3" xfId="3022" xr:uid="{00000000-0005-0000-0000-0000D00B0000}"/>
    <cellStyle name="Normal 2 20 13 2 3 3" xfId="3023" xr:uid="{00000000-0005-0000-0000-0000D10B0000}"/>
    <cellStyle name="Normal 2 20 13 2 3 4" xfId="3024" xr:uid="{00000000-0005-0000-0000-0000D20B0000}"/>
    <cellStyle name="Normal 2 20 13 2 4" xfId="3025" xr:uid="{00000000-0005-0000-0000-0000D30B0000}"/>
    <cellStyle name="Normal 2 20 13 2 4 2" xfId="3026" xr:uid="{00000000-0005-0000-0000-0000D40B0000}"/>
    <cellStyle name="Normal 2 20 13 2 4 3" xfId="3027" xr:uid="{00000000-0005-0000-0000-0000D50B0000}"/>
    <cellStyle name="Normal 2 20 13 2 5" xfId="3028" xr:uid="{00000000-0005-0000-0000-0000D60B0000}"/>
    <cellStyle name="Normal 2 20 13 2 6" xfId="3029" xr:uid="{00000000-0005-0000-0000-0000D70B0000}"/>
    <cellStyle name="Normal 2 20 13 3" xfId="3030" xr:uid="{00000000-0005-0000-0000-0000D80B0000}"/>
    <cellStyle name="Normal 2 20 13 3 2" xfId="3031" xr:uid="{00000000-0005-0000-0000-0000D90B0000}"/>
    <cellStyle name="Normal 2 20 13 3 2 2" xfId="3032" xr:uid="{00000000-0005-0000-0000-0000DA0B0000}"/>
    <cellStyle name="Normal 2 20 13 3 2 2 2" xfId="3033" xr:uid="{00000000-0005-0000-0000-0000DB0B0000}"/>
    <cellStyle name="Normal 2 20 13 3 2 2 3" xfId="3034" xr:uid="{00000000-0005-0000-0000-0000DC0B0000}"/>
    <cellStyle name="Normal 2 20 13 3 2 3" xfId="3035" xr:uid="{00000000-0005-0000-0000-0000DD0B0000}"/>
    <cellStyle name="Normal 2 20 13 3 2 4" xfId="3036" xr:uid="{00000000-0005-0000-0000-0000DE0B0000}"/>
    <cellStyle name="Normal 2 20 13 3 3" xfId="3037" xr:uid="{00000000-0005-0000-0000-0000DF0B0000}"/>
    <cellStyle name="Normal 2 20 13 3 3 2" xfId="3038" xr:uid="{00000000-0005-0000-0000-0000E00B0000}"/>
    <cellStyle name="Normal 2 20 13 3 3 2 2" xfId="3039" xr:uid="{00000000-0005-0000-0000-0000E10B0000}"/>
    <cellStyle name="Normal 2 20 13 3 3 2 3" xfId="3040" xr:uid="{00000000-0005-0000-0000-0000E20B0000}"/>
    <cellStyle name="Normal 2 20 13 3 3 3" xfId="3041" xr:uid="{00000000-0005-0000-0000-0000E30B0000}"/>
    <cellStyle name="Normal 2 20 13 3 3 4" xfId="3042" xr:uid="{00000000-0005-0000-0000-0000E40B0000}"/>
    <cellStyle name="Normal 2 20 13 3 4" xfId="3043" xr:uid="{00000000-0005-0000-0000-0000E50B0000}"/>
    <cellStyle name="Normal 2 20 13 3 4 2" xfId="3044" xr:uid="{00000000-0005-0000-0000-0000E60B0000}"/>
    <cellStyle name="Normal 2 20 13 3 4 3" xfId="3045" xr:uid="{00000000-0005-0000-0000-0000E70B0000}"/>
    <cellStyle name="Normal 2 20 13 3 5" xfId="3046" xr:uid="{00000000-0005-0000-0000-0000E80B0000}"/>
    <cellStyle name="Normal 2 20 13 3 6" xfId="3047" xr:uid="{00000000-0005-0000-0000-0000E90B0000}"/>
    <cellStyle name="Normal 2 20 13 4" xfId="3048" xr:uid="{00000000-0005-0000-0000-0000EA0B0000}"/>
    <cellStyle name="Normal 2 20 13 4 2" xfId="3049" xr:uid="{00000000-0005-0000-0000-0000EB0B0000}"/>
    <cellStyle name="Normal 2 20 13 4 2 2" xfId="3050" xr:uid="{00000000-0005-0000-0000-0000EC0B0000}"/>
    <cellStyle name="Normal 2 20 13 4 2 3" xfId="3051" xr:uid="{00000000-0005-0000-0000-0000ED0B0000}"/>
    <cellStyle name="Normal 2 20 13 4 3" xfId="3052" xr:uid="{00000000-0005-0000-0000-0000EE0B0000}"/>
    <cellStyle name="Normal 2 20 13 4 4" xfId="3053" xr:uid="{00000000-0005-0000-0000-0000EF0B0000}"/>
    <cellStyle name="Normal 2 20 13 5" xfId="3054" xr:uid="{00000000-0005-0000-0000-0000F00B0000}"/>
    <cellStyle name="Normal 2 20 13 5 2" xfId="3055" xr:uid="{00000000-0005-0000-0000-0000F10B0000}"/>
    <cellStyle name="Normal 2 20 13 5 2 2" xfId="3056" xr:uid="{00000000-0005-0000-0000-0000F20B0000}"/>
    <cellStyle name="Normal 2 20 13 5 2 3" xfId="3057" xr:uid="{00000000-0005-0000-0000-0000F30B0000}"/>
    <cellStyle name="Normal 2 20 13 5 3" xfId="3058" xr:uid="{00000000-0005-0000-0000-0000F40B0000}"/>
    <cellStyle name="Normal 2 20 13 5 4" xfId="3059" xr:uid="{00000000-0005-0000-0000-0000F50B0000}"/>
    <cellStyle name="Normal 2 20 13 6" xfId="3060" xr:uid="{00000000-0005-0000-0000-0000F60B0000}"/>
    <cellStyle name="Normal 2 20 13 6 2" xfId="3061" xr:uid="{00000000-0005-0000-0000-0000F70B0000}"/>
    <cellStyle name="Normal 2 20 13 6 3" xfId="3062" xr:uid="{00000000-0005-0000-0000-0000F80B0000}"/>
    <cellStyle name="Normal 2 20 13 7" xfId="3063" xr:uid="{00000000-0005-0000-0000-0000F90B0000}"/>
    <cellStyle name="Normal 2 20 13 8" xfId="3064" xr:uid="{00000000-0005-0000-0000-0000FA0B0000}"/>
    <cellStyle name="Normal 2 20 14" xfId="3065" xr:uid="{00000000-0005-0000-0000-0000FB0B0000}"/>
    <cellStyle name="Normal 2 20 14 2" xfId="3066" xr:uid="{00000000-0005-0000-0000-0000FC0B0000}"/>
    <cellStyle name="Normal 2 20 14 2 2" xfId="3067" xr:uid="{00000000-0005-0000-0000-0000FD0B0000}"/>
    <cellStyle name="Normal 2 20 14 2 2 2" xfId="3068" xr:uid="{00000000-0005-0000-0000-0000FE0B0000}"/>
    <cellStyle name="Normal 2 20 14 2 2 2 2" xfId="3069" xr:uid="{00000000-0005-0000-0000-0000FF0B0000}"/>
    <cellStyle name="Normal 2 20 14 2 2 2 3" xfId="3070" xr:uid="{00000000-0005-0000-0000-0000000C0000}"/>
    <cellStyle name="Normal 2 20 14 2 2 3" xfId="3071" xr:uid="{00000000-0005-0000-0000-0000010C0000}"/>
    <cellStyle name="Normal 2 20 14 2 2 4" xfId="3072" xr:uid="{00000000-0005-0000-0000-0000020C0000}"/>
    <cellStyle name="Normal 2 20 14 2 3" xfId="3073" xr:uid="{00000000-0005-0000-0000-0000030C0000}"/>
    <cellStyle name="Normal 2 20 14 2 3 2" xfId="3074" xr:uid="{00000000-0005-0000-0000-0000040C0000}"/>
    <cellStyle name="Normal 2 20 14 2 3 2 2" xfId="3075" xr:uid="{00000000-0005-0000-0000-0000050C0000}"/>
    <cellStyle name="Normal 2 20 14 2 3 2 3" xfId="3076" xr:uid="{00000000-0005-0000-0000-0000060C0000}"/>
    <cellStyle name="Normal 2 20 14 2 3 3" xfId="3077" xr:uid="{00000000-0005-0000-0000-0000070C0000}"/>
    <cellStyle name="Normal 2 20 14 2 3 4" xfId="3078" xr:uid="{00000000-0005-0000-0000-0000080C0000}"/>
    <cellStyle name="Normal 2 20 14 2 4" xfId="3079" xr:uid="{00000000-0005-0000-0000-0000090C0000}"/>
    <cellStyle name="Normal 2 20 14 2 4 2" xfId="3080" xr:uid="{00000000-0005-0000-0000-00000A0C0000}"/>
    <cellStyle name="Normal 2 20 14 2 4 3" xfId="3081" xr:uid="{00000000-0005-0000-0000-00000B0C0000}"/>
    <cellStyle name="Normal 2 20 14 2 5" xfId="3082" xr:uid="{00000000-0005-0000-0000-00000C0C0000}"/>
    <cellStyle name="Normal 2 20 14 2 6" xfId="3083" xr:uid="{00000000-0005-0000-0000-00000D0C0000}"/>
    <cellStyle name="Normal 2 20 14 3" xfId="3084" xr:uid="{00000000-0005-0000-0000-00000E0C0000}"/>
    <cellStyle name="Normal 2 20 14 3 2" xfId="3085" xr:uid="{00000000-0005-0000-0000-00000F0C0000}"/>
    <cellStyle name="Normal 2 20 14 3 2 2" xfId="3086" xr:uid="{00000000-0005-0000-0000-0000100C0000}"/>
    <cellStyle name="Normal 2 20 14 3 2 2 2" xfId="3087" xr:uid="{00000000-0005-0000-0000-0000110C0000}"/>
    <cellStyle name="Normal 2 20 14 3 2 2 3" xfId="3088" xr:uid="{00000000-0005-0000-0000-0000120C0000}"/>
    <cellStyle name="Normal 2 20 14 3 2 3" xfId="3089" xr:uid="{00000000-0005-0000-0000-0000130C0000}"/>
    <cellStyle name="Normal 2 20 14 3 2 4" xfId="3090" xr:uid="{00000000-0005-0000-0000-0000140C0000}"/>
    <cellStyle name="Normal 2 20 14 3 3" xfId="3091" xr:uid="{00000000-0005-0000-0000-0000150C0000}"/>
    <cellStyle name="Normal 2 20 14 3 3 2" xfId="3092" xr:uid="{00000000-0005-0000-0000-0000160C0000}"/>
    <cellStyle name="Normal 2 20 14 3 3 2 2" xfId="3093" xr:uid="{00000000-0005-0000-0000-0000170C0000}"/>
    <cellStyle name="Normal 2 20 14 3 3 2 3" xfId="3094" xr:uid="{00000000-0005-0000-0000-0000180C0000}"/>
    <cellStyle name="Normal 2 20 14 3 3 3" xfId="3095" xr:uid="{00000000-0005-0000-0000-0000190C0000}"/>
    <cellStyle name="Normal 2 20 14 3 3 4" xfId="3096" xr:uid="{00000000-0005-0000-0000-00001A0C0000}"/>
    <cellStyle name="Normal 2 20 14 3 4" xfId="3097" xr:uid="{00000000-0005-0000-0000-00001B0C0000}"/>
    <cellStyle name="Normal 2 20 14 3 4 2" xfId="3098" xr:uid="{00000000-0005-0000-0000-00001C0C0000}"/>
    <cellStyle name="Normal 2 20 14 3 4 3" xfId="3099" xr:uid="{00000000-0005-0000-0000-00001D0C0000}"/>
    <cellStyle name="Normal 2 20 14 3 5" xfId="3100" xr:uid="{00000000-0005-0000-0000-00001E0C0000}"/>
    <cellStyle name="Normal 2 20 14 3 6" xfId="3101" xr:uid="{00000000-0005-0000-0000-00001F0C0000}"/>
    <cellStyle name="Normal 2 20 14 4" xfId="3102" xr:uid="{00000000-0005-0000-0000-0000200C0000}"/>
    <cellStyle name="Normal 2 20 14 4 2" xfId="3103" xr:uid="{00000000-0005-0000-0000-0000210C0000}"/>
    <cellStyle name="Normal 2 20 14 4 2 2" xfId="3104" xr:uid="{00000000-0005-0000-0000-0000220C0000}"/>
    <cellStyle name="Normal 2 20 14 4 2 3" xfId="3105" xr:uid="{00000000-0005-0000-0000-0000230C0000}"/>
    <cellStyle name="Normal 2 20 14 4 3" xfId="3106" xr:uid="{00000000-0005-0000-0000-0000240C0000}"/>
    <cellStyle name="Normal 2 20 14 4 4" xfId="3107" xr:uid="{00000000-0005-0000-0000-0000250C0000}"/>
    <cellStyle name="Normal 2 20 14 5" xfId="3108" xr:uid="{00000000-0005-0000-0000-0000260C0000}"/>
    <cellStyle name="Normal 2 20 14 5 2" xfId="3109" xr:uid="{00000000-0005-0000-0000-0000270C0000}"/>
    <cellStyle name="Normal 2 20 14 5 2 2" xfId="3110" xr:uid="{00000000-0005-0000-0000-0000280C0000}"/>
    <cellStyle name="Normal 2 20 14 5 2 3" xfId="3111" xr:uid="{00000000-0005-0000-0000-0000290C0000}"/>
    <cellStyle name="Normal 2 20 14 5 3" xfId="3112" xr:uid="{00000000-0005-0000-0000-00002A0C0000}"/>
    <cellStyle name="Normal 2 20 14 5 4" xfId="3113" xr:uid="{00000000-0005-0000-0000-00002B0C0000}"/>
    <cellStyle name="Normal 2 20 14 6" xfId="3114" xr:uid="{00000000-0005-0000-0000-00002C0C0000}"/>
    <cellStyle name="Normal 2 20 14 6 2" xfId="3115" xr:uid="{00000000-0005-0000-0000-00002D0C0000}"/>
    <cellStyle name="Normal 2 20 14 6 3" xfId="3116" xr:uid="{00000000-0005-0000-0000-00002E0C0000}"/>
    <cellStyle name="Normal 2 20 14 7" xfId="3117" xr:uid="{00000000-0005-0000-0000-00002F0C0000}"/>
    <cellStyle name="Normal 2 20 14 8" xfId="3118" xr:uid="{00000000-0005-0000-0000-0000300C0000}"/>
    <cellStyle name="Normal 2 20 15" xfId="3119" xr:uid="{00000000-0005-0000-0000-0000310C0000}"/>
    <cellStyle name="Normal 2 20 15 2" xfId="3120" xr:uid="{00000000-0005-0000-0000-0000320C0000}"/>
    <cellStyle name="Normal 2 20 15 2 2" xfId="3121" xr:uid="{00000000-0005-0000-0000-0000330C0000}"/>
    <cellStyle name="Normal 2 20 15 2 2 2" xfId="3122" xr:uid="{00000000-0005-0000-0000-0000340C0000}"/>
    <cellStyle name="Normal 2 20 15 2 2 2 2" xfId="3123" xr:uid="{00000000-0005-0000-0000-0000350C0000}"/>
    <cellStyle name="Normal 2 20 15 2 2 2 3" xfId="3124" xr:uid="{00000000-0005-0000-0000-0000360C0000}"/>
    <cellStyle name="Normal 2 20 15 2 2 3" xfId="3125" xr:uid="{00000000-0005-0000-0000-0000370C0000}"/>
    <cellStyle name="Normal 2 20 15 2 2 4" xfId="3126" xr:uid="{00000000-0005-0000-0000-0000380C0000}"/>
    <cellStyle name="Normal 2 20 15 2 3" xfId="3127" xr:uid="{00000000-0005-0000-0000-0000390C0000}"/>
    <cellStyle name="Normal 2 20 15 2 3 2" xfId="3128" xr:uid="{00000000-0005-0000-0000-00003A0C0000}"/>
    <cellStyle name="Normal 2 20 15 2 3 2 2" xfId="3129" xr:uid="{00000000-0005-0000-0000-00003B0C0000}"/>
    <cellStyle name="Normal 2 20 15 2 3 2 3" xfId="3130" xr:uid="{00000000-0005-0000-0000-00003C0C0000}"/>
    <cellStyle name="Normal 2 20 15 2 3 3" xfId="3131" xr:uid="{00000000-0005-0000-0000-00003D0C0000}"/>
    <cellStyle name="Normal 2 20 15 2 3 4" xfId="3132" xr:uid="{00000000-0005-0000-0000-00003E0C0000}"/>
    <cellStyle name="Normal 2 20 15 2 4" xfId="3133" xr:uid="{00000000-0005-0000-0000-00003F0C0000}"/>
    <cellStyle name="Normal 2 20 15 2 4 2" xfId="3134" xr:uid="{00000000-0005-0000-0000-0000400C0000}"/>
    <cellStyle name="Normal 2 20 15 2 4 3" xfId="3135" xr:uid="{00000000-0005-0000-0000-0000410C0000}"/>
    <cellStyle name="Normal 2 20 15 2 5" xfId="3136" xr:uid="{00000000-0005-0000-0000-0000420C0000}"/>
    <cellStyle name="Normal 2 20 15 2 6" xfId="3137" xr:uid="{00000000-0005-0000-0000-0000430C0000}"/>
    <cellStyle name="Normal 2 20 15 3" xfId="3138" xr:uid="{00000000-0005-0000-0000-0000440C0000}"/>
    <cellStyle name="Normal 2 20 15 3 2" xfId="3139" xr:uid="{00000000-0005-0000-0000-0000450C0000}"/>
    <cellStyle name="Normal 2 20 15 3 2 2" xfId="3140" xr:uid="{00000000-0005-0000-0000-0000460C0000}"/>
    <cellStyle name="Normal 2 20 15 3 2 2 2" xfId="3141" xr:uid="{00000000-0005-0000-0000-0000470C0000}"/>
    <cellStyle name="Normal 2 20 15 3 2 2 3" xfId="3142" xr:uid="{00000000-0005-0000-0000-0000480C0000}"/>
    <cellStyle name="Normal 2 20 15 3 2 3" xfId="3143" xr:uid="{00000000-0005-0000-0000-0000490C0000}"/>
    <cellStyle name="Normal 2 20 15 3 2 4" xfId="3144" xr:uid="{00000000-0005-0000-0000-00004A0C0000}"/>
    <cellStyle name="Normal 2 20 15 3 3" xfId="3145" xr:uid="{00000000-0005-0000-0000-00004B0C0000}"/>
    <cellStyle name="Normal 2 20 15 3 3 2" xfId="3146" xr:uid="{00000000-0005-0000-0000-00004C0C0000}"/>
    <cellStyle name="Normal 2 20 15 3 3 2 2" xfId="3147" xr:uid="{00000000-0005-0000-0000-00004D0C0000}"/>
    <cellStyle name="Normal 2 20 15 3 3 2 3" xfId="3148" xr:uid="{00000000-0005-0000-0000-00004E0C0000}"/>
    <cellStyle name="Normal 2 20 15 3 3 3" xfId="3149" xr:uid="{00000000-0005-0000-0000-00004F0C0000}"/>
    <cellStyle name="Normal 2 20 15 3 3 4" xfId="3150" xr:uid="{00000000-0005-0000-0000-0000500C0000}"/>
    <cellStyle name="Normal 2 20 15 3 4" xfId="3151" xr:uid="{00000000-0005-0000-0000-0000510C0000}"/>
    <cellStyle name="Normal 2 20 15 3 4 2" xfId="3152" xr:uid="{00000000-0005-0000-0000-0000520C0000}"/>
    <cellStyle name="Normal 2 20 15 3 4 3" xfId="3153" xr:uid="{00000000-0005-0000-0000-0000530C0000}"/>
    <cellStyle name="Normal 2 20 15 3 5" xfId="3154" xr:uid="{00000000-0005-0000-0000-0000540C0000}"/>
    <cellStyle name="Normal 2 20 15 3 6" xfId="3155" xr:uid="{00000000-0005-0000-0000-0000550C0000}"/>
    <cellStyle name="Normal 2 20 15 4" xfId="3156" xr:uid="{00000000-0005-0000-0000-0000560C0000}"/>
    <cellStyle name="Normal 2 20 15 4 2" xfId="3157" xr:uid="{00000000-0005-0000-0000-0000570C0000}"/>
    <cellStyle name="Normal 2 20 15 4 2 2" xfId="3158" xr:uid="{00000000-0005-0000-0000-0000580C0000}"/>
    <cellStyle name="Normal 2 20 15 4 2 3" xfId="3159" xr:uid="{00000000-0005-0000-0000-0000590C0000}"/>
    <cellStyle name="Normal 2 20 15 4 3" xfId="3160" xr:uid="{00000000-0005-0000-0000-00005A0C0000}"/>
    <cellStyle name="Normal 2 20 15 4 4" xfId="3161" xr:uid="{00000000-0005-0000-0000-00005B0C0000}"/>
    <cellStyle name="Normal 2 20 15 5" xfId="3162" xr:uid="{00000000-0005-0000-0000-00005C0C0000}"/>
    <cellStyle name="Normal 2 20 15 5 2" xfId="3163" xr:uid="{00000000-0005-0000-0000-00005D0C0000}"/>
    <cellStyle name="Normal 2 20 15 5 2 2" xfId="3164" xr:uid="{00000000-0005-0000-0000-00005E0C0000}"/>
    <cellStyle name="Normal 2 20 15 5 2 3" xfId="3165" xr:uid="{00000000-0005-0000-0000-00005F0C0000}"/>
    <cellStyle name="Normal 2 20 15 5 3" xfId="3166" xr:uid="{00000000-0005-0000-0000-0000600C0000}"/>
    <cellStyle name="Normal 2 20 15 5 4" xfId="3167" xr:uid="{00000000-0005-0000-0000-0000610C0000}"/>
    <cellStyle name="Normal 2 20 15 6" xfId="3168" xr:uid="{00000000-0005-0000-0000-0000620C0000}"/>
    <cellStyle name="Normal 2 20 15 6 2" xfId="3169" xr:uid="{00000000-0005-0000-0000-0000630C0000}"/>
    <cellStyle name="Normal 2 20 15 6 3" xfId="3170" xr:uid="{00000000-0005-0000-0000-0000640C0000}"/>
    <cellStyle name="Normal 2 20 15 7" xfId="3171" xr:uid="{00000000-0005-0000-0000-0000650C0000}"/>
    <cellStyle name="Normal 2 20 15 8" xfId="3172" xr:uid="{00000000-0005-0000-0000-0000660C0000}"/>
    <cellStyle name="Normal 2 20 16" xfId="3173" xr:uid="{00000000-0005-0000-0000-0000670C0000}"/>
    <cellStyle name="Normal 2 20 16 2" xfId="3174" xr:uid="{00000000-0005-0000-0000-0000680C0000}"/>
    <cellStyle name="Normal 2 20 16 2 2" xfId="3175" xr:uid="{00000000-0005-0000-0000-0000690C0000}"/>
    <cellStyle name="Normal 2 20 16 2 2 2" xfId="3176" xr:uid="{00000000-0005-0000-0000-00006A0C0000}"/>
    <cellStyle name="Normal 2 20 16 2 2 3" xfId="3177" xr:uid="{00000000-0005-0000-0000-00006B0C0000}"/>
    <cellStyle name="Normal 2 20 16 2 3" xfId="3178" xr:uid="{00000000-0005-0000-0000-00006C0C0000}"/>
    <cellStyle name="Normal 2 20 16 2 4" xfId="3179" xr:uid="{00000000-0005-0000-0000-00006D0C0000}"/>
    <cellStyle name="Normal 2 20 16 3" xfId="3180" xr:uid="{00000000-0005-0000-0000-00006E0C0000}"/>
    <cellStyle name="Normal 2 20 16 3 2" xfId="3181" xr:uid="{00000000-0005-0000-0000-00006F0C0000}"/>
    <cellStyle name="Normal 2 20 16 3 2 2" xfId="3182" xr:uid="{00000000-0005-0000-0000-0000700C0000}"/>
    <cellStyle name="Normal 2 20 16 3 2 3" xfId="3183" xr:uid="{00000000-0005-0000-0000-0000710C0000}"/>
    <cellStyle name="Normal 2 20 16 3 3" xfId="3184" xr:uid="{00000000-0005-0000-0000-0000720C0000}"/>
    <cellStyle name="Normal 2 20 16 3 4" xfId="3185" xr:uid="{00000000-0005-0000-0000-0000730C0000}"/>
    <cellStyle name="Normal 2 20 16 4" xfId="3186" xr:uid="{00000000-0005-0000-0000-0000740C0000}"/>
    <cellStyle name="Normal 2 20 16 4 2" xfId="3187" xr:uid="{00000000-0005-0000-0000-0000750C0000}"/>
    <cellStyle name="Normal 2 20 16 4 3" xfId="3188" xr:uid="{00000000-0005-0000-0000-0000760C0000}"/>
    <cellStyle name="Normal 2 20 16 5" xfId="3189" xr:uid="{00000000-0005-0000-0000-0000770C0000}"/>
    <cellStyle name="Normal 2 20 16 6" xfId="3190" xr:uid="{00000000-0005-0000-0000-0000780C0000}"/>
    <cellStyle name="Normal 2 20 17" xfId="3191" xr:uid="{00000000-0005-0000-0000-0000790C0000}"/>
    <cellStyle name="Normal 2 20 17 2" xfId="3192" xr:uid="{00000000-0005-0000-0000-00007A0C0000}"/>
    <cellStyle name="Normal 2 20 17 2 2" xfId="3193" xr:uid="{00000000-0005-0000-0000-00007B0C0000}"/>
    <cellStyle name="Normal 2 20 17 2 2 2" xfId="3194" xr:uid="{00000000-0005-0000-0000-00007C0C0000}"/>
    <cellStyle name="Normal 2 20 17 2 2 3" xfId="3195" xr:uid="{00000000-0005-0000-0000-00007D0C0000}"/>
    <cellStyle name="Normal 2 20 17 2 3" xfId="3196" xr:uid="{00000000-0005-0000-0000-00007E0C0000}"/>
    <cellStyle name="Normal 2 20 17 2 4" xfId="3197" xr:uid="{00000000-0005-0000-0000-00007F0C0000}"/>
    <cellStyle name="Normal 2 20 17 3" xfId="3198" xr:uid="{00000000-0005-0000-0000-0000800C0000}"/>
    <cellStyle name="Normal 2 20 17 3 2" xfId="3199" xr:uid="{00000000-0005-0000-0000-0000810C0000}"/>
    <cellStyle name="Normal 2 20 17 3 2 2" xfId="3200" xr:uid="{00000000-0005-0000-0000-0000820C0000}"/>
    <cellStyle name="Normal 2 20 17 3 2 3" xfId="3201" xr:uid="{00000000-0005-0000-0000-0000830C0000}"/>
    <cellStyle name="Normal 2 20 17 3 3" xfId="3202" xr:uid="{00000000-0005-0000-0000-0000840C0000}"/>
    <cellStyle name="Normal 2 20 17 3 4" xfId="3203" xr:uid="{00000000-0005-0000-0000-0000850C0000}"/>
    <cellStyle name="Normal 2 20 17 4" xfId="3204" xr:uid="{00000000-0005-0000-0000-0000860C0000}"/>
    <cellStyle name="Normal 2 20 17 4 2" xfId="3205" xr:uid="{00000000-0005-0000-0000-0000870C0000}"/>
    <cellStyle name="Normal 2 20 17 4 3" xfId="3206" xr:uid="{00000000-0005-0000-0000-0000880C0000}"/>
    <cellStyle name="Normal 2 20 17 5" xfId="3207" xr:uid="{00000000-0005-0000-0000-0000890C0000}"/>
    <cellStyle name="Normal 2 20 17 6" xfId="3208" xr:uid="{00000000-0005-0000-0000-00008A0C0000}"/>
    <cellStyle name="Normal 2 20 18" xfId="3209" xr:uid="{00000000-0005-0000-0000-00008B0C0000}"/>
    <cellStyle name="Normal 2 20 18 2" xfId="3210" xr:uid="{00000000-0005-0000-0000-00008C0C0000}"/>
    <cellStyle name="Normal 2 20 18 2 2" xfId="3211" xr:uid="{00000000-0005-0000-0000-00008D0C0000}"/>
    <cellStyle name="Normal 2 20 18 2 2 2" xfId="3212" xr:uid="{00000000-0005-0000-0000-00008E0C0000}"/>
    <cellStyle name="Normal 2 20 18 2 2 3" xfId="3213" xr:uid="{00000000-0005-0000-0000-00008F0C0000}"/>
    <cellStyle name="Normal 2 20 18 2 3" xfId="3214" xr:uid="{00000000-0005-0000-0000-0000900C0000}"/>
    <cellStyle name="Normal 2 20 18 2 4" xfId="3215" xr:uid="{00000000-0005-0000-0000-0000910C0000}"/>
    <cellStyle name="Normal 2 20 18 3" xfId="3216" xr:uid="{00000000-0005-0000-0000-0000920C0000}"/>
    <cellStyle name="Normal 2 20 18 3 2" xfId="3217" xr:uid="{00000000-0005-0000-0000-0000930C0000}"/>
    <cellStyle name="Normal 2 20 18 3 2 2" xfId="3218" xr:uid="{00000000-0005-0000-0000-0000940C0000}"/>
    <cellStyle name="Normal 2 20 18 3 2 3" xfId="3219" xr:uid="{00000000-0005-0000-0000-0000950C0000}"/>
    <cellStyle name="Normal 2 20 18 3 3" xfId="3220" xr:uid="{00000000-0005-0000-0000-0000960C0000}"/>
    <cellStyle name="Normal 2 20 18 3 4" xfId="3221" xr:uid="{00000000-0005-0000-0000-0000970C0000}"/>
    <cellStyle name="Normal 2 20 18 4" xfId="3222" xr:uid="{00000000-0005-0000-0000-0000980C0000}"/>
    <cellStyle name="Normal 2 20 18 4 2" xfId="3223" xr:uid="{00000000-0005-0000-0000-0000990C0000}"/>
    <cellStyle name="Normal 2 20 18 4 3" xfId="3224" xr:uid="{00000000-0005-0000-0000-00009A0C0000}"/>
    <cellStyle name="Normal 2 20 18 5" xfId="3225" xr:uid="{00000000-0005-0000-0000-00009B0C0000}"/>
    <cellStyle name="Normal 2 20 18 6" xfId="3226" xr:uid="{00000000-0005-0000-0000-00009C0C0000}"/>
    <cellStyle name="Normal 2 20 19" xfId="3227" xr:uid="{00000000-0005-0000-0000-00009D0C0000}"/>
    <cellStyle name="Normal 2 20 19 2" xfId="3228" xr:uid="{00000000-0005-0000-0000-00009E0C0000}"/>
    <cellStyle name="Normal 2 20 19 2 2" xfId="3229" xr:uid="{00000000-0005-0000-0000-00009F0C0000}"/>
    <cellStyle name="Normal 2 20 19 2 2 2" xfId="3230" xr:uid="{00000000-0005-0000-0000-0000A00C0000}"/>
    <cellStyle name="Normal 2 20 19 2 2 3" xfId="3231" xr:uid="{00000000-0005-0000-0000-0000A10C0000}"/>
    <cellStyle name="Normal 2 20 19 2 3" xfId="3232" xr:uid="{00000000-0005-0000-0000-0000A20C0000}"/>
    <cellStyle name="Normal 2 20 19 2 4" xfId="3233" xr:uid="{00000000-0005-0000-0000-0000A30C0000}"/>
    <cellStyle name="Normal 2 20 19 3" xfId="3234" xr:uid="{00000000-0005-0000-0000-0000A40C0000}"/>
    <cellStyle name="Normal 2 20 19 3 2" xfId="3235" xr:uid="{00000000-0005-0000-0000-0000A50C0000}"/>
    <cellStyle name="Normal 2 20 19 3 2 2" xfId="3236" xr:uid="{00000000-0005-0000-0000-0000A60C0000}"/>
    <cellStyle name="Normal 2 20 19 3 2 3" xfId="3237" xr:uid="{00000000-0005-0000-0000-0000A70C0000}"/>
    <cellStyle name="Normal 2 20 19 3 3" xfId="3238" xr:uid="{00000000-0005-0000-0000-0000A80C0000}"/>
    <cellStyle name="Normal 2 20 19 3 4" xfId="3239" xr:uid="{00000000-0005-0000-0000-0000A90C0000}"/>
    <cellStyle name="Normal 2 20 19 4" xfId="3240" xr:uid="{00000000-0005-0000-0000-0000AA0C0000}"/>
    <cellStyle name="Normal 2 20 19 4 2" xfId="3241" xr:uid="{00000000-0005-0000-0000-0000AB0C0000}"/>
    <cellStyle name="Normal 2 20 19 4 3" xfId="3242" xr:uid="{00000000-0005-0000-0000-0000AC0C0000}"/>
    <cellStyle name="Normal 2 20 19 5" xfId="3243" xr:uid="{00000000-0005-0000-0000-0000AD0C0000}"/>
    <cellStyle name="Normal 2 20 19 6" xfId="3244" xr:uid="{00000000-0005-0000-0000-0000AE0C0000}"/>
    <cellStyle name="Normal 2 20 2" xfId="3245" xr:uid="{00000000-0005-0000-0000-0000AF0C0000}"/>
    <cellStyle name="Normal 2 20 2 10" xfId="3246" xr:uid="{00000000-0005-0000-0000-0000B00C0000}"/>
    <cellStyle name="Normal 2 20 2 10 2" xfId="3247" xr:uid="{00000000-0005-0000-0000-0000B10C0000}"/>
    <cellStyle name="Normal 2 20 2 10 2 2" xfId="3248" xr:uid="{00000000-0005-0000-0000-0000B20C0000}"/>
    <cellStyle name="Normal 2 20 2 10 2 3" xfId="3249" xr:uid="{00000000-0005-0000-0000-0000B30C0000}"/>
    <cellStyle name="Normal 2 20 2 10 3" xfId="3250" xr:uid="{00000000-0005-0000-0000-0000B40C0000}"/>
    <cellStyle name="Normal 2 20 2 10 4" xfId="3251" xr:uid="{00000000-0005-0000-0000-0000B50C0000}"/>
    <cellStyle name="Normal 2 20 2 11" xfId="3252" xr:uid="{00000000-0005-0000-0000-0000B60C0000}"/>
    <cellStyle name="Normal 2 20 2 11 2" xfId="3253" xr:uid="{00000000-0005-0000-0000-0000B70C0000}"/>
    <cellStyle name="Normal 2 20 2 11 2 2" xfId="3254" xr:uid="{00000000-0005-0000-0000-0000B80C0000}"/>
    <cellStyle name="Normal 2 20 2 11 2 3" xfId="3255" xr:uid="{00000000-0005-0000-0000-0000B90C0000}"/>
    <cellStyle name="Normal 2 20 2 11 3" xfId="3256" xr:uid="{00000000-0005-0000-0000-0000BA0C0000}"/>
    <cellStyle name="Normal 2 20 2 11 4" xfId="3257" xr:uid="{00000000-0005-0000-0000-0000BB0C0000}"/>
    <cellStyle name="Normal 2 20 2 12" xfId="3258" xr:uid="{00000000-0005-0000-0000-0000BC0C0000}"/>
    <cellStyle name="Normal 2 20 2 12 2" xfId="3259" xr:uid="{00000000-0005-0000-0000-0000BD0C0000}"/>
    <cellStyle name="Normal 2 20 2 12 3" xfId="3260" xr:uid="{00000000-0005-0000-0000-0000BE0C0000}"/>
    <cellStyle name="Normal 2 20 2 13" xfId="3261" xr:uid="{00000000-0005-0000-0000-0000BF0C0000}"/>
    <cellStyle name="Normal 2 20 2 14" xfId="3262" xr:uid="{00000000-0005-0000-0000-0000C00C0000}"/>
    <cellStyle name="Normal 2 20 2 2" xfId="3263" xr:uid="{00000000-0005-0000-0000-0000C10C0000}"/>
    <cellStyle name="Normal 2 20 2 2 2" xfId="3264" xr:uid="{00000000-0005-0000-0000-0000C20C0000}"/>
    <cellStyle name="Normal 2 20 2 2 2 2" xfId="3265" xr:uid="{00000000-0005-0000-0000-0000C30C0000}"/>
    <cellStyle name="Normal 2 20 2 2 2 2 2" xfId="3266" xr:uid="{00000000-0005-0000-0000-0000C40C0000}"/>
    <cellStyle name="Normal 2 20 2 2 2 2 3" xfId="3267" xr:uid="{00000000-0005-0000-0000-0000C50C0000}"/>
    <cellStyle name="Normal 2 20 2 2 2 3" xfId="3268" xr:uid="{00000000-0005-0000-0000-0000C60C0000}"/>
    <cellStyle name="Normal 2 20 2 2 2 4" xfId="3269" xr:uid="{00000000-0005-0000-0000-0000C70C0000}"/>
    <cellStyle name="Normal 2 20 2 2 3" xfId="3270" xr:uid="{00000000-0005-0000-0000-0000C80C0000}"/>
    <cellStyle name="Normal 2 20 2 2 3 2" xfId="3271" xr:uid="{00000000-0005-0000-0000-0000C90C0000}"/>
    <cellStyle name="Normal 2 20 2 2 3 2 2" xfId="3272" xr:uid="{00000000-0005-0000-0000-0000CA0C0000}"/>
    <cellStyle name="Normal 2 20 2 2 3 2 3" xfId="3273" xr:uid="{00000000-0005-0000-0000-0000CB0C0000}"/>
    <cellStyle name="Normal 2 20 2 2 3 3" xfId="3274" xr:uid="{00000000-0005-0000-0000-0000CC0C0000}"/>
    <cellStyle name="Normal 2 20 2 2 3 4" xfId="3275" xr:uid="{00000000-0005-0000-0000-0000CD0C0000}"/>
    <cellStyle name="Normal 2 20 2 2 4" xfId="3276" xr:uid="{00000000-0005-0000-0000-0000CE0C0000}"/>
    <cellStyle name="Normal 2 20 2 2 4 2" xfId="3277" xr:uid="{00000000-0005-0000-0000-0000CF0C0000}"/>
    <cellStyle name="Normal 2 20 2 2 4 3" xfId="3278" xr:uid="{00000000-0005-0000-0000-0000D00C0000}"/>
    <cellStyle name="Normal 2 20 2 2 5" xfId="3279" xr:uid="{00000000-0005-0000-0000-0000D10C0000}"/>
    <cellStyle name="Normal 2 20 2 2 6" xfId="3280" xr:uid="{00000000-0005-0000-0000-0000D20C0000}"/>
    <cellStyle name="Normal 2 20 2 3" xfId="3281" xr:uid="{00000000-0005-0000-0000-0000D30C0000}"/>
    <cellStyle name="Normal 2 20 2 3 2" xfId="3282" xr:uid="{00000000-0005-0000-0000-0000D40C0000}"/>
    <cellStyle name="Normal 2 20 2 3 2 2" xfId="3283" xr:uid="{00000000-0005-0000-0000-0000D50C0000}"/>
    <cellStyle name="Normal 2 20 2 3 2 2 2" xfId="3284" xr:uid="{00000000-0005-0000-0000-0000D60C0000}"/>
    <cellStyle name="Normal 2 20 2 3 2 2 3" xfId="3285" xr:uid="{00000000-0005-0000-0000-0000D70C0000}"/>
    <cellStyle name="Normal 2 20 2 3 2 3" xfId="3286" xr:uid="{00000000-0005-0000-0000-0000D80C0000}"/>
    <cellStyle name="Normal 2 20 2 3 2 4" xfId="3287" xr:uid="{00000000-0005-0000-0000-0000D90C0000}"/>
    <cellStyle name="Normal 2 20 2 3 3" xfId="3288" xr:uid="{00000000-0005-0000-0000-0000DA0C0000}"/>
    <cellStyle name="Normal 2 20 2 3 3 2" xfId="3289" xr:uid="{00000000-0005-0000-0000-0000DB0C0000}"/>
    <cellStyle name="Normal 2 20 2 3 3 2 2" xfId="3290" xr:uid="{00000000-0005-0000-0000-0000DC0C0000}"/>
    <cellStyle name="Normal 2 20 2 3 3 2 3" xfId="3291" xr:uid="{00000000-0005-0000-0000-0000DD0C0000}"/>
    <cellStyle name="Normal 2 20 2 3 3 3" xfId="3292" xr:uid="{00000000-0005-0000-0000-0000DE0C0000}"/>
    <cellStyle name="Normal 2 20 2 3 3 4" xfId="3293" xr:uid="{00000000-0005-0000-0000-0000DF0C0000}"/>
    <cellStyle name="Normal 2 20 2 3 4" xfId="3294" xr:uid="{00000000-0005-0000-0000-0000E00C0000}"/>
    <cellStyle name="Normal 2 20 2 3 4 2" xfId="3295" xr:uid="{00000000-0005-0000-0000-0000E10C0000}"/>
    <cellStyle name="Normal 2 20 2 3 4 3" xfId="3296" xr:uid="{00000000-0005-0000-0000-0000E20C0000}"/>
    <cellStyle name="Normal 2 20 2 3 5" xfId="3297" xr:uid="{00000000-0005-0000-0000-0000E30C0000}"/>
    <cellStyle name="Normal 2 20 2 3 6" xfId="3298" xr:uid="{00000000-0005-0000-0000-0000E40C0000}"/>
    <cellStyle name="Normal 2 20 2 4" xfId="3299" xr:uid="{00000000-0005-0000-0000-0000E50C0000}"/>
    <cellStyle name="Normal 2 20 2 4 2" xfId="3300" xr:uid="{00000000-0005-0000-0000-0000E60C0000}"/>
    <cellStyle name="Normal 2 20 2 4 2 2" xfId="3301" xr:uid="{00000000-0005-0000-0000-0000E70C0000}"/>
    <cellStyle name="Normal 2 20 2 4 2 2 2" xfId="3302" xr:uid="{00000000-0005-0000-0000-0000E80C0000}"/>
    <cellStyle name="Normal 2 20 2 4 2 2 3" xfId="3303" xr:uid="{00000000-0005-0000-0000-0000E90C0000}"/>
    <cellStyle name="Normal 2 20 2 4 2 3" xfId="3304" xr:uid="{00000000-0005-0000-0000-0000EA0C0000}"/>
    <cellStyle name="Normal 2 20 2 4 2 4" xfId="3305" xr:uid="{00000000-0005-0000-0000-0000EB0C0000}"/>
    <cellStyle name="Normal 2 20 2 4 3" xfId="3306" xr:uid="{00000000-0005-0000-0000-0000EC0C0000}"/>
    <cellStyle name="Normal 2 20 2 4 3 2" xfId="3307" xr:uid="{00000000-0005-0000-0000-0000ED0C0000}"/>
    <cellStyle name="Normal 2 20 2 4 3 2 2" xfId="3308" xr:uid="{00000000-0005-0000-0000-0000EE0C0000}"/>
    <cellStyle name="Normal 2 20 2 4 3 2 3" xfId="3309" xr:uid="{00000000-0005-0000-0000-0000EF0C0000}"/>
    <cellStyle name="Normal 2 20 2 4 3 3" xfId="3310" xr:uid="{00000000-0005-0000-0000-0000F00C0000}"/>
    <cellStyle name="Normal 2 20 2 4 3 4" xfId="3311" xr:uid="{00000000-0005-0000-0000-0000F10C0000}"/>
    <cellStyle name="Normal 2 20 2 4 4" xfId="3312" xr:uid="{00000000-0005-0000-0000-0000F20C0000}"/>
    <cellStyle name="Normal 2 20 2 4 4 2" xfId="3313" xr:uid="{00000000-0005-0000-0000-0000F30C0000}"/>
    <cellStyle name="Normal 2 20 2 4 4 3" xfId="3314" xr:uid="{00000000-0005-0000-0000-0000F40C0000}"/>
    <cellStyle name="Normal 2 20 2 4 5" xfId="3315" xr:uid="{00000000-0005-0000-0000-0000F50C0000}"/>
    <cellStyle name="Normal 2 20 2 4 6" xfId="3316" xr:uid="{00000000-0005-0000-0000-0000F60C0000}"/>
    <cellStyle name="Normal 2 20 2 5" xfId="3317" xr:uid="{00000000-0005-0000-0000-0000F70C0000}"/>
    <cellStyle name="Normal 2 20 2 5 2" xfId="3318" xr:uid="{00000000-0005-0000-0000-0000F80C0000}"/>
    <cellStyle name="Normal 2 20 2 5 2 2" xfId="3319" xr:uid="{00000000-0005-0000-0000-0000F90C0000}"/>
    <cellStyle name="Normal 2 20 2 5 2 2 2" xfId="3320" xr:uid="{00000000-0005-0000-0000-0000FA0C0000}"/>
    <cellStyle name="Normal 2 20 2 5 2 2 3" xfId="3321" xr:uid="{00000000-0005-0000-0000-0000FB0C0000}"/>
    <cellStyle name="Normal 2 20 2 5 2 3" xfId="3322" xr:uid="{00000000-0005-0000-0000-0000FC0C0000}"/>
    <cellStyle name="Normal 2 20 2 5 2 4" xfId="3323" xr:uid="{00000000-0005-0000-0000-0000FD0C0000}"/>
    <cellStyle name="Normal 2 20 2 5 3" xfId="3324" xr:uid="{00000000-0005-0000-0000-0000FE0C0000}"/>
    <cellStyle name="Normal 2 20 2 5 3 2" xfId="3325" xr:uid="{00000000-0005-0000-0000-0000FF0C0000}"/>
    <cellStyle name="Normal 2 20 2 5 3 2 2" xfId="3326" xr:uid="{00000000-0005-0000-0000-0000000D0000}"/>
    <cellStyle name="Normal 2 20 2 5 3 2 3" xfId="3327" xr:uid="{00000000-0005-0000-0000-0000010D0000}"/>
    <cellStyle name="Normal 2 20 2 5 3 3" xfId="3328" xr:uid="{00000000-0005-0000-0000-0000020D0000}"/>
    <cellStyle name="Normal 2 20 2 5 3 4" xfId="3329" xr:uid="{00000000-0005-0000-0000-0000030D0000}"/>
    <cellStyle name="Normal 2 20 2 5 4" xfId="3330" xr:uid="{00000000-0005-0000-0000-0000040D0000}"/>
    <cellStyle name="Normal 2 20 2 5 4 2" xfId="3331" xr:uid="{00000000-0005-0000-0000-0000050D0000}"/>
    <cellStyle name="Normal 2 20 2 5 4 3" xfId="3332" xr:uid="{00000000-0005-0000-0000-0000060D0000}"/>
    <cellStyle name="Normal 2 20 2 5 5" xfId="3333" xr:uid="{00000000-0005-0000-0000-0000070D0000}"/>
    <cellStyle name="Normal 2 20 2 5 6" xfId="3334" xr:uid="{00000000-0005-0000-0000-0000080D0000}"/>
    <cellStyle name="Normal 2 20 2 6" xfId="3335" xr:uid="{00000000-0005-0000-0000-0000090D0000}"/>
    <cellStyle name="Normal 2 20 2 6 2" xfId="3336" xr:uid="{00000000-0005-0000-0000-00000A0D0000}"/>
    <cellStyle name="Normal 2 20 2 6 2 2" xfId="3337" xr:uid="{00000000-0005-0000-0000-00000B0D0000}"/>
    <cellStyle name="Normal 2 20 2 6 2 2 2" xfId="3338" xr:uid="{00000000-0005-0000-0000-00000C0D0000}"/>
    <cellStyle name="Normal 2 20 2 6 2 2 3" xfId="3339" xr:uid="{00000000-0005-0000-0000-00000D0D0000}"/>
    <cellStyle name="Normal 2 20 2 6 2 3" xfId="3340" xr:uid="{00000000-0005-0000-0000-00000E0D0000}"/>
    <cellStyle name="Normal 2 20 2 6 2 4" xfId="3341" xr:uid="{00000000-0005-0000-0000-00000F0D0000}"/>
    <cellStyle name="Normal 2 20 2 6 3" xfId="3342" xr:uid="{00000000-0005-0000-0000-0000100D0000}"/>
    <cellStyle name="Normal 2 20 2 6 3 2" xfId="3343" xr:uid="{00000000-0005-0000-0000-0000110D0000}"/>
    <cellStyle name="Normal 2 20 2 6 3 2 2" xfId="3344" xr:uid="{00000000-0005-0000-0000-0000120D0000}"/>
    <cellStyle name="Normal 2 20 2 6 3 2 3" xfId="3345" xr:uid="{00000000-0005-0000-0000-0000130D0000}"/>
    <cellStyle name="Normal 2 20 2 6 3 3" xfId="3346" xr:uid="{00000000-0005-0000-0000-0000140D0000}"/>
    <cellStyle name="Normal 2 20 2 6 3 4" xfId="3347" xr:uid="{00000000-0005-0000-0000-0000150D0000}"/>
    <cellStyle name="Normal 2 20 2 6 4" xfId="3348" xr:uid="{00000000-0005-0000-0000-0000160D0000}"/>
    <cellStyle name="Normal 2 20 2 6 4 2" xfId="3349" xr:uid="{00000000-0005-0000-0000-0000170D0000}"/>
    <cellStyle name="Normal 2 20 2 6 4 3" xfId="3350" xr:uid="{00000000-0005-0000-0000-0000180D0000}"/>
    <cellStyle name="Normal 2 20 2 6 5" xfId="3351" xr:uid="{00000000-0005-0000-0000-0000190D0000}"/>
    <cellStyle name="Normal 2 20 2 6 6" xfId="3352" xr:uid="{00000000-0005-0000-0000-00001A0D0000}"/>
    <cellStyle name="Normal 2 20 2 7" xfId="3353" xr:uid="{00000000-0005-0000-0000-00001B0D0000}"/>
    <cellStyle name="Normal 2 20 2 7 2" xfId="3354" xr:uid="{00000000-0005-0000-0000-00001C0D0000}"/>
    <cellStyle name="Normal 2 20 2 7 2 2" xfId="3355" xr:uid="{00000000-0005-0000-0000-00001D0D0000}"/>
    <cellStyle name="Normal 2 20 2 7 2 2 2" xfId="3356" xr:uid="{00000000-0005-0000-0000-00001E0D0000}"/>
    <cellStyle name="Normal 2 20 2 7 2 2 3" xfId="3357" xr:uid="{00000000-0005-0000-0000-00001F0D0000}"/>
    <cellStyle name="Normal 2 20 2 7 2 3" xfId="3358" xr:uid="{00000000-0005-0000-0000-0000200D0000}"/>
    <cellStyle name="Normal 2 20 2 7 2 4" xfId="3359" xr:uid="{00000000-0005-0000-0000-0000210D0000}"/>
    <cellStyle name="Normal 2 20 2 7 3" xfId="3360" xr:uid="{00000000-0005-0000-0000-0000220D0000}"/>
    <cellStyle name="Normal 2 20 2 7 3 2" xfId="3361" xr:uid="{00000000-0005-0000-0000-0000230D0000}"/>
    <cellStyle name="Normal 2 20 2 7 3 2 2" xfId="3362" xr:uid="{00000000-0005-0000-0000-0000240D0000}"/>
    <cellStyle name="Normal 2 20 2 7 3 2 3" xfId="3363" xr:uid="{00000000-0005-0000-0000-0000250D0000}"/>
    <cellStyle name="Normal 2 20 2 7 3 3" xfId="3364" xr:uid="{00000000-0005-0000-0000-0000260D0000}"/>
    <cellStyle name="Normal 2 20 2 7 3 4" xfId="3365" xr:uid="{00000000-0005-0000-0000-0000270D0000}"/>
    <cellStyle name="Normal 2 20 2 7 4" xfId="3366" xr:uid="{00000000-0005-0000-0000-0000280D0000}"/>
    <cellStyle name="Normal 2 20 2 7 4 2" xfId="3367" xr:uid="{00000000-0005-0000-0000-0000290D0000}"/>
    <cellStyle name="Normal 2 20 2 7 4 3" xfId="3368" xr:uid="{00000000-0005-0000-0000-00002A0D0000}"/>
    <cellStyle name="Normal 2 20 2 7 5" xfId="3369" xr:uid="{00000000-0005-0000-0000-00002B0D0000}"/>
    <cellStyle name="Normal 2 20 2 7 6" xfId="3370" xr:uid="{00000000-0005-0000-0000-00002C0D0000}"/>
    <cellStyle name="Normal 2 20 2 8" xfId="3371" xr:uid="{00000000-0005-0000-0000-00002D0D0000}"/>
    <cellStyle name="Normal 2 20 2 8 2" xfId="3372" xr:uid="{00000000-0005-0000-0000-00002E0D0000}"/>
    <cellStyle name="Normal 2 20 2 8 2 2" xfId="3373" xr:uid="{00000000-0005-0000-0000-00002F0D0000}"/>
    <cellStyle name="Normal 2 20 2 8 2 2 2" xfId="3374" xr:uid="{00000000-0005-0000-0000-0000300D0000}"/>
    <cellStyle name="Normal 2 20 2 8 2 2 3" xfId="3375" xr:uid="{00000000-0005-0000-0000-0000310D0000}"/>
    <cellStyle name="Normal 2 20 2 8 2 3" xfId="3376" xr:uid="{00000000-0005-0000-0000-0000320D0000}"/>
    <cellStyle name="Normal 2 20 2 8 2 4" xfId="3377" xr:uid="{00000000-0005-0000-0000-0000330D0000}"/>
    <cellStyle name="Normal 2 20 2 8 3" xfId="3378" xr:uid="{00000000-0005-0000-0000-0000340D0000}"/>
    <cellStyle name="Normal 2 20 2 8 3 2" xfId="3379" xr:uid="{00000000-0005-0000-0000-0000350D0000}"/>
    <cellStyle name="Normal 2 20 2 8 3 2 2" xfId="3380" xr:uid="{00000000-0005-0000-0000-0000360D0000}"/>
    <cellStyle name="Normal 2 20 2 8 3 2 3" xfId="3381" xr:uid="{00000000-0005-0000-0000-0000370D0000}"/>
    <cellStyle name="Normal 2 20 2 8 3 3" xfId="3382" xr:uid="{00000000-0005-0000-0000-0000380D0000}"/>
    <cellStyle name="Normal 2 20 2 8 3 4" xfId="3383" xr:uid="{00000000-0005-0000-0000-0000390D0000}"/>
    <cellStyle name="Normal 2 20 2 8 4" xfId="3384" xr:uid="{00000000-0005-0000-0000-00003A0D0000}"/>
    <cellStyle name="Normal 2 20 2 8 4 2" xfId="3385" xr:uid="{00000000-0005-0000-0000-00003B0D0000}"/>
    <cellStyle name="Normal 2 20 2 8 4 3" xfId="3386" xr:uid="{00000000-0005-0000-0000-00003C0D0000}"/>
    <cellStyle name="Normal 2 20 2 8 5" xfId="3387" xr:uid="{00000000-0005-0000-0000-00003D0D0000}"/>
    <cellStyle name="Normal 2 20 2 8 6" xfId="3388" xr:uid="{00000000-0005-0000-0000-00003E0D0000}"/>
    <cellStyle name="Normal 2 20 2 9" xfId="3389" xr:uid="{00000000-0005-0000-0000-00003F0D0000}"/>
    <cellStyle name="Normal 2 20 2 9 2" xfId="3390" xr:uid="{00000000-0005-0000-0000-0000400D0000}"/>
    <cellStyle name="Normal 2 20 2 9 2 2" xfId="3391" xr:uid="{00000000-0005-0000-0000-0000410D0000}"/>
    <cellStyle name="Normal 2 20 2 9 2 2 2" xfId="3392" xr:uid="{00000000-0005-0000-0000-0000420D0000}"/>
    <cellStyle name="Normal 2 20 2 9 2 2 3" xfId="3393" xr:uid="{00000000-0005-0000-0000-0000430D0000}"/>
    <cellStyle name="Normal 2 20 2 9 2 3" xfId="3394" xr:uid="{00000000-0005-0000-0000-0000440D0000}"/>
    <cellStyle name="Normal 2 20 2 9 2 4" xfId="3395" xr:uid="{00000000-0005-0000-0000-0000450D0000}"/>
    <cellStyle name="Normal 2 20 2 9 3" xfId="3396" xr:uid="{00000000-0005-0000-0000-0000460D0000}"/>
    <cellStyle name="Normal 2 20 2 9 3 2" xfId="3397" xr:uid="{00000000-0005-0000-0000-0000470D0000}"/>
    <cellStyle name="Normal 2 20 2 9 3 2 2" xfId="3398" xr:uid="{00000000-0005-0000-0000-0000480D0000}"/>
    <cellStyle name="Normal 2 20 2 9 3 2 3" xfId="3399" xr:uid="{00000000-0005-0000-0000-0000490D0000}"/>
    <cellStyle name="Normal 2 20 2 9 3 3" xfId="3400" xr:uid="{00000000-0005-0000-0000-00004A0D0000}"/>
    <cellStyle name="Normal 2 20 2 9 3 4" xfId="3401" xr:uid="{00000000-0005-0000-0000-00004B0D0000}"/>
    <cellStyle name="Normal 2 20 2 9 4" xfId="3402" xr:uid="{00000000-0005-0000-0000-00004C0D0000}"/>
    <cellStyle name="Normal 2 20 2 9 4 2" xfId="3403" xr:uid="{00000000-0005-0000-0000-00004D0D0000}"/>
    <cellStyle name="Normal 2 20 2 9 4 3" xfId="3404" xr:uid="{00000000-0005-0000-0000-00004E0D0000}"/>
    <cellStyle name="Normal 2 20 2 9 5" xfId="3405" xr:uid="{00000000-0005-0000-0000-00004F0D0000}"/>
    <cellStyle name="Normal 2 20 2 9 6" xfId="3406" xr:uid="{00000000-0005-0000-0000-0000500D0000}"/>
    <cellStyle name="Normal 2 20 20" xfId="3407" xr:uid="{00000000-0005-0000-0000-0000510D0000}"/>
    <cellStyle name="Normal 2 20 20 2" xfId="3408" xr:uid="{00000000-0005-0000-0000-0000520D0000}"/>
    <cellStyle name="Normal 2 20 20 2 2" xfId="3409" xr:uid="{00000000-0005-0000-0000-0000530D0000}"/>
    <cellStyle name="Normal 2 20 20 2 2 2" xfId="3410" xr:uid="{00000000-0005-0000-0000-0000540D0000}"/>
    <cellStyle name="Normal 2 20 20 2 2 3" xfId="3411" xr:uid="{00000000-0005-0000-0000-0000550D0000}"/>
    <cellStyle name="Normal 2 20 20 2 3" xfId="3412" xr:uid="{00000000-0005-0000-0000-0000560D0000}"/>
    <cellStyle name="Normal 2 20 20 2 4" xfId="3413" xr:uid="{00000000-0005-0000-0000-0000570D0000}"/>
    <cellStyle name="Normal 2 20 20 3" xfId="3414" xr:uid="{00000000-0005-0000-0000-0000580D0000}"/>
    <cellStyle name="Normal 2 20 20 3 2" xfId="3415" xr:uid="{00000000-0005-0000-0000-0000590D0000}"/>
    <cellStyle name="Normal 2 20 20 3 2 2" xfId="3416" xr:uid="{00000000-0005-0000-0000-00005A0D0000}"/>
    <cellStyle name="Normal 2 20 20 3 2 3" xfId="3417" xr:uid="{00000000-0005-0000-0000-00005B0D0000}"/>
    <cellStyle name="Normal 2 20 20 3 3" xfId="3418" xr:uid="{00000000-0005-0000-0000-00005C0D0000}"/>
    <cellStyle name="Normal 2 20 20 3 4" xfId="3419" xr:uid="{00000000-0005-0000-0000-00005D0D0000}"/>
    <cellStyle name="Normal 2 20 20 4" xfId="3420" xr:uid="{00000000-0005-0000-0000-00005E0D0000}"/>
    <cellStyle name="Normal 2 20 20 4 2" xfId="3421" xr:uid="{00000000-0005-0000-0000-00005F0D0000}"/>
    <cellStyle name="Normal 2 20 20 4 3" xfId="3422" xr:uid="{00000000-0005-0000-0000-0000600D0000}"/>
    <cellStyle name="Normal 2 20 20 5" xfId="3423" xr:uid="{00000000-0005-0000-0000-0000610D0000}"/>
    <cellStyle name="Normal 2 20 20 6" xfId="3424" xr:uid="{00000000-0005-0000-0000-0000620D0000}"/>
    <cellStyle name="Normal 2 20 21" xfId="3425" xr:uid="{00000000-0005-0000-0000-0000630D0000}"/>
    <cellStyle name="Normal 2 20 21 2" xfId="3426" xr:uid="{00000000-0005-0000-0000-0000640D0000}"/>
    <cellStyle name="Normal 2 20 21 2 2" xfId="3427" xr:uid="{00000000-0005-0000-0000-0000650D0000}"/>
    <cellStyle name="Normal 2 20 21 2 2 2" xfId="3428" xr:uid="{00000000-0005-0000-0000-0000660D0000}"/>
    <cellStyle name="Normal 2 20 21 2 2 3" xfId="3429" xr:uid="{00000000-0005-0000-0000-0000670D0000}"/>
    <cellStyle name="Normal 2 20 21 2 3" xfId="3430" xr:uid="{00000000-0005-0000-0000-0000680D0000}"/>
    <cellStyle name="Normal 2 20 21 2 4" xfId="3431" xr:uid="{00000000-0005-0000-0000-0000690D0000}"/>
    <cellStyle name="Normal 2 20 21 3" xfId="3432" xr:uid="{00000000-0005-0000-0000-00006A0D0000}"/>
    <cellStyle name="Normal 2 20 21 3 2" xfId="3433" xr:uid="{00000000-0005-0000-0000-00006B0D0000}"/>
    <cellStyle name="Normal 2 20 21 3 2 2" xfId="3434" xr:uid="{00000000-0005-0000-0000-00006C0D0000}"/>
    <cellStyle name="Normal 2 20 21 3 2 3" xfId="3435" xr:uid="{00000000-0005-0000-0000-00006D0D0000}"/>
    <cellStyle name="Normal 2 20 21 3 3" xfId="3436" xr:uid="{00000000-0005-0000-0000-00006E0D0000}"/>
    <cellStyle name="Normal 2 20 21 3 4" xfId="3437" xr:uid="{00000000-0005-0000-0000-00006F0D0000}"/>
    <cellStyle name="Normal 2 20 21 4" xfId="3438" xr:uid="{00000000-0005-0000-0000-0000700D0000}"/>
    <cellStyle name="Normal 2 20 21 4 2" xfId="3439" xr:uid="{00000000-0005-0000-0000-0000710D0000}"/>
    <cellStyle name="Normal 2 20 21 4 3" xfId="3440" xr:uid="{00000000-0005-0000-0000-0000720D0000}"/>
    <cellStyle name="Normal 2 20 21 5" xfId="3441" xr:uid="{00000000-0005-0000-0000-0000730D0000}"/>
    <cellStyle name="Normal 2 20 21 6" xfId="3442" xr:uid="{00000000-0005-0000-0000-0000740D0000}"/>
    <cellStyle name="Normal 2 20 22" xfId="3443" xr:uid="{00000000-0005-0000-0000-0000750D0000}"/>
    <cellStyle name="Normal 2 20 22 2" xfId="3444" xr:uid="{00000000-0005-0000-0000-0000760D0000}"/>
    <cellStyle name="Normal 2 20 22 2 2" xfId="3445" xr:uid="{00000000-0005-0000-0000-0000770D0000}"/>
    <cellStyle name="Normal 2 20 22 2 3" xfId="3446" xr:uid="{00000000-0005-0000-0000-0000780D0000}"/>
    <cellStyle name="Normal 2 20 22 3" xfId="3447" xr:uid="{00000000-0005-0000-0000-0000790D0000}"/>
    <cellStyle name="Normal 2 20 22 4" xfId="3448" xr:uid="{00000000-0005-0000-0000-00007A0D0000}"/>
    <cellStyle name="Normal 2 20 23" xfId="3449" xr:uid="{00000000-0005-0000-0000-00007B0D0000}"/>
    <cellStyle name="Normal 2 20 23 2" xfId="3450" xr:uid="{00000000-0005-0000-0000-00007C0D0000}"/>
    <cellStyle name="Normal 2 20 23 2 2" xfId="3451" xr:uid="{00000000-0005-0000-0000-00007D0D0000}"/>
    <cellStyle name="Normal 2 20 23 2 3" xfId="3452" xr:uid="{00000000-0005-0000-0000-00007E0D0000}"/>
    <cellStyle name="Normal 2 20 23 3" xfId="3453" xr:uid="{00000000-0005-0000-0000-00007F0D0000}"/>
    <cellStyle name="Normal 2 20 23 4" xfId="3454" xr:uid="{00000000-0005-0000-0000-0000800D0000}"/>
    <cellStyle name="Normal 2 20 24" xfId="3455" xr:uid="{00000000-0005-0000-0000-0000810D0000}"/>
    <cellStyle name="Normal 2 20 24 2" xfId="3456" xr:uid="{00000000-0005-0000-0000-0000820D0000}"/>
    <cellStyle name="Normal 2 20 24 3" xfId="3457" xr:uid="{00000000-0005-0000-0000-0000830D0000}"/>
    <cellStyle name="Normal 2 20 25" xfId="3458" xr:uid="{00000000-0005-0000-0000-0000840D0000}"/>
    <cellStyle name="Normal 2 20 26" xfId="3459" xr:uid="{00000000-0005-0000-0000-0000850D0000}"/>
    <cellStyle name="Normal 2 20 3" xfId="3460" xr:uid="{00000000-0005-0000-0000-0000860D0000}"/>
    <cellStyle name="Normal 2 20 3 10" xfId="3461" xr:uid="{00000000-0005-0000-0000-0000870D0000}"/>
    <cellStyle name="Normal 2 20 3 10 2" xfId="3462" xr:uid="{00000000-0005-0000-0000-0000880D0000}"/>
    <cellStyle name="Normal 2 20 3 10 2 2" xfId="3463" xr:uid="{00000000-0005-0000-0000-0000890D0000}"/>
    <cellStyle name="Normal 2 20 3 10 2 3" xfId="3464" xr:uid="{00000000-0005-0000-0000-00008A0D0000}"/>
    <cellStyle name="Normal 2 20 3 10 3" xfId="3465" xr:uid="{00000000-0005-0000-0000-00008B0D0000}"/>
    <cellStyle name="Normal 2 20 3 10 4" xfId="3466" xr:uid="{00000000-0005-0000-0000-00008C0D0000}"/>
    <cellStyle name="Normal 2 20 3 11" xfId="3467" xr:uid="{00000000-0005-0000-0000-00008D0D0000}"/>
    <cellStyle name="Normal 2 20 3 11 2" xfId="3468" xr:uid="{00000000-0005-0000-0000-00008E0D0000}"/>
    <cellStyle name="Normal 2 20 3 11 3" xfId="3469" xr:uid="{00000000-0005-0000-0000-00008F0D0000}"/>
    <cellStyle name="Normal 2 20 3 12" xfId="3470" xr:uid="{00000000-0005-0000-0000-0000900D0000}"/>
    <cellStyle name="Normal 2 20 3 13" xfId="3471" xr:uid="{00000000-0005-0000-0000-0000910D0000}"/>
    <cellStyle name="Normal 2 20 3 2" xfId="3472" xr:uid="{00000000-0005-0000-0000-0000920D0000}"/>
    <cellStyle name="Normal 2 20 3 2 2" xfId="3473" xr:uid="{00000000-0005-0000-0000-0000930D0000}"/>
    <cellStyle name="Normal 2 20 3 2 2 2" xfId="3474" xr:uid="{00000000-0005-0000-0000-0000940D0000}"/>
    <cellStyle name="Normal 2 20 3 2 2 2 2" xfId="3475" xr:uid="{00000000-0005-0000-0000-0000950D0000}"/>
    <cellStyle name="Normal 2 20 3 2 2 2 3" xfId="3476" xr:uid="{00000000-0005-0000-0000-0000960D0000}"/>
    <cellStyle name="Normal 2 20 3 2 2 3" xfId="3477" xr:uid="{00000000-0005-0000-0000-0000970D0000}"/>
    <cellStyle name="Normal 2 20 3 2 2 4" xfId="3478" xr:uid="{00000000-0005-0000-0000-0000980D0000}"/>
    <cellStyle name="Normal 2 20 3 2 3" xfId="3479" xr:uid="{00000000-0005-0000-0000-0000990D0000}"/>
    <cellStyle name="Normal 2 20 3 2 3 2" xfId="3480" xr:uid="{00000000-0005-0000-0000-00009A0D0000}"/>
    <cellStyle name="Normal 2 20 3 2 3 2 2" xfId="3481" xr:uid="{00000000-0005-0000-0000-00009B0D0000}"/>
    <cellStyle name="Normal 2 20 3 2 3 2 3" xfId="3482" xr:uid="{00000000-0005-0000-0000-00009C0D0000}"/>
    <cellStyle name="Normal 2 20 3 2 3 3" xfId="3483" xr:uid="{00000000-0005-0000-0000-00009D0D0000}"/>
    <cellStyle name="Normal 2 20 3 2 3 4" xfId="3484" xr:uid="{00000000-0005-0000-0000-00009E0D0000}"/>
    <cellStyle name="Normal 2 20 3 2 4" xfId="3485" xr:uid="{00000000-0005-0000-0000-00009F0D0000}"/>
    <cellStyle name="Normal 2 20 3 2 4 2" xfId="3486" xr:uid="{00000000-0005-0000-0000-0000A00D0000}"/>
    <cellStyle name="Normal 2 20 3 2 4 3" xfId="3487" xr:uid="{00000000-0005-0000-0000-0000A10D0000}"/>
    <cellStyle name="Normal 2 20 3 2 5" xfId="3488" xr:uid="{00000000-0005-0000-0000-0000A20D0000}"/>
    <cellStyle name="Normal 2 20 3 2 6" xfId="3489" xr:uid="{00000000-0005-0000-0000-0000A30D0000}"/>
    <cellStyle name="Normal 2 20 3 3" xfId="3490" xr:uid="{00000000-0005-0000-0000-0000A40D0000}"/>
    <cellStyle name="Normal 2 20 3 3 2" xfId="3491" xr:uid="{00000000-0005-0000-0000-0000A50D0000}"/>
    <cellStyle name="Normal 2 20 3 3 2 2" xfId="3492" xr:uid="{00000000-0005-0000-0000-0000A60D0000}"/>
    <cellStyle name="Normal 2 20 3 3 2 2 2" xfId="3493" xr:uid="{00000000-0005-0000-0000-0000A70D0000}"/>
    <cellStyle name="Normal 2 20 3 3 2 2 3" xfId="3494" xr:uid="{00000000-0005-0000-0000-0000A80D0000}"/>
    <cellStyle name="Normal 2 20 3 3 2 3" xfId="3495" xr:uid="{00000000-0005-0000-0000-0000A90D0000}"/>
    <cellStyle name="Normal 2 20 3 3 2 4" xfId="3496" xr:uid="{00000000-0005-0000-0000-0000AA0D0000}"/>
    <cellStyle name="Normal 2 20 3 3 3" xfId="3497" xr:uid="{00000000-0005-0000-0000-0000AB0D0000}"/>
    <cellStyle name="Normal 2 20 3 3 3 2" xfId="3498" xr:uid="{00000000-0005-0000-0000-0000AC0D0000}"/>
    <cellStyle name="Normal 2 20 3 3 3 2 2" xfId="3499" xr:uid="{00000000-0005-0000-0000-0000AD0D0000}"/>
    <cellStyle name="Normal 2 20 3 3 3 2 3" xfId="3500" xr:uid="{00000000-0005-0000-0000-0000AE0D0000}"/>
    <cellStyle name="Normal 2 20 3 3 3 3" xfId="3501" xr:uid="{00000000-0005-0000-0000-0000AF0D0000}"/>
    <cellStyle name="Normal 2 20 3 3 3 4" xfId="3502" xr:uid="{00000000-0005-0000-0000-0000B00D0000}"/>
    <cellStyle name="Normal 2 20 3 3 4" xfId="3503" xr:uid="{00000000-0005-0000-0000-0000B10D0000}"/>
    <cellStyle name="Normal 2 20 3 3 4 2" xfId="3504" xr:uid="{00000000-0005-0000-0000-0000B20D0000}"/>
    <cellStyle name="Normal 2 20 3 3 4 3" xfId="3505" xr:uid="{00000000-0005-0000-0000-0000B30D0000}"/>
    <cellStyle name="Normal 2 20 3 3 5" xfId="3506" xr:uid="{00000000-0005-0000-0000-0000B40D0000}"/>
    <cellStyle name="Normal 2 20 3 3 6" xfId="3507" xr:uid="{00000000-0005-0000-0000-0000B50D0000}"/>
    <cellStyle name="Normal 2 20 3 4" xfId="3508" xr:uid="{00000000-0005-0000-0000-0000B60D0000}"/>
    <cellStyle name="Normal 2 20 3 4 2" xfId="3509" xr:uid="{00000000-0005-0000-0000-0000B70D0000}"/>
    <cellStyle name="Normal 2 20 3 4 2 2" xfId="3510" xr:uid="{00000000-0005-0000-0000-0000B80D0000}"/>
    <cellStyle name="Normal 2 20 3 4 2 2 2" xfId="3511" xr:uid="{00000000-0005-0000-0000-0000B90D0000}"/>
    <cellStyle name="Normal 2 20 3 4 2 2 3" xfId="3512" xr:uid="{00000000-0005-0000-0000-0000BA0D0000}"/>
    <cellStyle name="Normal 2 20 3 4 2 3" xfId="3513" xr:uid="{00000000-0005-0000-0000-0000BB0D0000}"/>
    <cellStyle name="Normal 2 20 3 4 2 4" xfId="3514" xr:uid="{00000000-0005-0000-0000-0000BC0D0000}"/>
    <cellStyle name="Normal 2 20 3 4 3" xfId="3515" xr:uid="{00000000-0005-0000-0000-0000BD0D0000}"/>
    <cellStyle name="Normal 2 20 3 4 3 2" xfId="3516" xr:uid="{00000000-0005-0000-0000-0000BE0D0000}"/>
    <cellStyle name="Normal 2 20 3 4 3 2 2" xfId="3517" xr:uid="{00000000-0005-0000-0000-0000BF0D0000}"/>
    <cellStyle name="Normal 2 20 3 4 3 2 3" xfId="3518" xr:uid="{00000000-0005-0000-0000-0000C00D0000}"/>
    <cellStyle name="Normal 2 20 3 4 3 3" xfId="3519" xr:uid="{00000000-0005-0000-0000-0000C10D0000}"/>
    <cellStyle name="Normal 2 20 3 4 3 4" xfId="3520" xr:uid="{00000000-0005-0000-0000-0000C20D0000}"/>
    <cellStyle name="Normal 2 20 3 4 4" xfId="3521" xr:uid="{00000000-0005-0000-0000-0000C30D0000}"/>
    <cellStyle name="Normal 2 20 3 4 4 2" xfId="3522" xr:uid="{00000000-0005-0000-0000-0000C40D0000}"/>
    <cellStyle name="Normal 2 20 3 4 4 3" xfId="3523" xr:uid="{00000000-0005-0000-0000-0000C50D0000}"/>
    <cellStyle name="Normal 2 20 3 4 5" xfId="3524" xr:uid="{00000000-0005-0000-0000-0000C60D0000}"/>
    <cellStyle name="Normal 2 20 3 4 6" xfId="3525" xr:uid="{00000000-0005-0000-0000-0000C70D0000}"/>
    <cellStyle name="Normal 2 20 3 5" xfId="3526" xr:uid="{00000000-0005-0000-0000-0000C80D0000}"/>
    <cellStyle name="Normal 2 20 3 5 2" xfId="3527" xr:uid="{00000000-0005-0000-0000-0000C90D0000}"/>
    <cellStyle name="Normal 2 20 3 5 2 2" xfId="3528" xr:uid="{00000000-0005-0000-0000-0000CA0D0000}"/>
    <cellStyle name="Normal 2 20 3 5 2 2 2" xfId="3529" xr:uid="{00000000-0005-0000-0000-0000CB0D0000}"/>
    <cellStyle name="Normal 2 20 3 5 2 2 3" xfId="3530" xr:uid="{00000000-0005-0000-0000-0000CC0D0000}"/>
    <cellStyle name="Normal 2 20 3 5 2 3" xfId="3531" xr:uid="{00000000-0005-0000-0000-0000CD0D0000}"/>
    <cellStyle name="Normal 2 20 3 5 2 4" xfId="3532" xr:uid="{00000000-0005-0000-0000-0000CE0D0000}"/>
    <cellStyle name="Normal 2 20 3 5 3" xfId="3533" xr:uid="{00000000-0005-0000-0000-0000CF0D0000}"/>
    <cellStyle name="Normal 2 20 3 5 3 2" xfId="3534" xr:uid="{00000000-0005-0000-0000-0000D00D0000}"/>
    <cellStyle name="Normal 2 20 3 5 3 2 2" xfId="3535" xr:uid="{00000000-0005-0000-0000-0000D10D0000}"/>
    <cellStyle name="Normal 2 20 3 5 3 2 3" xfId="3536" xr:uid="{00000000-0005-0000-0000-0000D20D0000}"/>
    <cellStyle name="Normal 2 20 3 5 3 3" xfId="3537" xr:uid="{00000000-0005-0000-0000-0000D30D0000}"/>
    <cellStyle name="Normal 2 20 3 5 3 4" xfId="3538" xr:uid="{00000000-0005-0000-0000-0000D40D0000}"/>
    <cellStyle name="Normal 2 20 3 5 4" xfId="3539" xr:uid="{00000000-0005-0000-0000-0000D50D0000}"/>
    <cellStyle name="Normal 2 20 3 5 4 2" xfId="3540" xr:uid="{00000000-0005-0000-0000-0000D60D0000}"/>
    <cellStyle name="Normal 2 20 3 5 4 3" xfId="3541" xr:uid="{00000000-0005-0000-0000-0000D70D0000}"/>
    <cellStyle name="Normal 2 20 3 5 5" xfId="3542" xr:uid="{00000000-0005-0000-0000-0000D80D0000}"/>
    <cellStyle name="Normal 2 20 3 5 6" xfId="3543" xr:uid="{00000000-0005-0000-0000-0000D90D0000}"/>
    <cellStyle name="Normal 2 20 3 6" xfId="3544" xr:uid="{00000000-0005-0000-0000-0000DA0D0000}"/>
    <cellStyle name="Normal 2 20 3 6 2" xfId="3545" xr:uid="{00000000-0005-0000-0000-0000DB0D0000}"/>
    <cellStyle name="Normal 2 20 3 6 2 2" xfId="3546" xr:uid="{00000000-0005-0000-0000-0000DC0D0000}"/>
    <cellStyle name="Normal 2 20 3 6 2 2 2" xfId="3547" xr:uid="{00000000-0005-0000-0000-0000DD0D0000}"/>
    <cellStyle name="Normal 2 20 3 6 2 2 3" xfId="3548" xr:uid="{00000000-0005-0000-0000-0000DE0D0000}"/>
    <cellStyle name="Normal 2 20 3 6 2 3" xfId="3549" xr:uid="{00000000-0005-0000-0000-0000DF0D0000}"/>
    <cellStyle name="Normal 2 20 3 6 2 4" xfId="3550" xr:uid="{00000000-0005-0000-0000-0000E00D0000}"/>
    <cellStyle name="Normal 2 20 3 6 3" xfId="3551" xr:uid="{00000000-0005-0000-0000-0000E10D0000}"/>
    <cellStyle name="Normal 2 20 3 6 3 2" xfId="3552" xr:uid="{00000000-0005-0000-0000-0000E20D0000}"/>
    <cellStyle name="Normal 2 20 3 6 3 2 2" xfId="3553" xr:uid="{00000000-0005-0000-0000-0000E30D0000}"/>
    <cellStyle name="Normal 2 20 3 6 3 2 3" xfId="3554" xr:uid="{00000000-0005-0000-0000-0000E40D0000}"/>
    <cellStyle name="Normal 2 20 3 6 3 3" xfId="3555" xr:uid="{00000000-0005-0000-0000-0000E50D0000}"/>
    <cellStyle name="Normal 2 20 3 6 3 4" xfId="3556" xr:uid="{00000000-0005-0000-0000-0000E60D0000}"/>
    <cellStyle name="Normal 2 20 3 6 4" xfId="3557" xr:uid="{00000000-0005-0000-0000-0000E70D0000}"/>
    <cellStyle name="Normal 2 20 3 6 4 2" xfId="3558" xr:uid="{00000000-0005-0000-0000-0000E80D0000}"/>
    <cellStyle name="Normal 2 20 3 6 4 3" xfId="3559" xr:uid="{00000000-0005-0000-0000-0000E90D0000}"/>
    <cellStyle name="Normal 2 20 3 6 5" xfId="3560" xr:uid="{00000000-0005-0000-0000-0000EA0D0000}"/>
    <cellStyle name="Normal 2 20 3 6 6" xfId="3561" xr:uid="{00000000-0005-0000-0000-0000EB0D0000}"/>
    <cellStyle name="Normal 2 20 3 7" xfId="3562" xr:uid="{00000000-0005-0000-0000-0000EC0D0000}"/>
    <cellStyle name="Normal 2 20 3 7 2" xfId="3563" xr:uid="{00000000-0005-0000-0000-0000ED0D0000}"/>
    <cellStyle name="Normal 2 20 3 7 2 2" xfId="3564" xr:uid="{00000000-0005-0000-0000-0000EE0D0000}"/>
    <cellStyle name="Normal 2 20 3 7 2 2 2" xfId="3565" xr:uid="{00000000-0005-0000-0000-0000EF0D0000}"/>
    <cellStyle name="Normal 2 20 3 7 2 2 3" xfId="3566" xr:uid="{00000000-0005-0000-0000-0000F00D0000}"/>
    <cellStyle name="Normal 2 20 3 7 2 3" xfId="3567" xr:uid="{00000000-0005-0000-0000-0000F10D0000}"/>
    <cellStyle name="Normal 2 20 3 7 2 4" xfId="3568" xr:uid="{00000000-0005-0000-0000-0000F20D0000}"/>
    <cellStyle name="Normal 2 20 3 7 3" xfId="3569" xr:uid="{00000000-0005-0000-0000-0000F30D0000}"/>
    <cellStyle name="Normal 2 20 3 7 3 2" xfId="3570" xr:uid="{00000000-0005-0000-0000-0000F40D0000}"/>
    <cellStyle name="Normal 2 20 3 7 3 2 2" xfId="3571" xr:uid="{00000000-0005-0000-0000-0000F50D0000}"/>
    <cellStyle name="Normal 2 20 3 7 3 2 3" xfId="3572" xr:uid="{00000000-0005-0000-0000-0000F60D0000}"/>
    <cellStyle name="Normal 2 20 3 7 3 3" xfId="3573" xr:uid="{00000000-0005-0000-0000-0000F70D0000}"/>
    <cellStyle name="Normal 2 20 3 7 3 4" xfId="3574" xr:uid="{00000000-0005-0000-0000-0000F80D0000}"/>
    <cellStyle name="Normal 2 20 3 7 4" xfId="3575" xr:uid="{00000000-0005-0000-0000-0000F90D0000}"/>
    <cellStyle name="Normal 2 20 3 7 4 2" xfId="3576" xr:uid="{00000000-0005-0000-0000-0000FA0D0000}"/>
    <cellStyle name="Normal 2 20 3 7 4 3" xfId="3577" xr:uid="{00000000-0005-0000-0000-0000FB0D0000}"/>
    <cellStyle name="Normal 2 20 3 7 5" xfId="3578" xr:uid="{00000000-0005-0000-0000-0000FC0D0000}"/>
    <cellStyle name="Normal 2 20 3 7 6" xfId="3579" xr:uid="{00000000-0005-0000-0000-0000FD0D0000}"/>
    <cellStyle name="Normal 2 20 3 8" xfId="3580" xr:uid="{00000000-0005-0000-0000-0000FE0D0000}"/>
    <cellStyle name="Normal 2 20 3 8 2" xfId="3581" xr:uid="{00000000-0005-0000-0000-0000FF0D0000}"/>
    <cellStyle name="Normal 2 20 3 8 2 2" xfId="3582" xr:uid="{00000000-0005-0000-0000-0000000E0000}"/>
    <cellStyle name="Normal 2 20 3 8 2 2 2" xfId="3583" xr:uid="{00000000-0005-0000-0000-0000010E0000}"/>
    <cellStyle name="Normal 2 20 3 8 2 2 3" xfId="3584" xr:uid="{00000000-0005-0000-0000-0000020E0000}"/>
    <cellStyle name="Normal 2 20 3 8 2 3" xfId="3585" xr:uid="{00000000-0005-0000-0000-0000030E0000}"/>
    <cellStyle name="Normal 2 20 3 8 2 4" xfId="3586" xr:uid="{00000000-0005-0000-0000-0000040E0000}"/>
    <cellStyle name="Normal 2 20 3 8 3" xfId="3587" xr:uid="{00000000-0005-0000-0000-0000050E0000}"/>
    <cellStyle name="Normal 2 20 3 8 3 2" xfId="3588" xr:uid="{00000000-0005-0000-0000-0000060E0000}"/>
    <cellStyle name="Normal 2 20 3 8 3 2 2" xfId="3589" xr:uid="{00000000-0005-0000-0000-0000070E0000}"/>
    <cellStyle name="Normal 2 20 3 8 3 2 3" xfId="3590" xr:uid="{00000000-0005-0000-0000-0000080E0000}"/>
    <cellStyle name="Normal 2 20 3 8 3 3" xfId="3591" xr:uid="{00000000-0005-0000-0000-0000090E0000}"/>
    <cellStyle name="Normal 2 20 3 8 3 4" xfId="3592" xr:uid="{00000000-0005-0000-0000-00000A0E0000}"/>
    <cellStyle name="Normal 2 20 3 8 4" xfId="3593" xr:uid="{00000000-0005-0000-0000-00000B0E0000}"/>
    <cellStyle name="Normal 2 20 3 8 4 2" xfId="3594" xr:uid="{00000000-0005-0000-0000-00000C0E0000}"/>
    <cellStyle name="Normal 2 20 3 8 4 3" xfId="3595" xr:uid="{00000000-0005-0000-0000-00000D0E0000}"/>
    <cellStyle name="Normal 2 20 3 8 5" xfId="3596" xr:uid="{00000000-0005-0000-0000-00000E0E0000}"/>
    <cellStyle name="Normal 2 20 3 8 6" xfId="3597" xr:uid="{00000000-0005-0000-0000-00000F0E0000}"/>
    <cellStyle name="Normal 2 20 3 9" xfId="3598" xr:uid="{00000000-0005-0000-0000-0000100E0000}"/>
    <cellStyle name="Normal 2 20 3 9 2" xfId="3599" xr:uid="{00000000-0005-0000-0000-0000110E0000}"/>
    <cellStyle name="Normal 2 20 3 9 2 2" xfId="3600" xr:uid="{00000000-0005-0000-0000-0000120E0000}"/>
    <cellStyle name="Normal 2 20 3 9 2 3" xfId="3601" xr:uid="{00000000-0005-0000-0000-0000130E0000}"/>
    <cellStyle name="Normal 2 20 3 9 3" xfId="3602" xr:uid="{00000000-0005-0000-0000-0000140E0000}"/>
    <cellStyle name="Normal 2 20 3 9 4" xfId="3603" xr:uid="{00000000-0005-0000-0000-0000150E0000}"/>
    <cellStyle name="Normal 2 20 4" xfId="3604" xr:uid="{00000000-0005-0000-0000-0000160E0000}"/>
    <cellStyle name="Normal 2 20 4 10" xfId="3605" xr:uid="{00000000-0005-0000-0000-0000170E0000}"/>
    <cellStyle name="Normal 2 20 4 10 2" xfId="3606" xr:uid="{00000000-0005-0000-0000-0000180E0000}"/>
    <cellStyle name="Normal 2 20 4 10 2 2" xfId="3607" xr:uid="{00000000-0005-0000-0000-0000190E0000}"/>
    <cellStyle name="Normal 2 20 4 10 2 3" xfId="3608" xr:uid="{00000000-0005-0000-0000-00001A0E0000}"/>
    <cellStyle name="Normal 2 20 4 10 3" xfId="3609" xr:uid="{00000000-0005-0000-0000-00001B0E0000}"/>
    <cellStyle name="Normal 2 20 4 10 4" xfId="3610" xr:uid="{00000000-0005-0000-0000-00001C0E0000}"/>
    <cellStyle name="Normal 2 20 4 11" xfId="3611" xr:uid="{00000000-0005-0000-0000-00001D0E0000}"/>
    <cellStyle name="Normal 2 20 4 11 2" xfId="3612" xr:uid="{00000000-0005-0000-0000-00001E0E0000}"/>
    <cellStyle name="Normal 2 20 4 11 3" xfId="3613" xr:uid="{00000000-0005-0000-0000-00001F0E0000}"/>
    <cellStyle name="Normal 2 20 4 12" xfId="3614" xr:uid="{00000000-0005-0000-0000-0000200E0000}"/>
    <cellStyle name="Normal 2 20 4 13" xfId="3615" xr:uid="{00000000-0005-0000-0000-0000210E0000}"/>
    <cellStyle name="Normal 2 20 4 2" xfId="3616" xr:uid="{00000000-0005-0000-0000-0000220E0000}"/>
    <cellStyle name="Normal 2 20 4 2 2" xfId="3617" xr:uid="{00000000-0005-0000-0000-0000230E0000}"/>
    <cellStyle name="Normal 2 20 4 2 2 2" xfId="3618" xr:uid="{00000000-0005-0000-0000-0000240E0000}"/>
    <cellStyle name="Normal 2 20 4 2 2 2 2" xfId="3619" xr:uid="{00000000-0005-0000-0000-0000250E0000}"/>
    <cellStyle name="Normal 2 20 4 2 2 2 3" xfId="3620" xr:uid="{00000000-0005-0000-0000-0000260E0000}"/>
    <cellStyle name="Normal 2 20 4 2 2 3" xfId="3621" xr:uid="{00000000-0005-0000-0000-0000270E0000}"/>
    <cellStyle name="Normal 2 20 4 2 2 4" xfId="3622" xr:uid="{00000000-0005-0000-0000-0000280E0000}"/>
    <cellStyle name="Normal 2 20 4 2 3" xfId="3623" xr:uid="{00000000-0005-0000-0000-0000290E0000}"/>
    <cellStyle name="Normal 2 20 4 2 3 2" xfId="3624" xr:uid="{00000000-0005-0000-0000-00002A0E0000}"/>
    <cellStyle name="Normal 2 20 4 2 3 2 2" xfId="3625" xr:uid="{00000000-0005-0000-0000-00002B0E0000}"/>
    <cellStyle name="Normal 2 20 4 2 3 2 3" xfId="3626" xr:uid="{00000000-0005-0000-0000-00002C0E0000}"/>
    <cellStyle name="Normal 2 20 4 2 3 3" xfId="3627" xr:uid="{00000000-0005-0000-0000-00002D0E0000}"/>
    <cellStyle name="Normal 2 20 4 2 3 4" xfId="3628" xr:uid="{00000000-0005-0000-0000-00002E0E0000}"/>
    <cellStyle name="Normal 2 20 4 2 4" xfId="3629" xr:uid="{00000000-0005-0000-0000-00002F0E0000}"/>
    <cellStyle name="Normal 2 20 4 2 4 2" xfId="3630" xr:uid="{00000000-0005-0000-0000-0000300E0000}"/>
    <cellStyle name="Normal 2 20 4 2 4 3" xfId="3631" xr:uid="{00000000-0005-0000-0000-0000310E0000}"/>
    <cellStyle name="Normal 2 20 4 2 5" xfId="3632" xr:uid="{00000000-0005-0000-0000-0000320E0000}"/>
    <cellStyle name="Normal 2 20 4 2 6" xfId="3633" xr:uid="{00000000-0005-0000-0000-0000330E0000}"/>
    <cellStyle name="Normal 2 20 4 3" xfId="3634" xr:uid="{00000000-0005-0000-0000-0000340E0000}"/>
    <cellStyle name="Normal 2 20 4 3 2" xfId="3635" xr:uid="{00000000-0005-0000-0000-0000350E0000}"/>
    <cellStyle name="Normal 2 20 4 3 2 2" xfId="3636" xr:uid="{00000000-0005-0000-0000-0000360E0000}"/>
    <cellStyle name="Normal 2 20 4 3 2 2 2" xfId="3637" xr:uid="{00000000-0005-0000-0000-0000370E0000}"/>
    <cellStyle name="Normal 2 20 4 3 2 2 3" xfId="3638" xr:uid="{00000000-0005-0000-0000-0000380E0000}"/>
    <cellStyle name="Normal 2 20 4 3 2 3" xfId="3639" xr:uid="{00000000-0005-0000-0000-0000390E0000}"/>
    <cellStyle name="Normal 2 20 4 3 2 4" xfId="3640" xr:uid="{00000000-0005-0000-0000-00003A0E0000}"/>
    <cellStyle name="Normal 2 20 4 3 3" xfId="3641" xr:uid="{00000000-0005-0000-0000-00003B0E0000}"/>
    <cellStyle name="Normal 2 20 4 3 3 2" xfId="3642" xr:uid="{00000000-0005-0000-0000-00003C0E0000}"/>
    <cellStyle name="Normal 2 20 4 3 3 2 2" xfId="3643" xr:uid="{00000000-0005-0000-0000-00003D0E0000}"/>
    <cellStyle name="Normal 2 20 4 3 3 2 3" xfId="3644" xr:uid="{00000000-0005-0000-0000-00003E0E0000}"/>
    <cellStyle name="Normal 2 20 4 3 3 3" xfId="3645" xr:uid="{00000000-0005-0000-0000-00003F0E0000}"/>
    <cellStyle name="Normal 2 20 4 3 3 4" xfId="3646" xr:uid="{00000000-0005-0000-0000-0000400E0000}"/>
    <cellStyle name="Normal 2 20 4 3 4" xfId="3647" xr:uid="{00000000-0005-0000-0000-0000410E0000}"/>
    <cellStyle name="Normal 2 20 4 3 4 2" xfId="3648" xr:uid="{00000000-0005-0000-0000-0000420E0000}"/>
    <cellStyle name="Normal 2 20 4 3 4 3" xfId="3649" xr:uid="{00000000-0005-0000-0000-0000430E0000}"/>
    <cellStyle name="Normal 2 20 4 3 5" xfId="3650" xr:uid="{00000000-0005-0000-0000-0000440E0000}"/>
    <cellStyle name="Normal 2 20 4 3 6" xfId="3651" xr:uid="{00000000-0005-0000-0000-0000450E0000}"/>
    <cellStyle name="Normal 2 20 4 4" xfId="3652" xr:uid="{00000000-0005-0000-0000-0000460E0000}"/>
    <cellStyle name="Normal 2 20 4 4 2" xfId="3653" xr:uid="{00000000-0005-0000-0000-0000470E0000}"/>
    <cellStyle name="Normal 2 20 4 4 2 2" xfId="3654" xr:uid="{00000000-0005-0000-0000-0000480E0000}"/>
    <cellStyle name="Normal 2 20 4 4 2 2 2" xfId="3655" xr:uid="{00000000-0005-0000-0000-0000490E0000}"/>
    <cellStyle name="Normal 2 20 4 4 2 2 3" xfId="3656" xr:uid="{00000000-0005-0000-0000-00004A0E0000}"/>
    <cellStyle name="Normal 2 20 4 4 2 3" xfId="3657" xr:uid="{00000000-0005-0000-0000-00004B0E0000}"/>
    <cellStyle name="Normal 2 20 4 4 2 4" xfId="3658" xr:uid="{00000000-0005-0000-0000-00004C0E0000}"/>
    <cellStyle name="Normal 2 20 4 4 3" xfId="3659" xr:uid="{00000000-0005-0000-0000-00004D0E0000}"/>
    <cellStyle name="Normal 2 20 4 4 3 2" xfId="3660" xr:uid="{00000000-0005-0000-0000-00004E0E0000}"/>
    <cellStyle name="Normal 2 20 4 4 3 2 2" xfId="3661" xr:uid="{00000000-0005-0000-0000-00004F0E0000}"/>
    <cellStyle name="Normal 2 20 4 4 3 2 3" xfId="3662" xr:uid="{00000000-0005-0000-0000-0000500E0000}"/>
    <cellStyle name="Normal 2 20 4 4 3 3" xfId="3663" xr:uid="{00000000-0005-0000-0000-0000510E0000}"/>
    <cellStyle name="Normal 2 20 4 4 3 4" xfId="3664" xr:uid="{00000000-0005-0000-0000-0000520E0000}"/>
    <cellStyle name="Normal 2 20 4 4 4" xfId="3665" xr:uid="{00000000-0005-0000-0000-0000530E0000}"/>
    <cellStyle name="Normal 2 20 4 4 4 2" xfId="3666" xr:uid="{00000000-0005-0000-0000-0000540E0000}"/>
    <cellStyle name="Normal 2 20 4 4 4 3" xfId="3667" xr:uid="{00000000-0005-0000-0000-0000550E0000}"/>
    <cellStyle name="Normal 2 20 4 4 5" xfId="3668" xr:uid="{00000000-0005-0000-0000-0000560E0000}"/>
    <cellStyle name="Normal 2 20 4 4 6" xfId="3669" xr:uid="{00000000-0005-0000-0000-0000570E0000}"/>
    <cellStyle name="Normal 2 20 4 5" xfId="3670" xr:uid="{00000000-0005-0000-0000-0000580E0000}"/>
    <cellStyle name="Normal 2 20 4 5 2" xfId="3671" xr:uid="{00000000-0005-0000-0000-0000590E0000}"/>
    <cellStyle name="Normal 2 20 4 5 2 2" xfId="3672" xr:uid="{00000000-0005-0000-0000-00005A0E0000}"/>
    <cellStyle name="Normal 2 20 4 5 2 2 2" xfId="3673" xr:uid="{00000000-0005-0000-0000-00005B0E0000}"/>
    <cellStyle name="Normal 2 20 4 5 2 2 3" xfId="3674" xr:uid="{00000000-0005-0000-0000-00005C0E0000}"/>
    <cellStyle name="Normal 2 20 4 5 2 3" xfId="3675" xr:uid="{00000000-0005-0000-0000-00005D0E0000}"/>
    <cellStyle name="Normal 2 20 4 5 2 4" xfId="3676" xr:uid="{00000000-0005-0000-0000-00005E0E0000}"/>
    <cellStyle name="Normal 2 20 4 5 3" xfId="3677" xr:uid="{00000000-0005-0000-0000-00005F0E0000}"/>
    <cellStyle name="Normal 2 20 4 5 3 2" xfId="3678" xr:uid="{00000000-0005-0000-0000-0000600E0000}"/>
    <cellStyle name="Normal 2 20 4 5 3 2 2" xfId="3679" xr:uid="{00000000-0005-0000-0000-0000610E0000}"/>
    <cellStyle name="Normal 2 20 4 5 3 2 3" xfId="3680" xr:uid="{00000000-0005-0000-0000-0000620E0000}"/>
    <cellStyle name="Normal 2 20 4 5 3 3" xfId="3681" xr:uid="{00000000-0005-0000-0000-0000630E0000}"/>
    <cellStyle name="Normal 2 20 4 5 3 4" xfId="3682" xr:uid="{00000000-0005-0000-0000-0000640E0000}"/>
    <cellStyle name="Normal 2 20 4 5 4" xfId="3683" xr:uid="{00000000-0005-0000-0000-0000650E0000}"/>
    <cellStyle name="Normal 2 20 4 5 4 2" xfId="3684" xr:uid="{00000000-0005-0000-0000-0000660E0000}"/>
    <cellStyle name="Normal 2 20 4 5 4 3" xfId="3685" xr:uid="{00000000-0005-0000-0000-0000670E0000}"/>
    <cellStyle name="Normal 2 20 4 5 5" xfId="3686" xr:uid="{00000000-0005-0000-0000-0000680E0000}"/>
    <cellStyle name="Normal 2 20 4 5 6" xfId="3687" xr:uid="{00000000-0005-0000-0000-0000690E0000}"/>
    <cellStyle name="Normal 2 20 4 6" xfId="3688" xr:uid="{00000000-0005-0000-0000-00006A0E0000}"/>
    <cellStyle name="Normal 2 20 4 6 2" xfId="3689" xr:uid="{00000000-0005-0000-0000-00006B0E0000}"/>
    <cellStyle name="Normal 2 20 4 6 2 2" xfId="3690" xr:uid="{00000000-0005-0000-0000-00006C0E0000}"/>
    <cellStyle name="Normal 2 20 4 6 2 2 2" xfId="3691" xr:uid="{00000000-0005-0000-0000-00006D0E0000}"/>
    <cellStyle name="Normal 2 20 4 6 2 2 3" xfId="3692" xr:uid="{00000000-0005-0000-0000-00006E0E0000}"/>
    <cellStyle name="Normal 2 20 4 6 2 3" xfId="3693" xr:uid="{00000000-0005-0000-0000-00006F0E0000}"/>
    <cellStyle name="Normal 2 20 4 6 2 4" xfId="3694" xr:uid="{00000000-0005-0000-0000-0000700E0000}"/>
    <cellStyle name="Normal 2 20 4 6 3" xfId="3695" xr:uid="{00000000-0005-0000-0000-0000710E0000}"/>
    <cellStyle name="Normal 2 20 4 6 3 2" xfId="3696" xr:uid="{00000000-0005-0000-0000-0000720E0000}"/>
    <cellStyle name="Normal 2 20 4 6 3 2 2" xfId="3697" xr:uid="{00000000-0005-0000-0000-0000730E0000}"/>
    <cellStyle name="Normal 2 20 4 6 3 2 3" xfId="3698" xr:uid="{00000000-0005-0000-0000-0000740E0000}"/>
    <cellStyle name="Normal 2 20 4 6 3 3" xfId="3699" xr:uid="{00000000-0005-0000-0000-0000750E0000}"/>
    <cellStyle name="Normal 2 20 4 6 3 4" xfId="3700" xr:uid="{00000000-0005-0000-0000-0000760E0000}"/>
    <cellStyle name="Normal 2 20 4 6 4" xfId="3701" xr:uid="{00000000-0005-0000-0000-0000770E0000}"/>
    <cellStyle name="Normal 2 20 4 6 4 2" xfId="3702" xr:uid="{00000000-0005-0000-0000-0000780E0000}"/>
    <cellStyle name="Normal 2 20 4 6 4 3" xfId="3703" xr:uid="{00000000-0005-0000-0000-0000790E0000}"/>
    <cellStyle name="Normal 2 20 4 6 5" xfId="3704" xr:uid="{00000000-0005-0000-0000-00007A0E0000}"/>
    <cellStyle name="Normal 2 20 4 6 6" xfId="3705" xr:uid="{00000000-0005-0000-0000-00007B0E0000}"/>
    <cellStyle name="Normal 2 20 4 7" xfId="3706" xr:uid="{00000000-0005-0000-0000-00007C0E0000}"/>
    <cellStyle name="Normal 2 20 4 7 2" xfId="3707" xr:uid="{00000000-0005-0000-0000-00007D0E0000}"/>
    <cellStyle name="Normal 2 20 4 7 2 2" xfId="3708" xr:uid="{00000000-0005-0000-0000-00007E0E0000}"/>
    <cellStyle name="Normal 2 20 4 7 2 2 2" xfId="3709" xr:uid="{00000000-0005-0000-0000-00007F0E0000}"/>
    <cellStyle name="Normal 2 20 4 7 2 2 3" xfId="3710" xr:uid="{00000000-0005-0000-0000-0000800E0000}"/>
    <cellStyle name="Normal 2 20 4 7 2 3" xfId="3711" xr:uid="{00000000-0005-0000-0000-0000810E0000}"/>
    <cellStyle name="Normal 2 20 4 7 2 4" xfId="3712" xr:uid="{00000000-0005-0000-0000-0000820E0000}"/>
    <cellStyle name="Normal 2 20 4 7 3" xfId="3713" xr:uid="{00000000-0005-0000-0000-0000830E0000}"/>
    <cellStyle name="Normal 2 20 4 7 3 2" xfId="3714" xr:uid="{00000000-0005-0000-0000-0000840E0000}"/>
    <cellStyle name="Normal 2 20 4 7 3 2 2" xfId="3715" xr:uid="{00000000-0005-0000-0000-0000850E0000}"/>
    <cellStyle name="Normal 2 20 4 7 3 2 3" xfId="3716" xr:uid="{00000000-0005-0000-0000-0000860E0000}"/>
    <cellStyle name="Normal 2 20 4 7 3 3" xfId="3717" xr:uid="{00000000-0005-0000-0000-0000870E0000}"/>
    <cellStyle name="Normal 2 20 4 7 3 4" xfId="3718" xr:uid="{00000000-0005-0000-0000-0000880E0000}"/>
    <cellStyle name="Normal 2 20 4 7 4" xfId="3719" xr:uid="{00000000-0005-0000-0000-0000890E0000}"/>
    <cellStyle name="Normal 2 20 4 7 4 2" xfId="3720" xr:uid="{00000000-0005-0000-0000-00008A0E0000}"/>
    <cellStyle name="Normal 2 20 4 7 4 3" xfId="3721" xr:uid="{00000000-0005-0000-0000-00008B0E0000}"/>
    <cellStyle name="Normal 2 20 4 7 5" xfId="3722" xr:uid="{00000000-0005-0000-0000-00008C0E0000}"/>
    <cellStyle name="Normal 2 20 4 7 6" xfId="3723" xr:uid="{00000000-0005-0000-0000-00008D0E0000}"/>
    <cellStyle name="Normal 2 20 4 8" xfId="3724" xr:uid="{00000000-0005-0000-0000-00008E0E0000}"/>
    <cellStyle name="Normal 2 20 4 8 2" xfId="3725" xr:uid="{00000000-0005-0000-0000-00008F0E0000}"/>
    <cellStyle name="Normal 2 20 4 8 2 2" xfId="3726" xr:uid="{00000000-0005-0000-0000-0000900E0000}"/>
    <cellStyle name="Normal 2 20 4 8 2 2 2" xfId="3727" xr:uid="{00000000-0005-0000-0000-0000910E0000}"/>
    <cellStyle name="Normal 2 20 4 8 2 2 3" xfId="3728" xr:uid="{00000000-0005-0000-0000-0000920E0000}"/>
    <cellStyle name="Normal 2 20 4 8 2 3" xfId="3729" xr:uid="{00000000-0005-0000-0000-0000930E0000}"/>
    <cellStyle name="Normal 2 20 4 8 2 4" xfId="3730" xr:uid="{00000000-0005-0000-0000-0000940E0000}"/>
    <cellStyle name="Normal 2 20 4 8 3" xfId="3731" xr:uid="{00000000-0005-0000-0000-0000950E0000}"/>
    <cellStyle name="Normal 2 20 4 8 3 2" xfId="3732" xr:uid="{00000000-0005-0000-0000-0000960E0000}"/>
    <cellStyle name="Normal 2 20 4 8 3 2 2" xfId="3733" xr:uid="{00000000-0005-0000-0000-0000970E0000}"/>
    <cellStyle name="Normal 2 20 4 8 3 2 3" xfId="3734" xr:uid="{00000000-0005-0000-0000-0000980E0000}"/>
    <cellStyle name="Normal 2 20 4 8 3 3" xfId="3735" xr:uid="{00000000-0005-0000-0000-0000990E0000}"/>
    <cellStyle name="Normal 2 20 4 8 3 4" xfId="3736" xr:uid="{00000000-0005-0000-0000-00009A0E0000}"/>
    <cellStyle name="Normal 2 20 4 8 4" xfId="3737" xr:uid="{00000000-0005-0000-0000-00009B0E0000}"/>
    <cellStyle name="Normal 2 20 4 8 4 2" xfId="3738" xr:uid="{00000000-0005-0000-0000-00009C0E0000}"/>
    <cellStyle name="Normal 2 20 4 8 4 3" xfId="3739" xr:uid="{00000000-0005-0000-0000-00009D0E0000}"/>
    <cellStyle name="Normal 2 20 4 8 5" xfId="3740" xr:uid="{00000000-0005-0000-0000-00009E0E0000}"/>
    <cellStyle name="Normal 2 20 4 8 6" xfId="3741" xr:uid="{00000000-0005-0000-0000-00009F0E0000}"/>
    <cellStyle name="Normal 2 20 4 9" xfId="3742" xr:uid="{00000000-0005-0000-0000-0000A00E0000}"/>
    <cellStyle name="Normal 2 20 4 9 2" xfId="3743" xr:uid="{00000000-0005-0000-0000-0000A10E0000}"/>
    <cellStyle name="Normal 2 20 4 9 2 2" xfId="3744" xr:uid="{00000000-0005-0000-0000-0000A20E0000}"/>
    <cellStyle name="Normal 2 20 4 9 2 3" xfId="3745" xr:uid="{00000000-0005-0000-0000-0000A30E0000}"/>
    <cellStyle name="Normal 2 20 4 9 3" xfId="3746" xr:uid="{00000000-0005-0000-0000-0000A40E0000}"/>
    <cellStyle name="Normal 2 20 4 9 4" xfId="3747" xr:uid="{00000000-0005-0000-0000-0000A50E0000}"/>
    <cellStyle name="Normal 2 20 5" xfId="3748" xr:uid="{00000000-0005-0000-0000-0000A60E0000}"/>
    <cellStyle name="Normal 2 20 5 2" xfId="3749" xr:uid="{00000000-0005-0000-0000-0000A70E0000}"/>
    <cellStyle name="Normal 2 20 5 2 2" xfId="3750" xr:uid="{00000000-0005-0000-0000-0000A80E0000}"/>
    <cellStyle name="Normal 2 20 5 2 2 2" xfId="3751" xr:uid="{00000000-0005-0000-0000-0000A90E0000}"/>
    <cellStyle name="Normal 2 20 5 2 2 2 2" xfId="3752" xr:uid="{00000000-0005-0000-0000-0000AA0E0000}"/>
    <cellStyle name="Normal 2 20 5 2 2 2 3" xfId="3753" xr:uid="{00000000-0005-0000-0000-0000AB0E0000}"/>
    <cellStyle name="Normal 2 20 5 2 2 3" xfId="3754" xr:uid="{00000000-0005-0000-0000-0000AC0E0000}"/>
    <cellStyle name="Normal 2 20 5 2 2 4" xfId="3755" xr:uid="{00000000-0005-0000-0000-0000AD0E0000}"/>
    <cellStyle name="Normal 2 20 5 2 3" xfId="3756" xr:uid="{00000000-0005-0000-0000-0000AE0E0000}"/>
    <cellStyle name="Normal 2 20 5 2 3 2" xfId="3757" xr:uid="{00000000-0005-0000-0000-0000AF0E0000}"/>
    <cellStyle name="Normal 2 20 5 2 3 2 2" xfId="3758" xr:uid="{00000000-0005-0000-0000-0000B00E0000}"/>
    <cellStyle name="Normal 2 20 5 2 3 2 3" xfId="3759" xr:uid="{00000000-0005-0000-0000-0000B10E0000}"/>
    <cellStyle name="Normal 2 20 5 2 3 3" xfId="3760" xr:uid="{00000000-0005-0000-0000-0000B20E0000}"/>
    <cellStyle name="Normal 2 20 5 2 3 4" xfId="3761" xr:uid="{00000000-0005-0000-0000-0000B30E0000}"/>
    <cellStyle name="Normal 2 20 5 2 4" xfId="3762" xr:uid="{00000000-0005-0000-0000-0000B40E0000}"/>
    <cellStyle name="Normal 2 20 5 2 4 2" xfId="3763" xr:uid="{00000000-0005-0000-0000-0000B50E0000}"/>
    <cellStyle name="Normal 2 20 5 2 4 3" xfId="3764" xr:uid="{00000000-0005-0000-0000-0000B60E0000}"/>
    <cellStyle name="Normal 2 20 5 2 5" xfId="3765" xr:uid="{00000000-0005-0000-0000-0000B70E0000}"/>
    <cellStyle name="Normal 2 20 5 2 6" xfId="3766" xr:uid="{00000000-0005-0000-0000-0000B80E0000}"/>
    <cellStyle name="Normal 2 20 5 3" xfId="3767" xr:uid="{00000000-0005-0000-0000-0000B90E0000}"/>
    <cellStyle name="Normal 2 20 5 3 2" xfId="3768" xr:uid="{00000000-0005-0000-0000-0000BA0E0000}"/>
    <cellStyle name="Normal 2 20 5 3 2 2" xfId="3769" xr:uid="{00000000-0005-0000-0000-0000BB0E0000}"/>
    <cellStyle name="Normal 2 20 5 3 2 2 2" xfId="3770" xr:uid="{00000000-0005-0000-0000-0000BC0E0000}"/>
    <cellStyle name="Normal 2 20 5 3 2 2 3" xfId="3771" xr:uid="{00000000-0005-0000-0000-0000BD0E0000}"/>
    <cellStyle name="Normal 2 20 5 3 2 3" xfId="3772" xr:uid="{00000000-0005-0000-0000-0000BE0E0000}"/>
    <cellStyle name="Normal 2 20 5 3 2 4" xfId="3773" xr:uid="{00000000-0005-0000-0000-0000BF0E0000}"/>
    <cellStyle name="Normal 2 20 5 3 3" xfId="3774" xr:uid="{00000000-0005-0000-0000-0000C00E0000}"/>
    <cellStyle name="Normal 2 20 5 3 3 2" xfId="3775" xr:uid="{00000000-0005-0000-0000-0000C10E0000}"/>
    <cellStyle name="Normal 2 20 5 3 3 2 2" xfId="3776" xr:uid="{00000000-0005-0000-0000-0000C20E0000}"/>
    <cellStyle name="Normal 2 20 5 3 3 2 3" xfId="3777" xr:uid="{00000000-0005-0000-0000-0000C30E0000}"/>
    <cellStyle name="Normal 2 20 5 3 3 3" xfId="3778" xr:uid="{00000000-0005-0000-0000-0000C40E0000}"/>
    <cellStyle name="Normal 2 20 5 3 3 4" xfId="3779" xr:uid="{00000000-0005-0000-0000-0000C50E0000}"/>
    <cellStyle name="Normal 2 20 5 3 4" xfId="3780" xr:uid="{00000000-0005-0000-0000-0000C60E0000}"/>
    <cellStyle name="Normal 2 20 5 3 4 2" xfId="3781" xr:uid="{00000000-0005-0000-0000-0000C70E0000}"/>
    <cellStyle name="Normal 2 20 5 3 4 3" xfId="3782" xr:uid="{00000000-0005-0000-0000-0000C80E0000}"/>
    <cellStyle name="Normal 2 20 5 3 5" xfId="3783" xr:uid="{00000000-0005-0000-0000-0000C90E0000}"/>
    <cellStyle name="Normal 2 20 5 3 6" xfId="3784" xr:uid="{00000000-0005-0000-0000-0000CA0E0000}"/>
    <cellStyle name="Normal 2 20 5 4" xfId="3785" xr:uid="{00000000-0005-0000-0000-0000CB0E0000}"/>
    <cellStyle name="Normal 2 20 5 4 2" xfId="3786" xr:uid="{00000000-0005-0000-0000-0000CC0E0000}"/>
    <cellStyle name="Normal 2 20 5 4 2 2" xfId="3787" xr:uid="{00000000-0005-0000-0000-0000CD0E0000}"/>
    <cellStyle name="Normal 2 20 5 4 2 3" xfId="3788" xr:uid="{00000000-0005-0000-0000-0000CE0E0000}"/>
    <cellStyle name="Normal 2 20 5 4 3" xfId="3789" xr:uid="{00000000-0005-0000-0000-0000CF0E0000}"/>
    <cellStyle name="Normal 2 20 5 4 4" xfId="3790" xr:uid="{00000000-0005-0000-0000-0000D00E0000}"/>
    <cellStyle name="Normal 2 20 5 5" xfId="3791" xr:uid="{00000000-0005-0000-0000-0000D10E0000}"/>
    <cellStyle name="Normal 2 20 5 5 2" xfId="3792" xr:uid="{00000000-0005-0000-0000-0000D20E0000}"/>
    <cellStyle name="Normal 2 20 5 5 2 2" xfId="3793" xr:uid="{00000000-0005-0000-0000-0000D30E0000}"/>
    <cellStyle name="Normal 2 20 5 5 2 3" xfId="3794" xr:uid="{00000000-0005-0000-0000-0000D40E0000}"/>
    <cellStyle name="Normal 2 20 5 5 3" xfId="3795" xr:uid="{00000000-0005-0000-0000-0000D50E0000}"/>
    <cellStyle name="Normal 2 20 5 5 4" xfId="3796" xr:uid="{00000000-0005-0000-0000-0000D60E0000}"/>
    <cellStyle name="Normal 2 20 5 6" xfId="3797" xr:uid="{00000000-0005-0000-0000-0000D70E0000}"/>
    <cellStyle name="Normal 2 20 5 6 2" xfId="3798" xr:uid="{00000000-0005-0000-0000-0000D80E0000}"/>
    <cellStyle name="Normal 2 20 5 6 3" xfId="3799" xr:uid="{00000000-0005-0000-0000-0000D90E0000}"/>
    <cellStyle name="Normal 2 20 5 7" xfId="3800" xr:uid="{00000000-0005-0000-0000-0000DA0E0000}"/>
    <cellStyle name="Normal 2 20 5 8" xfId="3801" xr:uid="{00000000-0005-0000-0000-0000DB0E0000}"/>
    <cellStyle name="Normal 2 20 6" xfId="3802" xr:uid="{00000000-0005-0000-0000-0000DC0E0000}"/>
    <cellStyle name="Normal 2 20 6 2" xfId="3803" xr:uid="{00000000-0005-0000-0000-0000DD0E0000}"/>
    <cellStyle name="Normal 2 20 6 2 2" xfId="3804" xr:uid="{00000000-0005-0000-0000-0000DE0E0000}"/>
    <cellStyle name="Normal 2 20 6 2 2 2" xfId="3805" xr:uid="{00000000-0005-0000-0000-0000DF0E0000}"/>
    <cellStyle name="Normal 2 20 6 2 2 2 2" xfId="3806" xr:uid="{00000000-0005-0000-0000-0000E00E0000}"/>
    <cellStyle name="Normal 2 20 6 2 2 2 3" xfId="3807" xr:uid="{00000000-0005-0000-0000-0000E10E0000}"/>
    <cellStyle name="Normal 2 20 6 2 2 3" xfId="3808" xr:uid="{00000000-0005-0000-0000-0000E20E0000}"/>
    <cellStyle name="Normal 2 20 6 2 2 4" xfId="3809" xr:uid="{00000000-0005-0000-0000-0000E30E0000}"/>
    <cellStyle name="Normal 2 20 6 2 3" xfId="3810" xr:uid="{00000000-0005-0000-0000-0000E40E0000}"/>
    <cellStyle name="Normal 2 20 6 2 3 2" xfId="3811" xr:uid="{00000000-0005-0000-0000-0000E50E0000}"/>
    <cellStyle name="Normal 2 20 6 2 3 2 2" xfId="3812" xr:uid="{00000000-0005-0000-0000-0000E60E0000}"/>
    <cellStyle name="Normal 2 20 6 2 3 2 3" xfId="3813" xr:uid="{00000000-0005-0000-0000-0000E70E0000}"/>
    <cellStyle name="Normal 2 20 6 2 3 3" xfId="3814" xr:uid="{00000000-0005-0000-0000-0000E80E0000}"/>
    <cellStyle name="Normal 2 20 6 2 3 4" xfId="3815" xr:uid="{00000000-0005-0000-0000-0000E90E0000}"/>
    <cellStyle name="Normal 2 20 6 2 4" xfId="3816" xr:uid="{00000000-0005-0000-0000-0000EA0E0000}"/>
    <cellStyle name="Normal 2 20 6 2 4 2" xfId="3817" xr:uid="{00000000-0005-0000-0000-0000EB0E0000}"/>
    <cellStyle name="Normal 2 20 6 2 4 3" xfId="3818" xr:uid="{00000000-0005-0000-0000-0000EC0E0000}"/>
    <cellStyle name="Normal 2 20 6 2 5" xfId="3819" xr:uid="{00000000-0005-0000-0000-0000ED0E0000}"/>
    <cellStyle name="Normal 2 20 6 2 6" xfId="3820" xr:uid="{00000000-0005-0000-0000-0000EE0E0000}"/>
    <cellStyle name="Normal 2 20 6 3" xfId="3821" xr:uid="{00000000-0005-0000-0000-0000EF0E0000}"/>
    <cellStyle name="Normal 2 20 6 3 2" xfId="3822" xr:uid="{00000000-0005-0000-0000-0000F00E0000}"/>
    <cellStyle name="Normal 2 20 6 3 2 2" xfId="3823" xr:uid="{00000000-0005-0000-0000-0000F10E0000}"/>
    <cellStyle name="Normal 2 20 6 3 2 2 2" xfId="3824" xr:uid="{00000000-0005-0000-0000-0000F20E0000}"/>
    <cellStyle name="Normal 2 20 6 3 2 2 3" xfId="3825" xr:uid="{00000000-0005-0000-0000-0000F30E0000}"/>
    <cellStyle name="Normal 2 20 6 3 2 3" xfId="3826" xr:uid="{00000000-0005-0000-0000-0000F40E0000}"/>
    <cellStyle name="Normal 2 20 6 3 2 4" xfId="3827" xr:uid="{00000000-0005-0000-0000-0000F50E0000}"/>
    <cellStyle name="Normal 2 20 6 3 3" xfId="3828" xr:uid="{00000000-0005-0000-0000-0000F60E0000}"/>
    <cellStyle name="Normal 2 20 6 3 3 2" xfId="3829" xr:uid="{00000000-0005-0000-0000-0000F70E0000}"/>
    <cellStyle name="Normal 2 20 6 3 3 2 2" xfId="3830" xr:uid="{00000000-0005-0000-0000-0000F80E0000}"/>
    <cellStyle name="Normal 2 20 6 3 3 2 3" xfId="3831" xr:uid="{00000000-0005-0000-0000-0000F90E0000}"/>
    <cellStyle name="Normal 2 20 6 3 3 3" xfId="3832" xr:uid="{00000000-0005-0000-0000-0000FA0E0000}"/>
    <cellStyle name="Normal 2 20 6 3 3 4" xfId="3833" xr:uid="{00000000-0005-0000-0000-0000FB0E0000}"/>
    <cellStyle name="Normal 2 20 6 3 4" xfId="3834" xr:uid="{00000000-0005-0000-0000-0000FC0E0000}"/>
    <cellStyle name="Normal 2 20 6 3 4 2" xfId="3835" xr:uid="{00000000-0005-0000-0000-0000FD0E0000}"/>
    <cellStyle name="Normal 2 20 6 3 4 3" xfId="3836" xr:uid="{00000000-0005-0000-0000-0000FE0E0000}"/>
    <cellStyle name="Normal 2 20 6 3 5" xfId="3837" xr:uid="{00000000-0005-0000-0000-0000FF0E0000}"/>
    <cellStyle name="Normal 2 20 6 3 6" xfId="3838" xr:uid="{00000000-0005-0000-0000-0000000F0000}"/>
    <cellStyle name="Normal 2 20 6 4" xfId="3839" xr:uid="{00000000-0005-0000-0000-0000010F0000}"/>
    <cellStyle name="Normal 2 20 6 4 2" xfId="3840" xr:uid="{00000000-0005-0000-0000-0000020F0000}"/>
    <cellStyle name="Normal 2 20 6 4 2 2" xfId="3841" xr:uid="{00000000-0005-0000-0000-0000030F0000}"/>
    <cellStyle name="Normal 2 20 6 4 2 3" xfId="3842" xr:uid="{00000000-0005-0000-0000-0000040F0000}"/>
    <cellStyle name="Normal 2 20 6 4 3" xfId="3843" xr:uid="{00000000-0005-0000-0000-0000050F0000}"/>
    <cellStyle name="Normal 2 20 6 4 4" xfId="3844" xr:uid="{00000000-0005-0000-0000-0000060F0000}"/>
    <cellStyle name="Normal 2 20 6 5" xfId="3845" xr:uid="{00000000-0005-0000-0000-0000070F0000}"/>
    <cellStyle name="Normal 2 20 6 5 2" xfId="3846" xr:uid="{00000000-0005-0000-0000-0000080F0000}"/>
    <cellStyle name="Normal 2 20 6 5 2 2" xfId="3847" xr:uid="{00000000-0005-0000-0000-0000090F0000}"/>
    <cellStyle name="Normal 2 20 6 5 2 3" xfId="3848" xr:uid="{00000000-0005-0000-0000-00000A0F0000}"/>
    <cellStyle name="Normal 2 20 6 5 3" xfId="3849" xr:uid="{00000000-0005-0000-0000-00000B0F0000}"/>
    <cellStyle name="Normal 2 20 6 5 4" xfId="3850" xr:uid="{00000000-0005-0000-0000-00000C0F0000}"/>
    <cellStyle name="Normal 2 20 6 6" xfId="3851" xr:uid="{00000000-0005-0000-0000-00000D0F0000}"/>
    <cellStyle name="Normal 2 20 6 6 2" xfId="3852" xr:uid="{00000000-0005-0000-0000-00000E0F0000}"/>
    <cellStyle name="Normal 2 20 6 6 3" xfId="3853" xr:uid="{00000000-0005-0000-0000-00000F0F0000}"/>
    <cellStyle name="Normal 2 20 6 7" xfId="3854" xr:uid="{00000000-0005-0000-0000-0000100F0000}"/>
    <cellStyle name="Normal 2 20 6 8" xfId="3855" xr:uid="{00000000-0005-0000-0000-0000110F0000}"/>
    <cellStyle name="Normal 2 20 7" xfId="3856" xr:uid="{00000000-0005-0000-0000-0000120F0000}"/>
    <cellStyle name="Normal 2 20 7 2" xfId="3857" xr:uid="{00000000-0005-0000-0000-0000130F0000}"/>
    <cellStyle name="Normal 2 20 7 2 2" xfId="3858" xr:uid="{00000000-0005-0000-0000-0000140F0000}"/>
    <cellStyle name="Normal 2 20 7 2 2 2" xfId="3859" xr:uid="{00000000-0005-0000-0000-0000150F0000}"/>
    <cellStyle name="Normal 2 20 7 2 2 2 2" xfId="3860" xr:uid="{00000000-0005-0000-0000-0000160F0000}"/>
    <cellStyle name="Normal 2 20 7 2 2 2 3" xfId="3861" xr:uid="{00000000-0005-0000-0000-0000170F0000}"/>
    <cellStyle name="Normal 2 20 7 2 2 3" xfId="3862" xr:uid="{00000000-0005-0000-0000-0000180F0000}"/>
    <cellStyle name="Normal 2 20 7 2 2 4" xfId="3863" xr:uid="{00000000-0005-0000-0000-0000190F0000}"/>
    <cellStyle name="Normal 2 20 7 2 3" xfId="3864" xr:uid="{00000000-0005-0000-0000-00001A0F0000}"/>
    <cellStyle name="Normal 2 20 7 2 3 2" xfId="3865" xr:uid="{00000000-0005-0000-0000-00001B0F0000}"/>
    <cellStyle name="Normal 2 20 7 2 3 2 2" xfId="3866" xr:uid="{00000000-0005-0000-0000-00001C0F0000}"/>
    <cellStyle name="Normal 2 20 7 2 3 2 3" xfId="3867" xr:uid="{00000000-0005-0000-0000-00001D0F0000}"/>
    <cellStyle name="Normal 2 20 7 2 3 3" xfId="3868" xr:uid="{00000000-0005-0000-0000-00001E0F0000}"/>
    <cellStyle name="Normal 2 20 7 2 3 4" xfId="3869" xr:uid="{00000000-0005-0000-0000-00001F0F0000}"/>
    <cellStyle name="Normal 2 20 7 2 4" xfId="3870" xr:uid="{00000000-0005-0000-0000-0000200F0000}"/>
    <cellStyle name="Normal 2 20 7 2 4 2" xfId="3871" xr:uid="{00000000-0005-0000-0000-0000210F0000}"/>
    <cellStyle name="Normal 2 20 7 2 4 3" xfId="3872" xr:uid="{00000000-0005-0000-0000-0000220F0000}"/>
    <cellStyle name="Normal 2 20 7 2 5" xfId="3873" xr:uid="{00000000-0005-0000-0000-0000230F0000}"/>
    <cellStyle name="Normal 2 20 7 2 6" xfId="3874" xr:uid="{00000000-0005-0000-0000-0000240F0000}"/>
    <cellStyle name="Normal 2 20 7 3" xfId="3875" xr:uid="{00000000-0005-0000-0000-0000250F0000}"/>
    <cellStyle name="Normal 2 20 7 3 2" xfId="3876" xr:uid="{00000000-0005-0000-0000-0000260F0000}"/>
    <cellStyle name="Normal 2 20 7 3 2 2" xfId="3877" xr:uid="{00000000-0005-0000-0000-0000270F0000}"/>
    <cellStyle name="Normal 2 20 7 3 2 2 2" xfId="3878" xr:uid="{00000000-0005-0000-0000-0000280F0000}"/>
    <cellStyle name="Normal 2 20 7 3 2 2 3" xfId="3879" xr:uid="{00000000-0005-0000-0000-0000290F0000}"/>
    <cellStyle name="Normal 2 20 7 3 2 3" xfId="3880" xr:uid="{00000000-0005-0000-0000-00002A0F0000}"/>
    <cellStyle name="Normal 2 20 7 3 2 4" xfId="3881" xr:uid="{00000000-0005-0000-0000-00002B0F0000}"/>
    <cellStyle name="Normal 2 20 7 3 3" xfId="3882" xr:uid="{00000000-0005-0000-0000-00002C0F0000}"/>
    <cellStyle name="Normal 2 20 7 3 3 2" xfId="3883" xr:uid="{00000000-0005-0000-0000-00002D0F0000}"/>
    <cellStyle name="Normal 2 20 7 3 3 2 2" xfId="3884" xr:uid="{00000000-0005-0000-0000-00002E0F0000}"/>
    <cellStyle name="Normal 2 20 7 3 3 2 3" xfId="3885" xr:uid="{00000000-0005-0000-0000-00002F0F0000}"/>
    <cellStyle name="Normal 2 20 7 3 3 3" xfId="3886" xr:uid="{00000000-0005-0000-0000-0000300F0000}"/>
    <cellStyle name="Normal 2 20 7 3 3 4" xfId="3887" xr:uid="{00000000-0005-0000-0000-0000310F0000}"/>
    <cellStyle name="Normal 2 20 7 3 4" xfId="3888" xr:uid="{00000000-0005-0000-0000-0000320F0000}"/>
    <cellStyle name="Normal 2 20 7 3 4 2" xfId="3889" xr:uid="{00000000-0005-0000-0000-0000330F0000}"/>
    <cellStyle name="Normal 2 20 7 3 4 3" xfId="3890" xr:uid="{00000000-0005-0000-0000-0000340F0000}"/>
    <cellStyle name="Normal 2 20 7 3 5" xfId="3891" xr:uid="{00000000-0005-0000-0000-0000350F0000}"/>
    <cellStyle name="Normal 2 20 7 3 6" xfId="3892" xr:uid="{00000000-0005-0000-0000-0000360F0000}"/>
    <cellStyle name="Normal 2 20 7 4" xfId="3893" xr:uid="{00000000-0005-0000-0000-0000370F0000}"/>
    <cellStyle name="Normal 2 20 7 4 2" xfId="3894" xr:uid="{00000000-0005-0000-0000-0000380F0000}"/>
    <cellStyle name="Normal 2 20 7 4 2 2" xfId="3895" xr:uid="{00000000-0005-0000-0000-0000390F0000}"/>
    <cellStyle name="Normal 2 20 7 4 2 3" xfId="3896" xr:uid="{00000000-0005-0000-0000-00003A0F0000}"/>
    <cellStyle name="Normal 2 20 7 4 3" xfId="3897" xr:uid="{00000000-0005-0000-0000-00003B0F0000}"/>
    <cellStyle name="Normal 2 20 7 4 4" xfId="3898" xr:uid="{00000000-0005-0000-0000-00003C0F0000}"/>
    <cellStyle name="Normal 2 20 7 5" xfId="3899" xr:uid="{00000000-0005-0000-0000-00003D0F0000}"/>
    <cellStyle name="Normal 2 20 7 5 2" xfId="3900" xr:uid="{00000000-0005-0000-0000-00003E0F0000}"/>
    <cellStyle name="Normal 2 20 7 5 2 2" xfId="3901" xr:uid="{00000000-0005-0000-0000-00003F0F0000}"/>
    <cellStyle name="Normal 2 20 7 5 2 3" xfId="3902" xr:uid="{00000000-0005-0000-0000-0000400F0000}"/>
    <cellStyle name="Normal 2 20 7 5 3" xfId="3903" xr:uid="{00000000-0005-0000-0000-0000410F0000}"/>
    <cellStyle name="Normal 2 20 7 5 4" xfId="3904" xr:uid="{00000000-0005-0000-0000-0000420F0000}"/>
    <cellStyle name="Normal 2 20 7 6" xfId="3905" xr:uid="{00000000-0005-0000-0000-0000430F0000}"/>
    <cellStyle name="Normal 2 20 7 6 2" xfId="3906" xr:uid="{00000000-0005-0000-0000-0000440F0000}"/>
    <cellStyle name="Normal 2 20 7 6 3" xfId="3907" xr:uid="{00000000-0005-0000-0000-0000450F0000}"/>
    <cellStyle name="Normal 2 20 7 7" xfId="3908" xr:uid="{00000000-0005-0000-0000-0000460F0000}"/>
    <cellStyle name="Normal 2 20 7 8" xfId="3909" xr:uid="{00000000-0005-0000-0000-0000470F0000}"/>
    <cellStyle name="Normal 2 20 8" xfId="3910" xr:uid="{00000000-0005-0000-0000-0000480F0000}"/>
    <cellStyle name="Normal 2 20 8 2" xfId="3911" xr:uid="{00000000-0005-0000-0000-0000490F0000}"/>
    <cellStyle name="Normal 2 20 8 2 2" xfId="3912" xr:uid="{00000000-0005-0000-0000-00004A0F0000}"/>
    <cellStyle name="Normal 2 20 8 2 2 2" xfId="3913" xr:uid="{00000000-0005-0000-0000-00004B0F0000}"/>
    <cellStyle name="Normal 2 20 8 2 2 2 2" xfId="3914" xr:uid="{00000000-0005-0000-0000-00004C0F0000}"/>
    <cellStyle name="Normal 2 20 8 2 2 2 3" xfId="3915" xr:uid="{00000000-0005-0000-0000-00004D0F0000}"/>
    <cellStyle name="Normal 2 20 8 2 2 3" xfId="3916" xr:uid="{00000000-0005-0000-0000-00004E0F0000}"/>
    <cellStyle name="Normal 2 20 8 2 2 4" xfId="3917" xr:uid="{00000000-0005-0000-0000-00004F0F0000}"/>
    <cellStyle name="Normal 2 20 8 2 3" xfId="3918" xr:uid="{00000000-0005-0000-0000-0000500F0000}"/>
    <cellStyle name="Normal 2 20 8 2 3 2" xfId="3919" xr:uid="{00000000-0005-0000-0000-0000510F0000}"/>
    <cellStyle name="Normal 2 20 8 2 3 2 2" xfId="3920" xr:uid="{00000000-0005-0000-0000-0000520F0000}"/>
    <cellStyle name="Normal 2 20 8 2 3 2 3" xfId="3921" xr:uid="{00000000-0005-0000-0000-0000530F0000}"/>
    <cellStyle name="Normal 2 20 8 2 3 3" xfId="3922" xr:uid="{00000000-0005-0000-0000-0000540F0000}"/>
    <cellStyle name="Normal 2 20 8 2 3 4" xfId="3923" xr:uid="{00000000-0005-0000-0000-0000550F0000}"/>
    <cellStyle name="Normal 2 20 8 2 4" xfId="3924" xr:uid="{00000000-0005-0000-0000-0000560F0000}"/>
    <cellStyle name="Normal 2 20 8 2 4 2" xfId="3925" xr:uid="{00000000-0005-0000-0000-0000570F0000}"/>
    <cellStyle name="Normal 2 20 8 2 4 3" xfId="3926" xr:uid="{00000000-0005-0000-0000-0000580F0000}"/>
    <cellStyle name="Normal 2 20 8 2 5" xfId="3927" xr:uid="{00000000-0005-0000-0000-0000590F0000}"/>
    <cellStyle name="Normal 2 20 8 2 6" xfId="3928" xr:uid="{00000000-0005-0000-0000-00005A0F0000}"/>
    <cellStyle name="Normal 2 20 8 3" xfId="3929" xr:uid="{00000000-0005-0000-0000-00005B0F0000}"/>
    <cellStyle name="Normal 2 20 8 3 2" xfId="3930" xr:uid="{00000000-0005-0000-0000-00005C0F0000}"/>
    <cellStyle name="Normal 2 20 8 3 2 2" xfId="3931" xr:uid="{00000000-0005-0000-0000-00005D0F0000}"/>
    <cellStyle name="Normal 2 20 8 3 2 2 2" xfId="3932" xr:uid="{00000000-0005-0000-0000-00005E0F0000}"/>
    <cellStyle name="Normal 2 20 8 3 2 2 3" xfId="3933" xr:uid="{00000000-0005-0000-0000-00005F0F0000}"/>
    <cellStyle name="Normal 2 20 8 3 2 3" xfId="3934" xr:uid="{00000000-0005-0000-0000-0000600F0000}"/>
    <cellStyle name="Normal 2 20 8 3 2 4" xfId="3935" xr:uid="{00000000-0005-0000-0000-0000610F0000}"/>
    <cellStyle name="Normal 2 20 8 3 3" xfId="3936" xr:uid="{00000000-0005-0000-0000-0000620F0000}"/>
    <cellStyle name="Normal 2 20 8 3 3 2" xfId="3937" xr:uid="{00000000-0005-0000-0000-0000630F0000}"/>
    <cellStyle name="Normal 2 20 8 3 3 2 2" xfId="3938" xr:uid="{00000000-0005-0000-0000-0000640F0000}"/>
    <cellStyle name="Normal 2 20 8 3 3 2 3" xfId="3939" xr:uid="{00000000-0005-0000-0000-0000650F0000}"/>
    <cellStyle name="Normal 2 20 8 3 3 3" xfId="3940" xr:uid="{00000000-0005-0000-0000-0000660F0000}"/>
    <cellStyle name="Normal 2 20 8 3 3 4" xfId="3941" xr:uid="{00000000-0005-0000-0000-0000670F0000}"/>
    <cellStyle name="Normal 2 20 8 3 4" xfId="3942" xr:uid="{00000000-0005-0000-0000-0000680F0000}"/>
    <cellStyle name="Normal 2 20 8 3 4 2" xfId="3943" xr:uid="{00000000-0005-0000-0000-0000690F0000}"/>
    <cellStyle name="Normal 2 20 8 3 4 3" xfId="3944" xr:uid="{00000000-0005-0000-0000-00006A0F0000}"/>
    <cellStyle name="Normal 2 20 8 3 5" xfId="3945" xr:uid="{00000000-0005-0000-0000-00006B0F0000}"/>
    <cellStyle name="Normal 2 20 8 3 6" xfId="3946" xr:uid="{00000000-0005-0000-0000-00006C0F0000}"/>
    <cellStyle name="Normal 2 20 8 4" xfId="3947" xr:uid="{00000000-0005-0000-0000-00006D0F0000}"/>
    <cellStyle name="Normal 2 20 8 4 2" xfId="3948" xr:uid="{00000000-0005-0000-0000-00006E0F0000}"/>
    <cellStyle name="Normal 2 20 8 4 2 2" xfId="3949" xr:uid="{00000000-0005-0000-0000-00006F0F0000}"/>
    <cellStyle name="Normal 2 20 8 4 2 3" xfId="3950" xr:uid="{00000000-0005-0000-0000-0000700F0000}"/>
    <cellStyle name="Normal 2 20 8 4 3" xfId="3951" xr:uid="{00000000-0005-0000-0000-0000710F0000}"/>
    <cellStyle name="Normal 2 20 8 4 4" xfId="3952" xr:uid="{00000000-0005-0000-0000-0000720F0000}"/>
    <cellStyle name="Normal 2 20 8 5" xfId="3953" xr:uid="{00000000-0005-0000-0000-0000730F0000}"/>
    <cellStyle name="Normal 2 20 8 5 2" xfId="3954" xr:uid="{00000000-0005-0000-0000-0000740F0000}"/>
    <cellStyle name="Normal 2 20 8 5 2 2" xfId="3955" xr:uid="{00000000-0005-0000-0000-0000750F0000}"/>
    <cellStyle name="Normal 2 20 8 5 2 3" xfId="3956" xr:uid="{00000000-0005-0000-0000-0000760F0000}"/>
    <cellStyle name="Normal 2 20 8 5 3" xfId="3957" xr:uid="{00000000-0005-0000-0000-0000770F0000}"/>
    <cellStyle name="Normal 2 20 8 5 4" xfId="3958" xr:uid="{00000000-0005-0000-0000-0000780F0000}"/>
    <cellStyle name="Normal 2 20 8 6" xfId="3959" xr:uid="{00000000-0005-0000-0000-0000790F0000}"/>
    <cellStyle name="Normal 2 20 8 6 2" xfId="3960" xr:uid="{00000000-0005-0000-0000-00007A0F0000}"/>
    <cellStyle name="Normal 2 20 8 6 3" xfId="3961" xr:uid="{00000000-0005-0000-0000-00007B0F0000}"/>
    <cellStyle name="Normal 2 20 8 7" xfId="3962" xr:uid="{00000000-0005-0000-0000-00007C0F0000}"/>
    <cellStyle name="Normal 2 20 8 8" xfId="3963" xr:uid="{00000000-0005-0000-0000-00007D0F0000}"/>
    <cellStyle name="Normal 2 20 9" xfId="3964" xr:uid="{00000000-0005-0000-0000-00007E0F0000}"/>
    <cellStyle name="Normal 2 20 9 2" xfId="3965" xr:uid="{00000000-0005-0000-0000-00007F0F0000}"/>
    <cellStyle name="Normal 2 20 9 2 2" xfId="3966" xr:uid="{00000000-0005-0000-0000-0000800F0000}"/>
    <cellStyle name="Normal 2 20 9 2 2 2" xfId="3967" xr:uid="{00000000-0005-0000-0000-0000810F0000}"/>
    <cellStyle name="Normal 2 20 9 2 2 2 2" xfId="3968" xr:uid="{00000000-0005-0000-0000-0000820F0000}"/>
    <cellStyle name="Normal 2 20 9 2 2 2 3" xfId="3969" xr:uid="{00000000-0005-0000-0000-0000830F0000}"/>
    <cellStyle name="Normal 2 20 9 2 2 3" xfId="3970" xr:uid="{00000000-0005-0000-0000-0000840F0000}"/>
    <cellStyle name="Normal 2 20 9 2 2 4" xfId="3971" xr:uid="{00000000-0005-0000-0000-0000850F0000}"/>
    <cellStyle name="Normal 2 20 9 2 3" xfId="3972" xr:uid="{00000000-0005-0000-0000-0000860F0000}"/>
    <cellStyle name="Normal 2 20 9 2 3 2" xfId="3973" xr:uid="{00000000-0005-0000-0000-0000870F0000}"/>
    <cellStyle name="Normal 2 20 9 2 3 2 2" xfId="3974" xr:uid="{00000000-0005-0000-0000-0000880F0000}"/>
    <cellStyle name="Normal 2 20 9 2 3 2 3" xfId="3975" xr:uid="{00000000-0005-0000-0000-0000890F0000}"/>
    <cellStyle name="Normal 2 20 9 2 3 3" xfId="3976" xr:uid="{00000000-0005-0000-0000-00008A0F0000}"/>
    <cellStyle name="Normal 2 20 9 2 3 4" xfId="3977" xr:uid="{00000000-0005-0000-0000-00008B0F0000}"/>
    <cellStyle name="Normal 2 20 9 2 4" xfId="3978" xr:uid="{00000000-0005-0000-0000-00008C0F0000}"/>
    <cellStyle name="Normal 2 20 9 2 4 2" xfId="3979" xr:uid="{00000000-0005-0000-0000-00008D0F0000}"/>
    <cellStyle name="Normal 2 20 9 2 4 3" xfId="3980" xr:uid="{00000000-0005-0000-0000-00008E0F0000}"/>
    <cellStyle name="Normal 2 20 9 2 5" xfId="3981" xr:uid="{00000000-0005-0000-0000-00008F0F0000}"/>
    <cellStyle name="Normal 2 20 9 2 6" xfId="3982" xr:uid="{00000000-0005-0000-0000-0000900F0000}"/>
    <cellStyle name="Normal 2 20 9 3" xfId="3983" xr:uid="{00000000-0005-0000-0000-0000910F0000}"/>
    <cellStyle name="Normal 2 20 9 3 2" xfId="3984" xr:uid="{00000000-0005-0000-0000-0000920F0000}"/>
    <cellStyle name="Normal 2 20 9 3 2 2" xfId="3985" xr:uid="{00000000-0005-0000-0000-0000930F0000}"/>
    <cellStyle name="Normal 2 20 9 3 2 2 2" xfId="3986" xr:uid="{00000000-0005-0000-0000-0000940F0000}"/>
    <cellStyle name="Normal 2 20 9 3 2 2 3" xfId="3987" xr:uid="{00000000-0005-0000-0000-0000950F0000}"/>
    <cellStyle name="Normal 2 20 9 3 2 3" xfId="3988" xr:uid="{00000000-0005-0000-0000-0000960F0000}"/>
    <cellStyle name="Normal 2 20 9 3 2 4" xfId="3989" xr:uid="{00000000-0005-0000-0000-0000970F0000}"/>
    <cellStyle name="Normal 2 20 9 3 3" xfId="3990" xr:uid="{00000000-0005-0000-0000-0000980F0000}"/>
    <cellStyle name="Normal 2 20 9 3 3 2" xfId="3991" xr:uid="{00000000-0005-0000-0000-0000990F0000}"/>
    <cellStyle name="Normal 2 20 9 3 3 2 2" xfId="3992" xr:uid="{00000000-0005-0000-0000-00009A0F0000}"/>
    <cellStyle name="Normal 2 20 9 3 3 2 3" xfId="3993" xr:uid="{00000000-0005-0000-0000-00009B0F0000}"/>
    <cellStyle name="Normal 2 20 9 3 3 3" xfId="3994" xr:uid="{00000000-0005-0000-0000-00009C0F0000}"/>
    <cellStyle name="Normal 2 20 9 3 3 4" xfId="3995" xr:uid="{00000000-0005-0000-0000-00009D0F0000}"/>
    <cellStyle name="Normal 2 20 9 3 4" xfId="3996" xr:uid="{00000000-0005-0000-0000-00009E0F0000}"/>
    <cellStyle name="Normal 2 20 9 3 4 2" xfId="3997" xr:uid="{00000000-0005-0000-0000-00009F0F0000}"/>
    <cellStyle name="Normal 2 20 9 3 4 3" xfId="3998" xr:uid="{00000000-0005-0000-0000-0000A00F0000}"/>
    <cellStyle name="Normal 2 20 9 3 5" xfId="3999" xr:uid="{00000000-0005-0000-0000-0000A10F0000}"/>
    <cellStyle name="Normal 2 20 9 3 6" xfId="4000" xr:uid="{00000000-0005-0000-0000-0000A20F0000}"/>
    <cellStyle name="Normal 2 20 9 4" xfId="4001" xr:uid="{00000000-0005-0000-0000-0000A30F0000}"/>
    <cellStyle name="Normal 2 20 9 4 2" xfId="4002" xr:uid="{00000000-0005-0000-0000-0000A40F0000}"/>
    <cellStyle name="Normal 2 20 9 4 2 2" xfId="4003" xr:uid="{00000000-0005-0000-0000-0000A50F0000}"/>
    <cellStyle name="Normal 2 20 9 4 2 3" xfId="4004" xr:uid="{00000000-0005-0000-0000-0000A60F0000}"/>
    <cellStyle name="Normal 2 20 9 4 3" xfId="4005" xr:uid="{00000000-0005-0000-0000-0000A70F0000}"/>
    <cellStyle name="Normal 2 20 9 4 4" xfId="4006" xr:uid="{00000000-0005-0000-0000-0000A80F0000}"/>
    <cellStyle name="Normal 2 20 9 5" xfId="4007" xr:uid="{00000000-0005-0000-0000-0000A90F0000}"/>
    <cellStyle name="Normal 2 20 9 5 2" xfId="4008" xr:uid="{00000000-0005-0000-0000-0000AA0F0000}"/>
    <cellStyle name="Normal 2 20 9 5 2 2" xfId="4009" xr:uid="{00000000-0005-0000-0000-0000AB0F0000}"/>
    <cellStyle name="Normal 2 20 9 5 2 3" xfId="4010" xr:uid="{00000000-0005-0000-0000-0000AC0F0000}"/>
    <cellStyle name="Normal 2 20 9 5 3" xfId="4011" xr:uid="{00000000-0005-0000-0000-0000AD0F0000}"/>
    <cellStyle name="Normal 2 20 9 5 4" xfId="4012" xr:uid="{00000000-0005-0000-0000-0000AE0F0000}"/>
    <cellStyle name="Normal 2 20 9 6" xfId="4013" xr:uid="{00000000-0005-0000-0000-0000AF0F0000}"/>
    <cellStyle name="Normal 2 20 9 6 2" xfId="4014" xr:uid="{00000000-0005-0000-0000-0000B00F0000}"/>
    <cellStyle name="Normal 2 20 9 6 3" xfId="4015" xr:uid="{00000000-0005-0000-0000-0000B10F0000}"/>
    <cellStyle name="Normal 2 20 9 7" xfId="4016" xr:uid="{00000000-0005-0000-0000-0000B20F0000}"/>
    <cellStyle name="Normal 2 20 9 8" xfId="4017" xr:uid="{00000000-0005-0000-0000-0000B30F0000}"/>
    <cellStyle name="Normal 2 21" xfId="4018" xr:uid="{00000000-0005-0000-0000-0000B40F0000}"/>
    <cellStyle name="Normal 2 22" xfId="4019" xr:uid="{00000000-0005-0000-0000-0000B50F0000}"/>
    <cellStyle name="Normal 2 23" xfId="4020" xr:uid="{00000000-0005-0000-0000-0000B60F0000}"/>
    <cellStyle name="Normal 2 24" xfId="4021" xr:uid="{00000000-0005-0000-0000-0000B70F0000}"/>
    <cellStyle name="Normal 2 25" xfId="4022" xr:uid="{00000000-0005-0000-0000-0000B80F0000}"/>
    <cellStyle name="Normal 2 25 2" xfId="4023" xr:uid="{00000000-0005-0000-0000-0000B90F0000}"/>
    <cellStyle name="Normal 2 25 2 2" xfId="4024" xr:uid="{00000000-0005-0000-0000-0000BA0F0000}"/>
    <cellStyle name="Normal 2 25 2 3" xfId="4025" xr:uid="{00000000-0005-0000-0000-0000BB0F0000}"/>
    <cellStyle name="Normal 2 25 3" xfId="4026" xr:uid="{00000000-0005-0000-0000-0000BC0F0000}"/>
    <cellStyle name="Normal 2 25 4" xfId="4027" xr:uid="{00000000-0005-0000-0000-0000BD0F0000}"/>
    <cellStyle name="Normal 2 26" xfId="4028" xr:uid="{00000000-0005-0000-0000-0000BE0F0000}"/>
    <cellStyle name="Normal 2 26 2" xfId="4029" xr:uid="{00000000-0005-0000-0000-0000BF0F0000}"/>
    <cellStyle name="Normal 2 26 2 2" xfId="4030" xr:uid="{00000000-0005-0000-0000-0000C00F0000}"/>
    <cellStyle name="Normal 2 26 2 3" xfId="4031" xr:uid="{00000000-0005-0000-0000-0000C10F0000}"/>
    <cellStyle name="Normal 2 26 3" xfId="4032" xr:uid="{00000000-0005-0000-0000-0000C20F0000}"/>
    <cellStyle name="Normal 2 26 4" xfId="4033" xr:uid="{00000000-0005-0000-0000-0000C30F0000}"/>
    <cellStyle name="Normal 2 27" xfId="4034" xr:uid="{00000000-0005-0000-0000-0000C40F0000}"/>
    <cellStyle name="Normal 2 27 2" xfId="4035" xr:uid="{00000000-0005-0000-0000-0000C50F0000}"/>
    <cellStyle name="Normal 2 27 3" xfId="4036" xr:uid="{00000000-0005-0000-0000-0000C60F0000}"/>
    <cellStyle name="Normal 2 3" xfId="4037" xr:uid="{00000000-0005-0000-0000-0000C70F0000}"/>
    <cellStyle name="Normal 2 4" xfId="4038" xr:uid="{00000000-0005-0000-0000-0000C80F0000}"/>
    <cellStyle name="Normal 2 5" xfId="4039" xr:uid="{00000000-0005-0000-0000-0000C90F0000}"/>
    <cellStyle name="Normal 2 6" xfId="4040" xr:uid="{00000000-0005-0000-0000-0000CA0F0000}"/>
    <cellStyle name="Normal 2 6 2" xfId="4217" xr:uid="{00000000-0005-0000-0000-0000CB0F0000}"/>
    <cellStyle name="Normal 2 7" xfId="4041" xr:uid="{00000000-0005-0000-0000-0000CC0F0000}"/>
    <cellStyle name="Normal 2 8" xfId="4042" xr:uid="{00000000-0005-0000-0000-0000CD0F0000}"/>
    <cellStyle name="Normal 2 9" xfId="4043" xr:uid="{00000000-0005-0000-0000-0000CE0F0000}"/>
    <cellStyle name="Normal 20" xfId="4044" xr:uid="{00000000-0005-0000-0000-0000CF0F0000}"/>
    <cellStyle name="Normal 20 10" xfId="4045" xr:uid="{00000000-0005-0000-0000-0000D00F0000}"/>
    <cellStyle name="Normal 20 11" xfId="4046" xr:uid="{00000000-0005-0000-0000-0000D10F0000}"/>
    <cellStyle name="Normal 20 12" xfId="4047" xr:uid="{00000000-0005-0000-0000-0000D20F0000}"/>
    <cellStyle name="Normal 20 13" xfId="4048" xr:uid="{00000000-0005-0000-0000-0000D30F0000}"/>
    <cellStyle name="Normal 20 14" xfId="4049" xr:uid="{00000000-0005-0000-0000-0000D40F0000}"/>
    <cellStyle name="Normal 20 15" xfId="4050" xr:uid="{00000000-0005-0000-0000-0000D50F0000}"/>
    <cellStyle name="Normal 20 16" xfId="4051" xr:uid="{00000000-0005-0000-0000-0000D60F0000}"/>
    <cellStyle name="Normal 20 17" xfId="4052" xr:uid="{00000000-0005-0000-0000-0000D70F0000}"/>
    <cellStyle name="Normal 20 2" xfId="4053" xr:uid="{00000000-0005-0000-0000-0000D80F0000}"/>
    <cellStyle name="Normal 20 3" xfId="4054" xr:uid="{00000000-0005-0000-0000-0000D90F0000}"/>
    <cellStyle name="Normal 20 4" xfId="4055" xr:uid="{00000000-0005-0000-0000-0000DA0F0000}"/>
    <cellStyle name="Normal 20 5" xfId="4056" xr:uid="{00000000-0005-0000-0000-0000DB0F0000}"/>
    <cellStyle name="Normal 20 6" xfId="4057" xr:uid="{00000000-0005-0000-0000-0000DC0F0000}"/>
    <cellStyle name="Normal 20 7" xfId="4058" xr:uid="{00000000-0005-0000-0000-0000DD0F0000}"/>
    <cellStyle name="Normal 20 8" xfId="4059" xr:uid="{00000000-0005-0000-0000-0000DE0F0000}"/>
    <cellStyle name="Normal 20 9" xfId="4060" xr:uid="{00000000-0005-0000-0000-0000DF0F0000}"/>
    <cellStyle name="Normal 21" xfId="4061" xr:uid="{00000000-0005-0000-0000-0000E00F0000}"/>
    <cellStyle name="Normal 22" xfId="4062" xr:uid="{00000000-0005-0000-0000-0000E10F0000}"/>
    <cellStyle name="Normal 23" xfId="4063" xr:uid="{00000000-0005-0000-0000-0000E20F0000}"/>
    <cellStyle name="Normal 24" xfId="4064" xr:uid="{00000000-0005-0000-0000-0000E30F0000}"/>
    <cellStyle name="Normal 25" xfId="4065" xr:uid="{00000000-0005-0000-0000-0000E40F0000}"/>
    <cellStyle name="Normal 26" xfId="4066" xr:uid="{00000000-0005-0000-0000-0000E50F0000}"/>
    <cellStyle name="Normal 27" xfId="4067" xr:uid="{00000000-0005-0000-0000-0000E60F0000}"/>
    <cellStyle name="Normal 27 2" xfId="4068" xr:uid="{00000000-0005-0000-0000-0000E70F0000}"/>
    <cellStyle name="Normal 27 3" xfId="4069" xr:uid="{00000000-0005-0000-0000-0000E80F0000}"/>
    <cellStyle name="Normal 28" xfId="4070" xr:uid="{00000000-0005-0000-0000-0000E90F0000}"/>
    <cellStyle name="Normal 28 2" xfId="4071" xr:uid="{00000000-0005-0000-0000-0000EA0F0000}"/>
    <cellStyle name="Normal 29" xfId="4072" xr:uid="{00000000-0005-0000-0000-0000EB0F0000}"/>
    <cellStyle name="Normal 3" xfId="4073" xr:uid="{00000000-0005-0000-0000-0000EC0F0000}"/>
    <cellStyle name="Normal 3 10" xfId="4074" xr:uid="{00000000-0005-0000-0000-0000ED0F0000}"/>
    <cellStyle name="Normal 3 11" xfId="4075" xr:uid="{00000000-0005-0000-0000-0000EE0F0000}"/>
    <cellStyle name="Normal 3 12" xfId="4076" xr:uid="{00000000-0005-0000-0000-0000EF0F0000}"/>
    <cellStyle name="Normal 3 13" xfId="4077" xr:uid="{00000000-0005-0000-0000-0000F00F0000}"/>
    <cellStyle name="Normal 3 14" xfId="4078" xr:uid="{00000000-0005-0000-0000-0000F10F0000}"/>
    <cellStyle name="Normal 3 15" xfId="4079" xr:uid="{00000000-0005-0000-0000-0000F20F0000}"/>
    <cellStyle name="Normal 3 16" xfId="4080" xr:uid="{00000000-0005-0000-0000-0000F30F0000}"/>
    <cellStyle name="Normal 3 17" xfId="4081" xr:uid="{00000000-0005-0000-0000-0000F40F0000}"/>
    <cellStyle name="Normal 3 2" xfId="4082" xr:uid="{00000000-0005-0000-0000-0000F50F0000}"/>
    <cellStyle name="Normal 3 3" xfId="4083" xr:uid="{00000000-0005-0000-0000-0000F60F0000}"/>
    <cellStyle name="Normal 3 4" xfId="4084" xr:uid="{00000000-0005-0000-0000-0000F70F0000}"/>
    <cellStyle name="Normal 3 5" xfId="4085" xr:uid="{00000000-0005-0000-0000-0000F80F0000}"/>
    <cellStyle name="Normal 3 6" xfId="4086" xr:uid="{00000000-0005-0000-0000-0000F90F0000}"/>
    <cellStyle name="Normal 3 7" xfId="4087" xr:uid="{00000000-0005-0000-0000-0000FA0F0000}"/>
    <cellStyle name="Normal 3 8" xfId="4088" xr:uid="{00000000-0005-0000-0000-0000FB0F0000}"/>
    <cellStyle name="Normal 3 9" xfId="4089" xr:uid="{00000000-0005-0000-0000-0000FC0F0000}"/>
    <cellStyle name="Normal 30" xfId="4090" xr:uid="{00000000-0005-0000-0000-0000FD0F0000}"/>
    <cellStyle name="Normal 30 2" xfId="4091" xr:uid="{00000000-0005-0000-0000-0000FE0F0000}"/>
    <cellStyle name="Normal 30 3" xfId="4092" xr:uid="{00000000-0005-0000-0000-0000FF0F0000}"/>
    <cellStyle name="Normal 31" xfId="4093" xr:uid="{00000000-0005-0000-0000-000000100000}"/>
    <cellStyle name="Normal 31 2" xfId="4094" xr:uid="{00000000-0005-0000-0000-000001100000}"/>
    <cellStyle name="Normal 31 3" xfId="4095" xr:uid="{00000000-0005-0000-0000-000002100000}"/>
    <cellStyle name="Normal 32" xfId="4096" xr:uid="{00000000-0005-0000-0000-000003100000}"/>
    <cellStyle name="Normal 33" xfId="4097" xr:uid="{00000000-0005-0000-0000-000004100000}"/>
    <cellStyle name="Normal 34" xfId="4098" xr:uid="{00000000-0005-0000-0000-000005100000}"/>
    <cellStyle name="Normal 34 2" xfId="4099" xr:uid="{00000000-0005-0000-0000-000006100000}"/>
    <cellStyle name="Normal 34 2 2" xfId="4100" xr:uid="{00000000-0005-0000-0000-000007100000}"/>
    <cellStyle name="Normal 34 2 2 2" xfId="4101" xr:uid="{00000000-0005-0000-0000-000008100000}"/>
    <cellStyle name="Normal 34 2 2 3" xfId="4102" xr:uid="{00000000-0005-0000-0000-000009100000}"/>
    <cellStyle name="Normal 34 2 3" xfId="4103" xr:uid="{00000000-0005-0000-0000-00000A100000}"/>
    <cellStyle name="Normal 34 2 4" xfId="4104" xr:uid="{00000000-0005-0000-0000-00000B100000}"/>
    <cellStyle name="Normal 34 3" xfId="4105" xr:uid="{00000000-0005-0000-0000-00000C100000}"/>
    <cellStyle name="Normal 34 3 2" xfId="4106" xr:uid="{00000000-0005-0000-0000-00000D100000}"/>
    <cellStyle name="Normal 34 4" xfId="4107" xr:uid="{00000000-0005-0000-0000-00000E100000}"/>
    <cellStyle name="Normal 34 4 2" xfId="4108" xr:uid="{00000000-0005-0000-0000-00000F100000}"/>
    <cellStyle name="Normal 34 4 3" xfId="4109" xr:uid="{00000000-0005-0000-0000-000010100000}"/>
    <cellStyle name="Normal 34 5" xfId="4110" xr:uid="{00000000-0005-0000-0000-000011100000}"/>
    <cellStyle name="Normal 34 6" xfId="4111" xr:uid="{00000000-0005-0000-0000-000012100000}"/>
    <cellStyle name="Normal 35" xfId="4112" xr:uid="{00000000-0005-0000-0000-000013100000}"/>
    <cellStyle name="Normal 36" xfId="4213" xr:uid="{00000000-0005-0000-0000-000014100000}"/>
    <cellStyle name="Normal 4" xfId="4113" xr:uid="{00000000-0005-0000-0000-000015100000}"/>
    <cellStyle name="Normal 4 10" xfId="4114" xr:uid="{00000000-0005-0000-0000-000016100000}"/>
    <cellStyle name="Normal 4 11" xfId="4115" xr:uid="{00000000-0005-0000-0000-000017100000}"/>
    <cellStyle name="Normal 4 12" xfId="4116" xr:uid="{00000000-0005-0000-0000-000018100000}"/>
    <cellStyle name="Normal 4 13" xfId="4117" xr:uid="{00000000-0005-0000-0000-000019100000}"/>
    <cellStyle name="Normal 4 14" xfId="4118" xr:uid="{00000000-0005-0000-0000-00001A100000}"/>
    <cellStyle name="Normal 4 15" xfId="4119" xr:uid="{00000000-0005-0000-0000-00001B100000}"/>
    <cellStyle name="Normal 4 16" xfId="4120" xr:uid="{00000000-0005-0000-0000-00001C100000}"/>
    <cellStyle name="Normal 4 17" xfId="4121" xr:uid="{00000000-0005-0000-0000-00001D100000}"/>
    <cellStyle name="Normal 4 2" xfId="4122" xr:uid="{00000000-0005-0000-0000-00001E100000}"/>
    <cellStyle name="Normal 4 3" xfId="4123" xr:uid="{00000000-0005-0000-0000-00001F100000}"/>
    <cellStyle name="Normal 4 4" xfId="4124" xr:uid="{00000000-0005-0000-0000-000020100000}"/>
    <cellStyle name="Normal 4 5" xfId="4125" xr:uid="{00000000-0005-0000-0000-000021100000}"/>
    <cellStyle name="Normal 4 6" xfId="4126" xr:uid="{00000000-0005-0000-0000-000022100000}"/>
    <cellStyle name="Normal 4 7" xfId="4127" xr:uid="{00000000-0005-0000-0000-000023100000}"/>
    <cellStyle name="Normal 4 8" xfId="4128" xr:uid="{00000000-0005-0000-0000-000024100000}"/>
    <cellStyle name="Normal 4 9" xfId="4129" xr:uid="{00000000-0005-0000-0000-000025100000}"/>
    <cellStyle name="Normal 5" xfId="4130" xr:uid="{00000000-0005-0000-0000-000026100000}"/>
    <cellStyle name="Normal 5 10" xfId="4131" xr:uid="{00000000-0005-0000-0000-000027100000}"/>
    <cellStyle name="Normal 5 11" xfId="4132" xr:uid="{00000000-0005-0000-0000-000028100000}"/>
    <cellStyle name="Normal 5 12" xfId="4133" xr:uid="{00000000-0005-0000-0000-000029100000}"/>
    <cellStyle name="Normal 5 13" xfId="4134" xr:uid="{00000000-0005-0000-0000-00002A100000}"/>
    <cellStyle name="Normal 5 14" xfId="4135" xr:uid="{00000000-0005-0000-0000-00002B100000}"/>
    <cellStyle name="Normal 5 15" xfId="4136" xr:uid="{00000000-0005-0000-0000-00002C100000}"/>
    <cellStyle name="Normal 5 16" xfId="4137" xr:uid="{00000000-0005-0000-0000-00002D100000}"/>
    <cellStyle name="Normal 5 17" xfId="4138" xr:uid="{00000000-0005-0000-0000-00002E100000}"/>
    <cellStyle name="Normal 5 2" xfId="4139" xr:uid="{00000000-0005-0000-0000-00002F100000}"/>
    <cellStyle name="Normal 5 3" xfId="4140" xr:uid="{00000000-0005-0000-0000-000030100000}"/>
    <cellStyle name="Normal 5 4" xfId="4141" xr:uid="{00000000-0005-0000-0000-000031100000}"/>
    <cellStyle name="Normal 5 5" xfId="4142" xr:uid="{00000000-0005-0000-0000-000032100000}"/>
    <cellStyle name="Normal 5 6" xfId="4143" xr:uid="{00000000-0005-0000-0000-000033100000}"/>
    <cellStyle name="Normal 5 7" xfId="4144" xr:uid="{00000000-0005-0000-0000-000034100000}"/>
    <cellStyle name="Normal 5 8" xfId="4145" xr:uid="{00000000-0005-0000-0000-000035100000}"/>
    <cellStyle name="Normal 5 9" xfId="4146" xr:uid="{00000000-0005-0000-0000-000036100000}"/>
    <cellStyle name="Normal 6" xfId="4147" xr:uid="{00000000-0005-0000-0000-000037100000}"/>
    <cellStyle name="Normal 6 10" xfId="4148" xr:uid="{00000000-0005-0000-0000-000038100000}"/>
    <cellStyle name="Normal 6 11" xfId="4149" xr:uid="{00000000-0005-0000-0000-000039100000}"/>
    <cellStyle name="Normal 6 12" xfId="4150" xr:uid="{00000000-0005-0000-0000-00003A100000}"/>
    <cellStyle name="Normal 6 13" xfId="4151" xr:uid="{00000000-0005-0000-0000-00003B100000}"/>
    <cellStyle name="Normal 6 14" xfId="4152" xr:uid="{00000000-0005-0000-0000-00003C100000}"/>
    <cellStyle name="Normal 6 15" xfId="4153" xr:uid="{00000000-0005-0000-0000-00003D100000}"/>
    <cellStyle name="Normal 6 16" xfId="4154" xr:uid="{00000000-0005-0000-0000-00003E100000}"/>
    <cellStyle name="Normal 6 17" xfId="4155" xr:uid="{00000000-0005-0000-0000-00003F100000}"/>
    <cellStyle name="Normal 6 2" xfId="4156" xr:uid="{00000000-0005-0000-0000-000040100000}"/>
    <cellStyle name="Normal 6 3" xfId="4157" xr:uid="{00000000-0005-0000-0000-000041100000}"/>
    <cellStyle name="Normal 6 4" xfId="4158" xr:uid="{00000000-0005-0000-0000-000042100000}"/>
    <cellStyle name="Normal 6 5" xfId="4159" xr:uid="{00000000-0005-0000-0000-000043100000}"/>
    <cellStyle name="Normal 6 6" xfId="4160" xr:uid="{00000000-0005-0000-0000-000044100000}"/>
    <cellStyle name="Normal 6 7" xfId="4161" xr:uid="{00000000-0005-0000-0000-000045100000}"/>
    <cellStyle name="Normal 6 8" xfId="4162" xr:uid="{00000000-0005-0000-0000-000046100000}"/>
    <cellStyle name="Normal 6 9" xfId="4163" xr:uid="{00000000-0005-0000-0000-000047100000}"/>
    <cellStyle name="Normal 7" xfId="4164" xr:uid="{00000000-0005-0000-0000-000048100000}"/>
    <cellStyle name="Normal 7 2" xfId="4165" xr:uid="{00000000-0005-0000-0000-000049100000}"/>
    <cellStyle name="Normal 8" xfId="4166" xr:uid="{00000000-0005-0000-0000-00004A100000}"/>
    <cellStyle name="Normal 8 10" xfId="4167" xr:uid="{00000000-0005-0000-0000-00004B100000}"/>
    <cellStyle name="Normal 8 11" xfId="4168" xr:uid="{00000000-0005-0000-0000-00004C100000}"/>
    <cellStyle name="Normal 8 12" xfId="4169" xr:uid="{00000000-0005-0000-0000-00004D100000}"/>
    <cellStyle name="Normal 8 13" xfId="4170" xr:uid="{00000000-0005-0000-0000-00004E100000}"/>
    <cellStyle name="Normal 8 14" xfId="4171" xr:uid="{00000000-0005-0000-0000-00004F100000}"/>
    <cellStyle name="Normal 8 15" xfId="4172" xr:uid="{00000000-0005-0000-0000-000050100000}"/>
    <cellStyle name="Normal 8 16" xfId="4173" xr:uid="{00000000-0005-0000-0000-000051100000}"/>
    <cellStyle name="Normal 8 17" xfId="4174" xr:uid="{00000000-0005-0000-0000-000052100000}"/>
    <cellStyle name="Normal 8 18" xfId="4175" xr:uid="{00000000-0005-0000-0000-000053100000}"/>
    <cellStyle name="Normal 8 19" xfId="4176" xr:uid="{00000000-0005-0000-0000-000054100000}"/>
    <cellStyle name="Normal 8 2" xfId="4177" xr:uid="{00000000-0005-0000-0000-000055100000}"/>
    <cellStyle name="Normal 8 20" xfId="4178" xr:uid="{00000000-0005-0000-0000-000056100000}"/>
    <cellStyle name="Normal 8 21" xfId="4179" xr:uid="{00000000-0005-0000-0000-000057100000}"/>
    <cellStyle name="Normal 8 22" xfId="4180" xr:uid="{00000000-0005-0000-0000-000058100000}"/>
    <cellStyle name="Normal 8 23" xfId="4181" xr:uid="{00000000-0005-0000-0000-000059100000}"/>
    <cellStyle name="Normal 8 24" xfId="4182" xr:uid="{00000000-0005-0000-0000-00005A100000}"/>
    <cellStyle name="Normal 8 25" xfId="4183" xr:uid="{00000000-0005-0000-0000-00005B100000}"/>
    <cellStyle name="Normal 8 26" xfId="4184" xr:uid="{00000000-0005-0000-0000-00005C100000}"/>
    <cellStyle name="Normal 8 27" xfId="4185" xr:uid="{00000000-0005-0000-0000-00005D100000}"/>
    <cellStyle name="Normal 8 28" xfId="4186" xr:uid="{00000000-0005-0000-0000-00005E100000}"/>
    <cellStyle name="Normal 8 29" xfId="4187" xr:uid="{00000000-0005-0000-0000-00005F100000}"/>
    <cellStyle name="Normal 8 3" xfId="4188" xr:uid="{00000000-0005-0000-0000-000060100000}"/>
    <cellStyle name="Normal 8 4" xfId="4189" xr:uid="{00000000-0005-0000-0000-000061100000}"/>
    <cellStyle name="Normal 8 5" xfId="4190" xr:uid="{00000000-0005-0000-0000-000062100000}"/>
    <cellStyle name="Normal 8 6" xfId="4191" xr:uid="{00000000-0005-0000-0000-000063100000}"/>
    <cellStyle name="Normal 8 7" xfId="4192" xr:uid="{00000000-0005-0000-0000-000064100000}"/>
    <cellStyle name="Normal 8 8" xfId="4193" xr:uid="{00000000-0005-0000-0000-000065100000}"/>
    <cellStyle name="Normal 8 9" xfId="4194" xr:uid="{00000000-0005-0000-0000-000066100000}"/>
    <cellStyle name="Normal 9" xfId="4195" xr:uid="{00000000-0005-0000-0000-000067100000}"/>
    <cellStyle name="Normal 9 10" xfId="4196" xr:uid="{00000000-0005-0000-0000-000068100000}"/>
    <cellStyle name="Normal 9 11" xfId="4197" xr:uid="{00000000-0005-0000-0000-000069100000}"/>
    <cellStyle name="Normal 9 12" xfId="4198" xr:uid="{00000000-0005-0000-0000-00006A100000}"/>
    <cellStyle name="Normal 9 13" xfId="4199" xr:uid="{00000000-0005-0000-0000-00006B100000}"/>
    <cellStyle name="Normal 9 14" xfId="4200" xr:uid="{00000000-0005-0000-0000-00006C100000}"/>
    <cellStyle name="Normal 9 15" xfId="4201" xr:uid="{00000000-0005-0000-0000-00006D100000}"/>
    <cellStyle name="Normal 9 16" xfId="4202" xr:uid="{00000000-0005-0000-0000-00006E100000}"/>
    <cellStyle name="Normal 9 17" xfId="4203" xr:uid="{00000000-0005-0000-0000-00006F100000}"/>
    <cellStyle name="Normal 9 2" xfId="4204" xr:uid="{00000000-0005-0000-0000-000070100000}"/>
    <cellStyle name="Normal 9 3" xfId="4205" xr:uid="{00000000-0005-0000-0000-000071100000}"/>
    <cellStyle name="Normal 9 4" xfId="4206" xr:uid="{00000000-0005-0000-0000-000072100000}"/>
    <cellStyle name="Normal 9 5" xfId="4207" xr:uid="{00000000-0005-0000-0000-000073100000}"/>
    <cellStyle name="Normal 9 6" xfId="4208" xr:uid="{00000000-0005-0000-0000-000074100000}"/>
    <cellStyle name="Normal 9 7" xfId="4209" xr:uid="{00000000-0005-0000-0000-000075100000}"/>
    <cellStyle name="Normal 9 8" xfId="4210" xr:uid="{00000000-0005-0000-0000-000076100000}"/>
    <cellStyle name="Normal 9 9" xfId="4211" xr:uid="{00000000-0005-0000-0000-000077100000}"/>
    <cellStyle name="Normal_FDD Workbook Template1" xfId="1" xr:uid="{00000000-0005-0000-0000-000078100000}"/>
    <cellStyle name="Percent 2" xfId="4212" xr:uid="{00000000-0005-0000-0000-000079100000}"/>
  </cellStyles>
  <dxfs count="0"/>
  <tableStyles count="0" defaultTableStyle="TableStyleMedium2" defaultPivotStyle="PivotStyleLight16"/>
  <colors>
    <mruColors>
      <color rgb="FF0000CC"/>
      <color rgb="FFFFFF00"/>
      <color rgb="FFFFFF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DD%20Workbook%20Template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GEOINT\Registry\_Registry%20Manager\_AS%20Registry\__Export\Workbooks\ANAS%20(v1.0_draft3)%20E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GEOINT%20Registry\_Registry%20Manager\_DCS\TDS\NAS%20Profile\_Export\Workbooks\Templates\GSIP-style%20AS%20Template.xl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fstl02\office3\Documents%20and%20Settings\pbirkel\Desktop\Feature-level%20Map%20v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ature Types"/>
      <sheetName val="Feature Attributes"/>
      <sheetName val="Attribute Listed Values"/>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ntity_Views"/>
      <sheetName val="Entities"/>
      <sheetName val="Entity_Types"/>
      <sheetName val="Entity_Attributes"/>
      <sheetName val="Listed_Values"/>
      <sheetName val="Associations"/>
      <sheetName val="Thematic_Groups"/>
      <sheetName val="View_Groups"/>
      <sheetName val="View_Typ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y_Views"/>
      <sheetName val="Entities"/>
      <sheetName val="Info_Types"/>
      <sheetName val="Info_Attributes"/>
      <sheetName val="Info_Datatypes"/>
      <sheetName val="Info_DatatypeListedValues"/>
      <sheetName val="View_Groups"/>
      <sheetName val="View_Types"/>
      <sheetName val="Shape_Encoding"/>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IFD_Map"/>
      <sheetName val="GNDB_Map"/>
      <sheetName val="DVOF_Map"/>
      <sheetName val="NFDD_Features"/>
      <sheetName val="NFDD_Attributes"/>
      <sheetName val="NFDD_Enumerants"/>
      <sheetName val="FACC_Features"/>
      <sheetName val="FACC_Attributes"/>
      <sheetName val="FACC_Enumerants"/>
    </sheetNames>
    <sheetDataSet>
      <sheetData sheetId="0"/>
      <sheetData sheetId="1"/>
      <sheetData sheetId="2"/>
      <sheetData sheetId="3">
        <row r="1">
          <cell r="A1" t="str">
            <v>count</v>
          </cell>
          <cell r="B1" t="str">
            <v>DVOF</v>
          </cell>
          <cell r="C1" t="str">
            <v>Primary Name</v>
          </cell>
          <cell r="D1" t="str">
            <v>Secondary Name</v>
          </cell>
          <cell r="E1" t="str">
            <v>NFDD</v>
          </cell>
          <cell r="F1" t="str">
            <v>NSG FC Entity Name</v>
          </cell>
          <cell r="H1" t="str">
            <v>Code</v>
          </cell>
          <cell r="I1" t="str">
            <v>Code</v>
          </cell>
          <cell r="J1" t="str">
            <v>Attribute1</v>
          </cell>
          <cell r="K1" t="str">
            <v>Enum1</v>
          </cell>
          <cell r="M1" t="str">
            <v>Code</v>
          </cell>
          <cell r="N1" t="str">
            <v>Code</v>
          </cell>
          <cell r="O1" t="str">
            <v>Attribute2</v>
          </cell>
          <cell r="P1" t="str">
            <v>Enum2</v>
          </cell>
          <cell r="R1" t="str">
            <v>Code</v>
          </cell>
          <cell r="S1" t="str">
            <v>Code</v>
          </cell>
          <cell r="T1" t="str">
            <v>Attribute3</v>
          </cell>
          <cell r="U1" t="str">
            <v>Enum3</v>
          </cell>
          <cell r="V1" t="str">
            <v>Notes</v>
          </cell>
        </row>
        <row r="2">
          <cell r="B2" t="str">
            <v>&lt;0&gt;</v>
          </cell>
          <cell r="C2" t="str">
            <v>Place</v>
          </cell>
          <cell r="D2" t="str">
            <v>(See Data Item Palace)</v>
          </cell>
          <cell r="G2" t="str">
            <v>_</v>
          </cell>
          <cell r="L2" t="str">
            <v>_</v>
          </cell>
          <cell r="Q2" t="str">
            <v>_</v>
          </cell>
          <cell r="V2" t="str">
            <v>Provided for reference from the DVOF specification.</v>
          </cell>
        </row>
        <row r="3">
          <cell r="B3" t="str">
            <v>&lt;1&gt;</v>
          </cell>
          <cell r="C3" t="str">
            <v>House of Religious Worship</v>
          </cell>
          <cell r="D3" t="str">
            <v>(See Data Item Church)</v>
          </cell>
          <cell r="G3" t="str">
            <v>_</v>
          </cell>
          <cell r="L3" t="str">
            <v>_</v>
          </cell>
          <cell r="Q3" t="str">
            <v>_</v>
          </cell>
          <cell r="V3" t="str">
            <v>Provided for reference from the DVOF specification.</v>
          </cell>
        </row>
        <row r="4">
          <cell r="B4" t="str">
            <v>&lt;2&gt;</v>
          </cell>
          <cell r="C4" t="str">
            <v>Industrial Building</v>
          </cell>
          <cell r="D4" t="str">
            <v>(See Data Item Industrial Plant)</v>
          </cell>
          <cell r="G4" t="str">
            <v>_</v>
          </cell>
          <cell r="L4" t="str">
            <v>_</v>
          </cell>
          <cell r="Q4" t="str">
            <v>_</v>
          </cell>
          <cell r="V4" t="str">
            <v>Provided for reference from the DVOF specification.</v>
          </cell>
        </row>
        <row r="5">
          <cell r="B5" t="str">
            <v>&lt;3&gt;</v>
          </cell>
          <cell r="C5" t="str">
            <v>Water- Tower Building</v>
          </cell>
          <cell r="D5" t="str">
            <v>(See Data Item Water Tower</v>
          </cell>
          <cell r="G5" t="str">
            <v>_</v>
          </cell>
          <cell r="L5" t="str">
            <v>_</v>
          </cell>
          <cell r="Q5" t="str">
            <v>_</v>
          </cell>
          <cell r="V5" t="str">
            <v>Provided for reference from the DVOF specification.</v>
          </cell>
        </row>
        <row r="6">
          <cell r="B6" t="str">
            <v>&lt;4&gt;</v>
          </cell>
          <cell r="C6" t="str">
            <v>Thermal Power Plant</v>
          </cell>
          <cell r="D6" t="str">
            <v>(See Data Item Smokestack)</v>
          </cell>
          <cell r="G6" t="str">
            <v>_</v>
          </cell>
          <cell r="L6" t="str">
            <v>_</v>
          </cell>
          <cell r="Q6" t="str">
            <v>_</v>
          </cell>
          <cell r="V6" t="str">
            <v>Provided for reference from the DVOF specification.</v>
          </cell>
        </row>
        <row r="7">
          <cell r="B7" t="str">
            <v>&lt;5&gt;</v>
          </cell>
          <cell r="C7" t="str">
            <v>Powerplant</v>
          </cell>
          <cell r="D7" t="str">
            <v>(See Data Item Industrial Plant, and Smokestack)</v>
          </cell>
          <cell r="G7" t="str">
            <v>_</v>
          </cell>
          <cell r="L7" t="str">
            <v>_</v>
          </cell>
          <cell r="Q7" t="str">
            <v>_</v>
          </cell>
          <cell r="V7" t="str">
            <v>Provided for reference from the DVOF specification.</v>
          </cell>
        </row>
        <row r="8">
          <cell r="B8" t="str">
            <v>&lt;6&gt;</v>
          </cell>
          <cell r="C8" t="str">
            <v>Power Transmission Line</v>
          </cell>
          <cell r="D8" t="str">
            <v>(See Data Item Aerial Cable)</v>
          </cell>
          <cell r="G8" t="str">
            <v>_</v>
          </cell>
          <cell r="L8" t="str">
            <v>_</v>
          </cell>
          <cell r="Q8" t="str">
            <v>_</v>
          </cell>
          <cell r="V8" t="str">
            <v>Provided for reference from the DVOF specification.</v>
          </cell>
        </row>
        <row r="9">
          <cell r="B9" t="str">
            <v>&lt;7&gt;</v>
          </cell>
          <cell r="C9" t="str">
            <v>Tank, Telescoping Gasholder (Gasometer)</v>
          </cell>
          <cell r="D9" t="str">
            <v>(See Data Item Gasholder)</v>
          </cell>
          <cell r="G9" t="str">
            <v>_</v>
          </cell>
          <cell r="L9" t="str">
            <v>_</v>
          </cell>
          <cell r="Q9" t="str">
            <v>_</v>
          </cell>
          <cell r="V9" t="str">
            <v>Provided for reference from the DVOF specification.</v>
          </cell>
        </row>
        <row r="10">
          <cell r="B10" t="str">
            <v>&lt;8&gt;</v>
          </cell>
          <cell r="C10" t="str">
            <v>Microwave Tower, Type I</v>
          </cell>
          <cell r="D10" t="str">
            <v>(See Data Item Mast)</v>
          </cell>
          <cell r="G10" t="str">
            <v>_</v>
          </cell>
          <cell r="L10" t="str">
            <v>_</v>
          </cell>
          <cell r="Q10" t="str">
            <v>_</v>
          </cell>
          <cell r="V10" t="str">
            <v>Provided for reference from the DVOF specification.</v>
          </cell>
        </row>
        <row r="11">
          <cell r="B11" t="str">
            <v>&lt;9&gt;</v>
          </cell>
          <cell r="C11" t="str">
            <v>Radio/TV Tower, Type I</v>
          </cell>
          <cell r="D11" t="str">
            <v>(See Data Item Mast)</v>
          </cell>
          <cell r="G11" t="str">
            <v>_</v>
          </cell>
          <cell r="L11" t="str">
            <v>_</v>
          </cell>
          <cell r="Q11" t="str">
            <v>_</v>
          </cell>
          <cell r="V11" t="str">
            <v>Provided for reference from the DVOF specification.</v>
          </cell>
        </row>
        <row r="12">
          <cell r="A12">
            <v>48246</v>
          </cell>
          <cell r="B12" t="str">
            <v>099</v>
          </cell>
          <cell r="C12" t="str">
            <v>Building</v>
          </cell>
          <cell r="D12" t="str">
            <v>General  (All types)</v>
          </cell>
          <cell r="E12" t="str">
            <v>AL013</v>
          </cell>
          <cell r="F12" t="str">
            <v>Building</v>
          </cell>
          <cell r="G12" t="str">
            <v>_</v>
          </cell>
          <cell r="L12" t="str">
            <v>_</v>
          </cell>
          <cell r="Q12" t="str">
            <v>_</v>
          </cell>
        </row>
        <row r="13">
          <cell r="A13">
            <v>283</v>
          </cell>
          <cell r="B13" t="str">
            <v>101</v>
          </cell>
          <cell r="C13" t="str">
            <v>Industrial Structure</v>
          </cell>
          <cell r="D13" t="str">
            <v>Structure, General, Extraction Industry</v>
          </cell>
          <cell r="E13" t="str">
            <v>AL014</v>
          </cell>
          <cell r="F13" t="str">
            <v>Non-building Structure</v>
          </cell>
          <cell r="G13" t="str">
            <v>FFN_40</v>
          </cell>
          <cell r="H13" t="str">
            <v>FFN</v>
          </cell>
          <cell r="I13">
            <v>40</v>
          </cell>
          <cell r="J13" t="str">
            <v>Feature Function(s)</v>
          </cell>
          <cell r="K13" t="str">
            <v>Mining and Quarrying</v>
          </cell>
          <cell r="L13" t="str">
            <v>_</v>
          </cell>
          <cell r="Q13" t="str">
            <v>_</v>
          </cell>
          <cell r="V13" t="str">
            <v>[PVA]: "Could be crushers, powderhouses, explosive magazines." *however* BB states "part of an Industrial Complex" implying that the extraction aspect is ignored in practice.</v>
          </cell>
        </row>
        <row r="14">
          <cell r="A14">
            <v>5835</v>
          </cell>
          <cell r="B14" t="str">
            <v>103</v>
          </cell>
          <cell r="C14" t="str">
            <v>Tower</v>
          </cell>
          <cell r="D14" t="str">
            <v>Derrick, Gas/Oil</v>
          </cell>
          <cell r="E14" t="str">
            <v>AA040</v>
          </cell>
          <cell r="F14" t="str">
            <v>Rig</v>
          </cell>
          <cell r="G14" t="str">
            <v>PPO_157</v>
          </cell>
          <cell r="H14" t="str">
            <v>PPO</v>
          </cell>
          <cell r="I14">
            <v>157</v>
          </cell>
          <cell r="J14" t="str">
            <v>Product</v>
          </cell>
          <cell r="K14" t="str">
            <v>Petroleum and/or Natural Gas</v>
          </cell>
          <cell r="L14" t="str">
            <v>_</v>
          </cell>
          <cell r="Q14" t="str">
            <v>_</v>
          </cell>
        </row>
        <row r="15">
          <cell r="A15">
            <v>1023</v>
          </cell>
          <cell r="B15" t="str">
            <v>104</v>
          </cell>
          <cell r="C15" t="str">
            <v>Platform</v>
          </cell>
          <cell r="D15" t="str">
            <v>Offshore Platform, General</v>
          </cell>
          <cell r="E15" t="str">
            <v>BD110</v>
          </cell>
          <cell r="F15" t="str">
            <v>Offshore Platform</v>
          </cell>
          <cell r="G15" t="str">
            <v>_</v>
          </cell>
          <cell r="L15" t="str">
            <v>_</v>
          </cell>
          <cell r="Q15" t="str">
            <v>_</v>
          </cell>
        </row>
        <row r="16">
          <cell r="A16">
            <v>678</v>
          </cell>
          <cell r="B16" t="str">
            <v>105</v>
          </cell>
          <cell r="C16" t="str">
            <v>Platform</v>
          </cell>
          <cell r="D16" t="str">
            <v>Offshore Platform with Derrick</v>
          </cell>
          <cell r="E16" t="str">
            <v>AA040</v>
          </cell>
          <cell r="F16" t="str">
            <v>Rig</v>
          </cell>
          <cell r="G16" t="str">
            <v>_</v>
          </cell>
          <cell r="L16" t="str">
            <v>_</v>
          </cell>
          <cell r="Q16" t="str">
            <v>_</v>
          </cell>
          <cell r="V16" t="str">
            <v>[NCGIS]: Model as a 'Rig' with association 'isComponentOf' either 'Offshore Platform' or 'Mobile Offshore Drilling Unit' to capture how the derrick and the offshore platform/MODU are related to each other. The associated 'Offshore Platform' feature instan</v>
          </cell>
        </row>
        <row r="17">
          <cell r="A17">
            <v>281</v>
          </cell>
          <cell r="B17" t="str">
            <v>106</v>
          </cell>
          <cell r="C17" t="str">
            <v>Mining Structure</v>
          </cell>
          <cell r="D17" t="str">
            <v>Mine Shaft Superstructure</v>
          </cell>
          <cell r="E17" t="str">
            <v>AA020</v>
          </cell>
          <cell r="F17" t="str">
            <v>Mine Shaft Superstructure</v>
          </cell>
          <cell r="G17" t="str">
            <v>_</v>
          </cell>
          <cell r="L17" t="str">
            <v>_</v>
          </cell>
          <cell r="Q17" t="str">
            <v>_</v>
          </cell>
        </row>
        <row r="18">
          <cell r="A18">
            <v>563</v>
          </cell>
          <cell r="B18" t="str">
            <v>107</v>
          </cell>
          <cell r="C18" t="str">
            <v>Platform</v>
          </cell>
          <cell r="D18" t="str">
            <v>Offshore Platform with Helipad</v>
          </cell>
          <cell r="E18" t="str">
            <v>BD110</v>
          </cell>
          <cell r="F18" t="str">
            <v>Offshore Platform</v>
          </cell>
          <cell r="G18" t="str">
            <v>HEL_</v>
          </cell>
          <cell r="H18" t="str">
            <v>HEL</v>
          </cell>
          <cell r="J18" t="str">
            <v>Helipad Present</v>
          </cell>
          <cell r="L18" t="str">
            <v>_</v>
          </cell>
          <cell r="Q18" t="str">
            <v>_</v>
          </cell>
        </row>
        <row r="19">
          <cell r="A19">
            <v>589</v>
          </cell>
          <cell r="B19" t="str">
            <v>110</v>
          </cell>
          <cell r="C19" t="str">
            <v>Industrial Structure</v>
          </cell>
          <cell r="D19" t="str">
            <v>Structure, General, Processing Industry</v>
          </cell>
          <cell r="E19" t="str">
            <v>AL014</v>
          </cell>
          <cell r="F19" t="str">
            <v>Non-building Structure</v>
          </cell>
          <cell r="G19" t="str">
            <v>FFN_99</v>
          </cell>
          <cell r="H19" t="str">
            <v>FFN</v>
          </cell>
          <cell r="I19">
            <v>99</v>
          </cell>
          <cell r="J19" t="str">
            <v>Feature Function(s)</v>
          </cell>
          <cell r="K19" t="str">
            <v>Manufacturing</v>
          </cell>
          <cell r="L19" t="str">
            <v>_</v>
          </cell>
          <cell r="Q19" t="str">
            <v>_</v>
          </cell>
          <cell r="V19" t="str">
            <v>[PVA]: "Treat as a general industrial structure that is used when more specific structures (e.g., catalytic cracker, blast furnace, flare pipe) do not apply."</v>
          </cell>
        </row>
        <row r="20">
          <cell r="A20">
            <v>144</v>
          </cell>
          <cell r="B20" t="str">
            <v>111</v>
          </cell>
          <cell r="C20" t="str">
            <v>Industrial Plant</v>
          </cell>
          <cell r="D20" t="str">
            <v>Chemical Processing Plant</v>
          </cell>
          <cell r="E20" t="str">
            <v>AC000</v>
          </cell>
          <cell r="F20" t="str">
            <v>Processing Facility</v>
          </cell>
          <cell r="G20" t="str">
            <v>PPO_16</v>
          </cell>
          <cell r="H20" t="str">
            <v>PPO</v>
          </cell>
          <cell r="I20">
            <v>16</v>
          </cell>
          <cell r="J20" t="str">
            <v>Product</v>
          </cell>
          <cell r="K20" t="str">
            <v>Chemical</v>
          </cell>
          <cell r="L20" t="str">
            <v>_</v>
          </cell>
          <cell r="Q20" t="str">
            <v>_</v>
          </cell>
        </row>
        <row r="21">
          <cell r="A21">
            <v>116</v>
          </cell>
          <cell r="B21" t="str">
            <v>112</v>
          </cell>
          <cell r="C21" t="str">
            <v>Industrial Plant</v>
          </cell>
          <cell r="D21" t="str">
            <v>Metal Processing Plant</v>
          </cell>
          <cell r="E21" t="str">
            <v>AC000</v>
          </cell>
          <cell r="F21" t="str">
            <v>Processing Facility</v>
          </cell>
          <cell r="G21" t="str">
            <v>PPO_69</v>
          </cell>
          <cell r="H21" t="str">
            <v>PPO</v>
          </cell>
          <cell r="I21">
            <v>69</v>
          </cell>
          <cell r="J21" t="str">
            <v>Product</v>
          </cell>
          <cell r="K21" t="str">
            <v>Metal</v>
          </cell>
          <cell r="L21" t="str">
            <v>_</v>
          </cell>
          <cell r="Q21" t="str">
            <v>_</v>
          </cell>
        </row>
        <row r="22">
          <cell r="A22">
            <v>21</v>
          </cell>
          <cell r="B22" t="str">
            <v>115</v>
          </cell>
          <cell r="C22" t="str">
            <v>Industrial Plant</v>
          </cell>
          <cell r="D22" t="str">
            <v>Coke Plant</v>
          </cell>
          <cell r="E22" t="str">
            <v>AC000</v>
          </cell>
          <cell r="F22" t="str">
            <v>Processing Facility</v>
          </cell>
          <cell r="G22" t="str">
            <v>PPO_21</v>
          </cell>
          <cell r="H22" t="str">
            <v>PPO</v>
          </cell>
          <cell r="I22">
            <v>21</v>
          </cell>
          <cell r="J22" t="str">
            <v>Product</v>
          </cell>
          <cell r="K22" t="str">
            <v>Coke</v>
          </cell>
          <cell r="L22" t="str">
            <v>_</v>
          </cell>
          <cell r="Q22" t="str">
            <v>_</v>
          </cell>
        </row>
        <row r="23">
          <cell r="A23">
            <v>66</v>
          </cell>
          <cell r="B23" t="str">
            <v>116</v>
          </cell>
          <cell r="C23" t="str">
            <v>Industrial Structure</v>
          </cell>
          <cell r="D23" t="str">
            <v>Blast Furnace</v>
          </cell>
          <cell r="E23" t="str">
            <v>AC010</v>
          </cell>
          <cell r="F23" t="str">
            <v>Blast-furnace</v>
          </cell>
          <cell r="G23" t="str">
            <v>_</v>
          </cell>
          <cell r="L23" t="str">
            <v>_</v>
          </cell>
          <cell r="Q23" t="str">
            <v>_</v>
          </cell>
        </row>
        <row r="24">
          <cell r="A24">
            <v>186</v>
          </cell>
          <cell r="B24" t="str">
            <v>120</v>
          </cell>
          <cell r="C24" t="str">
            <v>Industrial Plant</v>
          </cell>
          <cell r="D24" t="str">
            <v>Refinery</v>
          </cell>
          <cell r="E24" t="str">
            <v>AC040</v>
          </cell>
          <cell r="F24" t="str">
            <v>Hydrocarbon Products Facility</v>
          </cell>
          <cell r="G24" t="str">
            <v>_</v>
          </cell>
          <cell r="L24" t="str">
            <v>_</v>
          </cell>
          <cell r="Q24" t="str">
            <v>_</v>
          </cell>
        </row>
        <row r="25">
          <cell r="A25">
            <v>501</v>
          </cell>
          <cell r="B25" t="str">
            <v>121</v>
          </cell>
          <cell r="C25" t="str">
            <v>Industrial Structure</v>
          </cell>
          <cell r="D25" t="str">
            <v>Catalytic Cracker</v>
          </cell>
          <cell r="E25" t="str">
            <v>AC020</v>
          </cell>
          <cell r="F25" t="str">
            <v>Catalytic Cracker</v>
          </cell>
          <cell r="G25" t="str">
            <v>_</v>
          </cell>
          <cell r="L25" t="str">
            <v>_</v>
          </cell>
          <cell r="Q25" t="str">
            <v>_</v>
          </cell>
        </row>
        <row r="26">
          <cell r="A26">
            <v>1528</v>
          </cell>
          <cell r="B26" t="str">
            <v>122</v>
          </cell>
          <cell r="C26" t="str">
            <v>Industrial Structure</v>
          </cell>
          <cell r="D26" t="str">
            <v>Flare Pipe - Located On Land (in refinery)</v>
          </cell>
          <cell r="E26" t="str">
            <v>AF070</v>
          </cell>
          <cell r="F26" t="str">
            <v>Flare Pipe</v>
          </cell>
          <cell r="G26" t="str">
            <v>SRL_2</v>
          </cell>
          <cell r="H26" t="str">
            <v>SRL</v>
          </cell>
          <cell r="I26">
            <v>2</v>
          </cell>
          <cell r="J26" t="str">
            <v>Location Referenced to Shoreline</v>
          </cell>
          <cell r="K26" t="str">
            <v>Inland</v>
          </cell>
          <cell r="L26" t="str">
            <v>_</v>
          </cell>
          <cell r="Q26" t="str">
            <v>_</v>
          </cell>
        </row>
        <row r="27">
          <cell r="A27">
            <v>1</v>
          </cell>
          <cell r="B27" t="str">
            <v>123</v>
          </cell>
          <cell r="C27" t="str">
            <v>Industrial Structure</v>
          </cell>
          <cell r="D27" t="str">
            <v>Flare Pipe - Located Off Shore</v>
          </cell>
          <cell r="E27" t="str">
            <v>AF070</v>
          </cell>
          <cell r="F27" t="str">
            <v>Flare Pipe</v>
          </cell>
          <cell r="G27" t="str">
            <v>SRL_1</v>
          </cell>
          <cell r="H27" t="str">
            <v>SRL</v>
          </cell>
          <cell r="I27">
            <v>1</v>
          </cell>
          <cell r="J27" t="str">
            <v>Location Referenced to Shoreline</v>
          </cell>
          <cell r="K27" t="str">
            <v>Offshore</v>
          </cell>
          <cell r="L27" t="str">
            <v>_</v>
          </cell>
          <cell r="Q27" t="str">
            <v>_</v>
          </cell>
        </row>
        <row r="28">
          <cell r="A28">
            <v>2052</v>
          </cell>
          <cell r="B28" t="str">
            <v>130</v>
          </cell>
          <cell r="C28" t="str">
            <v>Industrial Plant</v>
          </cell>
          <cell r="D28" t="str">
            <v>Power Plant</v>
          </cell>
          <cell r="E28" t="str">
            <v>AD010</v>
          </cell>
          <cell r="F28" t="str">
            <v>Power Station</v>
          </cell>
          <cell r="G28" t="str">
            <v>_</v>
          </cell>
          <cell r="L28" t="str">
            <v>_</v>
          </cell>
          <cell r="Q28" t="str">
            <v>_</v>
          </cell>
        </row>
        <row r="29">
          <cell r="A29">
            <v>1582</v>
          </cell>
          <cell r="B29" t="str">
            <v>136</v>
          </cell>
          <cell r="C29" t="str">
            <v>Smokestack</v>
          </cell>
          <cell r="D29" t="str">
            <v>Thermal Power-Plant Smokestack</v>
          </cell>
          <cell r="E29" t="str">
            <v>AF010</v>
          </cell>
          <cell r="F29" t="str">
            <v>Smokestack</v>
          </cell>
          <cell r="G29" t="str">
            <v>_</v>
          </cell>
          <cell r="L29" t="str">
            <v>_</v>
          </cell>
          <cell r="Q29" t="str">
            <v>_</v>
          </cell>
          <cell r="V29" t="str">
            <v>[PVA]: "Need to distinguish from 182 (smokestack, general); these are not only the highest point at the power station but also typically provide end-points for power line features." [NCGIS]: Model as a 'Smokestack' with association 'isSmokeStackOf' to a '</v>
          </cell>
        </row>
        <row r="30">
          <cell r="A30">
            <v>12682</v>
          </cell>
          <cell r="B30" t="str">
            <v>137</v>
          </cell>
          <cell r="C30" t="str">
            <v>Pylon</v>
          </cell>
          <cell r="D30" t="str">
            <v>Transformer Yard</v>
          </cell>
          <cell r="E30" t="str">
            <v>AD030</v>
          </cell>
          <cell r="F30" t="str">
            <v>Power Substation</v>
          </cell>
          <cell r="G30" t="str">
            <v>_</v>
          </cell>
          <cell r="L30" t="str">
            <v>_</v>
          </cell>
          <cell r="Q30" t="str">
            <v>_</v>
          </cell>
          <cell r="V30" t="str">
            <v>[PVA]: "Agree to map to a 'Power Substation' rather than a specialized type of 'Pylon'."</v>
          </cell>
        </row>
        <row r="31">
          <cell r="A31">
            <v>0</v>
          </cell>
          <cell r="B31" t="str">
            <v>145</v>
          </cell>
          <cell r="C31" t="str">
            <v>Industrial Structure</v>
          </cell>
          <cell r="D31" t="str">
            <v>Solar Energy Electrical Collection Panels</v>
          </cell>
          <cell r="E31" t="str">
            <v>AD025</v>
          </cell>
          <cell r="F31" t="str">
            <v>Solar Farm</v>
          </cell>
          <cell r="G31" t="str">
            <v>PPO_37</v>
          </cell>
          <cell r="H31" t="str">
            <v>PPO</v>
          </cell>
          <cell r="I31">
            <v>37</v>
          </cell>
          <cell r="J31" t="str">
            <v>Product</v>
          </cell>
          <cell r="K31" t="str">
            <v>Electric Power</v>
          </cell>
          <cell r="L31" t="str">
            <v>_</v>
          </cell>
          <cell r="Q31" t="str">
            <v>_</v>
          </cell>
        </row>
        <row r="32">
          <cell r="A32">
            <v>0</v>
          </cell>
          <cell r="B32" t="str">
            <v>146</v>
          </cell>
          <cell r="C32" t="str">
            <v>Industrial Structure</v>
          </cell>
          <cell r="D32" t="str">
            <v>Solar Energy Heat Collection Panels</v>
          </cell>
          <cell r="E32" t="str">
            <v>AD025</v>
          </cell>
          <cell r="F32" t="str">
            <v>Solar Farm</v>
          </cell>
          <cell r="G32" t="str">
            <v>PPO_146</v>
          </cell>
          <cell r="H32" t="str">
            <v>PPO</v>
          </cell>
          <cell r="I32">
            <v>146</v>
          </cell>
          <cell r="J32" t="str">
            <v>Product</v>
          </cell>
          <cell r="K32" t="str">
            <v>Heating Steam and/or Water</v>
          </cell>
          <cell r="L32" t="str">
            <v>_</v>
          </cell>
          <cell r="Q32" t="str">
            <v>_</v>
          </cell>
        </row>
        <row r="33">
          <cell r="A33">
            <v>87</v>
          </cell>
          <cell r="B33" t="str">
            <v>150</v>
          </cell>
          <cell r="C33" t="str">
            <v>Industrial Plant</v>
          </cell>
          <cell r="D33" t="str">
            <v>Building, Heavy Fabrication Industry, General</v>
          </cell>
          <cell r="E33" t="str">
            <v>AL013</v>
          </cell>
          <cell r="F33" t="str">
            <v>Building</v>
          </cell>
          <cell r="G33" t="str">
            <v>FFN_99</v>
          </cell>
          <cell r="H33" t="str">
            <v>FFN</v>
          </cell>
          <cell r="I33">
            <v>99</v>
          </cell>
          <cell r="J33" t="str">
            <v>Feature Function(s)</v>
          </cell>
          <cell r="K33" t="str">
            <v>Manufacturing</v>
          </cell>
          <cell r="L33" t="str">
            <v>FTP_2</v>
          </cell>
          <cell r="M33" t="str">
            <v>FTP</v>
          </cell>
          <cell r="N33">
            <v>2</v>
          </cell>
          <cell r="O33" t="str">
            <v>Fabrication Facility Type</v>
          </cell>
          <cell r="P33" t="str">
            <v>Heavy</v>
          </cell>
          <cell r="Q33" t="str">
            <v>_</v>
          </cell>
        </row>
        <row r="34">
          <cell r="A34">
            <v>94</v>
          </cell>
          <cell r="B34" t="str">
            <v>151</v>
          </cell>
          <cell r="C34" t="str">
            <v>Industrial Plant</v>
          </cell>
          <cell r="D34" t="str">
            <v>Building with Flat Roof, Heavy Fabrication Industry</v>
          </cell>
          <cell r="E34" t="str">
            <v>AL013</v>
          </cell>
          <cell r="F34" t="str">
            <v>Building</v>
          </cell>
          <cell r="G34" t="str">
            <v>FFN_99</v>
          </cell>
          <cell r="H34" t="str">
            <v>FFN</v>
          </cell>
          <cell r="I34">
            <v>99</v>
          </cell>
          <cell r="J34" t="str">
            <v>Feature Function(s)</v>
          </cell>
          <cell r="K34" t="str">
            <v>Manufacturing</v>
          </cell>
          <cell r="L34" t="str">
            <v>FTP_2</v>
          </cell>
          <cell r="M34" t="str">
            <v>FTP</v>
          </cell>
          <cell r="N34">
            <v>2</v>
          </cell>
          <cell r="O34" t="str">
            <v>Fabrication Facility Type</v>
          </cell>
          <cell r="P34" t="str">
            <v>Heavy</v>
          </cell>
          <cell r="Q34" t="str">
            <v>SSR_41</v>
          </cell>
          <cell r="R34" t="str">
            <v>SSR</v>
          </cell>
          <cell r="S34">
            <v>41</v>
          </cell>
          <cell r="T34" t="str">
            <v>Roof Shape</v>
          </cell>
          <cell r="U34" t="str">
            <v>Flat</v>
          </cell>
        </row>
        <row r="35">
          <cell r="A35">
            <v>28</v>
          </cell>
          <cell r="B35" t="str">
            <v>152</v>
          </cell>
          <cell r="C35" t="str">
            <v>Industrial Plant</v>
          </cell>
          <cell r="D35" t="str">
            <v>Building with Flat Roof and Monitor, Heavy Fabrication Industry (same as type 151 with monitor)</v>
          </cell>
          <cell r="E35" t="str">
            <v>AL013</v>
          </cell>
          <cell r="F35" t="str">
            <v>Building</v>
          </cell>
          <cell r="G35" t="str">
            <v>FFN_99</v>
          </cell>
          <cell r="H35" t="str">
            <v>FFN</v>
          </cell>
          <cell r="I35">
            <v>99</v>
          </cell>
          <cell r="J35" t="str">
            <v>Feature Function(s)</v>
          </cell>
          <cell r="K35" t="str">
            <v>Manufacturing</v>
          </cell>
          <cell r="L35" t="str">
            <v>FTP_2</v>
          </cell>
          <cell r="M35" t="str">
            <v>FTP</v>
          </cell>
          <cell r="N35">
            <v>2</v>
          </cell>
          <cell r="O35" t="str">
            <v>Fabrication Facility Type</v>
          </cell>
          <cell r="P35" t="str">
            <v>Heavy</v>
          </cell>
          <cell r="Q35" t="str">
            <v>SSR_55</v>
          </cell>
          <cell r="R35" t="str">
            <v>SSR</v>
          </cell>
          <cell r="S35">
            <v>55</v>
          </cell>
          <cell r="T35" t="str">
            <v>Roof Shape</v>
          </cell>
          <cell r="U35" t="str">
            <v>Flat with Clerestory</v>
          </cell>
        </row>
        <row r="36">
          <cell r="A36">
            <v>20</v>
          </cell>
          <cell r="B36" t="str">
            <v>153</v>
          </cell>
          <cell r="C36" t="str">
            <v>Industrial Plant</v>
          </cell>
          <cell r="D36" t="str">
            <v>Building with Gable Roof (pitched), Heavy Fabrication Industry</v>
          </cell>
          <cell r="E36" t="str">
            <v>AL013</v>
          </cell>
          <cell r="F36" t="str">
            <v>Building</v>
          </cell>
          <cell r="G36" t="str">
            <v>FFN_99</v>
          </cell>
          <cell r="H36" t="str">
            <v>FFN</v>
          </cell>
          <cell r="I36">
            <v>99</v>
          </cell>
          <cell r="J36" t="str">
            <v>Feature Function(s)</v>
          </cell>
          <cell r="K36" t="str">
            <v>Manufacturing</v>
          </cell>
          <cell r="L36" t="str">
            <v>FTP_2</v>
          </cell>
          <cell r="M36" t="str">
            <v>FTP</v>
          </cell>
          <cell r="N36">
            <v>2</v>
          </cell>
          <cell r="O36" t="str">
            <v>Fabrication Facility Type</v>
          </cell>
          <cell r="P36" t="str">
            <v>Heavy</v>
          </cell>
          <cell r="Q36" t="str">
            <v>SSR_42</v>
          </cell>
          <cell r="R36" t="str">
            <v>SSR</v>
          </cell>
          <cell r="S36">
            <v>42</v>
          </cell>
          <cell r="T36" t="str">
            <v>Roof Shape</v>
          </cell>
          <cell r="U36" t="str">
            <v>Pitched</v>
          </cell>
        </row>
        <row r="37">
          <cell r="A37">
            <v>17</v>
          </cell>
          <cell r="B37" t="str">
            <v>154</v>
          </cell>
          <cell r="C37" t="str">
            <v>Industrial Plant</v>
          </cell>
          <cell r="D37" t="str">
            <v>Building with Gable Roof (pitched) and Monitor, Heavy Fabrication Industry / Fabrication Industry (same as type 153 with monitor)</v>
          </cell>
          <cell r="E37" t="str">
            <v>AL013</v>
          </cell>
          <cell r="F37" t="str">
            <v>Building</v>
          </cell>
          <cell r="G37" t="str">
            <v>FFN_99</v>
          </cell>
          <cell r="H37" t="str">
            <v>FFN</v>
          </cell>
          <cell r="I37">
            <v>99</v>
          </cell>
          <cell r="J37" t="str">
            <v>Feature Function(s)</v>
          </cell>
          <cell r="K37" t="str">
            <v>Manufacturing</v>
          </cell>
          <cell r="L37" t="str">
            <v>FTP_2</v>
          </cell>
          <cell r="M37" t="str">
            <v>FTP</v>
          </cell>
          <cell r="N37">
            <v>2</v>
          </cell>
          <cell r="O37" t="str">
            <v>Fabrication Facility Type</v>
          </cell>
          <cell r="P37" t="str">
            <v>Heavy</v>
          </cell>
          <cell r="Q37" t="str">
            <v>SSR_64</v>
          </cell>
          <cell r="R37" t="str">
            <v>SSR</v>
          </cell>
          <cell r="S37">
            <v>64</v>
          </cell>
          <cell r="T37" t="str">
            <v>Roof Shape</v>
          </cell>
          <cell r="U37" t="str">
            <v>Pitched with Clerestory</v>
          </cell>
        </row>
        <row r="38">
          <cell r="A38">
            <v>2</v>
          </cell>
          <cell r="B38" t="str">
            <v>155</v>
          </cell>
          <cell r="C38" t="str">
            <v>Industrial Plant</v>
          </cell>
          <cell r="D38" t="str">
            <v>Building with Sawtooth Roof, Heavy Fabrication Industry</v>
          </cell>
          <cell r="E38" t="str">
            <v>AL013</v>
          </cell>
          <cell r="F38" t="str">
            <v>Building</v>
          </cell>
          <cell r="G38" t="str">
            <v>FFN_99</v>
          </cell>
          <cell r="H38" t="str">
            <v>FFN</v>
          </cell>
          <cell r="I38">
            <v>99</v>
          </cell>
          <cell r="J38" t="str">
            <v>Feature Function(s)</v>
          </cell>
          <cell r="K38" t="str">
            <v>Manufacturing</v>
          </cell>
          <cell r="L38" t="str">
            <v>FTP_2</v>
          </cell>
          <cell r="M38" t="str">
            <v>FTP</v>
          </cell>
          <cell r="N38">
            <v>2</v>
          </cell>
          <cell r="O38" t="str">
            <v>Fabrication Facility Type</v>
          </cell>
          <cell r="P38" t="str">
            <v>Heavy</v>
          </cell>
          <cell r="Q38" t="str">
            <v>SSR_47</v>
          </cell>
          <cell r="R38" t="str">
            <v>SSR</v>
          </cell>
          <cell r="S38">
            <v>47</v>
          </cell>
          <cell r="T38" t="str">
            <v>Roof Shape</v>
          </cell>
          <cell r="U38" t="str">
            <v>Sawtoothed</v>
          </cell>
        </row>
        <row r="39">
          <cell r="A39">
            <v>2</v>
          </cell>
          <cell r="B39" t="str">
            <v>156</v>
          </cell>
          <cell r="C39" t="str">
            <v>Industrial Plant</v>
          </cell>
          <cell r="D39" t="str">
            <v>Building with Curved Roof, Heavy Fabrication Industry</v>
          </cell>
          <cell r="E39" t="str">
            <v>AL013</v>
          </cell>
          <cell r="F39" t="str">
            <v>Building</v>
          </cell>
          <cell r="G39" t="str">
            <v>FFN_99</v>
          </cell>
          <cell r="H39" t="str">
            <v>FFN</v>
          </cell>
          <cell r="I39">
            <v>99</v>
          </cell>
          <cell r="J39" t="str">
            <v>Feature Function(s)</v>
          </cell>
          <cell r="K39" t="str">
            <v>Manufacturing</v>
          </cell>
          <cell r="L39" t="str">
            <v>FTP_2</v>
          </cell>
          <cell r="M39" t="str">
            <v>FTP</v>
          </cell>
          <cell r="N39">
            <v>2</v>
          </cell>
          <cell r="O39" t="str">
            <v>Fabrication Facility Type</v>
          </cell>
          <cell r="P39" t="str">
            <v>Heavy</v>
          </cell>
          <cell r="Q39" t="str">
            <v>SSR_38</v>
          </cell>
          <cell r="R39" t="str">
            <v>SSR</v>
          </cell>
          <cell r="S39">
            <v>38</v>
          </cell>
          <cell r="T39" t="str">
            <v>Roof Shape</v>
          </cell>
          <cell r="U39" t="str">
            <v>Semi-cylindrical</v>
          </cell>
          <cell r="V39" t="str">
            <v>[PVA]: "Most likely a half-cylinder -- quonset-like -- but there might be unimportant variation; the important information is the heavy/light distinction."</v>
          </cell>
        </row>
        <row r="40">
          <cell r="A40">
            <v>133</v>
          </cell>
          <cell r="B40" t="str">
            <v>160</v>
          </cell>
          <cell r="C40" t="str">
            <v>Industrial Plant</v>
          </cell>
          <cell r="D40" t="str">
            <v>Building, Light Fabrication Industry, General</v>
          </cell>
          <cell r="E40" t="str">
            <v>AL013</v>
          </cell>
          <cell r="F40" t="str">
            <v>Building</v>
          </cell>
          <cell r="G40" t="str">
            <v>FFN_99</v>
          </cell>
          <cell r="H40" t="str">
            <v>FFN</v>
          </cell>
          <cell r="I40">
            <v>99</v>
          </cell>
          <cell r="J40" t="str">
            <v>Feature Function(s)</v>
          </cell>
          <cell r="K40" t="str">
            <v>Manufacturing</v>
          </cell>
          <cell r="L40" t="str">
            <v>FTP_1</v>
          </cell>
          <cell r="M40" t="str">
            <v>FTP</v>
          </cell>
          <cell r="N40">
            <v>1</v>
          </cell>
          <cell r="O40" t="str">
            <v>Fabrication Facility Type</v>
          </cell>
          <cell r="P40" t="str">
            <v>Light</v>
          </cell>
          <cell r="Q40" t="str">
            <v>_</v>
          </cell>
        </row>
        <row r="41">
          <cell r="A41">
            <v>267</v>
          </cell>
          <cell r="B41" t="str">
            <v>161</v>
          </cell>
          <cell r="C41" t="str">
            <v>Industrial Plant</v>
          </cell>
          <cell r="D41" t="str">
            <v>Building with Flat Roof, Light Fabrication Industry</v>
          </cell>
          <cell r="E41" t="str">
            <v>AL013</v>
          </cell>
          <cell r="F41" t="str">
            <v>Building</v>
          </cell>
          <cell r="G41" t="str">
            <v>FFN_99</v>
          </cell>
          <cell r="H41" t="str">
            <v>FFN</v>
          </cell>
          <cell r="I41">
            <v>99</v>
          </cell>
          <cell r="J41" t="str">
            <v>Feature Function(s)</v>
          </cell>
          <cell r="K41" t="str">
            <v>Manufacturing</v>
          </cell>
          <cell r="L41" t="str">
            <v>FTP_1</v>
          </cell>
          <cell r="M41" t="str">
            <v>FTP</v>
          </cell>
          <cell r="N41">
            <v>1</v>
          </cell>
          <cell r="O41" t="str">
            <v>Fabrication Facility Type</v>
          </cell>
          <cell r="P41" t="str">
            <v>Light</v>
          </cell>
          <cell r="Q41" t="str">
            <v>SSR_41</v>
          </cell>
          <cell r="R41" t="str">
            <v>SSR</v>
          </cell>
          <cell r="S41">
            <v>41</v>
          </cell>
          <cell r="T41" t="str">
            <v>Roof Shape</v>
          </cell>
          <cell r="U41" t="str">
            <v>Flat</v>
          </cell>
        </row>
        <row r="42">
          <cell r="A42">
            <v>42</v>
          </cell>
          <cell r="B42" t="str">
            <v>162</v>
          </cell>
          <cell r="C42" t="str">
            <v>Industrial Plant</v>
          </cell>
          <cell r="D42" t="str">
            <v>Building with Flat Roof and Monitor, Light Fabrication Industry (same as type 161 with monitor)</v>
          </cell>
          <cell r="E42" t="str">
            <v>AL013</v>
          </cell>
          <cell r="F42" t="str">
            <v>Building</v>
          </cell>
          <cell r="G42" t="str">
            <v>FFN_99</v>
          </cell>
          <cell r="H42" t="str">
            <v>FFN</v>
          </cell>
          <cell r="I42">
            <v>99</v>
          </cell>
          <cell r="J42" t="str">
            <v>Feature Function(s)</v>
          </cell>
          <cell r="K42" t="str">
            <v>Manufacturing</v>
          </cell>
          <cell r="L42" t="str">
            <v>FTP_1</v>
          </cell>
          <cell r="M42" t="str">
            <v>FTP</v>
          </cell>
          <cell r="N42">
            <v>1</v>
          </cell>
          <cell r="O42" t="str">
            <v>Fabrication Facility Type</v>
          </cell>
          <cell r="P42" t="str">
            <v>Light</v>
          </cell>
          <cell r="Q42" t="str">
            <v>SSR_55</v>
          </cell>
          <cell r="R42" t="str">
            <v>SSR</v>
          </cell>
          <cell r="S42">
            <v>55</v>
          </cell>
          <cell r="T42" t="str">
            <v>Roof Shape</v>
          </cell>
          <cell r="U42" t="str">
            <v>Flat with Clerestory</v>
          </cell>
        </row>
        <row r="43">
          <cell r="A43">
            <v>170</v>
          </cell>
          <cell r="B43" t="str">
            <v>163</v>
          </cell>
          <cell r="C43" t="str">
            <v>Industrial Plant</v>
          </cell>
          <cell r="D43" t="str">
            <v>Building with Gable Roof (pitched), Light Fabrication Industry</v>
          </cell>
          <cell r="E43" t="str">
            <v>AL013</v>
          </cell>
          <cell r="F43" t="str">
            <v>Building</v>
          </cell>
          <cell r="G43" t="str">
            <v>FFN_99</v>
          </cell>
          <cell r="H43" t="str">
            <v>FFN</v>
          </cell>
          <cell r="I43">
            <v>99</v>
          </cell>
          <cell r="J43" t="str">
            <v>Feature Function(s)</v>
          </cell>
          <cell r="K43" t="str">
            <v>Manufacturing</v>
          </cell>
          <cell r="L43" t="str">
            <v>FTP_1</v>
          </cell>
          <cell r="M43" t="str">
            <v>FTP</v>
          </cell>
          <cell r="N43">
            <v>1</v>
          </cell>
          <cell r="O43" t="str">
            <v>Fabrication Facility Type</v>
          </cell>
          <cell r="P43" t="str">
            <v>Light</v>
          </cell>
          <cell r="Q43" t="str">
            <v>SSR_42</v>
          </cell>
          <cell r="R43" t="str">
            <v>SSR</v>
          </cell>
          <cell r="S43">
            <v>42</v>
          </cell>
          <cell r="T43" t="str">
            <v>Roof Shape</v>
          </cell>
          <cell r="U43" t="str">
            <v>Pitched</v>
          </cell>
        </row>
        <row r="44">
          <cell r="A44">
            <v>22</v>
          </cell>
          <cell r="B44" t="str">
            <v>164</v>
          </cell>
          <cell r="C44" t="str">
            <v>Industrial Plant</v>
          </cell>
          <cell r="D44" t="str">
            <v>Building with Gable Roof (pitched) and Monitor, Light Fabrication Industry (same as type 1631 with monitor)</v>
          </cell>
          <cell r="E44" t="str">
            <v>AL013</v>
          </cell>
          <cell r="F44" t="str">
            <v>Building</v>
          </cell>
          <cell r="G44" t="str">
            <v>FFN_99</v>
          </cell>
          <cell r="H44" t="str">
            <v>FFN</v>
          </cell>
          <cell r="I44">
            <v>99</v>
          </cell>
          <cell r="J44" t="str">
            <v>Feature Function(s)</v>
          </cell>
          <cell r="K44" t="str">
            <v>Manufacturing</v>
          </cell>
          <cell r="L44" t="str">
            <v>FTP_1</v>
          </cell>
          <cell r="M44" t="str">
            <v>FTP</v>
          </cell>
          <cell r="N44">
            <v>1</v>
          </cell>
          <cell r="O44" t="str">
            <v>Fabrication Facility Type</v>
          </cell>
          <cell r="P44" t="str">
            <v>Light</v>
          </cell>
          <cell r="Q44" t="str">
            <v>SSR_64</v>
          </cell>
          <cell r="R44" t="str">
            <v>SSR</v>
          </cell>
          <cell r="S44">
            <v>64</v>
          </cell>
          <cell r="T44" t="str">
            <v>Roof Shape</v>
          </cell>
          <cell r="U44" t="str">
            <v>Pitched with Clerestory</v>
          </cell>
        </row>
        <row r="45">
          <cell r="A45">
            <v>30</v>
          </cell>
          <cell r="B45" t="str">
            <v>165</v>
          </cell>
          <cell r="C45" t="str">
            <v>Industrial Plant</v>
          </cell>
          <cell r="D45" t="str">
            <v>Building with Sawtooth Roof, Light Fabrication Industry</v>
          </cell>
          <cell r="E45" t="str">
            <v>AL013</v>
          </cell>
          <cell r="F45" t="str">
            <v>Building</v>
          </cell>
          <cell r="G45" t="str">
            <v>FFN_99</v>
          </cell>
          <cell r="H45" t="str">
            <v>FFN</v>
          </cell>
          <cell r="I45">
            <v>99</v>
          </cell>
          <cell r="J45" t="str">
            <v>Feature Function(s)</v>
          </cell>
          <cell r="K45" t="str">
            <v>Manufacturing</v>
          </cell>
          <cell r="L45" t="str">
            <v>FTP_1</v>
          </cell>
          <cell r="M45" t="str">
            <v>FTP</v>
          </cell>
          <cell r="N45">
            <v>1</v>
          </cell>
          <cell r="O45" t="str">
            <v>Fabrication Facility Type</v>
          </cell>
          <cell r="P45" t="str">
            <v>Light</v>
          </cell>
          <cell r="Q45" t="str">
            <v>SSR_47</v>
          </cell>
          <cell r="R45" t="str">
            <v>SSR</v>
          </cell>
          <cell r="S45">
            <v>47</v>
          </cell>
          <cell r="T45" t="str">
            <v>Roof Shape</v>
          </cell>
          <cell r="U45" t="str">
            <v>Sawtoothed</v>
          </cell>
        </row>
        <row r="46">
          <cell r="A46">
            <v>20</v>
          </cell>
          <cell r="B46" t="str">
            <v>166</v>
          </cell>
          <cell r="C46" t="str">
            <v>Industrial Plant</v>
          </cell>
          <cell r="D46" t="str">
            <v>Building with Curved Roof, Light Fabrication Industry</v>
          </cell>
          <cell r="E46" t="str">
            <v>AL013</v>
          </cell>
          <cell r="F46" t="str">
            <v>Building</v>
          </cell>
          <cell r="G46" t="str">
            <v>FFN_99</v>
          </cell>
          <cell r="H46" t="str">
            <v>FFN</v>
          </cell>
          <cell r="I46">
            <v>99</v>
          </cell>
          <cell r="J46" t="str">
            <v>Feature Function(s)</v>
          </cell>
          <cell r="K46" t="str">
            <v>Manufacturing</v>
          </cell>
          <cell r="L46" t="str">
            <v>FTP_1</v>
          </cell>
          <cell r="M46" t="str">
            <v>FTP</v>
          </cell>
          <cell r="N46">
            <v>1</v>
          </cell>
          <cell r="O46" t="str">
            <v>Fabrication Facility Type</v>
          </cell>
          <cell r="P46" t="str">
            <v>Light</v>
          </cell>
          <cell r="Q46" t="str">
            <v>SSR_38</v>
          </cell>
          <cell r="R46" t="str">
            <v>SSR</v>
          </cell>
          <cell r="S46">
            <v>38</v>
          </cell>
          <cell r="T46" t="str">
            <v>Roof Shape</v>
          </cell>
          <cell r="U46" t="str">
            <v>Semi-cylindrical</v>
          </cell>
          <cell r="V46" t="str">
            <v>[PVA]: "Most likely a half-cylinder -- quonset-like -- but there might be unimportant variation; the important information is the heavy/light distinction."</v>
          </cell>
        </row>
        <row r="47">
          <cell r="A47">
            <v>199</v>
          </cell>
          <cell r="B47" t="str">
            <v>170</v>
          </cell>
          <cell r="C47" t="str">
            <v>Waste Pile</v>
          </cell>
          <cell r="D47" t="str">
            <v>Disposal, General Dump</v>
          </cell>
          <cell r="E47" t="str">
            <v>AB000</v>
          </cell>
          <cell r="F47" t="str">
            <v>Disposal Site</v>
          </cell>
          <cell r="G47" t="str">
            <v>PBY_8</v>
          </cell>
          <cell r="H47" t="str">
            <v>PBY</v>
          </cell>
          <cell r="I47">
            <v>8</v>
          </cell>
          <cell r="J47" t="str">
            <v>By-product</v>
          </cell>
          <cell r="K47" t="str">
            <v>Refuse</v>
          </cell>
          <cell r="L47" t="str">
            <v>_</v>
          </cell>
          <cell r="Q47" t="str">
            <v>_</v>
          </cell>
        </row>
        <row r="48">
          <cell r="A48">
            <v>56</v>
          </cell>
          <cell r="B48" t="str">
            <v>172</v>
          </cell>
          <cell r="C48" t="str">
            <v>Slag Pile</v>
          </cell>
          <cell r="D48" t="str">
            <v>Metal Ore Slag Dump</v>
          </cell>
          <cell r="E48" t="str">
            <v>AB000</v>
          </cell>
          <cell r="F48" t="str">
            <v>Disposal Site</v>
          </cell>
          <cell r="G48" t="str">
            <v>PBY_15</v>
          </cell>
          <cell r="H48" t="str">
            <v>PBY</v>
          </cell>
          <cell r="I48">
            <v>15</v>
          </cell>
          <cell r="J48" t="str">
            <v>By-product</v>
          </cell>
          <cell r="K48" t="str">
            <v>Slag</v>
          </cell>
          <cell r="L48" t="str">
            <v>_</v>
          </cell>
          <cell r="Q48" t="str">
            <v>_</v>
          </cell>
        </row>
        <row r="49">
          <cell r="A49">
            <v>400</v>
          </cell>
          <cell r="B49" t="str">
            <v>173</v>
          </cell>
          <cell r="C49" t="str">
            <v>Waste Pile</v>
          </cell>
          <cell r="D49" t="str">
            <v>Tailing/Waste Pile</v>
          </cell>
          <cell r="E49" t="str">
            <v>AB000</v>
          </cell>
          <cell r="F49" t="str">
            <v>Disposal Site</v>
          </cell>
          <cell r="G49" t="str">
            <v>PBY_17</v>
          </cell>
          <cell r="H49" t="str">
            <v>PBY</v>
          </cell>
          <cell r="I49">
            <v>17</v>
          </cell>
          <cell r="J49" t="str">
            <v>By-product</v>
          </cell>
          <cell r="K49" t="str">
            <v>Spoil</v>
          </cell>
          <cell r="L49" t="str">
            <v>_</v>
          </cell>
          <cell r="Q49" t="str">
            <v>_</v>
          </cell>
        </row>
        <row r="50">
          <cell r="A50">
            <v>1020</v>
          </cell>
          <cell r="B50" t="str">
            <v>180</v>
          </cell>
          <cell r="C50" t="str">
            <v>Industrial Structure</v>
          </cell>
          <cell r="D50" t="str">
            <v>Industrial Structure, General</v>
          </cell>
          <cell r="E50" t="str">
            <v>AL014</v>
          </cell>
          <cell r="F50" t="str">
            <v>Non-building Structure</v>
          </cell>
          <cell r="G50" t="str">
            <v>FFN_99</v>
          </cell>
          <cell r="H50" t="str">
            <v>FFN</v>
          </cell>
          <cell r="I50">
            <v>99</v>
          </cell>
          <cell r="J50" t="str">
            <v>Feature Function(s)</v>
          </cell>
          <cell r="K50" t="str">
            <v>Manufacturing</v>
          </cell>
          <cell r="L50" t="str">
            <v>_</v>
          </cell>
          <cell r="Q50" t="str">
            <v>_</v>
          </cell>
          <cell r="V50" t="str">
            <v>[PVA]: "Wording of structure vs. plant/building may be an artifact of sources and may be dropped, if necessary, thus merging 180/181."</v>
          </cell>
        </row>
        <row r="51">
          <cell r="A51">
            <v>1090</v>
          </cell>
          <cell r="B51" t="str">
            <v>181</v>
          </cell>
          <cell r="C51" t="str">
            <v>Industrial Plant</v>
          </cell>
          <cell r="D51" t="str">
            <v>Building, General Industrial</v>
          </cell>
          <cell r="E51" t="str">
            <v>AL013</v>
          </cell>
          <cell r="F51" t="str">
            <v>Building</v>
          </cell>
          <cell r="G51" t="str">
            <v>FFN_99</v>
          </cell>
          <cell r="H51" t="str">
            <v>FFN</v>
          </cell>
          <cell r="I51">
            <v>99</v>
          </cell>
          <cell r="J51" t="str">
            <v>Feature Function(s)</v>
          </cell>
          <cell r="K51" t="str">
            <v>Manufacturing</v>
          </cell>
          <cell r="L51" t="str">
            <v>_</v>
          </cell>
          <cell r="Q51" t="str">
            <v>_</v>
          </cell>
        </row>
        <row r="52">
          <cell r="A52">
            <v>55232</v>
          </cell>
          <cell r="B52" t="str">
            <v>182</v>
          </cell>
          <cell r="C52" t="str">
            <v>Smokestack</v>
          </cell>
          <cell r="D52" t="str">
            <v>Smokestack, General</v>
          </cell>
          <cell r="E52" t="str">
            <v>AF010</v>
          </cell>
          <cell r="F52" t="str">
            <v>Smokestack</v>
          </cell>
          <cell r="G52" t="str">
            <v>_</v>
          </cell>
          <cell r="L52" t="str">
            <v>_</v>
          </cell>
          <cell r="Q52" t="str">
            <v>_</v>
          </cell>
        </row>
        <row r="53">
          <cell r="A53">
            <v>246</v>
          </cell>
          <cell r="B53" t="str">
            <v>183</v>
          </cell>
          <cell r="C53" t="str">
            <v>Industrial Structure</v>
          </cell>
          <cell r="D53" t="str">
            <v>Conveyor, Industrial</v>
          </cell>
          <cell r="E53" t="str">
            <v>AF020</v>
          </cell>
          <cell r="F53" t="str">
            <v>Conveyor</v>
          </cell>
          <cell r="G53" t="str">
            <v>_</v>
          </cell>
          <cell r="L53" t="str">
            <v>_</v>
          </cell>
          <cell r="Q53" t="str">
            <v>_</v>
          </cell>
        </row>
        <row r="54">
          <cell r="A54">
            <v>544</v>
          </cell>
          <cell r="B54" t="str">
            <v>185</v>
          </cell>
          <cell r="C54" t="str">
            <v>Crane</v>
          </cell>
          <cell r="D54" t="str">
            <v>Bridge Crane, Industrial</v>
          </cell>
          <cell r="E54" t="str">
            <v>AF040</v>
          </cell>
          <cell r="F54" t="str">
            <v>Crane</v>
          </cell>
          <cell r="G54" t="str">
            <v>CRA_2</v>
          </cell>
          <cell r="H54" t="str">
            <v>CRA</v>
          </cell>
          <cell r="I54">
            <v>2</v>
          </cell>
          <cell r="J54" t="str">
            <v>Crane Type</v>
          </cell>
          <cell r="K54" t="str">
            <v>Bridge Crane</v>
          </cell>
          <cell r="L54" t="str">
            <v>_</v>
          </cell>
          <cell r="Q54" t="str">
            <v>_</v>
          </cell>
        </row>
        <row r="55">
          <cell r="A55">
            <v>3681</v>
          </cell>
          <cell r="B55" t="str">
            <v>186</v>
          </cell>
          <cell r="C55" t="str">
            <v>Crane</v>
          </cell>
          <cell r="D55" t="str">
            <v>Rotating Crane, Industrial</v>
          </cell>
          <cell r="E55" t="str">
            <v>AF040</v>
          </cell>
          <cell r="F55" t="str">
            <v>Crane</v>
          </cell>
          <cell r="G55" t="str">
            <v>CRA_3</v>
          </cell>
          <cell r="H55" t="str">
            <v>CRA</v>
          </cell>
          <cell r="I55">
            <v>3</v>
          </cell>
          <cell r="J55" t="str">
            <v>Crane Type</v>
          </cell>
          <cell r="K55" t="str">
            <v>Rotating Crane</v>
          </cell>
          <cell r="L55" t="str">
            <v>_</v>
          </cell>
          <cell r="Q55" t="str">
            <v>_</v>
          </cell>
        </row>
        <row r="56">
          <cell r="A56">
            <v>1393</v>
          </cell>
          <cell r="B56" t="str">
            <v>187</v>
          </cell>
          <cell r="C56" t="str">
            <v>Crane</v>
          </cell>
          <cell r="D56" t="str">
            <v>Rotating Crane on Tower, Industrial (same as type 186 on a tower)</v>
          </cell>
          <cell r="E56" t="str">
            <v>AF040</v>
          </cell>
          <cell r="F56" t="str">
            <v>Crane</v>
          </cell>
          <cell r="G56" t="str">
            <v>CRA_7</v>
          </cell>
          <cell r="H56" t="str">
            <v>CRA</v>
          </cell>
          <cell r="I56">
            <v>7</v>
          </cell>
          <cell r="J56" t="str">
            <v>Crane Type</v>
          </cell>
          <cell r="K56" t="str">
            <v>Tower Crane</v>
          </cell>
          <cell r="L56" t="str">
            <v>_</v>
          </cell>
          <cell r="Q56" t="str">
            <v>_</v>
          </cell>
        </row>
        <row r="57">
          <cell r="A57">
            <v>1657</v>
          </cell>
          <cell r="B57" t="str">
            <v>188</v>
          </cell>
          <cell r="C57" t="str">
            <v>Cooling Tower</v>
          </cell>
          <cell r="D57" t="str">
            <v>Cooling Tower, Industrial</v>
          </cell>
          <cell r="E57" t="str">
            <v>AF030</v>
          </cell>
          <cell r="F57" t="str">
            <v>Cooling Tower</v>
          </cell>
          <cell r="G57" t="str">
            <v>_</v>
          </cell>
          <cell r="L57" t="str">
            <v>_</v>
          </cell>
          <cell r="Q57" t="str">
            <v>_</v>
          </cell>
        </row>
        <row r="58">
          <cell r="A58">
            <v>278</v>
          </cell>
          <cell r="B58" t="str">
            <v>189</v>
          </cell>
          <cell r="C58" t="str">
            <v>Industrial Structure</v>
          </cell>
          <cell r="D58" t="str">
            <v>Hopper, Industrial</v>
          </cell>
          <cell r="E58" t="str">
            <v>AF080</v>
          </cell>
          <cell r="F58" t="str">
            <v>Hopper</v>
          </cell>
          <cell r="G58" t="str">
            <v>_</v>
          </cell>
          <cell r="L58" t="str">
            <v>_</v>
          </cell>
          <cell r="Q58" t="str">
            <v>_</v>
          </cell>
        </row>
        <row r="59">
          <cell r="A59">
            <v>211</v>
          </cell>
          <cell r="B59" t="str">
            <v>190</v>
          </cell>
          <cell r="C59" t="str">
            <v>Industrial Structure</v>
          </cell>
          <cell r="D59" t="str">
            <v>Dragline/Powershovel Boom, Industrial</v>
          </cell>
          <cell r="E59" t="str">
            <v>AF050</v>
          </cell>
          <cell r="F59" t="str">
            <v>Excavating Machine</v>
          </cell>
          <cell r="G59" t="str">
            <v>_</v>
          </cell>
          <cell r="L59" t="str">
            <v>_</v>
          </cell>
          <cell r="Q59" t="str">
            <v>_</v>
          </cell>
        </row>
        <row r="60">
          <cell r="A60">
            <v>23</v>
          </cell>
          <cell r="B60" t="str">
            <v>211</v>
          </cell>
          <cell r="C60" t="str">
            <v>Building</v>
          </cell>
          <cell r="D60" t="str">
            <v>Railroad Terminal Building</v>
          </cell>
          <cell r="E60" t="str">
            <v>AL013</v>
          </cell>
          <cell r="F60" t="str">
            <v>Building</v>
          </cell>
          <cell r="G60" t="str">
            <v>FFN_490</v>
          </cell>
          <cell r="H60" t="str">
            <v>FFN</v>
          </cell>
          <cell r="I60">
            <v>490</v>
          </cell>
          <cell r="J60" t="str">
            <v>Feature Function(s)</v>
          </cell>
          <cell r="K60" t="str">
            <v>Railway Transport</v>
          </cell>
          <cell r="L60" t="str">
            <v>FFN_481</v>
          </cell>
          <cell r="M60" t="str">
            <v>FFN</v>
          </cell>
          <cell r="N60">
            <v>481</v>
          </cell>
          <cell r="O60" t="str">
            <v>Feature Function(s)</v>
          </cell>
          <cell r="P60" t="str">
            <v>Terminal</v>
          </cell>
          <cell r="Q60" t="str">
            <v>_</v>
          </cell>
        </row>
        <row r="61">
          <cell r="A61">
            <v>14</v>
          </cell>
          <cell r="B61" t="str">
            <v>222</v>
          </cell>
          <cell r="C61" t="str">
            <v>Building</v>
          </cell>
          <cell r="D61" t="str">
            <v>Railroad Station</v>
          </cell>
          <cell r="E61" t="str">
            <v>AQ125</v>
          </cell>
          <cell r="F61" t="str">
            <v>Transportation Station</v>
          </cell>
          <cell r="G61" t="str">
            <v>TRS_12</v>
          </cell>
          <cell r="H61" t="str">
            <v>TRS</v>
          </cell>
          <cell r="I61">
            <v>12</v>
          </cell>
          <cell r="J61" t="str">
            <v>Transportation System Type</v>
          </cell>
          <cell r="K61" t="str">
            <v>Railway</v>
          </cell>
          <cell r="L61" t="str">
            <v>_</v>
          </cell>
          <cell r="Q61" t="str">
            <v>_</v>
          </cell>
        </row>
        <row r="62">
          <cell r="A62">
            <v>39</v>
          </cell>
          <cell r="B62" t="str">
            <v>223</v>
          </cell>
          <cell r="C62" t="str">
            <v>Tower</v>
          </cell>
          <cell r="D62" t="str">
            <v>Railroad Control Tower</v>
          </cell>
          <cell r="E62" t="str">
            <v>AQ060</v>
          </cell>
          <cell r="F62" t="str">
            <v>Control Tower</v>
          </cell>
          <cell r="G62" t="str">
            <v>TRS_12</v>
          </cell>
          <cell r="H62" t="str">
            <v>TRS</v>
          </cell>
          <cell r="I62">
            <v>12</v>
          </cell>
          <cell r="J62" t="str">
            <v>Transportation System Type</v>
          </cell>
          <cell r="K62" t="str">
            <v>Railway</v>
          </cell>
          <cell r="L62" t="str">
            <v>_</v>
          </cell>
          <cell r="Q62" t="str">
            <v>_</v>
          </cell>
        </row>
        <row r="63">
          <cell r="A63">
            <v>5</v>
          </cell>
          <cell r="B63" t="str">
            <v>224</v>
          </cell>
          <cell r="C63" t="str">
            <v>Building</v>
          </cell>
          <cell r="D63" t="str">
            <v>Railroad Roundhouse</v>
          </cell>
          <cell r="E63" t="str">
            <v>AN076</v>
          </cell>
          <cell r="F63" t="str">
            <v xml:space="preserve">Roundhouse </v>
          </cell>
          <cell r="G63" t="str">
            <v>_</v>
          </cell>
          <cell r="L63" t="str">
            <v>_</v>
          </cell>
          <cell r="Q63" t="str">
            <v>_</v>
          </cell>
        </row>
        <row r="64">
          <cell r="A64">
            <v>840</v>
          </cell>
          <cell r="B64" t="str">
            <v>260</v>
          </cell>
          <cell r="C64" t="str">
            <v>Bridge</v>
          </cell>
          <cell r="D64" t="str">
            <v>Bridge, General</v>
          </cell>
          <cell r="E64" t="str">
            <v>AQ040</v>
          </cell>
          <cell r="F64" t="str">
            <v>Bridge</v>
          </cell>
          <cell r="G64" t="str">
            <v>_</v>
          </cell>
          <cell r="L64" t="str">
            <v>_</v>
          </cell>
          <cell r="Q64" t="str">
            <v>_</v>
          </cell>
        </row>
        <row r="65">
          <cell r="A65">
            <v>114</v>
          </cell>
          <cell r="B65" t="str">
            <v>261</v>
          </cell>
          <cell r="C65" t="str">
            <v>Bridge</v>
          </cell>
          <cell r="D65" t="str">
            <v>Suspension Bridge</v>
          </cell>
          <cell r="E65" t="str">
            <v>AQ040</v>
          </cell>
          <cell r="F65" t="str">
            <v>Bridge</v>
          </cell>
          <cell r="G65" t="str">
            <v>BSC_9</v>
          </cell>
          <cell r="H65" t="str">
            <v>BSC</v>
          </cell>
          <cell r="I65">
            <v>9</v>
          </cell>
          <cell r="J65" t="str">
            <v>Bridge Structure Type</v>
          </cell>
          <cell r="K65" t="str">
            <v>Suspension</v>
          </cell>
          <cell r="L65" t="str">
            <v>_</v>
          </cell>
          <cell r="Q65" t="str">
            <v>_</v>
          </cell>
        </row>
        <row r="66">
          <cell r="A66">
            <v>17</v>
          </cell>
          <cell r="B66" t="str">
            <v>262</v>
          </cell>
          <cell r="C66" t="str">
            <v>Bridge</v>
          </cell>
          <cell r="D66" t="str">
            <v>Cantilever Bridge</v>
          </cell>
          <cell r="E66" t="str">
            <v>AQ040</v>
          </cell>
          <cell r="F66" t="str">
            <v>Bridge</v>
          </cell>
          <cell r="G66" t="str">
            <v>BSC_2</v>
          </cell>
          <cell r="H66" t="str">
            <v>BSC</v>
          </cell>
          <cell r="I66">
            <v>2</v>
          </cell>
          <cell r="J66" t="str">
            <v>Bridge Structure Type</v>
          </cell>
          <cell r="K66" t="str">
            <v>Cantilever</v>
          </cell>
          <cell r="L66" t="str">
            <v>_</v>
          </cell>
          <cell r="Q66" t="str">
            <v>_</v>
          </cell>
        </row>
        <row r="67">
          <cell r="A67">
            <v>166</v>
          </cell>
          <cell r="B67" t="str">
            <v>263</v>
          </cell>
          <cell r="C67" t="str">
            <v>Bridge</v>
          </cell>
          <cell r="D67" t="str">
            <v>Arch Bridge</v>
          </cell>
          <cell r="E67" t="str">
            <v>AQ040</v>
          </cell>
          <cell r="F67" t="str">
            <v>Bridge</v>
          </cell>
          <cell r="G67" t="str">
            <v>BSC_1</v>
          </cell>
          <cell r="H67" t="str">
            <v>BSC</v>
          </cell>
          <cell r="I67">
            <v>1</v>
          </cell>
          <cell r="J67" t="str">
            <v>Bridge Structure Type</v>
          </cell>
          <cell r="K67" t="str">
            <v>Open Spandrel Arch</v>
          </cell>
          <cell r="L67" t="str">
            <v>_</v>
          </cell>
          <cell r="Q67" t="str">
            <v>_</v>
          </cell>
        </row>
        <row r="68">
          <cell r="A68">
            <v>47</v>
          </cell>
          <cell r="B68" t="str">
            <v>264</v>
          </cell>
          <cell r="C68" t="str">
            <v>Bridge</v>
          </cell>
          <cell r="D68" t="str">
            <v>Truss Bridge</v>
          </cell>
          <cell r="E68" t="str">
            <v>AQ040</v>
          </cell>
          <cell r="F68" t="str">
            <v>Bridge</v>
          </cell>
          <cell r="G68" t="str">
            <v>BSC_8</v>
          </cell>
          <cell r="H68" t="str">
            <v>BSC</v>
          </cell>
          <cell r="I68">
            <v>8</v>
          </cell>
          <cell r="J68" t="str">
            <v>Bridge Structure Type</v>
          </cell>
          <cell r="K68" t="str">
            <v>Truss</v>
          </cell>
          <cell r="L68" t="str">
            <v>_</v>
          </cell>
          <cell r="Q68" t="str">
            <v>_</v>
          </cell>
        </row>
        <row r="69">
          <cell r="A69">
            <v>21</v>
          </cell>
          <cell r="B69" t="str">
            <v>265</v>
          </cell>
          <cell r="C69" t="str">
            <v>Bridge</v>
          </cell>
          <cell r="D69" t="str">
            <v>Moveable-Span Bridge</v>
          </cell>
          <cell r="E69" t="str">
            <v>AQ040</v>
          </cell>
          <cell r="F69" t="str">
            <v>Bridge</v>
          </cell>
          <cell r="G69" t="str">
            <v>BOT_16</v>
          </cell>
          <cell r="H69" t="str">
            <v>BOT</v>
          </cell>
          <cell r="I69">
            <v>16</v>
          </cell>
          <cell r="J69" t="str">
            <v>Bridge Opening Type</v>
          </cell>
          <cell r="K69" t="str">
            <v>Opening</v>
          </cell>
          <cell r="L69" t="str">
            <v>_</v>
          </cell>
          <cell r="Q69" t="str">
            <v>_</v>
          </cell>
        </row>
        <row r="70">
          <cell r="A70">
            <v>296</v>
          </cell>
          <cell r="B70" t="str">
            <v>266</v>
          </cell>
          <cell r="C70" t="str">
            <v>Tower</v>
          </cell>
          <cell r="D70" t="str">
            <v>Bridge Tower (Note:266 was changed to 277 in Data.Collect)</v>
          </cell>
          <cell r="E70" t="str">
            <v>AQ055</v>
          </cell>
          <cell r="F70" t="str">
            <v>Bridge Tower</v>
          </cell>
          <cell r="G70" t="str">
            <v>_</v>
          </cell>
          <cell r="L70" t="str">
            <v>_</v>
          </cell>
          <cell r="Q70" t="str">
            <v>_</v>
          </cell>
        </row>
        <row r="71">
          <cell r="A71">
            <v>2020</v>
          </cell>
          <cell r="B71" t="str">
            <v>267</v>
          </cell>
          <cell r="C71" t="str">
            <v>Bridge</v>
          </cell>
          <cell r="D71" t="str">
            <v>Deck Bridge</v>
          </cell>
          <cell r="E71" t="str">
            <v>AQ040</v>
          </cell>
          <cell r="F71" t="str">
            <v>Bridge</v>
          </cell>
          <cell r="G71" t="str">
            <v>BSC_3</v>
          </cell>
          <cell r="H71" t="str">
            <v>BSC</v>
          </cell>
          <cell r="I71">
            <v>3</v>
          </cell>
          <cell r="J71" t="str">
            <v>Bridge Structure Type</v>
          </cell>
          <cell r="K71" t="str">
            <v>Deck</v>
          </cell>
          <cell r="L71" t="str">
            <v>_</v>
          </cell>
          <cell r="Q71" t="str">
            <v>_</v>
          </cell>
        </row>
        <row r="72">
          <cell r="A72">
            <v>8</v>
          </cell>
          <cell r="B72" t="str">
            <v>270</v>
          </cell>
          <cell r="C72" t="str">
            <v>Bridge (Superstr. General)</v>
          </cell>
          <cell r="D72" t="str">
            <v>Superstructure - General</v>
          </cell>
          <cell r="E72" t="str">
            <v>AQ050</v>
          </cell>
          <cell r="F72" t="str">
            <v>Bridge Superstructure</v>
          </cell>
          <cell r="G72" t="str">
            <v>_</v>
          </cell>
          <cell r="L72" t="str">
            <v>_</v>
          </cell>
          <cell r="Q72" t="str">
            <v>_</v>
          </cell>
        </row>
        <row r="73">
          <cell r="A73">
            <v>2</v>
          </cell>
          <cell r="B73" t="str">
            <v>271</v>
          </cell>
          <cell r="C73" t="str">
            <v>Bridge (Superst.Suspension)</v>
          </cell>
          <cell r="D73" t="str">
            <v>Superstructure - Suspension</v>
          </cell>
          <cell r="E73" t="str">
            <v>AQ050</v>
          </cell>
          <cell r="F73" t="str">
            <v>Bridge Superstructure</v>
          </cell>
          <cell r="G73" t="str">
            <v>BSC_9</v>
          </cell>
          <cell r="H73" t="str">
            <v>BSC</v>
          </cell>
          <cell r="I73">
            <v>9</v>
          </cell>
          <cell r="J73" t="str">
            <v>Bridge Structure Type</v>
          </cell>
          <cell r="K73" t="str">
            <v>Suspension</v>
          </cell>
          <cell r="L73" t="str">
            <v>_</v>
          </cell>
          <cell r="Q73" t="str">
            <v>_</v>
          </cell>
        </row>
        <row r="74">
          <cell r="A74">
            <v>9</v>
          </cell>
          <cell r="B74" t="str">
            <v>272</v>
          </cell>
          <cell r="C74" t="str">
            <v>Bridge (Superstr.Twr Suspen)</v>
          </cell>
          <cell r="D74" t="str">
            <v>Superstructure - Tower Suspension</v>
          </cell>
          <cell r="E74" t="str">
            <v>AQ050</v>
          </cell>
          <cell r="F74" t="str">
            <v>Bridge Superstructure</v>
          </cell>
          <cell r="G74" t="str">
            <v>BSC_7</v>
          </cell>
          <cell r="H74" t="str">
            <v>BSC</v>
          </cell>
          <cell r="I74">
            <v>7</v>
          </cell>
          <cell r="J74" t="str">
            <v>Bridge Structure Type</v>
          </cell>
          <cell r="K74" t="str">
            <v>Tower Suspension</v>
          </cell>
          <cell r="L74" t="str">
            <v>_</v>
          </cell>
          <cell r="Q74" t="str">
            <v>_</v>
          </cell>
        </row>
        <row r="75">
          <cell r="A75">
            <v>0</v>
          </cell>
          <cell r="B75" t="str">
            <v>273</v>
          </cell>
          <cell r="C75" t="str">
            <v>Bridge (Superstr.Cantilever)</v>
          </cell>
          <cell r="D75" t="str">
            <v>Superstructure - Cantilever</v>
          </cell>
          <cell r="E75" t="str">
            <v>AQ050</v>
          </cell>
          <cell r="F75" t="str">
            <v>Bridge Superstructure</v>
          </cell>
          <cell r="G75" t="str">
            <v>BSC_2</v>
          </cell>
          <cell r="H75" t="str">
            <v>BSC</v>
          </cell>
          <cell r="I75">
            <v>2</v>
          </cell>
          <cell r="J75" t="str">
            <v>Bridge Structure Type</v>
          </cell>
          <cell r="K75" t="str">
            <v>Cantilever</v>
          </cell>
          <cell r="L75" t="str">
            <v>_</v>
          </cell>
          <cell r="Q75" t="str">
            <v>_</v>
          </cell>
        </row>
        <row r="76">
          <cell r="A76">
            <v>0</v>
          </cell>
          <cell r="B76" t="str">
            <v>274</v>
          </cell>
          <cell r="C76" t="str">
            <v>Bridge (Superstr. Arch)</v>
          </cell>
          <cell r="D76" t="str">
            <v>Superstructure - Arch</v>
          </cell>
          <cell r="E76" t="str">
            <v>AQ050</v>
          </cell>
          <cell r="F76" t="str">
            <v>Bridge Superstructure</v>
          </cell>
          <cell r="G76" t="str">
            <v>BSC_31</v>
          </cell>
          <cell r="H76" t="str">
            <v>BSC</v>
          </cell>
          <cell r="I76">
            <v>31</v>
          </cell>
          <cell r="J76" t="str">
            <v>Bridge Structure Type</v>
          </cell>
          <cell r="K76" t="str">
            <v>Arch</v>
          </cell>
          <cell r="L76" t="str">
            <v>_</v>
          </cell>
          <cell r="Q76" t="str">
            <v>_</v>
          </cell>
        </row>
        <row r="77">
          <cell r="A77">
            <v>2</v>
          </cell>
          <cell r="B77" t="str">
            <v>275</v>
          </cell>
          <cell r="C77" t="str">
            <v>Bridge (Superstr. Truss)</v>
          </cell>
          <cell r="D77" t="str">
            <v>Superstructure - Truss</v>
          </cell>
          <cell r="E77" t="str">
            <v>AQ050</v>
          </cell>
          <cell r="F77" t="str">
            <v>Bridge Superstructure</v>
          </cell>
          <cell r="G77" t="str">
            <v>BSC_8</v>
          </cell>
          <cell r="H77" t="str">
            <v>BSC</v>
          </cell>
          <cell r="I77">
            <v>8</v>
          </cell>
          <cell r="J77" t="str">
            <v>Bridge Structure Type</v>
          </cell>
          <cell r="K77" t="str">
            <v>Truss</v>
          </cell>
          <cell r="L77" t="str">
            <v>_</v>
          </cell>
          <cell r="Q77" t="str">
            <v>_</v>
          </cell>
        </row>
        <row r="78">
          <cell r="A78">
            <v>0</v>
          </cell>
          <cell r="B78" t="str">
            <v>276</v>
          </cell>
          <cell r="C78" t="str">
            <v>Bridge (Superstr.Move Span)</v>
          </cell>
          <cell r="D78" t="str">
            <v>Superstructure - Moveable Span</v>
          </cell>
          <cell r="E78" t="str">
            <v>AQ040</v>
          </cell>
          <cell r="F78" t="str">
            <v>Bridge</v>
          </cell>
          <cell r="G78" t="str">
            <v>BOT_16</v>
          </cell>
          <cell r="H78" t="str">
            <v>BOT</v>
          </cell>
          <cell r="I78">
            <v>16</v>
          </cell>
          <cell r="J78" t="str">
            <v>Bridge Opening Type</v>
          </cell>
          <cell r="K78" t="str">
            <v>Opening</v>
          </cell>
          <cell r="L78" t="str">
            <v>_</v>
          </cell>
          <cell r="Q78" t="str">
            <v>_</v>
          </cell>
          <cell r="V78" t="str">
            <v>[NCGIS]: Merge with 265 (moveable-span bridge).</v>
          </cell>
        </row>
        <row r="79">
          <cell r="A79">
            <v>0</v>
          </cell>
          <cell r="B79" t="str">
            <v>277</v>
          </cell>
          <cell r="C79" t="str">
            <v>Tower</v>
          </cell>
          <cell r="D79" t="str">
            <v>Bridge Tower (Note:266 was changed to 277 in Data.Collect)</v>
          </cell>
          <cell r="E79" t="str">
            <v>AQ055</v>
          </cell>
          <cell r="F79" t="str">
            <v>Bridge Tower</v>
          </cell>
          <cell r="G79" t="str">
            <v>_</v>
          </cell>
          <cell r="L79" t="str">
            <v>_</v>
          </cell>
          <cell r="Q79" t="str">
            <v>_</v>
          </cell>
          <cell r="V79" t="str">
            <v>[NCGIS]: Merge with 266 (alternate code for same thing according to DVOF specification).</v>
          </cell>
        </row>
        <row r="80">
          <cell r="A80">
            <v>0</v>
          </cell>
          <cell r="B80" t="str">
            <v>280</v>
          </cell>
          <cell r="C80" t="str">
            <v>Conduit</v>
          </cell>
          <cell r="D80" t="str">
            <v>Conduit, General (Aqueduct, Overhead Pipeline)</v>
          </cell>
          <cell r="E80" t="str">
            <v>AQ113</v>
          </cell>
          <cell r="F80" t="str">
            <v>Pipeline</v>
          </cell>
          <cell r="G80" t="str">
            <v>LOC_45</v>
          </cell>
          <cell r="H80" t="str">
            <v>LOC</v>
          </cell>
          <cell r="I80">
            <v>45</v>
          </cell>
          <cell r="J80" t="str">
            <v>Vertical Relative Location</v>
          </cell>
          <cell r="K80" t="str">
            <v>Above Surface</v>
          </cell>
          <cell r="L80" t="str">
            <v>_</v>
          </cell>
          <cell r="Q80" t="str">
            <v>_</v>
          </cell>
          <cell r="V80" t="str">
            <v>[PVA]: "Agree with map to suspended pipeline since an aqueduct is captured separately (282)."</v>
          </cell>
        </row>
        <row r="81">
          <cell r="A81">
            <v>17</v>
          </cell>
          <cell r="B81" t="str">
            <v>281</v>
          </cell>
          <cell r="C81" t="str">
            <v>Conduit</v>
          </cell>
          <cell r="D81" t="str">
            <v>Pipeline (above ground)</v>
          </cell>
          <cell r="E81" t="str">
            <v>AQ113</v>
          </cell>
          <cell r="F81" t="str">
            <v>Pipeline</v>
          </cell>
          <cell r="G81" t="str">
            <v>LOC_44</v>
          </cell>
          <cell r="H81" t="str">
            <v>LOC</v>
          </cell>
          <cell r="I81">
            <v>44</v>
          </cell>
          <cell r="J81" t="str">
            <v>Vertical Relative Location</v>
          </cell>
          <cell r="K81" t="str">
            <v>On Surface</v>
          </cell>
          <cell r="L81" t="str">
            <v>_</v>
          </cell>
          <cell r="Q81" t="str">
            <v>_</v>
          </cell>
        </row>
        <row r="82">
          <cell r="A82">
            <v>559</v>
          </cell>
          <cell r="B82" t="str">
            <v>282</v>
          </cell>
          <cell r="C82" t="str">
            <v>Conduit</v>
          </cell>
          <cell r="D82" t="str">
            <v>Aqueduct</v>
          </cell>
          <cell r="E82" t="str">
            <v>BH010</v>
          </cell>
          <cell r="F82" t="str">
            <v>Aqueduct</v>
          </cell>
          <cell r="G82" t="str">
            <v>_</v>
          </cell>
          <cell r="L82" t="str">
            <v>_</v>
          </cell>
          <cell r="Q82" t="str">
            <v>_</v>
          </cell>
        </row>
        <row r="83">
          <cell r="A83">
            <v>158</v>
          </cell>
          <cell r="B83" t="str">
            <v>290</v>
          </cell>
          <cell r="C83" t="str">
            <v>Transportation</v>
          </cell>
          <cell r="D83" t="str">
            <v>Associated Structure, Transportation</v>
          </cell>
          <cell r="E83" t="str">
            <v>AL014</v>
          </cell>
          <cell r="F83" t="str">
            <v>Non-building Structure</v>
          </cell>
          <cell r="G83" t="str">
            <v>FFN_480</v>
          </cell>
          <cell r="H83" t="str">
            <v>FFN</v>
          </cell>
          <cell r="I83">
            <v>480</v>
          </cell>
          <cell r="J83" t="str">
            <v>Feature Function(s)</v>
          </cell>
          <cell r="K83" t="str">
            <v>Transport</v>
          </cell>
          <cell r="L83" t="str">
            <v>_</v>
          </cell>
          <cell r="Q83" t="str">
            <v>_</v>
          </cell>
        </row>
        <row r="84">
          <cell r="A84">
            <v>1431</v>
          </cell>
          <cell r="B84" t="str">
            <v>301</v>
          </cell>
          <cell r="C84" t="str">
            <v>Building</v>
          </cell>
          <cell r="D84" t="str">
            <v>Commercial Building, General</v>
          </cell>
          <cell r="E84" t="str">
            <v>AL013</v>
          </cell>
          <cell r="F84" t="str">
            <v>Building</v>
          </cell>
          <cell r="G84" t="str">
            <v>FFN_440</v>
          </cell>
          <cell r="H84" t="str">
            <v>FFN</v>
          </cell>
          <cell r="I84">
            <v>440</v>
          </cell>
          <cell r="J84" t="str">
            <v>Feature Function(s)</v>
          </cell>
          <cell r="K84" t="str">
            <v>Commerce</v>
          </cell>
          <cell r="L84" t="str">
            <v>_</v>
          </cell>
          <cell r="Q84" t="str">
            <v>_</v>
          </cell>
        </row>
        <row r="85">
          <cell r="A85">
            <v>5033</v>
          </cell>
          <cell r="B85" t="str">
            <v>302</v>
          </cell>
          <cell r="C85" t="str">
            <v>Building</v>
          </cell>
          <cell r="D85" t="str">
            <v>Commercial Building with Flat Roof (same as type 301 with flat roof)</v>
          </cell>
          <cell r="E85" t="str">
            <v>AL013</v>
          </cell>
          <cell r="F85" t="str">
            <v>Building</v>
          </cell>
          <cell r="G85" t="str">
            <v>FFN_440</v>
          </cell>
          <cell r="H85" t="str">
            <v>FFN</v>
          </cell>
          <cell r="I85">
            <v>440</v>
          </cell>
          <cell r="J85" t="str">
            <v>Feature Function(s)</v>
          </cell>
          <cell r="K85" t="str">
            <v>Commerce</v>
          </cell>
          <cell r="L85" t="str">
            <v>SSR_41</v>
          </cell>
          <cell r="M85" t="str">
            <v>SSR</v>
          </cell>
          <cell r="N85">
            <v>41</v>
          </cell>
          <cell r="O85" t="str">
            <v>Roof Shape</v>
          </cell>
          <cell r="P85" t="str">
            <v>Flat</v>
          </cell>
          <cell r="Q85" t="str">
            <v>_</v>
          </cell>
        </row>
        <row r="86">
          <cell r="A86">
            <v>120</v>
          </cell>
          <cell r="B86" t="str">
            <v>303</v>
          </cell>
          <cell r="C86" t="str">
            <v>Building</v>
          </cell>
          <cell r="D86" t="str">
            <v>Commercial Building, Circular with Flat Roof</v>
          </cell>
          <cell r="E86" t="str">
            <v>AL013</v>
          </cell>
          <cell r="F86" t="str">
            <v>Building</v>
          </cell>
          <cell r="G86" t="str">
            <v>FFN_440</v>
          </cell>
          <cell r="H86" t="str">
            <v>FFN</v>
          </cell>
          <cell r="I86">
            <v>440</v>
          </cell>
          <cell r="J86" t="str">
            <v>Feature Function(s)</v>
          </cell>
          <cell r="K86" t="str">
            <v>Commerce</v>
          </cell>
          <cell r="L86" t="str">
            <v>SSR_41</v>
          </cell>
          <cell r="M86" t="str">
            <v>SSR</v>
          </cell>
          <cell r="N86">
            <v>41</v>
          </cell>
          <cell r="O86" t="str">
            <v>Roof Shape</v>
          </cell>
          <cell r="P86" t="str">
            <v>Flat</v>
          </cell>
          <cell r="Q86" t="str">
            <v>CSS_4</v>
          </cell>
          <cell r="R86" t="str">
            <v>CSS</v>
          </cell>
          <cell r="S86">
            <v>4</v>
          </cell>
          <cell r="T86" t="str">
            <v>Cross-sectional Shape</v>
          </cell>
          <cell r="U86" t="str">
            <v>Circular</v>
          </cell>
        </row>
        <row r="87">
          <cell r="A87">
            <v>295</v>
          </cell>
          <cell r="B87" t="str">
            <v>304</v>
          </cell>
          <cell r="C87" t="str">
            <v>Building</v>
          </cell>
          <cell r="D87" t="str">
            <v>Commercial Building with Gable Roof (same as type 301 with gable roof)</v>
          </cell>
          <cell r="E87" t="str">
            <v>AL013</v>
          </cell>
          <cell r="F87" t="str">
            <v>Building</v>
          </cell>
          <cell r="G87" t="str">
            <v>FFN_440</v>
          </cell>
          <cell r="H87" t="str">
            <v>FFN</v>
          </cell>
          <cell r="I87">
            <v>440</v>
          </cell>
          <cell r="J87" t="str">
            <v>Feature Function(s)</v>
          </cell>
          <cell r="K87" t="str">
            <v>Commerce</v>
          </cell>
          <cell r="L87" t="str">
            <v>SSR_42</v>
          </cell>
          <cell r="M87" t="str">
            <v>SSR</v>
          </cell>
          <cell r="N87">
            <v>42</v>
          </cell>
          <cell r="O87" t="str">
            <v>Roof Shape</v>
          </cell>
          <cell r="P87" t="str">
            <v>Pitched</v>
          </cell>
          <cell r="Q87" t="str">
            <v>_</v>
          </cell>
        </row>
        <row r="88">
          <cell r="A88">
            <v>78</v>
          </cell>
          <cell r="B88" t="str">
            <v>305</v>
          </cell>
          <cell r="C88" t="str">
            <v>Building</v>
          </cell>
          <cell r="D88" t="str">
            <v>Commercial Building with Curved Roof (same as type 301 with curved roof)</v>
          </cell>
          <cell r="E88" t="str">
            <v>AL013</v>
          </cell>
          <cell r="F88" t="str">
            <v>Building</v>
          </cell>
          <cell r="G88" t="str">
            <v>FFN_440</v>
          </cell>
          <cell r="H88" t="str">
            <v>FFN</v>
          </cell>
          <cell r="I88">
            <v>440</v>
          </cell>
          <cell r="J88" t="str">
            <v>Feature Function(s)</v>
          </cell>
          <cell r="K88" t="str">
            <v>Commerce</v>
          </cell>
          <cell r="L88" t="str">
            <v>SSR_38</v>
          </cell>
          <cell r="M88" t="str">
            <v>SSR</v>
          </cell>
          <cell r="N88">
            <v>38</v>
          </cell>
          <cell r="O88" t="str">
            <v>Roof Shape</v>
          </cell>
          <cell r="P88" t="str">
            <v>Semi-cylindrical</v>
          </cell>
          <cell r="Q88" t="str">
            <v>_</v>
          </cell>
          <cell r="V88" t="str">
            <v>[PVA]: "Most likely a half-cylinder -- quonset-like -- but there might be unimportant variation."</v>
          </cell>
        </row>
        <row r="89">
          <cell r="A89">
            <v>30</v>
          </cell>
          <cell r="B89" t="str">
            <v>321</v>
          </cell>
          <cell r="C89" t="str">
            <v>Stadium</v>
          </cell>
          <cell r="D89" t="str">
            <v>Stadium, Enclosed</v>
          </cell>
          <cell r="E89" t="str">
            <v>AK160</v>
          </cell>
          <cell r="F89" t="str">
            <v>Stadium</v>
          </cell>
          <cell r="G89" t="str">
            <v>_</v>
          </cell>
          <cell r="L89" t="str">
            <v>_</v>
          </cell>
          <cell r="Q89" t="str">
            <v>_</v>
          </cell>
          <cell r="V89" t="str">
            <v>[PVA]: "No need to discriminate 'Enclosed' (four-sided) from 'Open' (facing grandstands)."</v>
          </cell>
        </row>
        <row r="90">
          <cell r="A90">
            <v>26</v>
          </cell>
          <cell r="B90" t="str">
            <v>322</v>
          </cell>
          <cell r="C90" t="str">
            <v>Stadium</v>
          </cell>
          <cell r="D90" t="str">
            <v>Stadium, Open-ended</v>
          </cell>
          <cell r="E90" t="str">
            <v>AK160</v>
          </cell>
          <cell r="F90" t="str">
            <v>Stadium</v>
          </cell>
          <cell r="G90" t="str">
            <v>_</v>
          </cell>
          <cell r="L90" t="str">
            <v>_</v>
          </cell>
          <cell r="Q90" t="str">
            <v>_</v>
          </cell>
          <cell r="V90" t="str">
            <v>[PVA]: "No need to discriminate 'Enclosed' (four-sided) from 'Open' (facing grandstands)."</v>
          </cell>
        </row>
        <row r="91">
          <cell r="A91">
            <v>6</v>
          </cell>
          <cell r="B91" t="str">
            <v>323</v>
          </cell>
          <cell r="C91" t="str">
            <v>Stadium</v>
          </cell>
          <cell r="D91" t="str">
            <v>Stadium, Domed</v>
          </cell>
          <cell r="E91" t="str">
            <v>AK160</v>
          </cell>
          <cell r="F91" t="str">
            <v>Stadium</v>
          </cell>
          <cell r="G91" t="str">
            <v>SSR_40</v>
          </cell>
          <cell r="H91" t="str">
            <v>SSR</v>
          </cell>
          <cell r="I91">
            <v>40</v>
          </cell>
          <cell r="J91" t="str">
            <v>Roof Shape</v>
          </cell>
          <cell r="K91" t="str">
            <v>Domed</v>
          </cell>
          <cell r="L91" t="str">
            <v>_</v>
          </cell>
          <cell r="Q91" t="str">
            <v>_</v>
          </cell>
        </row>
        <row r="92">
          <cell r="A92">
            <v>49</v>
          </cell>
          <cell r="B92" t="str">
            <v>324</v>
          </cell>
          <cell r="C92" t="str">
            <v>Stadium</v>
          </cell>
          <cell r="D92" t="str">
            <v>Grandstand</v>
          </cell>
          <cell r="E92" t="str">
            <v>AK110</v>
          </cell>
          <cell r="F92" t="str">
            <v>Grandstand</v>
          </cell>
          <cell r="G92" t="str">
            <v>_</v>
          </cell>
          <cell r="L92" t="str">
            <v>_</v>
          </cell>
          <cell r="Q92" t="str">
            <v>_</v>
          </cell>
        </row>
        <row r="93">
          <cell r="A93">
            <v>25</v>
          </cell>
          <cell r="B93" t="str">
            <v>331</v>
          </cell>
          <cell r="C93" t="str">
            <v>Amusement Park</v>
          </cell>
          <cell r="D93" t="str">
            <v>Roller Coaster Structure</v>
          </cell>
          <cell r="E93" t="str">
            <v>AK020</v>
          </cell>
          <cell r="F93" t="str">
            <v>Amusement Park Attraction</v>
          </cell>
          <cell r="G93" t="str">
            <v>AMA_3</v>
          </cell>
          <cell r="H93" t="str">
            <v>AMA</v>
          </cell>
          <cell r="I93">
            <v>3</v>
          </cell>
          <cell r="J93" t="str">
            <v>Amusement Attraction Type</v>
          </cell>
          <cell r="K93" t="str">
            <v>Roller-coaster</v>
          </cell>
          <cell r="L93" t="str">
            <v>_</v>
          </cell>
          <cell r="Q93" t="str">
            <v>_</v>
          </cell>
        </row>
        <row r="94">
          <cell r="A94">
            <v>21</v>
          </cell>
          <cell r="B94" t="str">
            <v>332</v>
          </cell>
          <cell r="C94" t="str">
            <v>Amusement Park</v>
          </cell>
          <cell r="D94" t="str">
            <v>Ferris Wheel Structure</v>
          </cell>
          <cell r="E94" t="str">
            <v>AK020</v>
          </cell>
          <cell r="F94" t="str">
            <v>Amusement Park Attraction</v>
          </cell>
          <cell r="G94" t="str">
            <v>AMA_2</v>
          </cell>
          <cell r="H94" t="str">
            <v>AMA</v>
          </cell>
          <cell r="I94">
            <v>2</v>
          </cell>
          <cell r="J94" t="str">
            <v>Amusement Attraction Type</v>
          </cell>
          <cell r="K94" t="str">
            <v>Ferris Wheel</v>
          </cell>
          <cell r="L94" t="str">
            <v>_</v>
          </cell>
          <cell r="Q94" t="str">
            <v>_</v>
          </cell>
        </row>
        <row r="95">
          <cell r="A95">
            <v>9</v>
          </cell>
          <cell r="B95" t="str">
            <v>334</v>
          </cell>
          <cell r="C95" t="str">
            <v>Amusement Park</v>
          </cell>
          <cell r="D95" t="str">
            <v>Artificial Mountain Structure</v>
          </cell>
          <cell r="E95" t="str">
            <v>AK020</v>
          </cell>
          <cell r="F95" t="str">
            <v>Amusement Park Attraction</v>
          </cell>
          <cell r="G95" t="str">
            <v>AMA_1</v>
          </cell>
          <cell r="H95" t="str">
            <v>AMA</v>
          </cell>
          <cell r="I95">
            <v>1</v>
          </cell>
          <cell r="J95" t="str">
            <v>Amusement Attraction Type</v>
          </cell>
          <cell r="K95" t="str">
            <v>Artificial Mountain</v>
          </cell>
          <cell r="L95" t="str">
            <v>_</v>
          </cell>
          <cell r="Q95" t="str">
            <v>_</v>
          </cell>
        </row>
        <row r="96">
          <cell r="A96">
            <v>2</v>
          </cell>
          <cell r="B96" t="str">
            <v>335</v>
          </cell>
          <cell r="C96" t="str">
            <v>Ski Jump</v>
          </cell>
          <cell r="D96" t="str">
            <v>Ski Jump</v>
          </cell>
          <cell r="E96" t="str">
            <v>AK150</v>
          </cell>
          <cell r="F96" t="str">
            <v>Ski-jump</v>
          </cell>
          <cell r="G96" t="str">
            <v>_</v>
          </cell>
          <cell r="L96" t="str">
            <v>_</v>
          </cell>
          <cell r="Q96" t="str">
            <v>_</v>
          </cell>
        </row>
        <row r="97">
          <cell r="A97">
            <v>107</v>
          </cell>
          <cell r="B97" t="str">
            <v>340</v>
          </cell>
          <cell r="C97" t="str">
            <v>Sign</v>
          </cell>
          <cell r="D97" t="str">
            <v>Display Sign, General</v>
          </cell>
          <cell r="E97" t="str">
            <v>AL050</v>
          </cell>
          <cell r="F97" t="str">
            <v>Display Sign</v>
          </cell>
          <cell r="G97" t="str">
            <v>_</v>
          </cell>
          <cell r="L97" t="str">
            <v>_</v>
          </cell>
          <cell r="Q97" t="str">
            <v>_</v>
          </cell>
        </row>
        <row r="98">
          <cell r="A98">
            <v>83</v>
          </cell>
          <cell r="B98" t="str">
            <v>350</v>
          </cell>
          <cell r="C98" t="str">
            <v>Recreational Structure</v>
          </cell>
          <cell r="D98" t="str">
            <v>Commercial/Recreational Structure, General</v>
          </cell>
          <cell r="E98" t="str">
            <v>AK020</v>
          </cell>
          <cell r="F98" t="str">
            <v>Amusement Park Attraction</v>
          </cell>
          <cell r="G98" t="str">
            <v>_</v>
          </cell>
          <cell r="L98" t="str">
            <v>_</v>
          </cell>
          <cell r="Q98" t="str">
            <v>_</v>
          </cell>
          <cell r="V98" t="str">
            <v>[PVA]: "Used to collect a significant structure at an amusement park."</v>
          </cell>
        </row>
        <row r="99">
          <cell r="A99">
            <v>4104</v>
          </cell>
          <cell r="B99" t="str">
            <v>401</v>
          </cell>
          <cell r="C99" t="str">
            <v>Building</v>
          </cell>
          <cell r="D99" t="str">
            <v>Dwelling, Multi-family</v>
          </cell>
          <cell r="E99" t="str">
            <v>AL013</v>
          </cell>
          <cell r="F99" t="str">
            <v>Building</v>
          </cell>
          <cell r="G99" t="str">
            <v>FFN_561</v>
          </cell>
          <cell r="H99" t="str">
            <v>FFN</v>
          </cell>
          <cell r="I99">
            <v>561</v>
          </cell>
          <cell r="J99" t="str">
            <v>Feature Function(s)</v>
          </cell>
          <cell r="K99" t="str">
            <v>Attached House</v>
          </cell>
          <cell r="L99" t="str">
            <v>_</v>
          </cell>
          <cell r="Q99" t="str">
            <v>_</v>
          </cell>
        </row>
        <row r="100">
          <cell r="A100">
            <v>15550</v>
          </cell>
          <cell r="B100" t="str">
            <v>402</v>
          </cell>
          <cell r="C100" t="str">
            <v>Building</v>
          </cell>
          <cell r="D100" t="str">
            <v>Apartment/Hotel with Flat Roof</v>
          </cell>
          <cell r="E100" t="str">
            <v>AL013</v>
          </cell>
          <cell r="F100" t="str">
            <v>Building</v>
          </cell>
          <cell r="G100" t="str">
            <v>FFN_559</v>
          </cell>
          <cell r="H100" t="str">
            <v>FFN</v>
          </cell>
          <cell r="I100">
            <v>559</v>
          </cell>
          <cell r="J100" t="str">
            <v>Feature Function(s)</v>
          </cell>
          <cell r="K100" t="str">
            <v>Apartment House</v>
          </cell>
          <cell r="L100" t="str">
            <v>SSR_41</v>
          </cell>
          <cell r="M100" t="str">
            <v>SSR</v>
          </cell>
          <cell r="N100">
            <v>41</v>
          </cell>
          <cell r="O100" t="str">
            <v>Roof Shape</v>
          </cell>
          <cell r="P100" t="str">
            <v>Flat</v>
          </cell>
          <cell r="Q100" t="str">
            <v>_</v>
          </cell>
        </row>
        <row r="101">
          <cell r="A101">
            <v>722</v>
          </cell>
          <cell r="B101" t="str">
            <v>403</v>
          </cell>
          <cell r="C101" t="str">
            <v>Building</v>
          </cell>
          <cell r="D101" t="str">
            <v>Apartment/Hotel with Gable Roof</v>
          </cell>
          <cell r="E101" t="str">
            <v>AL013</v>
          </cell>
          <cell r="F101" t="str">
            <v>Building</v>
          </cell>
          <cell r="G101" t="str">
            <v>FFN_559</v>
          </cell>
          <cell r="H101" t="str">
            <v>FFN</v>
          </cell>
          <cell r="I101">
            <v>559</v>
          </cell>
          <cell r="J101" t="str">
            <v>Feature Function(s)</v>
          </cell>
          <cell r="K101" t="str">
            <v>Apartment House</v>
          </cell>
          <cell r="L101" t="str">
            <v>SSR_42</v>
          </cell>
          <cell r="M101" t="str">
            <v>SSR</v>
          </cell>
          <cell r="N101">
            <v>42</v>
          </cell>
          <cell r="O101" t="str">
            <v>Roof Shape</v>
          </cell>
          <cell r="P101" t="str">
            <v>Pitched</v>
          </cell>
          <cell r="Q101" t="str">
            <v>_</v>
          </cell>
        </row>
        <row r="102">
          <cell r="A102">
            <v>157</v>
          </cell>
          <cell r="B102" t="str">
            <v>434</v>
          </cell>
          <cell r="C102" t="str">
            <v>Windmill</v>
          </cell>
          <cell r="D102" t="str">
            <v>Windmill, Truss</v>
          </cell>
          <cell r="E102" t="str">
            <v>AJ050</v>
          </cell>
          <cell r="F102" t="str">
            <v>Windmill</v>
          </cell>
          <cell r="G102" t="str">
            <v>TOS_12</v>
          </cell>
          <cell r="H102" t="str">
            <v>TOS</v>
          </cell>
          <cell r="I102">
            <v>12</v>
          </cell>
          <cell r="J102" t="str">
            <v>Tower Shape</v>
          </cell>
          <cell r="K102" t="str">
            <v>Truss</v>
          </cell>
          <cell r="L102" t="str">
            <v>_</v>
          </cell>
          <cell r="Q102" t="str">
            <v>_</v>
          </cell>
        </row>
        <row r="103">
          <cell r="A103">
            <v>4190</v>
          </cell>
          <cell r="B103" t="str">
            <v>435</v>
          </cell>
          <cell r="C103" t="str">
            <v>Windmill</v>
          </cell>
          <cell r="D103" t="str">
            <v>Windmill, Solid</v>
          </cell>
          <cell r="E103" t="str">
            <v>AJ050</v>
          </cell>
          <cell r="F103" t="str">
            <v>Windmill</v>
          </cell>
          <cell r="G103" t="str">
            <v>TOS_13</v>
          </cell>
          <cell r="H103" t="str">
            <v>TOS</v>
          </cell>
          <cell r="I103">
            <v>13</v>
          </cell>
          <cell r="J103" t="str">
            <v>Tower Shape</v>
          </cell>
          <cell r="K103" t="str">
            <v>Tubular</v>
          </cell>
          <cell r="L103" t="str">
            <v>_</v>
          </cell>
          <cell r="Q103" t="str">
            <v>_</v>
          </cell>
        </row>
        <row r="104">
          <cell r="A104">
            <v>11186</v>
          </cell>
          <cell r="B104" t="str">
            <v>437</v>
          </cell>
          <cell r="C104" t="str">
            <v>Windmill (Windmtr. On Land)</v>
          </cell>
          <cell r="D104" t="str">
            <v>Windmotor/Wind Power Generator - Located On Land</v>
          </cell>
          <cell r="E104" t="str">
            <v>AJ051</v>
          </cell>
          <cell r="F104" t="str">
            <v>Windmotor</v>
          </cell>
          <cell r="G104" t="str">
            <v>SRL_2</v>
          </cell>
          <cell r="H104" t="str">
            <v>SRL</v>
          </cell>
          <cell r="I104">
            <v>2</v>
          </cell>
          <cell r="J104" t="str">
            <v>Location Referenced to Shoreline</v>
          </cell>
          <cell r="K104" t="str">
            <v>Inland</v>
          </cell>
          <cell r="L104" t="str">
            <v>_</v>
          </cell>
          <cell r="Q104" t="str">
            <v>_</v>
          </cell>
        </row>
        <row r="105">
          <cell r="A105">
            <v>19</v>
          </cell>
          <cell r="B105" t="str">
            <v>438</v>
          </cell>
          <cell r="C105" t="str">
            <v>Windmill (Windmtr. Off Shore)</v>
          </cell>
          <cell r="D105" t="str">
            <v>Windmotor/Wind Power Generator - Located Off Shore</v>
          </cell>
          <cell r="E105" t="str">
            <v>AJ051</v>
          </cell>
          <cell r="F105" t="str">
            <v>Windmotor</v>
          </cell>
          <cell r="G105" t="str">
            <v>SRL_1</v>
          </cell>
          <cell r="H105" t="str">
            <v>SRL</v>
          </cell>
          <cell r="I105">
            <v>1</v>
          </cell>
          <cell r="J105" t="str">
            <v>Location Referenced to Shoreline</v>
          </cell>
          <cell r="K105" t="str">
            <v>Offshore</v>
          </cell>
          <cell r="L105" t="str">
            <v>_</v>
          </cell>
          <cell r="Q105" t="str">
            <v>_</v>
          </cell>
        </row>
        <row r="106">
          <cell r="A106">
            <v>75</v>
          </cell>
          <cell r="B106" t="str">
            <v>450</v>
          </cell>
          <cell r="C106" t="str">
            <v>Building</v>
          </cell>
          <cell r="D106" t="str">
            <v>Associated Structure, Agricultural/Residential</v>
          </cell>
          <cell r="E106" t="str">
            <v>AL014</v>
          </cell>
          <cell r="F106" t="str">
            <v>Non-building Structure</v>
          </cell>
          <cell r="G106" t="str">
            <v>FFN_2</v>
          </cell>
          <cell r="H106" t="str">
            <v>FFN</v>
          </cell>
          <cell r="I106">
            <v>2</v>
          </cell>
          <cell r="J106" t="str">
            <v>Feature Function(s)</v>
          </cell>
          <cell r="K106" t="str">
            <v>Agriculture</v>
          </cell>
          <cell r="L106" t="str">
            <v>_</v>
          </cell>
          <cell r="Q106" t="str">
            <v>_</v>
          </cell>
          <cell r="V106" t="str">
            <v>[PVA]: "Associated with an agricultural facility but something other than a Silo or Grain Elevator; not necessarily a building, e.g., shed, corn crib, ..."</v>
          </cell>
        </row>
        <row r="107">
          <cell r="A107">
            <v>63966</v>
          </cell>
          <cell r="B107" t="str">
            <v>501</v>
          </cell>
          <cell r="C107" t="str">
            <v>Tower</v>
          </cell>
          <cell r="D107" t="str">
            <v>Communication Tower, General</v>
          </cell>
          <cell r="E107" t="str">
            <v>AL241</v>
          </cell>
          <cell r="F107" t="str">
            <v>Tower</v>
          </cell>
          <cell r="G107" t="str">
            <v>TTC_20</v>
          </cell>
          <cell r="H107" t="str">
            <v>TTC</v>
          </cell>
          <cell r="I107">
            <v>20</v>
          </cell>
          <cell r="J107" t="str">
            <v>Tower Type</v>
          </cell>
          <cell r="K107" t="str">
            <v>Telecommunication Tower</v>
          </cell>
          <cell r="L107" t="str">
            <v>_</v>
          </cell>
          <cell r="Q107" t="str">
            <v>_</v>
          </cell>
        </row>
        <row r="108">
          <cell r="A108">
            <v>6742</v>
          </cell>
          <cell r="B108" t="str">
            <v>511</v>
          </cell>
          <cell r="C108" t="str">
            <v>Tower</v>
          </cell>
          <cell r="D108" t="str">
            <v>Radio/TV Tower, Type A</v>
          </cell>
          <cell r="E108" t="str">
            <v>AL241</v>
          </cell>
          <cell r="F108" t="str">
            <v>Tower</v>
          </cell>
          <cell r="G108" t="str">
            <v>TTC_20</v>
          </cell>
          <cell r="H108" t="str">
            <v>TTC</v>
          </cell>
          <cell r="I108">
            <v>20</v>
          </cell>
          <cell r="J108" t="str">
            <v>Tower Type</v>
          </cell>
          <cell r="K108" t="str">
            <v>Telecommunication Tower</v>
          </cell>
          <cell r="L108" t="str">
            <v>PYC_1</v>
          </cell>
          <cell r="M108" t="str">
            <v>PYC</v>
          </cell>
          <cell r="N108">
            <v>1</v>
          </cell>
          <cell r="O108" t="str">
            <v>Pylon Configuration</v>
          </cell>
          <cell r="P108" t="str">
            <v>'A'</v>
          </cell>
          <cell r="Q108" t="str">
            <v>_</v>
          </cell>
          <cell r="V108" t="str">
            <v>[NCGIS]: Ignoring Radio/TV aspect as the distinction really appears to be the visual one of "without reflector/cone".</v>
          </cell>
        </row>
        <row r="109">
          <cell r="A109">
            <v>26237</v>
          </cell>
          <cell r="B109" t="str">
            <v>512</v>
          </cell>
          <cell r="C109" t="str">
            <v>Mast</v>
          </cell>
          <cell r="D109" t="str">
            <v>Radio/TV Tower, Type I</v>
          </cell>
          <cell r="E109" t="str">
            <v>AL241</v>
          </cell>
          <cell r="F109" t="str">
            <v>Tower</v>
          </cell>
          <cell r="G109" t="str">
            <v>TTC_20</v>
          </cell>
          <cell r="H109" t="str">
            <v>TTC</v>
          </cell>
          <cell r="I109">
            <v>20</v>
          </cell>
          <cell r="J109" t="str">
            <v>Tower Type</v>
          </cell>
          <cell r="K109" t="str">
            <v>Telecommunication Tower</v>
          </cell>
          <cell r="L109" t="str">
            <v>PYC_3</v>
          </cell>
          <cell r="M109" t="str">
            <v>PYC</v>
          </cell>
          <cell r="N109">
            <v>3</v>
          </cell>
          <cell r="O109" t="str">
            <v>Pylon Configuration</v>
          </cell>
          <cell r="P109" t="str">
            <v>'I'</v>
          </cell>
          <cell r="Q109" t="str">
            <v>_</v>
          </cell>
          <cell r="V109" t="str">
            <v>[NCGIS]: Ignoring Radio/TV aspect as the distinction really appears to be the visual one of "without reflector/cone".</v>
          </cell>
        </row>
        <row r="110">
          <cell r="A110">
            <v>2880</v>
          </cell>
          <cell r="B110" t="str">
            <v>520</v>
          </cell>
          <cell r="C110" t="str">
            <v>Tower</v>
          </cell>
          <cell r="D110" t="str">
            <v>Microwave Tower, Type A (has reflector/cone)</v>
          </cell>
          <cell r="E110" t="str">
            <v>AL241</v>
          </cell>
          <cell r="F110" t="str">
            <v>Tower</v>
          </cell>
          <cell r="G110" t="str">
            <v>TTC_20</v>
          </cell>
          <cell r="H110" t="str">
            <v>TTC</v>
          </cell>
          <cell r="I110">
            <v>20</v>
          </cell>
          <cell r="J110" t="str">
            <v>Tower Type</v>
          </cell>
          <cell r="K110" t="str">
            <v>Telecommunication Tower</v>
          </cell>
          <cell r="L110" t="str">
            <v>PYC_1</v>
          </cell>
          <cell r="M110" t="str">
            <v>PYC</v>
          </cell>
          <cell r="N110">
            <v>1</v>
          </cell>
          <cell r="O110" t="str">
            <v>Pylon Configuration</v>
          </cell>
          <cell r="P110" t="str">
            <v>'A'</v>
          </cell>
          <cell r="Q110" t="str">
            <v>NST_16</v>
          </cell>
          <cell r="R110" t="str">
            <v>NST</v>
          </cell>
          <cell r="S110">
            <v>16</v>
          </cell>
          <cell r="T110" t="str">
            <v>Navigation System Type</v>
          </cell>
          <cell r="U110" t="str">
            <v>Microwave</v>
          </cell>
        </row>
        <row r="111">
          <cell r="A111">
            <v>2482</v>
          </cell>
          <cell r="B111" t="str">
            <v>521</v>
          </cell>
          <cell r="C111" t="str">
            <v>Mast</v>
          </cell>
          <cell r="D111" t="str">
            <v>Microwave Tower, Type I (has reflector/cone)</v>
          </cell>
          <cell r="E111" t="str">
            <v>AL241</v>
          </cell>
          <cell r="F111" t="str">
            <v>Tower</v>
          </cell>
          <cell r="G111" t="str">
            <v>TTC_20</v>
          </cell>
          <cell r="H111" t="str">
            <v>TTC</v>
          </cell>
          <cell r="I111">
            <v>20</v>
          </cell>
          <cell r="J111" t="str">
            <v>Tower Type</v>
          </cell>
          <cell r="K111" t="str">
            <v>Telecommunication Tower</v>
          </cell>
          <cell r="L111" t="str">
            <v>PYC_3</v>
          </cell>
          <cell r="M111" t="str">
            <v>PYC</v>
          </cell>
          <cell r="N111">
            <v>3</v>
          </cell>
          <cell r="O111" t="str">
            <v>Pylon Configuration</v>
          </cell>
          <cell r="P111" t="str">
            <v>'I'</v>
          </cell>
          <cell r="Q111" t="str">
            <v>NST_16</v>
          </cell>
          <cell r="R111" t="str">
            <v>NST</v>
          </cell>
          <cell r="S111">
            <v>16</v>
          </cell>
          <cell r="T111" t="str">
            <v>Navigation System Type</v>
          </cell>
          <cell r="U111" t="str">
            <v>Microwave</v>
          </cell>
        </row>
        <row r="112">
          <cell r="A112">
            <v>82477</v>
          </cell>
          <cell r="B112" t="str">
            <v>530</v>
          </cell>
          <cell r="C112" t="str">
            <v>Tower</v>
          </cell>
          <cell r="D112" t="str">
            <v>Miscellaneous Tower, General</v>
          </cell>
          <cell r="E112" t="str">
            <v>AL241</v>
          </cell>
          <cell r="F112" t="str">
            <v>Tower</v>
          </cell>
          <cell r="G112" t="str">
            <v>_</v>
          </cell>
          <cell r="L112" t="str">
            <v>_</v>
          </cell>
          <cell r="Q112" t="str">
            <v>_</v>
          </cell>
        </row>
        <row r="113">
          <cell r="A113">
            <v>570</v>
          </cell>
          <cell r="B113" t="str">
            <v>531</v>
          </cell>
          <cell r="C113" t="str">
            <v>Tower</v>
          </cell>
          <cell r="D113" t="str">
            <v>Observation Tower</v>
          </cell>
          <cell r="E113" t="str">
            <v>AL241</v>
          </cell>
          <cell r="F113" t="str">
            <v>Tower</v>
          </cell>
          <cell r="G113" t="str">
            <v>TTC_2</v>
          </cell>
          <cell r="H113" t="str">
            <v>TTC</v>
          </cell>
          <cell r="I113">
            <v>2</v>
          </cell>
          <cell r="J113" t="str">
            <v>Tower Type</v>
          </cell>
          <cell r="K113" t="str">
            <v>Observation Tower</v>
          </cell>
          <cell r="L113" t="str">
            <v>_</v>
          </cell>
          <cell r="Q113" t="str">
            <v>_</v>
          </cell>
        </row>
        <row r="114">
          <cell r="A114">
            <v>2064</v>
          </cell>
          <cell r="B114" t="str">
            <v>532</v>
          </cell>
          <cell r="C114" t="str">
            <v>Tower</v>
          </cell>
          <cell r="D114" t="str">
            <v>Tower on Structure</v>
          </cell>
          <cell r="E114" t="str">
            <v>AL241</v>
          </cell>
          <cell r="F114" t="str">
            <v>Tower</v>
          </cell>
          <cell r="G114" t="str">
            <v>SPT_</v>
          </cell>
          <cell r="H114" t="str">
            <v>SPT</v>
          </cell>
          <cell r="J114" t="str">
            <v>Supported</v>
          </cell>
          <cell r="K114" t="e">
            <v>#N/A</v>
          </cell>
          <cell r="L114" t="str">
            <v>_</v>
          </cell>
          <cell r="Q114" t="str">
            <v>_</v>
          </cell>
          <cell r="V114" t="str">
            <v>[PVA]: "Need to move to GIDI model of two separate features, e.g., antennas/towers mounted on and protruding above a 'Water Tower'." [NCGIS]: Modeled as explicit 'Tower' that is supported by another structure.</v>
          </cell>
        </row>
        <row r="115">
          <cell r="A115">
            <v>3</v>
          </cell>
          <cell r="B115" t="str">
            <v>533</v>
          </cell>
          <cell r="C115" t="str">
            <v>Tower (Rocket Launch)</v>
          </cell>
          <cell r="D115" t="str">
            <v>Rocket Launch Tower</v>
          </cell>
          <cell r="E115" t="str">
            <v>AL080</v>
          </cell>
          <cell r="F115" t="str">
            <v>Gantry</v>
          </cell>
          <cell r="G115" t="str">
            <v>_</v>
          </cell>
          <cell r="L115" t="str">
            <v>_</v>
          </cell>
          <cell r="Q115" t="str">
            <v>_</v>
          </cell>
          <cell r="V115" t="str">
            <v>[PVA]: "Traditionally mapped to 'Launch Pad' (GB040) however the feature actually collected is the gantry/tower and not the pad." [NCGIS]: Model as a 'Gantry' with association 'isRocketGantryOf' to a 'Launch Pad' to capture how the tower and the pad are r</v>
          </cell>
        </row>
        <row r="116">
          <cell r="A116">
            <v>2157</v>
          </cell>
          <cell r="B116" t="str">
            <v>535</v>
          </cell>
          <cell r="C116" t="str">
            <v>Tower</v>
          </cell>
          <cell r="D116" t="str">
            <v>Athletic Field Lights/Light Standards/Light Poles</v>
          </cell>
          <cell r="E116" t="str">
            <v>AL110</v>
          </cell>
          <cell r="F116" t="str">
            <v>Light Support Structure</v>
          </cell>
          <cell r="G116" t="str">
            <v>_</v>
          </cell>
          <cell r="L116" t="str">
            <v>_</v>
          </cell>
          <cell r="Q116" t="str">
            <v>_</v>
          </cell>
          <cell r="V116" t="str">
            <v>[PVA]: "Not specific to athletic field; also for light standards along roads, lights in parking lots and airport parking aprons."</v>
          </cell>
        </row>
        <row r="117">
          <cell r="A117">
            <v>109</v>
          </cell>
          <cell r="B117" t="str">
            <v>537</v>
          </cell>
          <cell r="C117" t="str">
            <v>Pylon</v>
          </cell>
          <cell r="D117" t="str">
            <v>Telephone Pylon/Poles</v>
          </cell>
          <cell r="E117" t="str">
            <v>AT070</v>
          </cell>
          <cell r="F117" t="str">
            <v>Communication Line Pylon</v>
          </cell>
          <cell r="G117" t="str">
            <v>_</v>
          </cell>
          <cell r="L117" t="str">
            <v>_</v>
          </cell>
          <cell r="Q117" t="str">
            <v>_</v>
          </cell>
        </row>
        <row r="118">
          <cell r="A118">
            <v>12</v>
          </cell>
          <cell r="B118" t="str">
            <v>538</v>
          </cell>
          <cell r="C118" t="str">
            <v>Pylon</v>
          </cell>
          <cell r="D118" t="str">
            <v>Aerial Cableway Pylons/Ski Lift Pylon</v>
          </cell>
          <cell r="E118" t="str">
            <v>AQ020</v>
          </cell>
          <cell r="F118" t="str">
            <v>Aerial Cable Pylon</v>
          </cell>
          <cell r="G118" t="str">
            <v>_</v>
          </cell>
          <cell r="L118" t="str">
            <v>_</v>
          </cell>
          <cell r="Q118" t="str">
            <v>_</v>
          </cell>
        </row>
        <row r="119">
          <cell r="A119">
            <v>1376111</v>
          </cell>
          <cell r="B119" t="str">
            <v>540</v>
          </cell>
          <cell r="C119" t="str">
            <v>Pylon</v>
          </cell>
          <cell r="D119" t="str">
            <v>Powerline Pylon, General</v>
          </cell>
          <cell r="E119" t="str">
            <v>AT040</v>
          </cell>
          <cell r="F119" t="str">
            <v>Power Line Pylon</v>
          </cell>
          <cell r="G119" t="str">
            <v>_</v>
          </cell>
          <cell r="L119" t="str">
            <v>_</v>
          </cell>
          <cell r="Q119" t="str">
            <v>_</v>
          </cell>
        </row>
        <row r="120">
          <cell r="A120">
            <v>929706</v>
          </cell>
          <cell r="B120" t="str">
            <v>541</v>
          </cell>
          <cell r="C120" t="str">
            <v>Pylon</v>
          </cell>
          <cell r="D120" t="str">
            <v>Powerline Pylon, Type A</v>
          </cell>
          <cell r="E120" t="str">
            <v>AT040</v>
          </cell>
          <cell r="F120" t="str">
            <v>Power Line Pylon</v>
          </cell>
          <cell r="G120" t="str">
            <v>PYC_1</v>
          </cell>
          <cell r="H120" t="str">
            <v>PYC</v>
          </cell>
          <cell r="I120">
            <v>1</v>
          </cell>
          <cell r="J120" t="str">
            <v>Pylon Configuration</v>
          </cell>
          <cell r="K120" t="str">
            <v>'A'</v>
          </cell>
          <cell r="L120" t="str">
            <v>_</v>
          </cell>
          <cell r="Q120" t="str">
            <v>_</v>
          </cell>
        </row>
        <row r="121">
          <cell r="A121">
            <v>444831</v>
          </cell>
          <cell r="B121" t="str">
            <v>542</v>
          </cell>
          <cell r="C121" t="str">
            <v>Pylon</v>
          </cell>
          <cell r="D121" t="str">
            <v>Powerline Pylon, Type H</v>
          </cell>
          <cell r="E121" t="str">
            <v>AT040</v>
          </cell>
          <cell r="F121" t="str">
            <v>Power Line Pylon</v>
          </cell>
          <cell r="G121" t="str">
            <v>PYC_2</v>
          </cell>
          <cell r="H121" t="str">
            <v>PYC</v>
          </cell>
          <cell r="I121">
            <v>2</v>
          </cell>
          <cell r="J121" t="str">
            <v>Pylon Configuration</v>
          </cell>
          <cell r="K121" t="str">
            <v>'H'</v>
          </cell>
          <cell r="L121" t="str">
            <v>_</v>
          </cell>
          <cell r="Q121" t="str">
            <v>_</v>
          </cell>
        </row>
        <row r="122">
          <cell r="A122">
            <v>1319956</v>
          </cell>
          <cell r="B122" t="str">
            <v>543</v>
          </cell>
          <cell r="C122" t="str">
            <v>Pylon</v>
          </cell>
          <cell r="D122" t="str">
            <v>Powerline Pylon, Type I</v>
          </cell>
          <cell r="E122" t="str">
            <v>AT040</v>
          </cell>
          <cell r="F122" t="str">
            <v>Power Line Pylon</v>
          </cell>
          <cell r="G122" t="str">
            <v>PYC_3</v>
          </cell>
          <cell r="H122" t="str">
            <v>PYC</v>
          </cell>
          <cell r="I122">
            <v>3</v>
          </cell>
          <cell r="J122" t="str">
            <v>Pylon Configuration</v>
          </cell>
          <cell r="K122" t="str">
            <v>'I'</v>
          </cell>
          <cell r="L122" t="str">
            <v>_</v>
          </cell>
          <cell r="Q122" t="str">
            <v>_</v>
          </cell>
        </row>
        <row r="123">
          <cell r="A123">
            <v>290529</v>
          </cell>
          <cell r="B123" t="str">
            <v>544</v>
          </cell>
          <cell r="C123" t="str">
            <v>Pylon</v>
          </cell>
          <cell r="D123" t="str">
            <v>Powerline Pylon, Type Y</v>
          </cell>
          <cell r="E123" t="str">
            <v>AT040</v>
          </cell>
          <cell r="F123" t="str">
            <v>Power Line Pylon</v>
          </cell>
          <cell r="G123" t="str">
            <v>PYC_4</v>
          </cell>
          <cell r="H123" t="str">
            <v>PYC</v>
          </cell>
          <cell r="I123">
            <v>4</v>
          </cell>
          <cell r="J123" t="str">
            <v>Pylon Configuration</v>
          </cell>
          <cell r="K123" t="str">
            <v>'Y'</v>
          </cell>
          <cell r="L123" t="str">
            <v>_</v>
          </cell>
          <cell r="Q123" t="str">
            <v>_</v>
          </cell>
        </row>
        <row r="124">
          <cell r="A124">
            <v>165</v>
          </cell>
          <cell r="B124" t="str">
            <v>561</v>
          </cell>
          <cell r="C124" t="str">
            <v>Building</v>
          </cell>
          <cell r="D124" t="str">
            <v>Communication Building</v>
          </cell>
          <cell r="E124" t="str">
            <v>AL013</v>
          </cell>
          <cell r="F124" t="str">
            <v>Building</v>
          </cell>
          <cell r="G124" t="str">
            <v>FFN_610</v>
          </cell>
          <cell r="H124" t="str">
            <v>FFN</v>
          </cell>
          <cell r="I124">
            <v>610</v>
          </cell>
          <cell r="J124" t="str">
            <v>Feature Function(s)</v>
          </cell>
          <cell r="K124" t="str">
            <v>Telecommunications</v>
          </cell>
          <cell r="L124" t="str">
            <v>_</v>
          </cell>
          <cell r="Q124" t="str">
            <v>_</v>
          </cell>
        </row>
        <row r="125">
          <cell r="A125">
            <v>420</v>
          </cell>
          <cell r="B125" t="str">
            <v>601</v>
          </cell>
          <cell r="C125" t="str">
            <v>Building</v>
          </cell>
          <cell r="D125" t="str">
            <v>Governmental Building, General</v>
          </cell>
          <cell r="E125" t="str">
            <v>AL013</v>
          </cell>
          <cell r="F125" t="str">
            <v>Building</v>
          </cell>
          <cell r="G125" t="str">
            <v>FFN_811</v>
          </cell>
          <cell r="H125" t="str">
            <v>FFN</v>
          </cell>
          <cell r="I125">
            <v>811</v>
          </cell>
          <cell r="J125" t="str">
            <v>Feature Function(s)</v>
          </cell>
          <cell r="K125" t="str">
            <v>Government</v>
          </cell>
          <cell r="L125" t="str">
            <v>_</v>
          </cell>
          <cell r="Q125" t="str">
            <v>_</v>
          </cell>
        </row>
        <row r="126">
          <cell r="A126">
            <v>25</v>
          </cell>
          <cell r="B126" t="str">
            <v>602</v>
          </cell>
          <cell r="C126" t="str">
            <v>Building</v>
          </cell>
          <cell r="D126" t="str">
            <v>Capitol Building</v>
          </cell>
          <cell r="E126" t="str">
            <v>AL013</v>
          </cell>
          <cell r="F126" t="str">
            <v>Building</v>
          </cell>
          <cell r="G126" t="str">
            <v>FFN_817</v>
          </cell>
          <cell r="H126" t="str">
            <v>FFN</v>
          </cell>
          <cell r="I126">
            <v>817</v>
          </cell>
          <cell r="J126" t="str">
            <v>Feature Function(s)</v>
          </cell>
          <cell r="K126" t="str">
            <v>Capitol</v>
          </cell>
          <cell r="L126" t="str">
            <v>_</v>
          </cell>
          <cell r="Q126" t="str">
            <v>_</v>
          </cell>
        </row>
        <row r="127">
          <cell r="A127">
            <v>519</v>
          </cell>
          <cell r="B127" t="str">
            <v>603</v>
          </cell>
          <cell r="C127" t="str">
            <v>Building</v>
          </cell>
          <cell r="D127" t="str">
            <v>Administrative Building, Governmental</v>
          </cell>
          <cell r="E127" t="str">
            <v>AL013</v>
          </cell>
          <cell r="F127" t="str">
            <v>Building</v>
          </cell>
          <cell r="G127" t="str">
            <v>FFN_822</v>
          </cell>
          <cell r="H127" t="str">
            <v>FFN</v>
          </cell>
          <cell r="I127">
            <v>822</v>
          </cell>
          <cell r="J127" t="str">
            <v>Feature Function(s)</v>
          </cell>
          <cell r="K127" t="str">
            <v>Civil Activities</v>
          </cell>
          <cell r="L127" t="str">
            <v>FFN_810</v>
          </cell>
          <cell r="M127" t="str">
            <v>FFN</v>
          </cell>
          <cell r="N127">
            <v>810</v>
          </cell>
          <cell r="O127" t="str">
            <v>Feature Function(s)</v>
          </cell>
          <cell r="P127" t="str">
            <v>Administration</v>
          </cell>
          <cell r="Q127" t="str">
            <v>_</v>
          </cell>
        </row>
        <row r="128">
          <cell r="A128">
            <v>10</v>
          </cell>
          <cell r="B128" t="str">
            <v>604</v>
          </cell>
          <cell r="C128" t="str">
            <v>Building</v>
          </cell>
          <cell r="D128" t="str">
            <v>Prison</v>
          </cell>
          <cell r="E128" t="str">
            <v>AL013</v>
          </cell>
          <cell r="F128" t="str">
            <v>Building</v>
          </cell>
          <cell r="G128" t="str">
            <v>FFN_843</v>
          </cell>
          <cell r="H128" t="str">
            <v>FFN</v>
          </cell>
          <cell r="I128">
            <v>843</v>
          </cell>
          <cell r="J128" t="str">
            <v>Feature Function(s)</v>
          </cell>
          <cell r="K128" t="str">
            <v>Imprisonment</v>
          </cell>
          <cell r="L128" t="str">
            <v>_</v>
          </cell>
          <cell r="Q128" t="str">
            <v>_</v>
          </cell>
        </row>
        <row r="129">
          <cell r="A129">
            <v>62</v>
          </cell>
          <cell r="B129" t="str">
            <v>605</v>
          </cell>
          <cell r="C129" t="str">
            <v>Palace</v>
          </cell>
          <cell r="D129" t="str">
            <v>Palace</v>
          </cell>
          <cell r="E129" t="str">
            <v>AL013</v>
          </cell>
          <cell r="F129" t="str">
            <v>Building</v>
          </cell>
          <cell r="G129" t="str">
            <v>FFN_815</v>
          </cell>
          <cell r="H129" t="str">
            <v>FFN</v>
          </cell>
          <cell r="I129">
            <v>815</v>
          </cell>
          <cell r="J129" t="str">
            <v>Feature Function(s)</v>
          </cell>
          <cell r="K129" t="str">
            <v>Palace</v>
          </cell>
          <cell r="L129" t="str">
            <v>_</v>
          </cell>
          <cell r="Q129" t="str">
            <v>_</v>
          </cell>
        </row>
        <row r="130">
          <cell r="A130">
            <v>381</v>
          </cell>
          <cell r="B130" t="str">
            <v>606</v>
          </cell>
          <cell r="C130" t="str">
            <v>Castle</v>
          </cell>
          <cell r="D130" t="str">
            <v>Castle</v>
          </cell>
          <cell r="E130" t="str">
            <v>AL375</v>
          </cell>
          <cell r="F130" t="str">
            <v xml:space="preserve">Castle </v>
          </cell>
          <cell r="G130" t="str">
            <v>_</v>
          </cell>
          <cell r="L130" t="str">
            <v>_</v>
          </cell>
          <cell r="Q130" t="str">
            <v>_</v>
          </cell>
        </row>
        <row r="131">
          <cell r="A131">
            <v>13</v>
          </cell>
          <cell r="B131" t="str">
            <v>607</v>
          </cell>
          <cell r="C131" t="str">
            <v>Castle</v>
          </cell>
          <cell r="D131" t="str">
            <v>Fortification - Constructed for Military Defense</v>
          </cell>
          <cell r="E131" t="str">
            <v>AH050</v>
          </cell>
          <cell r="F131" t="str">
            <v>Fortification</v>
          </cell>
          <cell r="G131" t="str">
            <v>_</v>
          </cell>
          <cell r="L131" t="str">
            <v>_</v>
          </cell>
          <cell r="Q131" t="str">
            <v>_</v>
          </cell>
        </row>
        <row r="132">
          <cell r="A132">
            <v>310</v>
          </cell>
          <cell r="B132" t="str">
            <v>610</v>
          </cell>
          <cell r="C132" t="str">
            <v>Building</v>
          </cell>
          <cell r="D132" t="str">
            <v>Institutional Building, General</v>
          </cell>
          <cell r="E132" t="str">
            <v>AL013</v>
          </cell>
          <cell r="F132" t="str">
            <v>Building</v>
          </cell>
          <cell r="G132" t="str">
            <v>FFN_859</v>
          </cell>
          <cell r="H132" t="str">
            <v>FFN</v>
          </cell>
          <cell r="I132">
            <v>859</v>
          </cell>
          <cell r="J132" t="str">
            <v>Feature Function(s)</v>
          </cell>
          <cell r="K132" t="str">
            <v>Institution</v>
          </cell>
          <cell r="L132" t="str">
            <v>_</v>
          </cell>
          <cell r="Q132" t="str">
            <v>_</v>
          </cell>
          <cell r="V132" t="str">
            <v>[NCGIS]: "Seems to be general case overarching school, hospital, observatory, ...; is this functional classification important?" [PVA]: "A generalized feature due to lack of better source material."</v>
          </cell>
        </row>
        <row r="133">
          <cell r="A133">
            <v>61</v>
          </cell>
          <cell r="B133" t="str">
            <v>620</v>
          </cell>
          <cell r="C133" t="str">
            <v>Building</v>
          </cell>
          <cell r="D133" t="str">
            <v>School, General</v>
          </cell>
          <cell r="E133" t="str">
            <v>AL013</v>
          </cell>
          <cell r="F133" t="str">
            <v>Building</v>
          </cell>
          <cell r="G133" t="str">
            <v>FFN_850</v>
          </cell>
          <cell r="H133" t="str">
            <v>FFN</v>
          </cell>
          <cell r="I133">
            <v>850</v>
          </cell>
          <cell r="J133" t="str">
            <v>Feature Function(s)</v>
          </cell>
          <cell r="K133" t="str">
            <v>Education</v>
          </cell>
          <cell r="L133" t="str">
            <v>_</v>
          </cell>
          <cell r="Q133" t="str">
            <v>_</v>
          </cell>
        </row>
        <row r="134">
          <cell r="A134">
            <v>93</v>
          </cell>
          <cell r="B134" t="str">
            <v>621</v>
          </cell>
          <cell r="C134" t="str">
            <v>Building</v>
          </cell>
          <cell r="D134" t="str">
            <v>School with Flat Roof (type 620 with flat roof)</v>
          </cell>
          <cell r="E134" t="str">
            <v>AL013</v>
          </cell>
          <cell r="F134" t="str">
            <v>Building</v>
          </cell>
          <cell r="G134" t="str">
            <v>FFN_850</v>
          </cell>
          <cell r="H134" t="str">
            <v>FFN</v>
          </cell>
          <cell r="I134">
            <v>850</v>
          </cell>
          <cell r="J134" t="str">
            <v>Feature Function(s)</v>
          </cell>
          <cell r="K134" t="str">
            <v>Education</v>
          </cell>
          <cell r="L134" t="str">
            <v>SSR_41</v>
          </cell>
          <cell r="M134" t="str">
            <v>SSR</v>
          </cell>
          <cell r="N134">
            <v>41</v>
          </cell>
          <cell r="O134" t="str">
            <v>Roof Shape</v>
          </cell>
          <cell r="P134" t="str">
            <v>Flat</v>
          </cell>
          <cell r="Q134" t="str">
            <v>_</v>
          </cell>
        </row>
        <row r="135">
          <cell r="A135">
            <v>30</v>
          </cell>
          <cell r="B135" t="str">
            <v>622</v>
          </cell>
          <cell r="C135" t="str">
            <v>Building</v>
          </cell>
          <cell r="D135" t="str">
            <v>School with Gable Roof (type 620 with gable roof)</v>
          </cell>
          <cell r="E135" t="str">
            <v>AL013</v>
          </cell>
          <cell r="F135" t="str">
            <v>Building</v>
          </cell>
          <cell r="G135" t="str">
            <v>FFN_850</v>
          </cell>
          <cell r="H135" t="str">
            <v>FFN</v>
          </cell>
          <cell r="I135">
            <v>850</v>
          </cell>
          <cell r="J135" t="str">
            <v>Feature Function(s)</v>
          </cell>
          <cell r="K135" t="str">
            <v>Education</v>
          </cell>
          <cell r="L135" t="str">
            <v>SSR_42</v>
          </cell>
          <cell r="M135" t="str">
            <v>SSR</v>
          </cell>
          <cell r="N135">
            <v>42</v>
          </cell>
          <cell r="O135" t="str">
            <v>Roof Shape</v>
          </cell>
          <cell r="P135" t="str">
            <v>Pitched</v>
          </cell>
          <cell r="Q135" t="str">
            <v>_</v>
          </cell>
        </row>
        <row r="136">
          <cell r="A136">
            <v>96</v>
          </cell>
          <cell r="B136" t="str">
            <v>630</v>
          </cell>
          <cell r="C136" t="str">
            <v>Building</v>
          </cell>
          <cell r="D136" t="str">
            <v>Hospital</v>
          </cell>
          <cell r="E136" t="str">
            <v>AL013</v>
          </cell>
          <cell r="F136" t="str">
            <v>Building</v>
          </cell>
          <cell r="G136" t="str">
            <v>FFN_861</v>
          </cell>
          <cell r="H136" t="str">
            <v>FFN</v>
          </cell>
          <cell r="I136">
            <v>861</v>
          </cell>
          <cell r="J136" t="str">
            <v>Feature Function(s)</v>
          </cell>
          <cell r="K136" t="str">
            <v>In-patient Care</v>
          </cell>
          <cell r="L136" t="str">
            <v>_</v>
          </cell>
          <cell r="Q136" t="str">
            <v>_</v>
          </cell>
        </row>
        <row r="137">
          <cell r="A137">
            <v>116</v>
          </cell>
          <cell r="B137" t="str">
            <v>631</v>
          </cell>
          <cell r="C137" t="str">
            <v>Building</v>
          </cell>
          <cell r="D137" t="str">
            <v>Hospital with Flat Roof (type 630 with flat roof)</v>
          </cell>
          <cell r="E137" t="str">
            <v>AL013</v>
          </cell>
          <cell r="F137" t="str">
            <v>Building</v>
          </cell>
          <cell r="G137" t="str">
            <v>FFN_861</v>
          </cell>
          <cell r="H137" t="str">
            <v>FFN</v>
          </cell>
          <cell r="I137">
            <v>861</v>
          </cell>
          <cell r="J137" t="str">
            <v>Feature Function(s)</v>
          </cell>
          <cell r="K137" t="str">
            <v>In-patient Care</v>
          </cell>
          <cell r="L137" t="str">
            <v>SSR_41</v>
          </cell>
          <cell r="M137" t="str">
            <v>SSR</v>
          </cell>
          <cell r="N137">
            <v>41</v>
          </cell>
          <cell r="O137" t="str">
            <v>Roof Shape</v>
          </cell>
          <cell r="P137" t="str">
            <v>Flat</v>
          </cell>
          <cell r="Q137" t="str">
            <v>_</v>
          </cell>
        </row>
        <row r="138">
          <cell r="A138">
            <v>19</v>
          </cell>
          <cell r="B138" t="str">
            <v>632</v>
          </cell>
          <cell r="C138" t="str">
            <v>Building</v>
          </cell>
          <cell r="D138" t="str">
            <v>Hospital with Gable Roof (type 630 with gable roof)</v>
          </cell>
          <cell r="E138" t="str">
            <v>AL013</v>
          </cell>
          <cell r="F138" t="str">
            <v>Building</v>
          </cell>
          <cell r="G138" t="str">
            <v>FFN_861</v>
          </cell>
          <cell r="H138" t="str">
            <v>FFN</v>
          </cell>
          <cell r="I138">
            <v>861</v>
          </cell>
          <cell r="J138" t="str">
            <v>Feature Function(s)</v>
          </cell>
          <cell r="K138" t="str">
            <v>In-patient Care</v>
          </cell>
          <cell r="L138" t="str">
            <v>SSR_42</v>
          </cell>
          <cell r="M138" t="str">
            <v>SSR</v>
          </cell>
          <cell r="N138">
            <v>42</v>
          </cell>
          <cell r="O138" t="str">
            <v>Roof Shape</v>
          </cell>
          <cell r="P138" t="str">
            <v>Pitched</v>
          </cell>
          <cell r="Q138" t="str">
            <v>_</v>
          </cell>
        </row>
        <row r="139">
          <cell r="A139">
            <v>20</v>
          </cell>
          <cell r="B139" t="str">
            <v>640</v>
          </cell>
          <cell r="C139" t="str">
            <v>Building</v>
          </cell>
          <cell r="D139" t="str">
            <v>Observatory</v>
          </cell>
          <cell r="E139" t="str">
            <v>AL142</v>
          </cell>
          <cell r="F139" t="str">
            <v>Astronomical Observatory</v>
          </cell>
          <cell r="G139" t="str">
            <v>_</v>
          </cell>
          <cell r="L139" t="str">
            <v>_</v>
          </cell>
          <cell r="Q139" t="str">
            <v>_</v>
          </cell>
        </row>
        <row r="140">
          <cell r="A140">
            <v>17</v>
          </cell>
          <cell r="B140" t="str">
            <v>641</v>
          </cell>
          <cell r="C140" t="str">
            <v>Building</v>
          </cell>
          <cell r="D140" t="str">
            <v>Observatory with Dome Roof (type 640 with dome roof)</v>
          </cell>
          <cell r="E140" t="str">
            <v>AL142</v>
          </cell>
          <cell r="F140" t="str">
            <v>Astronomical Observatory</v>
          </cell>
          <cell r="G140" t="str">
            <v>_</v>
          </cell>
          <cell r="L140" t="str">
            <v>_</v>
          </cell>
          <cell r="Q140" t="str">
            <v>_</v>
          </cell>
        </row>
        <row r="141">
          <cell r="A141">
            <v>2201</v>
          </cell>
          <cell r="B141" t="str">
            <v>650</v>
          </cell>
          <cell r="C141" t="str">
            <v>Church</v>
          </cell>
          <cell r="D141" t="str">
            <v>House of Religious Worship, General (Church, Mosque, Synagogue, Temple) :  Also see Steeple</v>
          </cell>
          <cell r="E141" t="str">
            <v>AL330</v>
          </cell>
          <cell r="F141" t="str">
            <v>Religious Facility</v>
          </cell>
          <cell r="G141" t="str">
            <v>RFA_0</v>
          </cell>
          <cell r="H141" t="str">
            <v>RFA</v>
          </cell>
          <cell r="I141">
            <v>0</v>
          </cell>
          <cell r="J141" t="str">
            <v>Religious Facility Type</v>
          </cell>
          <cell r="K141" t="e">
            <v>#N/A</v>
          </cell>
          <cell r="L141" t="str">
            <v>_</v>
          </cell>
          <cell r="Q141" t="str">
            <v>_</v>
          </cell>
        </row>
        <row r="142">
          <cell r="A142">
            <v>143</v>
          </cell>
          <cell r="B142" t="str">
            <v>651</v>
          </cell>
          <cell r="C142" t="str">
            <v>Church (Minaret)</v>
          </cell>
          <cell r="D142" t="str">
            <v>House of Religious Worship - Minaret</v>
          </cell>
          <cell r="E142" t="str">
            <v>AL330</v>
          </cell>
          <cell r="F142" t="str">
            <v>Religious Facility</v>
          </cell>
          <cell r="G142" t="str">
            <v>RFA_5</v>
          </cell>
          <cell r="H142" t="str">
            <v>RFA</v>
          </cell>
          <cell r="I142">
            <v>5</v>
          </cell>
          <cell r="J142" t="str">
            <v>Religious Facility Type</v>
          </cell>
          <cell r="K142" t="str">
            <v>Minaret</v>
          </cell>
          <cell r="L142" t="str">
            <v>SSR_80</v>
          </cell>
          <cell r="M142" t="str">
            <v>SSR</v>
          </cell>
          <cell r="N142">
            <v>80</v>
          </cell>
          <cell r="O142" t="str">
            <v>Roof Shape</v>
          </cell>
          <cell r="P142" t="str">
            <v>With Minaret</v>
          </cell>
          <cell r="Q142" t="str">
            <v>_</v>
          </cell>
        </row>
        <row r="143">
          <cell r="A143">
            <v>13</v>
          </cell>
          <cell r="B143" t="str">
            <v>652</v>
          </cell>
          <cell r="C143" t="str">
            <v>Church (Mosque)</v>
          </cell>
          <cell r="D143" t="str">
            <v>House of Religious Worship - Mosque</v>
          </cell>
          <cell r="E143" t="str">
            <v>AL330</v>
          </cell>
          <cell r="F143" t="str">
            <v>Religious Facility</v>
          </cell>
          <cell r="G143" t="str">
            <v>RFA_7</v>
          </cell>
          <cell r="H143" t="str">
            <v>RFA</v>
          </cell>
          <cell r="I143">
            <v>7</v>
          </cell>
          <cell r="J143" t="str">
            <v>Religious Facility Type</v>
          </cell>
          <cell r="K143" t="str">
            <v>Mosque</v>
          </cell>
          <cell r="L143" t="str">
            <v>_</v>
          </cell>
          <cell r="Q143" t="str">
            <v>_</v>
          </cell>
        </row>
        <row r="144">
          <cell r="A144">
            <v>0</v>
          </cell>
          <cell r="B144" t="str">
            <v>653</v>
          </cell>
          <cell r="C144" t="str">
            <v>Church (Synagogue)</v>
          </cell>
          <cell r="D144" t="str">
            <v>House of Religious Worship - Synagogue</v>
          </cell>
          <cell r="E144" t="str">
            <v>AL330</v>
          </cell>
          <cell r="F144" t="str">
            <v>Religious Facility</v>
          </cell>
          <cell r="G144" t="str">
            <v>RFA_13</v>
          </cell>
          <cell r="H144" t="str">
            <v>RFA</v>
          </cell>
          <cell r="I144">
            <v>13</v>
          </cell>
          <cell r="J144" t="str">
            <v>Religious Facility Type</v>
          </cell>
          <cell r="K144" t="str">
            <v>Synagogue</v>
          </cell>
          <cell r="L144" t="str">
            <v>_</v>
          </cell>
          <cell r="Q144" t="str">
            <v>_</v>
          </cell>
        </row>
        <row r="145">
          <cell r="A145">
            <v>6</v>
          </cell>
          <cell r="B145" t="str">
            <v>654</v>
          </cell>
          <cell r="C145" t="str">
            <v>Church (Temple)</v>
          </cell>
          <cell r="D145" t="str">
            <v>House of Religious Worship - Temple</v>
          </cell>
          <cell r="E145" t="str">
            <v>AL330</v>
          </cell>
          <cell r="F145" t="str">
            <v>Religious Facility</v>
          </cell>
          <cell r="G145" t="str">
            <v>RFA_15</v>
          </cell>
          <cell r="H145" t="str">
            <v>RFA</v>
          </cell>
          <cell r="I145">
            <v>15</v>
          </cell>
          <cell r="J145" t="str">
            <v>Religious Facility Type</v>
          </cell>
          <cell r="K145" t="str">
            <v>Temple</v>
          </cell>
          <cell r="L145" t="str">
            <v>_</v>
          </cell>
          <cell r="Q145" t="str">
            <v>_</v>
          </cell>
        </row>
        <row r="146">
          <cell r="A146">
            <v>310</v>
          </cell>
          <cell r="B146" t="str">
            <v>680</v>
          </cell>
          <cell r="C146" t="str">
            <v>Monument</v>
          </cell>
          <cell r="D146" t="str">
            <v>Government/Institutional/Religious Structure, General; DCHUM/ECHUM: "Monument (general - all types)"</v>
          </cell>
          <cell r="E146" t="str">
            <v>AL130</v>
          </cell>
          <cell r="F146" t="str">
            <v>Memorial Monument</v>
          </cell>
          <cell r="G146" t="str">
            <v>_</v>
          </cell>
          <cell r="L146" t="str">
            <v>_</v>
          </cell>
          <cell r="Q146" t="str">
            <v>_</v>
          </cell>
        </row>
        <row r="147">
          <cell r="A147">
            <v>18028</v>
          </cell>
          <cell r="B147" t="str">
            <v>681</v>
          </cell>
          <cell r="C147" t="str">
            <v>Steeple</v>
          </cell>
          <cell r="D147" t="str">
            <v>House of Religious Worship with Steeple</v>
          </cell>
          <cell r="E147" t="str">
            <v>AL330</v>
          </cell>
          <cell r="F147" t="str">
            <v>Religious Facility</v>
          </cell>
          <cell r="G147" t="str">
            <v>SSR_51</v>
          </cell>
          <cell r="H147" t="str">
            <v>SSR</v>
          </cell>
          <cell r="I147">
            <v>51</v>
          </cell>
          <cell r="J147" t="str">
            <v>Roof Shape</v>
          </cell>
          <cell r="K147" t="str">
            <v>With Steeple</v>
          </cell>
          <cell r="L147" t="str">
            <v>RFA_0</v>
          </cell>
          <cell r="M147" t="str">
            <v>RFA</v>
          </cell>
          <cell r="N147">
            <v>0</v>
          </cell>
          <cell r="O147" t="str">
            <v>Religious Facility Type</v>
          </cell>
          <cell r="P147" t="e">
            <v>#N/A</v>
          </cell>
          <cell r="Q147" t="str">
            <v>_</v>
          </cell>
        </row>
        <row r="148">
          <cell r="A148">
            <v>807</v>
          </cell>
          <cell r="B148" t="str">
            <v>682</v>
          </cell>
          <cell r="C148" t="str">
            <v>Monument</v>
          </cell>
          <cell r="D148" t="str">
            <v>Monument/Obelisk</v>
          </cell>
          <cell r="E148" t="str">
            <v>AL130</v>
          </cell>
          <cell r="F148" t="str">
            <v>Memorial Monument</v>
          </cell>
          <cell r="G148" t="str">
            <v>SSC_109</v>
          </cell>
          <cell r="H148" t="str">
            <v>SSC</v>
          </cell>
          <cell r="I148">
            <v>109</v>
          </cell>
          <cell r="J148" t="str">
            <v>Structure Shape</v>
          </cell>
          <cell r="K148" t="str">
            <v>Obelisk</v>
          </cell>
          <cell r="L148" t="str">
            <v>_</v>
          </cell>
          <cell r="Q148" t="str">
            <v>_</v>
          </cell>
        </row>
        <row r="149">
          <cell r="A149">
            <v>17</v>
          </cell>
          <cell r="B149" t="str">
            <v>683</v>
          </cell>
          <cell r="C149" t="str">
            <v>Arch</v>
          </cell>
          <cell r="D149" t="str">
            <v>Arch</v>
          </cell>
          <cell r="E149" t="str">
            <v>AL130</v>
          </cell>
          <cell r="F149" t="str">
            <v>Memorial Monument</v>
          </cell>
          <cell r="G149" t="str">
            <v>SSC_77</v>
          </cell>
          <cell r="H149" t="str">
            <v>SSC</v>
          </cell>
          <cell r="I149">
            <v>77</v>
          </cell>
          <cell r="J149" t="str">
            <v>Structure Shape</v>
          </cell>
          <cell r="K149" t="str">
            <v>Arched</v>
          </cell>
          <cell r="L149" t="str">
            <v>_</v>
          </cell>
          <cell r="Q149" t="str">
            <v>_</v>
          </cell>
        </row>
        <row r="150">
          <cell r="A150">
            <v>26</v>
          </cell>
          <cell r="B150" t="str">
            <v>684</v>
          </cell>
          <cell r="C150" t="str">
            <v>Pyramid</v>
          </cell>
          <cell r="D150" t="str">
            <v>Pyramid</v>
          </cell>
          <cell r="E150" t="str">
            <v>AL130</v>
          </cell>
          <cell r="F150" t="str">
            <v>Memorial Monument</v>
          </cell>
          <cell r="G150" t="str">
            <v>SSC_12</v>
          </cell>
          <cell r="H150" t="str">
            <v>SSC</v>
          </cell>
          <cell r="I150">
            <v>12</v>
          </cell>
          <cell r="J150" t="str">
            <v>Structure Shape</v>
          </cell>
          <cell r="K150" t="str">
            <v>Pyramidal</v>
          </cell>
          <cell r="L150" t="str">
            <v>_</v>
          </cell>
          <cell r="Q150" t="str">
            <v>_</v>
          </cell>
        </row>
        <row r="151">
          <cell r="A151">
            <v>3636</v>
          </cell>
          <cell r="B151" t="str">
            <v>702</v>
          </cell>
          <cell r="C151" t="str">
            <v>Tower</v>
          </cell>
          <cell r="D151" t="str">
            <v>Airport/Airbase Control Tower</v>
          </cell>
          <cell r="E151" t="str">
            <v>AQ060</v>
          </cell>
          <cell r="F151" t="str">
            <v>Control Tower</v>
          </cell>
          <cell r="G151" t="str">
            <v>TRS_1</v>
          </cell>
          <cell r="H151" t="str">
            <v>TRS</v>
          </cell>
          <cell r="I151">
            <v>1</v>
          </cell>
          <cell r="J151" t="str">
            <v>Transportation System Type</v>
          </cell>
          <cell r="K151" t="str">
            <v>Aeronautical</v>
          </cell>
          <cell r="L151" t="str">
            <v>_</v>
          </cell>
          <cell r="Q151" t="str">
            <v>_</v>
          </cell>
        </row>
        <row r="152">
          <cell r="A152">
            <v>33</v>
          </cell>
          <cell r="B152" t="str">
            <v>704</v>
          </cell>
          <cell r="C152" t="str">
            <v>Hanger (Flat Roof)</v>
          </cell>
          <cell r="D152" t="str">
            <v>Aircraft Hanger Building - Flat Roof</v>
          </cell>
          <cell r="E152" t="str">
            <v>GB230</v>
          </cell>
          <cell r="F152" t="str">
            <v>Aircraft Hangar</v>
          </cell>
          <cell r="G152" t="str">
            <v>SSR_41</v>
          </cell>
          <cell r="H152" t="str">
            <v>SSR</v>
          </cell>
          <cell r="I152">
            <v>41</v>
          </cell>
          <cell r="J152" t="str">
            <v>Roof Shape</v>
          </cell>
          <cell r="K152" t="str">
            <v>Flat</v>
          </cell>
          <cell r="L152" t="str">
            <v>_</v>
          </cell>
          <cell r="Q152" t="str">
            <v>_</v>
          </cell>
        </row>
        <row r="153">
          <cell r="A153">
            <v>44</v>
          </cell>
          <cell r="B153" t="str">
            <v>705</v>
          </cell>
          <cell r="C153" t="str">
            <v>Hanger (Curved Roof)</v>
          </cell>
          <cell r="D153" t="str">
            <v>Aircraft Hanger Building - Curved Roof</v>
          </cell>
          <cell r="E153" t="str">
            <v>GB230</v>
          </cell>
          <cell r="F153" t="str">
            <v>Aircraft Hangar</v>
          </cell>
          <cell r="G153" t="str">
            <v>SSR_38</v>
          </cell>
          <cell r="H153" t="str">
            <v>SSR</v>
          </cell>
          <cell r="I153">
            <v>38</v>
          </cell>
          <cell r="J153" t="str">
            <v>Roof Shape</v>
          </cell>
          <cell r="K153" t="str">
            <v>Semi-cylindrical</v>
          </cell>
          <cell r="L153" t="str">
            <v>_</v>
          </cell>
          <cell r="Q153" t="str">
            <v>_</v>
          </cell>
          <cell r="V153" t="str">
            <v>[PVA]: "Most likely a half-cylinder -- quonset-like -- but there might be unimportant variation."</v>
          </cell>
        </row>
        <row r="154">
          <cell r="A154">
            <v>226</v>
          </cell>
          <cell r="B154" t="str">
            <v>710</v>
          </cell>
          <cell r="C154" t="str">
            <v>Airbase NAVAID</v>
          </cell>
          <cell r="D154" t="str">
            <v>Airport NAVAID / Airbase Electronic/Navigation Aid</v>
          </cell>
          <cell r="E154" t="str">
            <v>GA035</v>
          </cell>
          <cell r="F154" t="str">
            <v>Aeronautical NAVAID</v>
          </cell>
          <cell r="G154" t="str">
            <v>_</v>
          </cell>
          <cell r="L154" t="str">
            <v>_</v>
          </cell>
          <cell r="Q154" t="str">
            <v>_</v>
          </cell>
          <cell r="V154" t="str">
            <v>[PVA]: "710-718 are from airfield surveys and are likely also in ADDE with much more atttribution."</v>
          </cell>
        </row>
        <row r="155">
          <cell r="A155">
            <v>46</v>
          </cell>
          <cell r="B155" t="str">
            <v>711</v>
          </cell>
          <cell r="C155" t="str">
            <v>Radar (Reflector)</v>
          </cell>
          <cell r="D155" t="str">
            <v>Radar Reflector</v>
          </cell>
          <cell r="E155" t="str">
            <v>GA035</v>
          </cell>
          <cell r="F155" t="str">
            <v>Aeronautical NAVAID</v>
          </cell>
          <cell r="G155" t="str">
            <v>NST_55</v>
          </cell>
          <cell r="H155" t="str">
            <v>NST</v>
          </cell>
          <cell r="I155">
            <v>55</v>
          </cell>
          <cell r="J155" t="str">
            <v>Navigation System Type</v>
          </cell>
          <cell r="K155" t="str">
            <v>Radar Reflector</v>
          </cell>
          <cell r="L155" t="str">
            <v>_</v>
          </cell>
          <cell r="Q155" t="str">
            <v>_</v>
          </cell>
        </row>
        <row r="156">
          <cell r="A156">
            <v>35</v>
          </cell>
          <cell r="B156" t="str">
            <v>714</v>
          </cell>
          <cell r="C156" t="str">
            <v>Radar (Antenna VORTAC)</v>
          </cell>
          <cell r="D156" t="str">
            <v>VOR/VORTAC/TACON Facility</v>
          </cell>
          <cell r="E156" t="str">
            <v>GA035</v>
          </cell>
          <cell r="F156" t="str">
            <v>Aeronautical NAVAID</v>
          </cell>
          <cell r="G156" t="str">
            <v>NST_22</v>
          </cell>
          <cell r="H156" t="str">
            <v>NST</v>
          </cell>
          <cell r="I156">
            <v>22</v>
          </cell>
          <cell r="J156" t="str">
            <v>Navigation System Type</v>
          </cell>
          <cell r="K156" t="str">
            <v>VHF Omni Directional Radio Range and TACAN (VORTAC)</v>
          </cell>
          <cell r="L156" t="str">
            <v>_</v>
          </cell>
          <cell r="Q156" t="str">
            <v>_</v>
          </cell>
        </row>
        <row r="157">
          <cell r="A157">
            <v>38</v>
          </cell>
          <cell r="B157" t="str">
            <v>715</v>
          </cell>
          <cell r="C157" t="str">
            <v>Radar (Antenna Radon)</v>
          </cell>
          <cell r="D157" t="str">
            <v>Antenna (Radar with Radome)</v>
          </cell>
          <cell r="E157" t="str">
            <v>GA035</v>
          </cell>
          <cell r="F157" t="str">
            <v>Aeronautical NAVAID</v>
          </cell>
          <cell r="G157" t="str">
            <v>NST_35</v>
          </cell>
          <cell r="H157" t="str">
            <v>NST</v>
          </cell>
          <cell r="I157">
            <v>35</v>
          </cell>
          <cell r="J157" t="str">
            <v>Navigation System Type</v>
          </cell>
          <cell r="K157" t="str">
            <v>Radar Antenna</v>
          </cell>
          <cell r="L157" t="str">
            <v>RAC_3</v>
          </cell>
          <cell r="M157" t="str">
            <v>RAC</v>
          </cell>
          <cell r="N157">
            <v>3</v>
          </cell>
          <cell r="O157" t="str">
            <v>Radar Antenna Configuration</v>
          </cell>
          <cell r="P157" t="str">
            <v>Radome</v>
          </cell>
          <cell r="Q157" t="str">
            <v>_</v>
          </cell>
        </row>
        <row r="158">
          <cell r="A158">
            <v>18</v>
          </cell>
          <cell r="B158" t="str">
            <v>716</v>
          </cell>
          <cell r="C158" t="str">
            <v>Radar (Ant.Twr. Mnt. Radon)</v>
          </cell>
          <cell r="D158" t="str">
            <v>Antenna (with Radar Tower Mounted with Radome)</v>
          </cell>
          <cell r="E158" t="str">
            <v>GA035</v>
          </cell>
          <cell r="F158" t="str">
            <v>Aeronautical NAVAID</v>
          </cell>
          <cell r="G158" t="str">
            <v>NST_35</v>
          </cell>
          <cell r="H158" t="str">
            <v>NST</v>
          </cell>
          <cell r="I158">
            <v>35</v>
          </cell>
          <cell r="J158" t="str">
            <v>Navigation System Type</v>
          </cell>
          <cell r="K158" t="str">
            <v>Radar Antenna</v>
          </cell>
          <cell r="L158" t="str">
            <v>RAC_4</v>
          </cell>
          <cell r="M158" t="str">
            <v>RAC</v>
          </cell>
          <cell r="N158">
            <v>4</v>
          </cell>
          <cell r="O158" t="str">
            <v>Radar Antenna Configuration</v>
          </cell>
          <cell r="P158" t="str">
            <v>Radome on Tower</v>
          </cell>
          <cell r="Q158" t="str">
            <v>_</v>
          </cell>
        </row>
        <row r="159">
          <cell r="A159">
            <v>552</v>
          </cell>
          <cell r="B159" t="str">
            <v>717</v>
          </cell>
          <cell r="C159" t="str">
            <v>Radar Antenna</v>
          </cell>
          <cell r="D159" t="str">
            <v>Antenna  Radar</v>
          </cell>
          <cell r="E159" t="str">
            <v>GA035</v>
          </cell>
          <cell r="F159" t="str">
            <v>Aeronautical NAVAID</v>
          </cell>
          <cell r="G159" t="str">
            <v>NST_35</v>
          </cell>
          <cell r="H159" t="str">
            <v>NST</v>
          </cell>
          <cell r="I159">
            <v>35</v>
          </cell>
          <cell r="J159" t="str">
            <v>Navigation System Type</v>
          </cell>
          <cell r="K159" t="str">
            <v>Radar Antenna</v>
          </cell>
          <cell r="L159" t="str">
            <v>_</v>
          </cell>
          <cell r="Q159" t="str">
            <v>_</v>
          </cell>
        </row>
        <row r="160">
          <cell r="A160">
            <v>33</v>
          </cell>
          <cell r="B160" t="str">
            <v>718</v>
          </cell>
          <cell r="C160" t="str">
            <v>Radar Antenna (Twr.Mnt.)</v>
          </cell>
          <cell r="D160" t="str">
            <v>Radar Antenna  (Tower Mounted)</v>
          </cell>
          <cell r="E160" t="str">
            <v>GA035</v>
          </cell>
          <cell r="F160" t="str">
            <v>Aeronautical NAVAID</v>
          </cell>
          <cell r="G160" t="str">
            <v>NST_35</v>
          </cell>
          <cell r="H160" t="str">
            <v>NST</v>
          </cell>
          <cell r="I160">
            <v>35</v>
          </cell>
          <cell r="J160" t="str">
            <v>Navigation System Type</v>
          </cell>
          <cell r="K160" t="str">
            <v>Radar Antenna</v>
          </cell>
          <cell r="L160" t="str">
            <v>RAC_6</v>
          </cell>
          <cell r="M160" t="str">
            <v>RAC</v>
          </cell>
          <cell r="N160">
            <v>6</v>
          </cell>
          <cell r="O160" t="str">
            <v>Radar Antenna Configuration</v>
          </cell>
          <cell r="P160" t="str">
            <v>Tower Mounted</v>
          </cell>
          <cell r="Q160" t="str">
            <v>_</v>
          </cell>
        </row>
        <row r="161">
          <cell r="A161">
            <v>427</v>
          </cell>
          <cell r="B161" t="str">
            <v>720</v>
          </cell>
          <cell r="C161" t="str">
            <v>Air Obstruction (Man Made)</v>
          </cell>
          <cell r="D161" t="str">
            <v>Miscellaneous Air Obstruction - Man-made</v>
          </cell>
          <cell r="G161" t="str">
            <v>_</v>
          </cell>
          <cell r="L161" t="str">
            <v>_</v>
          </cell>
          <cell r="Q161" t="str">
            <v>_</v>
          </cell>
          <cell r="V161" t="str">
            <v>[PVA]: "Many of the feature instances collected here do not have their own DVOF Code (e.g., windsock). They are most often associated with an airfield.  When the specific feature type is known it many be collected in the remarks field. The code didn't com</v>
          </cell>
        </row>
        <row r="162">
          <cell r="A162">
            <v>130</v>
          </cell>
          <cell r="B162" t="str">
            <v>755</v>
          </cell>
          <cell r="C162" t="str">
            <v>Offshore Structure</v>
          </cell>
          <cell r="D162" t="str">
            <v>Offshore Loading Facility</v>
          </cell>
          <cell r="E162" t="str">
            <v>BB170</v>
          </cell>
          <cell r="F162" t="str">
            <v>Single Point Mooring</v>
          </cell>
          <cell r="G162" t="str">
            <v>_</v>
          </cell>
          <cell r="L162" t="str">
            <v>_</v>
          </cell>
          <cell r="Q162" t="str">
            <v>_</v>
          </cell>
          <cell r="V162" t="str">
            <v>[PVA]: "These are platforms unconnected to land (except by pipeline) -- 'bunkering pier' is a colloquial expression; should follow the correct maritime perspective."</v>
          </cell>
        </row>
        <row r="163">
          <cell r="A163">
            <v>10</v>
          </cell>
          <cell r="B163" t="str">
            <v>761</v>
          </cell>
          <cell r="C163" t="str">
            <v>Lightship</v>
          </cell>
          <cell r="D163" t="str">
            <v>Navigation Lightship, Permanently Moored</v>
          </cell>
          <cell r="E163" t="str">
            <v>BC070</v>
          </cell>
          <cell r="F163" t="str">
            <v>Light Vessel</v>
          </cell>
          <cell r="G163" t="str">
            <v>_</v>
          </cell>
          <cell r="L163" t="str">
            <v>_</v>
          </cell>
          <cell r="Q163" t="str">
            <v>_</v>
          </cell>
        </row>
        <row r="164">
          <cell r="A164">
            <v>939</v>
          </cell>
          <cell r="B164" t="str">
            <v>765</v>
          </cell>
          <cell r="C164" t="str">
            <v>Lighthouse</v>
          </cell>
          <cell r="D164" t="str">
            <v>Lighthouse</v>
          </cell>
          <cell r="E164" t="str">
            <v>BC050</v>
          </cell>
          <cell r="F164" t="str">
            <v>Lighthouse</v>
          </cell>
          <cell r="G164" t="str">
            <v>_</v>
          </cell>
          <cell r="L164" t="str">
            <v>_</v>
          </cell>
          <cell r="Q164" t="str">
            <v>_</v>
          </cell>
        </row>
        <row r="165">
          <cell r="A165">
            <v>25</v>
          </cell>
          <cell r="B165" t="str">
            <v>785</v>
          </cell>
          <cell r="C165" t="str">
            <v>Tethered Balloon</v>
          </cell>
          <cell r="D165" t="str">
            <v>Tethered Balloon</v>
          </cell>
          <cell r="E165" t="str">
            <v>AL510</v>
          </cell>
          <cell r="F165" t="str">
            <v>Tethered Balloon</v>
          </cell>
          <cell r="G165" t="str">
            <v>_</v>
          </cell>
          <cell r="L165" t="str">
            <v>_</v>
          </cell>
          <cell r="Q165" t="str">
            <v>_</v>
          </cell>
          <cell r="V165" t="str">
            <v>[PVA]: "Anywhere between 50 and 3000 feet AGL."</v>
          </cell>
        </row>
        <row r="166">
          <cell r="A166">
            <v>6902</v>
          </cell>
          <cell r="B166" t="str">
            <v>801</v>
          </cell>
          <cell r="C166" t="str">
            <v>Tank</v>
          </cell>
          <cell r="D166" t="str">
            <v>Tank, General</v>
          </cell>
          <cell r="E166" t="str">
            <v>AM070</v>
          </cell>
          <cell r="F166" t="str">
            <v>Storage Tank</v>
          </cell>
          <cell r="G166" t="str">
            <v>_</v>
          </cell>
          <cell r="L166" t="str">
            <v>_</v>
          </cell>
          <cell r="Q166" t="str">
            <v>_</v>
          </cell>
        </row>
        <row r="167">
          <cell r="A167">
            <v>1111</v>
          </cell>
          <cell r="B167" t="str">
            <v>802</v>
          </cell>
          <cell r="C167" t="str">
            <v>Tank</v>
          </cell>
          <cell r="D167" t="str">
            <v>Tank, Cylindrical, Flat Top</v>
          </cell>
          <cell r="E167" t="str">
            <v>AM070</v>
          </cell>
          <cell r="F167" t="str">
            <v>Storage Tank</v>
          </cell>
          <cell r="G167" t="str">
            <v>SSC_65</v>
          </cell>
          <cell r="H167" t="str">
            <v>SSC</v>
          </cell>
          <cell r="I167">
            <v>65</v>
          </cell>
          <cell r="J167" t="str">
            <v>Structure Shape</v>
          </cell>
          <cell r="K167" t="str">
            <v>Cylindrical with Flat Top</v>
          </cell>
          <cell r="L167" t="str">
            <v>_</v>
          </cell>
          <cell r="Q167" t="str">
            <v>_</v>
          </cell>
        </row>
        <row r="168">
          <cell r="A168">
            <v>614</v>
          </cell>
          <cell r="B168" t="str">
            <v>803</v>
          </cell>
          <cell r="C168" t="str">
            <v>Tank</v>
          </cell>
          <cell r="D168" t="str">
            <v>Tank Cylindrical, Dome Top</v>
          </cell>
          <cell r="E168" t="str">
            <v>AM070</v>
          </cell>
          <cell r="F168" t="str">
            <v>Storage Tank</v>
          </cell>
          <cell r="G168" t="str">
            <v>SSC_66</v>
          </cell>
          <cell r="H168" t="str">
            <v>SSC</v>
          </cell>
          <cell r="I168">
            <v>66</v>
          </cell>
          <cell r="J168" t="str">
            <v>Structure Shape</v>
          </cell>
          <cell r="K168" t="str">
            <v>Cylindrical with Domed Top</v>
          </cell>
          <cell r="L168" t="str">
            <v>_</v>
          </cell>
          <cell r="Q168" t="str">
            <v>_</v>
          </cell>
        </row>
        <row r="169">
          <cell r="A169">
            <v>423</v>
          </cell>
          <cell r="B169" t="str">
            <v>804</v>
          </cell>
          <cell r="C169" t="str">
            <v>Tank</v>
          </cell>
          <cell r="D169" t="str">
            <v>Tank, Cylindrical, Peaked Top</v>
          </cell>
          <cell r="E169" t="str">
            <v>AM070</v>
          </cell>
          <cell r="F169" t="str">
            <v>Storage Tank</v>
          </cell>
          <cell r="G169" t="str">
            <v>SSC_71</v>
          </cell>
          <cell r="H169" t="str">
            <v>SSC</v>
          </cell>
          <cell r="I169">
            <v>71</v>
          </cell>
          <cell r="J169" t="str">
            <v>Structure Shape</v>
          </cell>
          <cell r="K169" t="str">
            <v>Cylindrical with Conical Top</v>
          </cell>
          <cell r="L169" t="str">
            <v>_</v>
          </cell>
          <cell r="Q169" t="str">
            <v>_</v>
          </cell>
        </row>
        <row r="170">
          <cell r="A170">
            <v>1983</v>
          </cell>
          <cell r="B170" t="str">
            <v>805</v>
          </cell>
          <cell r="C170" t="str">
            <v>Tank</v>
          </cell>
          <cell r="D170" t="str">
            <v>Tank, Cylindrical, Peaked Top, Tower Mounted (type 804 with tower mounted)</v>
          </cell>
          <cell r="E170" t="str">
            <v>AM070</v>
          </cell>
          <cell r="F170" t="str">
            <v>Storage Tank</v>
          </cell>
          <cell r="G170" t="str">
            <v>SSC_89</v>
          </cell>
          <cell r="H170" t="str">
            <v>SSC</v>
          </cell>
          <cell r="I170">
            <v>89</v>
          </cell>
          <cell r="J170" t="str">
            <v>Structure Shape</v>
          </cell>
          <cell r="K170" t="str">
            <v>Cylindrical on Tower</v>
          </cell>
          <cell r="L170" t="str">
            <v>_</v>
          </cell>
          <cell r="Q170" t="str">
            <v>_</v>
          </cell>
          <cell r="V170" t="str">
            <v>[NCGIS]: The peaked nature of the top doesn't appear to be as critical a discriminator as the on-tower aspect, so we believe that it can be dropped.</v>
          </cell>
        </row>
        <row r="171">
          <cell r="A171">
            <v>49</v>
          </cell>
          <cell r="B171" t="str">
            <v>806</v>
          </cell>
          <cell r="C171" t="str">
            <v>Tank</v>
          </cell>
          <cell r="D171" t="str">
            <v>Tank, Spherical</v>
          </cell>
          <cell r="E171" t="str">
            <v>AM070</v>
          </cell>
          <cell r="F171" t="str">
            <v>Storage Tank</v>
          </cell>
          <cell r="G171" t="str">
            <v>SSC_17</v>
          </cell>
          <cell r="H171" t="str">
            <v>SSC</v>
          </cell>
          <cell r="I171">
            <v>17</v>
          </cell>
          <cell r="J171" t="str">
            <v>Structure Shape</v>
          </cell>
          <cell r="K171" t="str">
            <v>Spherical</v>
          </cell>
          <cell r="L171" t="str">
            <v>_</v>
          </cell>
          <cell r="Q171" t="str">
            <v>_</v>
          </cell>
        </row>
        <row r="172">
          <cell r="A172">
            <v>1030</v>
          </cell>
          <cell r="B172" t="str">
            <v>807</v>
          </cell>
          <cell r="C172" t="str">
            <v>Tank</v>
          </cell>
          <cell r="D172" t="str">
            <v>Tank, Spherical with Column Support (type 806 with column supports)</v>
          </cell>
          <cell r="E172" t="str">
            <v>AM070</v>
          </cell>
          <cell r="F172" t="str">
            <v>Storage Tank</v>
          </cell>
          <cell r="G172" t="str">
            <v>SSC_88</v>
          </cell>
          <cell r="H172" t="str">
            <v>SSC</v>
          </cell>
          <cell r="I172">
            <v>88</v>
          </cell>
          <cell r="J172" t="str">
            <v>Structure Shape</v>
          </cell>
          <cell r="K172" t="str">
            <v>Spherical on Column</v>
          </cell>
          <cell r="L172" t="str">
            <v>_</v>
          </cell>
          <cell r="Q172" t="str">
            <v>_</v>
          </cell>
        </row>
        <row r="173">
          <cell r="A173">
            <v>74</v>
          </cell>
          <cell r="B173" t="str">
            <v>811</v>
          </cell>
          <cell r="C173" t="str">
            <v>Tank</v>
          </cell>
          <cell r="D173" t="str">
            <v>Tank, Bullet</v>
          </cell>
          <cell r="E173" t="str">
            <v>AM070</v>
          </cell>
          <cell r="F173" t="str">
            <v>Storage Tank</v>
          </cell>
          <cell r="G173" t="str">
            <v>SSC_4</v>
          </cell>
          <cell r="H173" t="str">
            <v>SSC</v>
          </cell>
          <cell r="I173">
            <v>4</v>
          </cell>
          <cell r="J173" t="str">
            <v>Structure Shape</v>
          </cell>
          <cell r="K173" t="str">
            <v>Vertical Capped Cylindrical</v>
          </cell>
          <cell r="L173" t="str">
            <v>_</v>
          </cell>
          <cell r="Q173" t="str">
            <v>_</v>
          </cell>
        </row>
        <row r="174">
          <cell r="A174">
            <v>281</v>
          </cell>
          <cell r="B174" t="str">
            <v>812</v>
          </cell>
          <cell r="C174" t="str">
            <v>Gasholder</v>
          </cell>
          <cell r="D174" t="str">
            <v>Tank, Telescoping Gasholder (Gasometer)</v>
          </cell>
          <cell r="E174" t="str">
            <v>AM070</v>
          </cell>
          <cell r="F174" t="str">
            <v>Storage Tank</v>
          </cell>
          <cell r="G174" t="str">
            <v>SSC_59</v>
          </cell>
          <cell r="H174" t="str">
            <v>SSC</v>
          </cell>
          <cell r="I174">
            <v>59</v>
          </cell>
          <cell r="J174" t="str">
            <v>Structure Shape</v>
          </cell>
          <cell r="K174" t="str">
            <v>Cylindrical with Framework</v>
          </cell>
          <cell r="L174" t="str">
            <v>_</v>
          </cell>
          <cell r="Q174" t="str">
            <v>_</v>
          </cell>
        </row>
        <row r="175">
          <cell r="A175">
            <v>488</v>
          </cell>
          <cell r="B175" t="str">
            <v>820</v>
          </cell>
          <cell r="C175" t="str">
            <v>Storage Structure</v>
          </cell>
          <cell r="D175" t="str">
            <v>Closed Storage Structure, General</v>
          </cell>
          <cell r="E175" t="str">
            <v>AL014</v>
          </cell>
          <cell r="F175" t="str">
            <v>Non-building Structure</v>
          </cell>
          <cell r="G175" t="str">
            <v>FFN_530</v>
          </cell>
          <cell r="H175" t="str">
            <v>FFN</v>
          </cell>
          <cell r="I175">
            <v>530</v>
          </cell>
          <cell r="J175" t="str">
            <v>Feature Function(s)</v>
          </cell>
          <cell r="K175" t="str">
            <v>Warehousing and Storage</v>
          </cell>
          <cell r="L175" t="str">
            <v>_</v>
          </cell>
          <cell r="Q175" t="str">
            <v>_</v>
          </cell>
          <cell r="V175" t="str">
            <v>[PVA]: "Agree that this just a building used for storage" and not a 'Storage Depot' as indicated in the current FACC mapping."</v>
          </cell>
        </row>
        <row r="176">
          <cell r="A176">
            <v>1708</v>
          </cell>
          <cell r="B176" t="str">
            <v>821</v>
          </cell>
          <cell r="C176" t="str">
            <v>Storage Structure</v>
          </cell>
          <cell r="D176" t="str">
            <v>Silo</v>
          </cell>
          <cell r="E176" t="str">
            <v>AM020</v>
          </cell>
          <cell r="F176" t="str">
            <v>Grain Storage Structure</v>
          </cell>
          <cell r="G176" t="str">
            <v>_</v>
          </cell>
          <cell r="L176" t="str">
            <v>_</v>
          </cell>
          <cell r="Q176" t="str">
            <v>_</v>
          </cell>
        </row>
        <row r="177">
          <cell r="A177">
            <v>2381</v>
          </cell>
          <cell r="B177" t="str">
            <v>822</v>
          </cell>
          <cell r="C177" t="str">
            <v>Storage Structure</v>
          </cell>
          <cell r="D177" t="str">
            <v>Grain Elevator</v>
          </cell>
          <cell r="E177" t="str">
            <v>AM030</v>
          </cell>
          <cell r="F177" t="str">
            <v>Grain Elevator</v>
          </cell>
          <cell r="G177" t="str">
            <v>_</v>
          </cell>
          <cell r="L177" t="str">
            <v>_</v>
          </cell>
          <cell r="Q177" t="str">
            <v>_</v>
          </cell>
        </row>
        <row r="178">
          <cell r="A178">
            <v>5672</v>
          </cell>
          <cell r="B178" t="str">
            <v>824</v>
          </cell>
          <cell r="C178" t="str">
            <v>Water Tower</v>
          </cell>
          <cell r="D178" t="str">
            <v>Water Tower Building, Masonry/Concrete</v>
          </cell>
          <cell r="E178" t="str">
            <v>AM080</v>
          </cell>
          <cell r="F178" t="str">
            <v>Water Tower</v>
          </cell>
          <cell r="G178" t="str">
            <v>_</v>
          </cell>
          <cell r="L178" t="str">
            <v>_</v>
          </cell>
          <cell r="Q178" t="str">
            <v>_</v>
          </cell>
          <cell r="V178" t="str">
            <v>[PVA]: "Most likely used to collect the Water Tower; field 'SurfaceMatCd' already collects the material so it can be ignored here."</v>
          </cell>
        </row>
        <row r="179">
          <cell r="A179">
            <v>20</v>
          </cell>
          <cell r="B179" t="str">
            <v>830</v>
          </cell>
          <cell r="C179" t="str">
            <v>Open Storage</v>
          </cell>
          <cell r="D179" t="str">
            <v>Open Storage, General</v>
          </cell>
          <cell r="E179" t="str">
            <v>AM010</v>
          </cell>
          <cell r="F179" t="str">
            <v>Storage Depot</v>
          </cell>
          <cell r="G179" t="str">
            <v>_</v>
          </cell>
          <cell r="L179" t="str">
            <v>_</v>
          </cell>
          <cell r="Q179" t="str">
            <v>_</v>
          </cell>
        </row>
        <row r="180">
          <cell r="A180">
            <v>112</v>
          </cell>
          <cell r="B180" t="str">
            <v>831</v>
          </cell>
          <cell r="C180" t="str">
            <v>Open Storage</v>
          </cell>
          <cell r="D180" t="str">
            <v>Open Storage, Mineral</v>
          </cell>
          <cell r="E180" t="str">
            <v>AM040</v>
          </cell>
          <cell r="F180" t="str">
            <v>Mineral Pile</v>
          </cell>
          <cell r="G180" t="str">
            <v>_</v>
          </cell>
          <cell r="L180" t="str">
            <v>_</v>
          </cell>
          <cell r="Q180" t="str">
            <v>_</v>
          </cell>
        </row>
        <row r="181">
          <cell r="A181">
            <v>335</v>
          </cell>
          <cell r="B181" t="str">
            <v>861</v>
          </cell>
          <cell r="C181" t="str">
            <v>Building</v>
          </cell>
          <cell r="D181" t="str">
            <v>Warehouse</v>
          </cell>
          <cell r="E181" t="str">
            <v>AL013</v>
          </cell>
          <cell r="F181" t="str">
            <v>Building</v>
          </cell>
          <cell r="G181" t="str">
            <v>FFN_530</v>
          </cell>
          <cell r="H181" t="str">
            <v>FFN</v>
          </cell>
          <cell r="I181">
            <v>530</v>
          </cell>
          <cell r="J181" t="str">
            <v>Feature Function(s)</v>
          </cell>
          <cell r="K181" t="str">
            <v>Warehousing and Storage</v>
          </cell>
          <cell r="L181" t="str">
            <v>_</v>
          </cell>
          <cell r="Q181" t="str">
            <v>_</v>
          </cell>
        </row>
        <row r="182">
          <cell r="A182">
            <v>7</v>
          </cell>
          <cell r="B182" t="str">
            <v>865</v>
          </cell>
          <cell r="C182" t="str">
            <v>Ship Storage</v>
          </cell>
          <cell r="D182" t="str">
            <v>Ship Storage (Semi-permanently moored ships)</v>
          </cell>
          <cell r="E182" t="str">
            <v>BB010</v>
          </cell>
          <cell r="F182" t="str">
            <v>Anchorage</v>
          </cell>
          <cell r="G182" t="str">
            <v>MAC_17</v>
          </cell>
          <cell r="H182" t="str">
            <v>MAC</v>
          </cell>
          <cell r="I182">
            <v>17</v>
          </cell>
          <cell r="J182" t="str">
            <v>Maritime Area Category</v>
          </cell>
          <cell r="K182" t="str">
            <v>Reserved Anchorage</v>
          </cell>
          <cell r="L182" t="str">
            <v>_</v>
          </cell>
          <cell r="Q182" t="str">
            <v>_</v>
          </cell>
          <cell r="V182" t="str">
            <v>[PVA]: "This most likely an off-shore moored collection of vessels, rather than tied up to the shore." [NCGIS]: Still need to capture the nature of the "reservation" at the anchorage.</v>
          </cell>
        </row>
        <row r="183">
          <cell r="A183">
            <v>24446</v>
          </cell>
          <cell r="B183" t="str">
            <v>900</v>
          </cell>
          <cell r="C183" t="str">
            <v>Aerial Cable</v>
          </cell>
          <cell r="D183" t="str">
            <v>Aerial Cable, Aerial Tramway, or Power Transmission Line (refers to the wire suspended over a valley body of water). -- (See CHUM code 540-544 for possible depiction of individual pylons)</v>
          </cell>
          <cell r="E183" t="str">
            <v>AT005</v>
          </cell>
          <cell r="F183" t="str">
            <v>Cable</v>
          </cell>
          <cell r="G183" t="str">
            <v>LOC_45</v>
          </cell>
          <cell r="H183" t="str">
            <v>LOC</v>
          </cell>
          <cell r="I183">
            <v>45</v>
          </cell>
          <cell r="J183" t="str">
            <v>Vertical Relative Location</v>
          </cell>
          <cell r="K183" t="str">
            <v>Above Surface</v>
          </cell>
          <cell r="L183" t="str">
            <v>_</v>
          </cell>
          <cell r="Q183" t="str">
            <v>_</v>
          </cell>
        </row>
        <row r="184">
          <cell r="A184">
            <v>1638</v>
          </cell>
          <cell r="B184" t="str">
            <v>925</v>
          </cell>
          <cell r="C184" t="str">
            <v>Dam</v>
          </cell>
          <cell r="D184" t="str">
            <v>Dam</v>
          </cell>
          <cell r="E184" t="str">
            <v>BI020</v>
          </cell>
          <cell r="F184" t="str">
            <v>Dam</v>
          </cell>
          <cell r="G184" t="str">
            <v>_</v>
          </cell>
          <cell r="L184" t="str">
            <v>_</v>
          </cell>
          <cell r="Q184" t="str">
            <v>_</v>
          </cell>
        </row>
        <row r="185">
          <cell r="A185">
            <v>264</v>
          </cell>
          <cell r="B185" t="str">
            <v>926</v>
          </cell>
          <cell r="C185" t="str">
            <v>Tower</v>
          </cell>
          <cell r="D185" t="str">
            <v>Water Intake Tower</v>
          </cell>
          <cell r="E185" t="str">
            <v>BI050</v>
          </cell>
          <cell r="F185" t="str">
            <v>Water Intake Tower</v>
          </cell>
          <cell r="G185" t="str">
            <v>_</v>
          </cell>
          <cell r="L185" t="str">
            <v>_</v>
          </cell>
          <cell r="Q185" t="str">
            <v>_</v>
          </cell>
        </row>
        <row r="186">
          <cell r="A186">
            <v>958</v>
          </cell>
          <cell r="B186" t="str">
            <v>954</v>
          </cell>
          <cell r="C186" t="str">
            <v>Air Obstruction (Natural )</v>
          </cell>
          <cell r="D186" t="str">
            <v>Miscellaneous Air Obstruction - Natural Growth (Tree)</v>
          </cell>
          <cell r="E186" t="str">
            <v>EC005</v>
          </cell>
          <cell r="F186" t="str">
            <v>Tree</v>
          </cell>
          <cell r="G186" t="str">
            <v>_</v>
          </cell>
          <cell r="L186" t="str">
            <v>_</v>
          </cell>
          <cell r="Q186" t="str">
            <v>_</v>
          </cell>
          <cell r="V186" t="str">
            <v>[PVA]: "These are collected as single trees, typically from an airfield survey, and only when directed to do so."</v>
          </cell>
        </row>
        <row r="187">
          <cell r="A187">
            <v>8636</v>
          </cell>
          <cell r="B187" t="str">
            <v>U</v>
          </cell>
          <cell r="C187" t="str">
            <v>Misc Man-made</v>
          </cell>
          <cell r="D187" t="str">
            <v>Miscellaneous Air Obstruction (Man-made)</v>
          </cell>
          <cell r="G187" t="str">
            <v>_</v>
          </cell>
          <cell r="L187" t="str">
            <v>_</v>
          </cell>
          <cell r="Q187" t="str">
            <v>_</v>
          </cell>
          <cell r="V187" t="str">
            <v>[PVA]: "Many of the feature instances collected here do not have their own DVOF Code (e.g., windsock). They are most often associated with an airfield.  When the specific feature type is known it many be collected in the remarks field." [NCGIS]: Need to c</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nsgreg.nga.mil/genc" TargetMode="External"/><Relationship Id="rId1" Type="http://schemas.openxmlformats.org/officeDocument/2006/relationships/hyperlink" Target="http://www.gwg.nga.mil/ccwg.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8"/>
  <sheetViews>
    <sheetView zoomScale="85" zoomScaleNormal="85" workbookViewId="0">
      <pane ySplit="9" topLeftCell="A10" activePane="bottomLeft" state="frozen"/>
      <selection pane="bottomLeft" sqref="A1:D1"/>
    </sheetView>
  </sheetViews>
  <sheetFormatPr defaultColWidth="9.28515625" defaultRowHeight="13.2" x14ac:dyDescent="0.2"/>
  <cols>
    <col min="1" max="1" width="12.140625" style="1" customWidth="1"/>
    <col min="2" max="2" width="21" style="1" customWidth="1"/>
    <col min="3" max="3" width="142.42578125" style="1" customWidth="1"/>
    <col min="4" max="4" width="65.42578125" style="1" customWidth="1"/>
    <col min="5" max="16384" width="9.28515625" style="1"/>
  </cols>
  <sheetData>
    <row r="1" spans="1:4" x14ac:dyDescent="0.2">
      <c r="A1" s="97"/>
      <c r="B1" s="98"/>
      <c r="C1" s="98"/>
      <c r="D1" s="99"/>
    </row>
    <row r="2" spans="1:4" ht="22.8" x14ac:dyDescent="0.2">
      <c r="A2" s="100" t="s">
        <v>72</v>
      </c>
      <c r="B2" s="101"/>
      <c r="C2" s="101"/>
      <c r="D2" s="12" t="s">
        <v>71</v>
      </c>
    </row>
    <row r="3" spans="1:4" ht="12.75" customHeight="1" x14ac:dyDescent="0.2">
      <c r="A3" s="102" t="s">
        <v>4</v>
      </c>
      <c r="B3" s="103"/>
      <c r="C3" s="103"/>
      <c r="D3" s="104"/>
    </row>
    <row r="4" spans="1:4" ht="81" customHeight="1" thickBot="1" x14ac:dyDescent="0.25">
      <c r="A4" s="102"/>
      <c r="B4" s="13" t="s">
        <v>5</v>
      </c>
      <c r="C4" s="103" t="s">
        <v>73</v>
      </c>
      <c r="D4" s="104"/>
    </row>
    <row r="5" spans="1:4" ht="16.5" customHeight="1" thickBot="1" x14ac:dyDescent="0.25">
      <c r="A5" s="102"/>
      <c r="B5" s="14" t="s">
        <v>10</v>
      </c>
      <c r="C5" s="5" t="s">
        <v>9</v>
      </c>
      <c r="D5" s="15"/>
    </row>
    <row r="6" spans="1:4" ht="16.5" customHeight="1" thickBot="1" x14ac:dyDescent="0.25">
      <c r="A6" s="102"/>
      <c r="B6" s="14" t="s">
        <v>12</v>
      </c>
      <c r="C6" s="5" t="s">
        <v>26</v>
      </c>
      <c r="D6" s="15"/>
    </row>
    <row r="7" spans="1:4" x14ac:dyDescent="0.2">
      <c r="A7" s="102"/>
      <c r="B7" s="16" t="s">
        <v>11</v>
      </c>
      <c r="C7" s="93"/>
      <c r="D7" s="94"/>
    </row>
    <row r="8" spans="1:4" ht="31.5" customHeight="1" x14ac:dyDescent="0.2">
      <c r="A8" s="102"/>
      <c r="B8" s="13" t="s">
        <v>6</v>
      </c>
      <c r="C8" s="103" t="s">
        <v>27</v>
      </c>
      <c r="D8" s="104"/>
    </row>
    <row r="9" spans="1:4" ht="16.2" thickBot="1" x14ac:dyDescent="0.25">
      <c r="A9" s="20"/>
      <c r="B9" s="2" t="s">
        <v>7</v>
      </c>
      <c r="C9" s="3" t="s">
        <v>8</v>
      </c>
      <c r="D9" s="17" t="s">
        <v>3</v>
      </c>
    </row>
    <row r="10" spans="1:4" ht="85.5" customHeight="1" x14ac:dyDescent="0.2">
      <c r="A10" s="95" t="s">
        <v>56</v>
      </c>
      <c r="B10" s="32"/>
      <c r="C10" s="35" t="s">
        <v>54</v>
      </c>
      <c r="D10" s="33" t="s">
        <v>55</v>
      </c>
    </row>
    <row r="11" spans="1:4" ht="14.25" customHeight="1" x14ac:dyDescent="0.2">
      <c r="A11" s="87"/>
      <c r="B11" s="13" t="s">
        <v>14</v>
      </c>
      <c r="C11" s="18" t="s">
        <v>57</v>
      </c>
      <c r="D11" s="15" t="s">
        <v>18</v>
      </c>
    </row>
    <row r="12" spans="1:4" ht="27.75" customHeight="1" x14ac:dyDescent="0.2">
      <c r="A12" s="87"/>
      <c r="B12" s="13" t="s">
        <v>13</v>
      </c>
      <c r="C12" s="18" t="s">
        <v>58</v>
      </c>
      <c r="D12" s="15" t="s">
        <v>17</v>
      </c>
    </row>
    <row r="13" spans="1:4" ht="27.75" customHeight="1" x14ac:dyDescent="0.2">
      <c r="A13" s="87"/>
      <c r="B13" s="13" t="s">
        <v>15</v>
      </c>
      <c r="C13" s="18" t="s">
        <v>59</v>
      </c>
      <c r="D13" s="15" t="s">
        <v>19</v>
      </c>
    </row>
    <row r="14" spans="1:4" ht="14.25" customHeight="1" x14ac:dyDescent="0.2">
      <c r="A14" s="88"/>
      <c r="B14" s="13" t="s">
        <v>0</v>
      </c>
      <c r="C14" s="1" t="s">
        <v>25</v>
      </c>
      <c r="D14" s="15" t="s">
        <v>20</v>
      </c>
    </row>
    <row r="15" spans="1:4" ht="30" customHeight="1" x14ac:dyDescent="0.2">
      <c r="A15" s="88"/>
      <c r="B15" s="13" t="s">
        <v>1</v>
      </c>
      <c r="C15" s="1" t="s">
        <v>21</v>
      </c>
      <c r="D15" s="15" t="s">
        <v>24</v>
      </c>
    </row>
    <row r="16" spans="1:4" ht="27" customHeight="1" x14ac:dyDescent="0.2">
      <c r="A16" s="88"/>
      <c r="B16" s="13" t="s">
        <v>2</v>
      </c>
      <c r="C16" s="1" t="s">
        <v>23</v>
      </c>
      <c r="D16" s="15" t="s">
        <v>22</v>
      </c>
    </row>
    <row r="17" spans="1:4" ht="39.6" x14ac:dyDescent="0.2">
      <c r="A17" s="88"/>
      <c r="B17" s="19" t="s">
        <v>35</v>
      </c>
      <c r="C17" s="1" t="s">
        <v>53</v>
      </c>
      <c r="D17" s="15" t="s">
        <v>36</v>
      </c>
    </row>
    <row r="18" spans="1:4" ht="40.5" customHeight="1" x14ac:dyDescent="0.2">
      <c r="A18" s="88"/>
      <c r="B18" s="19" t="s">
        <v>16</v>
      </c>
      <c r="C18" s="1" t="s">
        <v>48</v>
      </c>
      <c r="D18" s="15" t="s">
        <v>49</v>
      </c>
    </row>
    <row r="19" spans="1:4" ht="63.75" customHeight="1" x14ac:dyDescent="0.2">
      <c r="A19" s="96"/>
      <c r="B19" s="30" t="s">
        <v>50</v>
      </c>
      <c r="C19" s="31" t="s">
        <v>51</v>
      </c>
      <c r="D19" s="15" t="s">
        <v>52</v>
      </c>
    </row>
    <row r="20" spans="1:4" ht="12.75" customHeight="1" thickBot="1" x14ac:dyDescent="0.25">
      <c r="A20" s="90"/>
      <c r="B20" s="91"/>
      <c r="C20" s="91"/>
      <c r="D20" s="92"/>
    </row>
    <row r="21" spans="1:4" ht="81" customHeight="1" x14ac:dyDescent="0.2">
      <c r="A21" s="87" t="s">
        <v>68</v>
      </c>
      <c r="B21" s="37"/>
      <c r="C21" s="37" t="s">
        <v>60</v>
      </c>
      <c r="D21" s="38" t="s">
        <v>61</v>
      </c>
    </row>
    <row r="22" spans="1:4" ht="26.25" customHeight="1" x14ac:dyDescent="0.2">
      <c r="A22" s="87"/>
      <c r="B22" s="13" t="s">
        <v>40</v>
      </c>
      <c r="C22" s="28" t="s">
        <v>62</v>
      </c>
      <c r="D22" s="15" t="s">
        <v>41</v>
      </c>
    </row>
    <row r="23" spans="1:4" ht="14.25" customHeight="1" x14ac:dyDescent="0.2">
      <c r="A23" s="87"/>
      <c r="B23" s="13" t="s">
        <v>28</v>
      </c>
      <c r="C23" s="18" t="s">
        <v>37</v>
      </c>
      <c r="D23" s="15" t="s">
        <v>39</v>
      </c>
    </row>
    <row r="24" spans="1:4" ht="26.25" customHeight="1" x14ac:dyDescent="0.2">
      <c r="A24" s="88"/>
      <c r="B24" s="13" t="s">
        <v>46</v>
      </c>
      <c r="C24" s="1" t="s">
        <v>47</v>
      </c>
      <c r="D24" s="15" t="s">
        <v>38</v>
      </c>
    </row>
    <row r="25" spans="1:4" ht="39.75" customHeight="1" x14ac:dyDescent="0.2">
      <c r="A25" s="88"/>
      <c r="B25" s="13" t="s">
        <v>30</v>
      </c>
      <c r="C25" s="1" t="s">
        <v>42</v>
      </c>
      <c r="D25" s="15" t="s">
        <v>45</v>
      </c>
    </row>
    <row r="26" spans="1:4" ht="41.25" customHeight="1" x14ac:dyDescent="0.2">
      <c r="A26" s="88"/>
      <c r="B26" s="13" t="s">
        <v>29</v>
      </c>
      <c r="C26" s="1" t="s">
        <v>43</v>
      </c>
      <c r="D26" s="15" t="s">
        <v>44</v>
      </c>
    </row>
    <row r="27" spans="1:4" ht="40.5" customHeight="1" x14ac:dyDescent="0.2">
      <c r="A27" s="88"/>
      <c r="B27" s="19" t="s">
        <v>16</v>
      </c>
      <c r="C27" s="1" t="s">
        <v>63</v>
      </c>
      <c r="D27" s="15" t="s">
        <v>64</v>
      </c>
    </row>
    <row r="28" spans="1:4" ht="54" customHeight="1" thickBot="1" x14ac:dyDescent="0.25">
      <c r="A28" s="89"/>
      <c r="B28" s="29" t="s">
        <v>65</v>
      </c>
      <c r="C28" s="4" t="s">
        <v>66</v>
      </c>
      <c r="D28" s="36" t="s">
        <v>67</v>
      </c>
    </row>
  </sheetData>
  <mergeCells count="10">
    <mergeCell ref="A21:A28"/>
    <mergeCell ref="A20:D20"/>
    <mergeCell ref="C7:D7"/>
    <mergeCell ref="A10:A19"/>
    <mergeCell ref="A1:D1"/>
    <mergeCell ref="A2:C2"/>
    <mergeCell ref="A3:A8"/>
    <mergeCell ref="B3:D3"/>
    <mergeCell ref="C4:D4"/>
    <mergeCell ref="C8:D8"/>
  </mergeCells>
  <hyperlinks>
    <hyperlink ref="C5" r:id="rId1" xr:uid="{00000000-0004-0000-0000-000000000000}"/>
    <hyperlink ref="C6" r:id="rId2" xr:uid="{00000000-0004-0000-0000-000001000000}"/>
  </hyperlinks>
  <printOptions horizontalCentered="1" verticalCentered="1"/>
  <pageMargins left="0.63" right="0.48" top="0.38" bottom="0.41" header="0.25" footer="0.25"/>
  <pageSetup scale="66" fitToHeight="10" orientation="landscape" verticalDpi="1200" r:id="rId3"/>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81"/>
  <sheetViews>
    <sheetView tabSelected="1" zoomScale="85" zoomScaleNormal="85" workbookViewId="0">
      <pane ySplit="1" topLeftCell="A2" activePane="bottomLeft" state="frozen"/>
      <selection pane="bottomLeft" activeCell="D10" sqref="D10"/>
    </sheetView>
  </sheetViews>
  <sheetFormatPr defaultColWidth="9.28515625" defaultRowHeight="13.5" customHeight="1" x14ac:dyDescent="0.2"/>
  <cols>
    <col min="1" max="1" width="14.42578125" style="21" customWidth="1"/>
    <col min="2" max="2" width="14.7109375" style="21" customWidth="1"/>
    <col min="3" max="3" width="11.28515625" style="22" customWidth="1"/>
    <col min="4" max="4" width="65" style="21" customWidth="1"/>
    <col min="5" max="5" width="51.28515625" style="21" customWidth="1"/>
    <col min="6" max="6" width="53.28515625" style="21" customWidth="1"/>
    <col min="7" max="7" width="6.85546875" style="21" customWidth="1"/>
    <col min="8" max="8" width="42.42578125" style="21" customWidth="1"/>
    <col min="9" max="9" width="48.140625" style="21" customWidth="1"/>
    <col min="10" max="16384" width="9.28515625" style="21"/>
  </cols>
  <sheetData>
    <row r="1" spans="1:9" s="23" customFormat="1" ht="27" customHeight="1" thickBot="1" x14ac:dyDescent="0.25">
      <c r="A1" s="6" t="s">
        <v>14</v>
      </c>
      <c r="B1" s="7" t="s">
        <v>13</v>
      </c>
      <c r="C1" s="8" t="s">
        <v>15</v>
      </c>
      <c r="D1" s="7" t="s">
        <v>0</v>
      </c>
      <c r="E1" s="7" t="s">
        <v>1</v>
      </c>
      <c r="F1" s="7" t="s">
        <v>2</v>
      </c>
      <c r="G1" s="27" t="s">
        <v>34</v>
      </c>
      <c r="H1" s="10" t="s">
        <v>16</v>
      </c>
      <c r="I1" s="11" t="s">
        <v>69</v>
      </c>
    </row>
    <row r="2" spans="1:9" ht="13.5" customHeight="1" x14ac:dyDescent="0.2">
      <c r="A2" s="58" t="s">
        <v>74</v>
      </c>
      <c r="B2" s="59" t="s">
        <v>75</v>
      </c>
      <c r="C2" s="60" t="s">
        <v>76</v>
      </c>
      <c r="D2" s="61" t="s">
        <v>77</v>
      </c>
      <c r="E2" s="59" t="s">
        <v>78</v>
      </c>
      <c r="F2" s="59" t="s">
        <v>79</v>
      </c>
      <c r="G2" s="82" t="str">
        <f>HYPERLINK("[#]Codes_for_AS_Names!A4:G4","&lt;link&gt;")</f>
        <v>&lt;link&gt;</v>
      </c>
      <c r="H2" s="71" t="str">
        <f>HYPERLINK("http://nsgreg.nga.mil/genc/view?v=291015&amp;end_month=6&amp;end_day=30&amp;end_year=2019","AFGHANISTAN")</f>
        <v>AFGHANISTAN</v>
      </c>
      <c r="I2" s="71" t="str">
        <f>HYPERLINK("http://api.nsgreg.nga.mil/geo-political/GENC/3/3-11/AFG","ge:GENC:3:3-11:AFG")</f>
        <v>ge:GENC:3:3-11:AFG</v>
      </c>
    </row>
    <row r="3" spans="1:9" ht="13.5" customHeight="1" x14ac:dyDescent="0.2">
      <c r="A3" s="63" t="s">
        <v>80</v>
      </c>
      <c r="B3" s="21" t="s">
        <v>81</v>
      </c>
      <c r="C3" s="45" t="s">
        <v>82</v>
      </c>
      <c r="D3" s="44" t="s">
        <v>83</v>
      </c>
      <c r="E3" s="21" t="s">
        <v>84</v>
      </c>
      <c r="F3" s="21" t="s">
        <v>84</v>
      </c>
      <c r="G3" s="83"/>
      <c r="H3" s="72" t="str">
        <f>HYPERLINK("http://nsgreg.nga.mil/genc/view?v=291016&amp;end_month=6&amp;end_day=30&amp;end_year=2019","AKROTIRI")</f>
        <v>AKROTIRI</v>
      </c>
      <c r="I3" s="72" t="str">
        <f>HYPERLINK("http://api.nsgreg.nga.mil/geo-political/GENC/3/3-11/XQZ","ge:GENC:3:3-11:XQZ")</f>
        <v>ge:GENC:3:3-11:XQZ</v>
      </c>
    </row>
    <row r="4" spans="1:9" ht="13.5" customHeight="1" x14ac:dyDescent="0.2">
      <c r="A4" s="63" t="s">
        <v>85</v>
      </c>
      <c r="B4" s="21" t="s">
        <v>86</v>
      </c>
      <c r="C4" s="45" t="s">
        <v>87</v>
      </c>
      <c r="D4" s="44" t="s">
        <v>88</v>
      </c>
      <c r="E4" s="21" t="s">
        <v>89</v>
      </c>
      <c r="F4" s="21" t="s">
        <v>90</v>
      </c>
      <c r="G4" s="53" t="str">
        <f>HYPERLINK("[#]Codes_for_AS_Names!A38:G38","&lt;link&gt;")</f>
        <v>&lt;link&gt;</v>
      </c>
      <c r="H4" s="72" t="str">
        <f>HYPERLINK("http://nsgreg.nga.mil/genc/view?v=291018&amp;end_month=6&amp;end_day=30&amp;end_year=2019","ALBANIA")</f>
        <v>ALBANIA</v>
      </c>
      <c r="I4" s="72" t="str">
        <f>HYPERLINK("http://api.nsgreg.nga.mil/geo-political/GENC/3/3-11/ALB","ge:GENC:3:3-11:ALB")</f>
        <v>ge:GENC:3:3-11:ALB</v>
      </c>
    </row>
    <row r="5" spans="1:9" ht="13.5" customHeight="1" x14ac:dyDescent="0.2">
      <c r="A5" s="63" t="s">
        <v>91</v>
      </c>
      <c r="B5" s="21" t="s">
        <v>92</v>
      </c>
      <c r="C5" s="45" t="s">
        <v>93</v>
      </c>
      <c r="D5" s="44" t="s">
        <v>94</v>
      </c>
      <c r="E5" s="21" t="s">
        <v>95</v>
      </c>
      <c r="F5" s="21" t="s">
        <v>96</v>
      </c>
      <c r="G5" s="53" t="str">
        <f>HYPERLINK("[#]Codes_for_AS_Names!A50:G50","&lt;link&gt;")</f>
        <v>&lt;link&gt;</v>
      </c>
      <c r="H5" s="72" t="str">
        <f>HYPERLINK("http://nsgreg.nga.mil/genc/view?v=291019&amp;end_month=6&amp;end_day=30&amp;end_year=2019","ALGERIA")</f>
        <v>ALGERIA</v>
      </c>
      <c r="I5" s="72" t="str">
        <f>HYPERLINK("http://api.nsgreg.nga.mil/geo-political/GENC/3/3-11/DZA","ge:GENC:3:3-11:DZA")</f>
        <v>ge:GENC:3:3-11:DZA</v>
      </c>
    </row>
    <row r="6" spans="1:9" ht="13.5" customHeight="1" x14ac:dyDescent="0.2">
      <c r="A6" s="64" t="s">
        <v>98</v>
      </c>
      <c r="B6" s="47" t="s">
        <v>99</v>
      </c>
      <c r="C6" s="48" t="s">
        <v>100</v>
      </c>
      <c r="D6" s="46" t="s">
        <v>101</v>
      </c>
      <c r="E6" s="47" t="s">
        <v>102</v>
      </c>
      <c r="F6" s="47" t="s">
        <v>103</v>
      </c>
      <c r="G6" s="84"/>
      <c r="H6" s="73" t="str">
        <f>HYPERLINK("http://nsgreg.nga.mil/genc/view?v=291020&amp;end_month=6&amp;end_day=30&amp;end_year=2019","AMERICAN SAMOA")</f>
        <v>AMERICAN SAMOA</v>
      </c>
      <c r="I6" s="73" t="str">
        <f>HYPERLINK("http://api.nsgreg.nga.mil/geo-political/GENC/3/3-11/ASM","ge:GENC:3:3-11:ASM")</f>
        <v>ge:GENC:3:3-11:ASM</v>
      </c>
    </row>
    <row r="7" spans="1:9" ht="13.5" customHeight="1" x14ac:dyDescent="0.2">
      <c r="A7" s="65" t="s">
        <v>105</v>
      </c>
      <c r="B7" s="42" t="s">
        <v>106</v>
      </c>
      <c r="C7" s="43" t="s">
        <v>107</v>
      </c>
      <c r="D7" s="41" t="s">
        <v>108</v>
      </c>
      <c r="E7" s="42" t="s">
        <v>109</v>
      </c>
      <c r="F7" s="42" t="s">
        <v>110</v>
      </c>
      <c r="G7" s="52" t="str">
        <f>HYPERLINK("[#]Codes_for_AS_Names!A98:G98","&lt;link&gt;")</f>
        <v>&lt;link&gt;</v>
      </c>
      <c r="H7" s="74" t="str">
        <f>HYPERLINK("http://nsgreg.nga.mil/genc/view?v=291021&amp;end_month=6&amp;end_day=30&amp;end_year=2019","ANDORRA")</f>
        <v>ANDORRA</v>
      </c>
      <c r="I7" s="74" t="str">
        <f>HYPERLINK("http://api.nsgreg.nga.mil/geo-political/GENC/3/3-11/AND","ge:GENC:3:3-11:AND")</f>
        <v>ge:GENC:3:3-11:AND</v>
      </c>
    </row>
    <row r="8" spans="1:9" ht="13.5" customHeight="1" x14ac:dyDescent="0.2">
      <c r="A8" s="63" t="s">
        <v>111</v>
      </c>
      <c r="B8" s="21" t="s">
        <v>112</v>
      </c>
      <c r="C8" s="45" t="s">
        <v>113</v>
      </c>
      <c r="D8" s="44" t="s">
        <v>114</v>
      </c>
      <c r="E8" s="21" t="s">
        <v>115</v>
      </c>
      <c r="F8" s="21" t="s">
        <v>116</v>
      </c>
      <c r="G8" s="53" t="str">
        <f>HYPERLINK("[#]Codes_for_AS_Names!A105:G105","&lt;link&gt;")</f>
        <v>&lt;link&gt;</v>
      </c>
      <c r="H8" s="72" t="str">
        <f>HYPERLINK("http://nsgreg.nga.mil/genc/view?v=291022&amp;end_month=6&amp;end_day=30&amp;end_year=2019","ANGOLA")</f>
        <v>ANGOLA</v>
      </c>
      <c r="I8" s="72" t="str">
        <f>HYPERLINK("http://api.nsgreg.nga.mil/geo-political/GENC/3/3-11/AGO","ge:GENC:3:3-11:AGO")</f>
        <v>ge:GENC:3:3-11:AGO</v>
      </c>
    </row>
    <row r="9" spans="1:9" ht="13.5" customHeight="1" x14ac:dyDescent="0.2">
      <c r="A9" s="63" t="s">
        <v>117</v>
      </c>
      <c r="B9" s="21" t="s">
        <v>118</v>
      </c>
      <c r="C9" s="45" t="s">
        <v>119</v>
      </c>
      <c r="D9" s="44" t="s">
        <v>120</v>
      </c>
      <c r="E9" s="21" t="s">
        <v>121</v>
      </c>
      <c r="F9" s="21" t="s">
        <v>121</v>
      </c>
      <c r="G9" s="83"/>
      <c r="H9" s="72" t="str">
        <f>HYPERLINK("http://nsgreg.nga.mil/genc/view?v=291023&amp;end_month=6&amp;end_day=30&amp;end_year=2019","ANGUILLA")</f>
        <v>ANGUILLA</v>
      </c>
      <c r="I9" s="72" t="str">
        <f>HYPERLINK("http://api.nsgreg.nga.mil/geo-political/GENC/3/3-11/AIA","ge:GENC:3:3-11:AIA")</f>
        <v>ge:GENC:3:3-11:AIA</v>
      </c>
    </row>
    <row r="10" spans="1:9" ht="13.5" customHeight="1" x14ac:dyDescent="0.2">
      <c r="A10" s="63" t="s">
        <v>122</v>
      </c>
      <c r="B10" s="21" t="s">
        <v>104</v>
      </c>
      <c r="C10" s="45" t="s">
        <v>123</v>
      </c>
      <c r="D10" s="44" t="s">
        <v>124</v>
      </c>
      <c r="E10" s="21" t="s">
        <v>125</v>
      </c>
      <c r="F10" s="21" t="s">
        <v>125</v>
      </c>
      <c r="G10" s="83"/>
      <c r="H10" s="72" t="str">
        <f>HYPERLINK("http://nsgreg.nga.mil/genc/view?v=291024&amp;end_month=6&amp;end_day=30&amp;end_year=2019","ANTARCTICA")</f>
        <v>ANTARCTICA</v>
      </c>
      <c r="I10" s="72" t="str">
        <f>HYPERLINK("http://api.nsgreg.nga.mil/geo-political/GENC/3/3-11/ATA","ge:GENC:3:3-11:ATA")</f>
        <v>ge:GENC:3:3-11:ATA</v>
      </c>
    </row>
    <row r="11" spans="1:9" ht="13.5" customHeight="1" x14ac:dyDescent="0.2">
      <c r="A11" s="64" t="s">
        <v>126</v>
      </c>
      <c r="B11" s="47" t="s">
        <v>97</v>
      </c>
      <c r="C11" s="48" t="s">
        <v>127</v>
      </c>
      <c r="D11" s="46" t="s">
        <v>128</v>
      </c>
      <c r="E11" s="47" t="s">
        <v>129</v>
      </c>
      <c r="F11" s="47" t="s">
        <v>129</v>
      </c>
      <c r="G11" s="54" t="str">
        <f>HYPERLINK("[#]Codes_for_AS_Names!A123:G123","&lt;link&gt;")</f>
        <v>&lt;link&gt;</v>
      </c>
      <c r="H11" s="73" t="str">
        <f>HYPERLINK("http://nsgreg.nga.mil/genc/view?v=291025&amp;end_month=6&amp;end_day=30&amp;end_year=2019","ANTIGUA AND BARBUDA")</f>
        <v>ANTIGUA AND BARBUDA</v>
      </c>
      <c r="I11" s="73" t="str">
        <f>HYPERLINK("http://api.nsgreg.nga.mil/geo-political/GENC/3/3-11/ATG","ge:GENC:3:3-11:ATG")</f>
        <v>ge:GENC:3:3-11:ATG</v>
      </c>
    </row>
    <row r="12" spans="1:9" ht="13.5" customHeight="1" x14ac:dyDescent="0.2">
      <c r="A12" s="65" t="s">
        <v>130</v>
      </c>
      <c r="B12" s="42" t="s">
        <v>131</v>
      </c>
      <c r="C12" s="43" t="s">
        <v>132</v>
      </c>
      <c r="D12" s="41" t="s">
        <v>133</v>
      </c>
      <c r="E12" s="42" t="s">
        <v>134</v>
      </c>
      <c r="F12" s="42" t="s">
        <v>135</v>
      </c>
      <c r="G12" s="52" t="str">
        <f>HYPERLINK("[#]Codes_for_AS_Names!A131:G131","&lt;link&gt;")</f>
        <v>&lt;link&gt;</v>
      </c>
      <c r="H12" s="74" t="str">
        <f>HYPERLINK("http://nsgreg.nga.mil/genc/view?v=291026&amp;end_month=6&amp;end_day=30&amp;end_year=2019","ARGENTINA")</f>
        <v>ARGENTINA</v>
      </c>
      <c r="I12" s="74" t="str">
        <f>HYPERLINK("http://api.nsgreg.nga.mil/geo-political/GENC/3/3-11/ARG","ge:GENC:3:3-11:ARG")</f>
        <v>ge:GENC:3:3-11:ARG</v>
      </c>
    </row>
    <row r="13" spans="1:9" ht="13.5" customHeight="1" x14ac:dyDescent="0.2">
      <c r="A13" s="63" t="s">
        <v>136</v>
      </c>
      <c r="B13" s="21" t="s">
        <v>137</v>
      </c>
      <c r="C13" s="45" t="s">
        <v>138</v>
      </c>
      <c r="D13" s="44" t="s">
        <v>139</v>
      </c>
      <c r="E13" s="21" t="s">
        <v>140</v>
      </c>
      <c r="F13" s="21" t="s">
        <v>141</v>
      </c>
      <c r="G13" s="53" t="str">
        <f>HYPERLINK("[#]Codes_for_AS_Names!A155:G155","&lt;link&gt;")</f>
        <v>&lt;link&gt;</v>
      </c>
      <c r="H13" s="72" t="str">
        <f>HYPERLINK("http://nsgreg.nga.mil/genc/view?v=291027&amp;end_month=6&amp;end_day=30&amp;end_year=2019","ARMENIA")</f>
        <v>ARMENIA</v>
      </c>
      <c r="I13" s="72" t="str">
        <f>HYPERLINK("http://api.nsgreg.nga.mil/geo-political/GENC/3/3-11/ARM","ge:GENC:3:3-11:ARM")</f>
        <v>ge:GENC:3:3-11:ARM</v>
      </c>
    </row>
    <row r="14" spans="1:9" ht="13.5" customHeight="1" x14ac:dyDescent="0.2">
      <c r="A14" s="63" t="s">
        <v>142</v>
      </c>
      <c r="B14" s="21" t="s">
        <v>143</v>
      </c>
      <c r="C14" s="45" t="s">
        <v>144</v>
      </c>
      <c r="D14" s="44" t="s">
        <v>145</v>
      </c>
      <c r="E14" s="21" t="s">
        <v>146</v>
      </c>
      <c r="F14" s="21" t="s">
        <v>146</v>
      </c>
      <c r="G14" s="83"/>
      <c r="H14" s="72" t="str">
        <f>HYPERLINK("http://nsgreg.nga.mil/genc/view?v=291028&amp;end_month=6&amp;end_day=30&amp;end_year=2019","ARUBA")</f>
        <v>ARUBA</v>
      </c>
      <c r="I14" s="72" t="str">
        <f>HYPERLINK("http://api.nsgreg.nga.mil/geo-political/GENC/3/3-11/ABW","ge:GENC:3:3-11:ABW")</f>
        <v>ge:GENC:3:3-11:ABW</v>
      </c>
    </row>
    <row r="15" spans="1:9" ht="13.5" customHeight="1" x14ac:dyDescent="0.2">
      <c r="A15" s="63" t="s">
        <v>147</v>
      </c>
      <c r="B15" s="21" t="s">
        <v>148</v>
      </c>
      <c r="C15" s="45" t="s">
        <v>149</v>
      </c>
      <c r="D15" s="44" t="s">
        <v>150</v>
      </c>
      <c r="E15" s="21" t="s">
        <v>151</v>
      </c>
      <c r="F15" s="21" t="s">
        <v>152</v>
      </c>
      <c r="G15" s="83"/>
      <c r="H15" s="72" t="str">
        <f>HYPERLINK("http://nsgreg.nga.mil/genc/view?v=291029&amp;end_month=6&amp;end_day=30&amp;end_year=2019","ASHMORE AND CARTIER ISLANDS")</f>
        <v>ASHMORE AND CARTIER ISLANDS</v>
      </c>
      <c r="I15" s="72" t="str">
        <f>HYPERLINK("http://api.nsgreg.nga.mil/geo-political/GENC/3/3-11/XAC","ge:GENC:3:3-11:XAC")</f>
        <v>ge:GENC:3:3-11:XAC</v>
      </c>
    </row>
    <row r="16" spans="1:9" ht="13.5" customHeight="1" x14ac:dyDescent="0.2">
      <c r="A16" s="64" t="s">
        <v>154</v>
      </c>
      <c r="B16" s="47" t="s">
        <v>155</v>
      </c>
      <c r="C16" s="48" t="s">
        <v>156</v>
      </c>
      <c r="D16" s="46" t="s">
        <v>157</v>
      </c>
      <c r="E16" s="47" t="s">
        <v>158</v>
      </c>
      <c r="F16" s="47" t="s">
        <v>159</v>
      </c>
      <c r="G16" s="54" t="str">
        <f>HYPERLINK("[#]Codes_for_AS_Names!A166:G166","&lt;link&gt;")</f>
        <v>&lt;link&gt;</v>
      </c>
      <c r="H16" s="73" t="str">
        <f>HYPERLINK("http://nsgreg.nga.mil/genc/view?v=291030&amp;end_month=6&amp;end_day=30&amp;end_year=2019","AUSTRALIA")</f>
        <v>AUSTRALIA</v>
      </c>
      <c r="I16" s="73" t="str">
        <f>HYPERLINK("http://api.nsgreg.nga.mil/geo-political/GENC/3/3-11/AUS","ge:GENC:3:3-11:AUS")</f>
        <v>ge:GENC:3:3-11:AUS</v>
      </c>
    </row>
    <row r="17" spans="1:9" ht="13.5" customHeight="1" x14ac:dyDescent="0.2">
      <c r="A17" s="65" t="s">
        <v>160</v>
      </c>
      <c r="B17" s="42" t="s">
        <v>153</v>
      </c>
      <c r="C17" s="43" t="s">
        <v>161</v>
      </c>
      <c r="D17" s="41" t="s">
        <v>162</v>
      </c>
      <c r="E17" s="42" t="s">
        <v>163</v>
      </c>
      <c r="F17" s="42" t="s">
        <v>164</v>
      </c>
      <c r="G17" s="52" t="str">
        <f>HYPERLINK("[#]Codes_for_AS_Names!A174:G174","&lt;link&gt;")</f>
        <v>&lt;link&gt;</v>
      </c>
      <c r="H17" s="74" t="str">
        <f>HYPERLINK("http://nsgreg.nga.mil/genc/view?v=291031&amp;end_month=6&amp;end_day=30&amp;end_year=2019","AUSTRIA")</f>
        <v>AUSTRIA</v>
      </c>
      <c r="I17" s="74" t="str">
        <f>HYPERLINK("http://api.nsgreg.nga.mil/geo-political/GENC/3/3-11/AUT","ge:GENC:3:3-11:AUT")</f>
        <v>ge:GENC:3:3-11:AUT</v>
      </c>
    </row>
    <row r="18" spans="1:9" ht="13.5" customHeight="1" x14ac:dyDescent="0.2">
      <c r="A18" s="63" t="s">
        <v>165</v>
      </c>
      <c r="B18" s="21" t="s">
        <v>166</v>
      </c>
      <c r="C18" s="45" t="s">
        <v>167</v>
      </c>
      <c r="D18" s="44" t="s">
        <v>168</v>
      </c>
      <c r="E18" s="21" t="s">
        <v>169</v>
      </c>
      <c r="F18" s="21" t="s">
        <v>170</v>
      </c>
      <c r="G18" s="53" t="str">
        <f>HYPERLINK("[#]Codes_for_AS_Names!A183:G183","&lt;link&gt;")</f>
        <v>&lt;link&gt;</v>
      </c>
      <c r="H18" s="72" t="str">
        <f>HYPERLINK("http://nsgreg.nga.mil/genc/view?v=291032&amp;end_month=6&amp;end_day=30&amp;end_year=2019","AZERBAIJAN")</f>
        <v>AZERBAIJAN</v>
      </c>
      <c r="I18" s="72" t="str">
        <f>HYPERLINK("http://api.nsgreg.nga.mil/geo-political/GENC/3/3-11/AZE","ge:GENC:3:3-11:AZE")</f>
        <v>ge:GENC:3:3-11:AZE</v>
      </c>
    </row>
    <row r="19" spans="1:9" ht="13.5" customHeight="1" x14ac:dyDescent="0.2">
      <c r="A19" s="63" t="s">
        <v>171</v>
      </c>
      <c r="B19" s="21" t="s">
        <v>172</v>
      </c>
      <c r="C19" s="45" t="s">
        <v>173</v>
      </c>
      <c r="D19" s="44" t="s">
        <v>174</v>
      </c>
      <c r="E19" s="21" t="s">
        <v>175</v>
      </c>
      <c r="F19" s="21" t="s">
        <v>176</v>
      </c>
      <c r="G19" s="53" t="str">
        <f>HYPERLINK("[#]Codes_for_AS_Names!A261:G261","&lt;link&gt;")</f>
        <v>&lt;link&gt;</v>
      </c>
      <c r="H19" s="72" t="str">
        <f>HYPERLINK("http://nsgreg.nga.mil/genc/view?v=291033&amp;end_month=6&amp;end_day=30&amp;end_year=2019","BAHAMAS, THE")</f>
        <v>BAHAMAS, THE</v>
      </c>
      <c r="I19" s="72" t="str">
        <f>HYPERLINK("http://api.nsgreg.nga.mil/geo-political/GENC/3/3-11/BHS","ge:GENC:3:3-11:BHS")</f>
        <v>ge:GENC:3:3-11:BHS</v>
      </c>
    </row>
    <row r="20" spans="1:9" ht="13.5" customHeight="1" x14ac:dyDescent="0.2">
      <c r="A20" s="63" t="s">
        <v>178</v>
      </c>
      <c r="B20" s="21" t="s">
        <v>179</v>
      </c>
      <c r="C20" s="45" t="s">
        <v>180</v>
      </c>
      <c r="D20" s="44" t="s">
        <v>181</v>
      </c>
      <c r="E20" s="21" t="s">
        <v>182</v>
      </c>
      <c r="F20" s="21" t="s">
        <v>183</v>
      </c>
      <c r="G20" s="53" t="str">
        <f>HYPERLINK("[#]Codes_for_AS_Names!A293:G293","&lt;link&gt;")</f>
        <v>&lt;link&gt;</v>
      </c>
      <c r="H20" s="72" t="str">
        <f>HYPERLINK("http://nsgreg.nga.mil/genc/view?v=291034&amp;end_month=6&amp;end_day=30&amp;end_year=2019","BAHRAIN")</f>
        <v>BAHRAIN</v>
      </c>
      <c r="I20" s="72" t="str">
        <f>HYPERLINK("http://api.nsgreg.nga.mil/geo-political/GENC/3/3-11/BHR","ge:GENC:3:3-11:BHR")</f>
        <v>ge:GENC:3:3-11:BHR</v>
      </c>
    </row>
    <row r="21" spans="1:9" ht="13.5" customHeight="1" x14ac:dyDescent="0.2">
      <c r="A21" s="64" t="s">
        <v>185</v>
      </c>
      <c r="B21" s="47" t="s">
        <v>186</v>
      </c>
      <c r="C21" s="48" t="s">
        <v>187</v>
      </c>
      <c r="D21" s="46" t="s">
        <v>188</v>
      </c>
      <c r="E21" s="47" t="s">
        <v>189</v>
      </c>
      <c r="F21" s="47" t="s">
        <v>189</v>
      </c>
      <c r="G21" s="84"/>
      <c r="H21" s="73" t="str">
        <f>HYPERLINK("http://nsgreg.nga.mil/genc/view?v=291035&amp;end_month=6&amp;end_day=30&amp;end_year=2019","BAKER ISLAND")</f>
        <v>BAKER ISLAND</v>
      </c>
      <c r="I21" s="73" t="str">
        <f>HYPERLINK("http://api.nsgreg.nga.mil/geo-political/GENC/3/3-11/XBK","ge:GENC:3:3-11:XBK")</f>
        <v>ge:GENC:3:3-11:XBK</v>
      </c>
    </row>
    <row r="22" spans="1:9" ht="13.5" customHeight="1" x14ac:dyDescent="0.2">
      <c r="A22" s="65" t="s">
        <v>190</v>
      </c>
      <c r="B22" s="42" t="s">
        <v>191</v>
      </c>
      <c r="C22" s="43" t="s">
        <v>192</v>
      </c>
      <c r="D22" s="41" t="s">
        <v>193</v>
      </c>
      <c r="E22" s="42" t="s">
        <v>194</v>
      </c>
      <c r="F22" s="42" t="s">
        <v>195</v>
      </c>
      <c r="G22" s="52" t="str">
        <f>HYPERLINK("[#]Codes_for_AS_Names!A297:G297","&lt;link&gt;")</f>
        <v>&lt;link&gt;</v>
      </c>
      <c r="H22" s="74" t="str">
        <f>HYPERLINK("http://nsgreg.nga.mil/genc/view?v=291036&amp;end_month=6&amp;end_day=30&amp;end_year=2019","BANGLADESH")</f>
        <v>BANGLADESH</v>
      </c>
      <c r="I22" s="74" t="str">
        <f>HYPERLINK("http://api.nsgreg.nga.mil/geo-political/GENC/3/3-11/BGD","ge:GENC:3:3-11:BGD")</f>
        <v>ge:GENC:3:3-11:BGD</v>
      </c>
    </row>
    <row r="23" spans="1:9" ht="13.5" customHeight="1" x14ac:dyDescent="0.2">
      <c r="A23" s="63" t="s">
        <v>197</v>
      </c>
      <c r="B23" s="21" t="s">
        <v>198</v>
      </c>
      <c r="C23" s="45" t="s">
        <v>199</v>
      </c>
      <c r="D23" s="44" t="s">
        <v>200</v>
      </c>
      <c r="E23" s="21" t="s">
        <v>201</v>
      </c>
      <c r="F23" s="21" t="s">
        <v>201</v>
      </c>
      <c r="G23" s="53" t="str">
        <f>HYPERLINK("[#]Codes_for_AS_Names!A369:G369","&lt;link&gt;")</f>
        <v>&lt;link&gt;</v>
      </c>
      <c r="H23" s="72" t="str">
        <f>HYPERLINK("http://nsgreg.nga.mil/genc/view?v=291037&amp;end_month=6&amp;end_day=30&amp;end_year=2019","BARBADOS")</f>
        <v>BARBADOS</v>
      </c>
      <c r="I23" s="72" t="str">
        <f>HYPERLINK("http://api.nsgreg.nga.mil/geo-political/GENC/3/3-11/BRB","ge:GENC:3:3-11:BRB")</f>
        <v>ge:GENC:3:3-11:BRB</v>
      </c>
    </row>
    <row r="24" spans="1:9" ht="13.5" customHeight="1" x14ac:dyDescent="0.2">
      <c r="A24" s="63" t="s">
        <v>202</v>
      </c>
      <c r="B24" s="21" t="s">
        <v>203</v>
      </c>
      <c r="C24" s="45" t="s">
        <v>204</v>
      </c>
      <c r="D24" s="44" t="s">
        <v>205</v>
      </c>
      <c r="E24" s="21" t="s">
        <v>206</v>
      </c>
      <c r="F24" s="21" t="s">
        <v>206</v>
      </c>
      <c r="G24" s="83"/>
      <c r="H24" s="72" t="str">
        <f>HYPERLINK("http://nsgreg.nga.mil/genc/view?v=291038&amp;end_month=6&amp;end_day=30&amp;end_year=2019","BASSAS DA INDIA")</f>
        <v>BASSAS DA INDIA</v>
      </c>
      <c r="I24" s="72" t="str">
        <f>HYPERLINK("http://api.nsgreg.nga.mil/geo-political/GENC/3/3-11/XBI","ge:GENC:3:3-11:XBI")</f>
        <v>ge:GENC:3:3-11:XBI</v>
      </c>
    </row>
    <row r="25" spans="1:9" ht="13.5" customHeight="1" x14ac:dyDescent="0.2">
      <c r="A25" s="63" t="s">
        <v>207</v>
      </c>
      <c r="B25" s="21" t="s">
        <v>208</v>
      </c>
      <c r="C25" s="45" t="s">
        <v>209</v>
      </c>
      <c r="D25" s="44" t="s">
        <v>210</v>
      </c>
      <c r="E25" s="21" t="s">
        <v>211</v>
      </c>
      <c r="F25" s="21" t="s">
        <v>212</v>
      </c>
      <c r="G25" s="53" t="str">
        <f>HYPERLINK("[#]Codes_for_AS_Names!A380:G380","&lt;link&gt;")</f>
        <v>&lt;link&gt;</v>
      </c>
      <c r="H25" s="72" t="str">
        <f>HYPERLINK("http://nsgreg.nga.mil/genc/view?v=291039&amp;end_month=6&amp;end_day=30&amp;end_year=2019","BELARUS")</f>
        <v>BELARUS</v>
      </c>
      <c r="I25" s="72" t="str">
        <f>HYPERLINK("http://api.nsgreg.nga.mil/geo-political/GENC/3/3-11/BLR","ge:GENC:3:3-11:BLR")</f>
        <v>ge:GENC:3:3-11:BLR</v>
      </c>
    </row>
    <row r="26" spans="1:9" ht="13.5" customHeight="1" x14ac:dyDescent="0.2">
      <c r="A26" s="64" t="s">
        <v>214</v>
      </c>
      <c r="B26" s="47" t="s">
        <v>215</v>
      </c>
      <c r="C26" s="48" t="s">
        <v>216</v>
      </c>
      <c r="D26" s="46" t="s">
        <v>217</v>
      </c>
      <c r="E26" s="47" t="s">
        <v>218</v>
      </c>
      <c r="F26" s="47" t="s">
        <v>219</v>
      </c>
      <c r="G26" s="54" t="str">
        <f>HYPERLINK("[#]Codes_for_AS_Names!A387:G387","&lt;link&gt;")</f>
        <v>&lt;link&gt;</v>
      </c>
      <c r="H26" s="73" t="str">
        <f>HYPERLINK("http://nsgreg.nga.mil/genc/view?v=291040&amp;end_month=6&amp;end_day=30&amp;end_year=2019","BELGIUM")</f>
        <v>BELGIUM</v>
      </c>
      <c r="I26" s="73" t="str">
        <f>HYPERLINK("http://api.nsgreg.nga.mil/geo-political/GENC/3/3-11/BEL","ge:GENC:3:3-11:BEL")</f>
        <v>ge:GENC:3:3-11:BEL</v>
      </c>
    </row>
    <row r="27" spans="1:9" ht="13.5" customHeight="1" x14ac:dyDescent="0.2">
      <c r="A27" s="65" t="s">
        <v>220</v>
      </c>
      <c r="B27" s="42" t="s">
        <v>221</v>
      </c>
      <c r="C27" s="43" t="s">
        <v>222</v>
      </c>
      <c r="D27" s="41" t="s">
        <v>223</v>
      </c>
      <c r="E27" s="42" t="s">
        <v>224</v>
      </c>
      <c r="F27" s="42" t="s">
        <v>224</v>
      </c>
      <c r="G27" s="52" t="str">
        <f>HYPERLINK("[#]Codes_for_AS_Names!A400:G400","&lt;link&gt;")</f>
        <v>&lt;link&gt;</v>
      </c>
      <c r="H27" s="74" t="str">
        <f>HYPERLINK("http://nsgreg.nga.mil/genc/view?v=291041&amp;end_month=6&amp;end_day=30&amp;end_year=2019","BELIZE")</f>
        <v>BELIZE</v>
      </c>
      <c r="I27" s="74" t="str">
        <f>HYPERLINK("http://api.nsgreg.nga.mil/geo-political/GENC/3/3-11/BLZ","ge:GENC:3:3-11:BLZ")</f>
        <v>ge:GENC:3:3-11:BLZ</v>
      </c>
    </row>
    <row r="28" spans="1:9" ht="13.5" customHeight="1" x14ac:dyDescent="0.2">
      <c r="A28" s="63" t="s">
        <v>225</v>
      </c>
      <c r="B28" s="21" t="s">
        <v>226</v>
      </c>
      <c r="C28" s="45" t="s">
        <v>227</v>
      </c>
      <c r="D28" s="44" t="s">
        <v>228</v>
      </c>
      <c r="E28" s="21" t="s">
        <v>229</v>
      </c>
      <c r="F28" s="21" t="s">
        <v>230</v>
      </c>
      <c r="G28" s="53" t="str">
        <f>HYPERLINK("[#]Codes_for_AS_Names!A406:G406","&lt;link&gt;")</f>
        <v>&lt;link&gt;</v>
      </c>
      <c r="H28" s="72" t="str">
        <f>HYPERLINK("http://nsgreg.nga.mil/genc/view?v=291042&amp;end_month=6&amp;end_day=30&amp;end_year=2019","BENIN")</f>
        <v>BENIN</v>
      </c>
      <c r="I28" s="72" t="str">
        <f>HYPERLINK("http://api.nsgreg.nga.mil/geo-political/GENC/3/3-11/BEN","ge:GENC:3:3-11:BEN")</f>
        <v>ge:GENC:3:3-11:BEN</v>
      </c>
    </row>
    <row r="29" spans="1:9" ht="13.5" customHeight="1" x14ac:dyDescent="0.2">
      <c r="A29" s="63" t="s">
        <v>232</v>
      </c>
      <c r="B29" s="21" t="s">
        <v>233</v>
      </c>
      <c r="C29" s="45" t="s">
        <v>234</v>
      </c>
      <c r="D29" s="44" t="s">
        <v>235</v>
      </c>
      <c r="E29" s="21" t="s">
        <v>236</v>
      </c>
      <c r="F29" s="21" t="s">
        <v>236</v>
      </c>
      <c r="G29" s="53" t="str">
        <f>HYPERLINK("[#]Codes_for_AS_Names!A418:G418","&lt;link&gt;")</f>
        <v>&lt;link&gt;</v>
      </c>
      <c r="H29" s="72" t="str">
        <f>HYPERLINK("http://nsgreg.nga.mil/genc/view?v=291043&amp;end_month=6&amp;end_day=30&amp;end_year=2019","BERMUDA")</f>
        <v>BERMUDA</v>
      </c>
      <c r="I29" s="72" t="str">
        <f>HYPERLINK("http://api.nsgreg.nga.mil/geo-political/GENC/3/3-11/BMU","ge:GENC:3:3-11:BMU")</f>
        <v>ge:GENC:3:3-11:BMU</v>
      </c>
    </row>
    <row r="30" spans="1:9" ht="13.5" customHeight="1" x14ac:dyDescent="0.2">
      <c r="A30" s="63" t="s">
        <v>237</v>
      </c>
      <c r="B30" s="21" t="s">
        <v>238</v>
      </c>
      <c r="C30" s="45" t="s">
        <v>239</v>
      </c>
      <c r="D30" s="44" t="s">
        <v>240</v>
      </c>
      <c r="E30" s="21" t="s">
        <v>241</v>
      </c>
      <c r="F30" s="21" t="s">
        <v>242</v>
      </c>
      <c r="G30" s="53" t="str">
        <f>HYPERLINK("[#]Codes_for_AS_Names!A429:G429","&lt;link&gt;")</f>
        <v>&lt;link&gt;</v>
      </c>
      <c r="H30" s="72" t="str">
        <f>HYPERLINK("http://nsgreg.nga.mil/genc/view?v=291044&amp;end_month=6&amp;end_day=30&amp;end_year=2019","BHUTAN")</f>
        <v>BHUTAN</v>
      </c>
      <c r="I30" s="72" t="str">
        <f>HYPERLINK("http://api.nsgreg.nga.mil/geo-political/GENC/3/3-11/BTN","ge:GENC:3:3-11:BTN")</f>
        <v>ge:GENC:3:3-11:BTN</v>
      </c>
    </row>
    <row r="31" spans="1:9" ht="13.5" customHeight="1" x14ac:dyDescent="0.2">
      <c r="A31" s="64" t="s">
        <v>243</v>
      </c>
      <c r="B31" s="47" t="s">
        <v>213</v>
      </c>
      <c r="C31" s="48" t="s">
        <v>244</v>
      </c>
      <c r="D31" s="46" t="s">
        <v>245</v>
      </c>
      <c r="E31" s="47" t="s">
        <v>246</v>
      </c>
      <c r="F31" s="47" t="s">
        <v>247</v>
      </c>
      <c r="G31" s="54" t="str">
        <f>HYPERLINK("[#]Codes_for_AS_Names!A449:G449","&lt;link&gt;")</f>
        <v>&lt;link&gt;</v>
      </c>
      <c r="H31" s="73" t="str">
        <f>HYPERLINK("http://nsgreg.nga.mil/genc/view?v=291045&amp;end_month=6&amp;end_day=30&amp;end_year=2019","BOLIVIA")</f>
        <v>BOLIVIA</v>
      </c>
      <c r="I31" s="73" t="str">
        <f>HYPERLINK("http://api.nsgreg.nga.mil/geo-political/GENC/3/3-11/BOL","ge:GENC:3:3-11:BOL")</f>
        <v>ge:GENC:3:3-11:BOL</v>
      </c>
    </row>
    <row r="32" spans="1:9" ht="13.5" customHeight="1" x14ac:dyDescent="0.2">
      <c r="A32" s="65" t="s">
        <v>249</v>
      </c>
      <c r="B32" s="42" t="s">
        <v>250</v>
      </c>
      <c r="C32" s="43" t="s">
        <v>251</v>
      </c>
      <c r="D32" s="41" t="s">
        <v>252</v>
      </c>
      <c r="E32" s="42" t="s">
        <v>253</v>
      </c>
      <c r="F32" s="42" t="s">
        <v>253</v>
      </c>
      <c r="G32" s="52" t="str">
        <f>HYPERLINK("[#]Codes_for_AS_Names!A458:G458","&lt;link&gt;")</f>
        <v>&lt;link&gt;</v>
      </c>
      <c r="H32" s="74" t="str">
        <f>HYPERLINK("http://nsgreg.nga.mil/genc/view?v=291046&amp;end_month=6&amp;end_day=30&amp;end_year=2019","BONAIRE, SINT EUSTATIUS, AND SABA")</f>
        <v>BONAIRE, SINT EUSTATIUS, AND SABA</v>
      </c>
      <c r="I32" s="74" t="str">
        <f>HYPERLINK("http://api.nsgreg.nga.mil/geo-political/GENC/3/3-11/BES","ge:GENC:3:3-11:BES")</f>
        <v>ge:GENC:3:3-11:BES</v>
      </c>
    </row>
    <row r="33" spans="1:9" ht="13.5" customHeight="1" x14ac:dyDescent="0.2">
      <c r="A33" s="63" t="s">
        <v>254</v>
      </c>
      <c r="B33" s="21" t="s">
        <v>184</v>
      </c>
      <c r="C33" s="45" t="s">
        <v>255</v>
      </c>
      <c r="D33" s="44" t="s">
        <v>256</v>
      </c>
      <c r="E33" s="21" t="s">
        <v>257</v>
      </c>
      <c r="F33" s="21" t="s">
        <v>257</v>
      </c>
      <c r="G33" s="53" t="str">
        <f>HYPERLINK("[#]Codes_for_AS_Names!A461:G461","&lt;link&gt;")</f>
        <v>&lt;link&gt;</v>
      </c>
      <c r="H33" s="72" t="str">
        <f>HYPERLINK("http://nsgreg.nga.mil/genc/view?v=291047&amp;end_month=6&amp;end_day=30&amp;end_year=2019","BOSNIA AND HERZEGOVINA")</f>
        <v>BOSNIA AND HERZEGOVINA</v>
      </c>
      <c r="I33" s="72" t="str">
        <f>HYPERLINK("http://api.nsgreg.nga.mil/geo-political/GENC/3/3-11/BIH","ge:GENC:3:3-11:BIH")</f>
        <v>ge:GENC:3:3-11:BIH</v>
      </c>
    </row>
    <row r="34" spans="1:9" ht="13.5" customHeight="1" x14ac:dyDescent="0.2">
      <c r="A34" s="63" t="s">
        <v>258</v>
      </c>
      <c r="B34" s="21" t="s">
        <v>259</v>
      </c>
      <c r="C34" s="45" t="s">
        <v>260</v>
      </c>
      <c r="D34" s="44" t="s">
        <v>261</v>
      </c>
      <c r="E34" s="21" t="s">
        <v>262</v>
      </c>
      <c r="F34" s="21" t="s">
        <v>263</v>
      </c>
      <c r="G34" s="53" t="str">
        <f>HYPERLINK("[#]Codes_for_AS_Names!A464:G464","&lt;link&gt;")</f>
        <v>&lt;link&gt;</v>
      </c>
      <c r="H34" s="72" t="str">
        <f>HYPERLINK("http://nsgreg.nga.mil/genc/view?v=291048&amp;end_month=6&amp;end_day=30&amp;end_year=2019","BOTSWANA")</f>
        <v>BOTSWANA</v>
      </c>
      <c r="I34" s="72" t="str">
        <f>HYPERLINK("http://api.nsgreg.nga.mil/geo-political/GENC/3/3-11/BWA","ge:GENC:3:3-11:BWA")</f>
        <v>ge:GENC:3:3-11:BWA</v>
      </c>
    </row>
    <row r="35" spans="1:9" ht="13.5" customHeight="1" x14ac:dyDescent="0.2">
      <c r="A35" s="63" t="s">
        <v>264</v>
      </c>
      <c r="B35" s="21" t="s">
        <v>265</v>
      </c>
      <c r="C35" s="45" t="s">
        <v>266</v>
      </c>
      <c r="D35" s="44" t="s">
        <v>267</v>
      </c>
      <c r="E35" s="21" t="s">
        <v>268</v>
      </c>
      <c r="F35" s="21" t="s">
        <v>268</v>
      </c>
      <c r="G35" s="83"/>
      <c r="H35" s="72" t="str">
        <f>HYPERLINK("http://nsgreg.nga.mil/genc/view?v=291049&amp;end_month=6&amp;end_day=30&amp;end_year=2019","BOUVET ISLAND")</f>
        <v>BOUVET ISLAND</v>
      </c>
      <c r="I35" s="72" t="str">
        <f>HYPERLINK("http://api.nsgreg.nga.mil/geo-political/GENC/3/3-11/BVT","ge:GENC:3:3-11:BVT")</f>
        <v>ge:GENC:3:3-11:BVT</v>
      </c>
    </row>
    <row r="36" spans="1:9" ht="13.5" customHeight="1" x14ac:dyDescent="0.2">
      <c r="A36" s="64" t="s">
        <v>269</v>
      </c>
      <c r="B36" s="47" t="s">
        <v>270</v>
      </c>
      <c r="C36" s="48" t="s">
        <v>271</v>
      </c>
      <c r="D36" s="46" t="s">
        <v>272</v>
      </c>
      <c r="E36" s="47" t="s">
        <v>273</v>
      </c>
      <c r="F36" s="47" t="s">
        <v>274</v>
      </c>
      <c r="G36" s="54" t="str">
        <f>HYPERLINK("[#]Codes_for_AS_Names!A480:G480","&lt;link&gt;")</f>
        <v>&lt;link&gt;</v>
      </c>
      <c r="H36" s="73" t="str">
        <f>HYPERLINK("http://nsgreg.nga.mil/genc/view?v=291050&amp;end_month=6&amp;end_day=30&amp;end_year=2019","BRAZIL")</f>
        <v>BRAZIL</v>
      </c>
      <c r="I36" s="73" t="str">
        <f>HYPERLINK("http://api.nsgreg.nga.mil/geo-political/GENC/3/3-11/BRA","ge:GENC:3:3-11:BRA")</f>
        <v>ge:GENC:3:3-11:BRA</v>
      </c>
    </row>
    <row r="37" spans="1:9" ht="13.5" customHeight="1" x14ac:dyDescent="0.2">
      <c r="A37" s="65" t="s">
        <v>275</v>
      </c>
      <c r="B37" s="42" t="s">
        <v>276</v>
      </c>
      <c r="C37" s="43" t="s">
        <v>277</v>
      </c>
      <c r="D37" s="41" t="s">
        <v>278</v>
      </c>
      <c r="E37" s="42" t="s">
        <v>279</v>
      </c>
      <c r="F37" s="42" t="s">
        <v>279</v>
      </c>
      <c r="G37" s="85"/>
      <c r="H37" s="74" t="str">
        <f>HYPERLINK("http://nsgreg.nga.mil/genc/view?v=291051&amp;end_month=6&amp;end_day=30&amp;end_year=2019","BRITISH INDIAN OCEAN TERRITORY")</f>
        <v>BRITISH INDIAN OCEAN TERRITORY</v>
      </c>
      <c r="I37" s="74" t="str">
        <f>HYPERLINK("http://api.nsgreg.nga.mil/geo-political/GENC/3/3-11/IOT","ge:GENC:3:3-11:IOT")</f>
        <v>ge:GENC:3:3-11:IOT</v>
      </c>
    </row>
    <row r="38" spans="1:9" ht="13.5" customHeight="1" x14ac:dyDescent="0.2">
      <c r="A38" s="63" t="s">
        <v>280</v>
      </c>
      <c r="B38" s="21" t="s">
        <v>231</v>
      </c>
      <c r="C38" s="45" t="s">
        <v>281</v>
      </c>
      <c r="D38" s="44" t="s">
        <v>282</v>
      </c>
      <c r="E38" s="21" t="s">
        <v>283</v>
      </c>
      <c r="F38" s="21" t="s">
        <v>284</v>
      </c>
      <c r="G38" s="53" t="str">
        <f>HYPERLINK("[#]Codes_for_AS_Names!A507:G507","&lt;link&gt;")</f>
        <v>&lt;link&gt;</v>
      </c>
      <c r="H38" s="72" t="str">
        <f>HYPERLINK("http://nsgreg.nga.mil/genc/view?v=291052&amp;end_month=6&amp;end_day=30&amp;end_year=2019","BRUNEI")</f>
        <v>BRUNEI</v>
      </c>
      <c r="I38" s="72" t="str">
        <f>HYPERLINK("http://api.nsgreg.nga.mil/geo-political/GENC/3/3-11/BRN","ge:GENC:3:3-11:BRN")</f>
        <v>ge:GENC:3:3-11:BRN</v>
      </c>
    </row>
    <row r="39" spans="1:9" ht="13.5" customHeight="1" x14ac:dyDescent="0.2">
      <c r="A39" s="63" t="s">
        <v>285</v>
      </c>
      <c r="B39" s="21" t="s">
        <v>196</v>
      </c>
      <c r="C39" s="45" t="s">
        <v>286</v>
      </c>
      <c r="D39" s="44" t="s">
        <v>287</v>
      </c>
      <c r="E39" s="21" t="s">
        <v>288</v>
      </c>
      <c r="F39" s="21" t="s">
        <v>289</v>
      </c>
      <c r="G39" s="53" t="str">
        <f>HYPERLINK("[#]Codes_for_AS_Names!A511:G511","&lt;link&gt;")</f>
        <v>&lt;link&gt;</v>
      </c>
      <c r="H39" s="72" t="str">
        <f>HYPERLINK("http://nsgreg.nga.mil/genc/view?v=291053&amp;end_month=6&amp;end_day=30&amp;end_year=2019","BULGARIA")</f>
        <v>BULGARIA</v>
      </c>
      <c r="I39" s="72" t="str">
        <f>HYPERLINK("http://api.nsgreg.nga.mil/geo-political/GENC/3/3-11/BGR","ge:GENC:3:3-11:BGR")</f>
        <v>ge:GENC:3:3-11:BGR</v>
      </c>
    </row>
    <row r="40" spans="1:9" ht="13.5" customHeight="1" x14ac:dyDescent="0.2">
      <c r="A40" s="63" t="s">
        <v>290</v>
      </c>
      <c r="B40" s="21" t="s">
        <v>177</v>
      </c>
      <c r="C40" s="45" t="s">
        <v>291</v>
      </c>
      <c r="D40" s="44" t="s">
        <v>292</v>
      </c>
      <c r="E40" s="21" t="s">
        <v>293</v>
      </c>
      <c r="F40" s="21" t="s">
        <v>293</v>
      </c>
      <c r="G40" s="53" t="str">
        <f>HYPERLINK("[#]Codes_for_AS_Names!A539:G539","&lt;link&gt;")</f>
        <v>&lt;link&gt;</v>
      </c>
      <c r="H40" s="72" t="str">
        <f>HYPERLINK("http://nsgreg.nga.mil/genc/view?v=291054&amp;end_month=6&amp;end_day=30&amp;end_year=2019","BURKINA FASO")</f>
        <v>BURKINA FASO</v>
      </c>
      <c r="I40" s="72" t="str">
        <f>HYPERLINK("http://api.nsgreg.nga.mil/geo-political/GENC/3/3-11/BFA","ge:GENC:3:3-11:BFA")</f>
        <v>ge:GENC:3:3-11:BFA</v>
      </c>
    </row>
    <row r="41" spans="1:9" ht="13.5" customHeight="1" x14ac:dyDescent="0.2">
      <c r="A41" s="64" t="s">
        <v>294</v>
      </c>
      <c r="B41" s="47" t="s">
        <v>295</v>
      </c>
      <c r="C41" s="48" t="s">
        <v>296</v>
      </c>
      <c r="D41" s="46" t="s">
        <v>297</v>
      </c>
      <c r="E41" s="47" t="s">
        <v>298</v>
      </c>
      <c r="F41" s="47" t="s">
        <v>299</v>
      </c>
      <c r="G41" s="54" t="str">
        <f>HYPERLINK("[#]Codes_for_AS_Names!A597:G597","&lt;link&gt;")</f>
        <v>&lt;link&gt;</v>
      </c>
      <c r="H41" s="73" t="str">
        <f>HYPERLINK("http://nsgreg.nga.mil/genc/view?v=291055&amp;end_month=6&amp;end_day=30&amp;end_year=2019","BURMA")</f>
        <v>BURMA</v>
      </c>
      <c r="I41" s="73" t="str">
        <f>HYPERLINK("http://api.nsgreg.nga.mil/geo-political/GENC/3/3-11/MMR","ge:GENC:3:3-11:MMR")</f>
        <v>ge:GENC:3:3-11:MMR</v>
      </c>
    </row>
    <row r="42" spans="1:9" ht="13.5" customHeight="1" x14ac:dyDescent="0.2">
      <c r="A42" s="65" t="s">
        <v>300</v>
      </c>
      <c r="B42" s="42" t="s">
        <v>301</v>
      </c>
      <c r="C42" s="43" t="s">
        <v>302</v>
      </c>
      <c r="D42" s="41" t="s">
        <v>303</v>
      </c>
      <c r="E42" s="42" t="s">
        <v>304</v>
      </c>
      <c r="F42" s="42" t="s">
        <v>305</v>
      </c>
      <c r="G42" s="52" t="str">
        <f>HYPERLINK("[#]Codes_for_AS_Names!A612:G612","&lt;link&gt;")</f>
        <v>&lt;link&gt;</v>
      </c>
      <c r="H42" s="74" t="str">
        <f>HYPERLINK("http://nsgreg.nga.mil/genc/view?v=291056&amp;end_month=6&amp;end_day=30&amp;end_year=2019","BURUNDI")</f>
        <v>BURUNDI</v>
      </c>
      <c r="I42" s="74" t="str">
        <f>HYPERLINK("http://api.nsgreg.nga.mil/geo-political/GENC/3/3-11/BDI","ge:GENC:3:3-11:BDI")</f>
        <v>ge:GENC:3:3-11:BDI</v>
      </c>
    </row>
    <row r="43" spans="1:9" ht="13.5" customHeight="1" x14ac:dyDescent="0.2">
      <c r="A43" s="63" t="s">
        <v>306</v>
      </c>
      <c r="B43" s="21" t="s">
        <v>307</v>
      </c>
      <c r="C43" s="45" t="s">
        <v>308</v>
      </c>
      <c r="D43" s="44" t="s">
        <v>309</v>
      </c>
      <c r="E43" s="21" t="s">
        <v>310</v>
      </c>
      <c r="F43" s="21" t="s">
        <v>311</v>
      </c>
      <c r="G43" s="53" t="str">
        <f>HYPERLINK("[#]Codes_for_AS_Names!A630:G630","&lt;link&gt;")</f>
        <v>&lt;link&gt;</v>
      </c>
      <c r="H43" s="72" t="str">
        <f>HYPERLINK("http://nsgreg.nga.mil/genc/view?v=291057&amp;end_month=6&amp;end_day=30&amp;end_year=2019","CABO VERDE")</f>
        <v>CABO VERDE</v>
      </c>
      <c r="I43" s="72" t="str">
        <f>HYPERLINK("http://api.nsgreg.nga.mil/geo-political/GENC/3/3-11/CPV","ge:GENC:3:3-11:CPV")</f>
        <v>ge:GENC:3:3-11:CPV</v>
      </c>
    </row>
    <row r="44" spans="1:9" ht="13.5" customHeight="1" x14ac:dyDescent="0.2">
      <c r="A44" s="63" t="s">
        <v>312</v>
      </c>
      <c r="B44" s="21" t="s">
        <v>313</v>
      </c>
      <c r="C44" s="45" t="s">
        <v>314</v>
      </c>
      <c r="D44" s="44" t="s">
        <v>315</v>
      </c>
      <c r="E44" s="21" t="s">
        <v>316</v>
      </c>
      <c r="F44" s="21" t="s">
        <v>317</v>
      </c>
      <c r="G44" s="53" t="str">
        <f>HYPERLINK("[#]Codes_for_AS_Names!A654:G654","&lt;link&gt;")</f>
        <v>&lt;link&gt;</v>
      </c>
      <c r="H44" s="72" t="str">
        <f>HYPERLINK("http://nsgreg.nga.mil/genc/view?v=291058&amp;end_month=6&amp;end_day=30&amp;end_year=2019","CAMBODIA")</f>
        <v>CAMBODIA</v>
      </c>
      <c r="I44" s="72" t="str">
        <f>HYPERLINK("http://api.nsgreg.nga.mil/geo-political/GENC/3/3-11/KHM","ge:GENC:3:3-11:KHM")</f>
        <v>ge:GENC:3:3-11:KHM</v>
      </c>
    </row>
    <row r="45" spans="1:9" ht="13.5" customHeight="1" x14ac:dyDescent="0.2">
      <c r="A45" s="63" t="s">
        <v>318</v>
      </c>
      <c r="B45" s="21" t="s">
        <v>319</v>
      </c>
      <c r="C45" s="45" t="s">
        <v>320</v>
      </c>
      <c r="D45" s="44" t="s">
        <v>321</v>
      </c>
      <c r="E45" s="21" t="s">
        <v>322</v>
      </c>
      <c r="F45" s="21" t="s">
        <v>323</v>
      </c>
      <c r="G45" s="53" t="str">
        <f>HYPERLINK("[#]Codes_for_AS_Names!A679:G679","&lt;link&gt;")</f>
        <v>&lt;link&gt;</v>
      </c>
      <c r="H45" s="72" t="str">
        <f>HYPERLINK("http://nsgreg.nga.mil/genc/view?v=291059&amp;end_month=6&amp;end_day=30&amp;end_year=2019","CAMEROON")</f>
        <v>CAMEROON</v>
      </c>
      <c r="I45" s="72" t="str">
        <f>HYPERLINK("http://api.nsgreg.nga.mil/geo-political/GENC/3/3-11/CMR","ge:GENC:3:3-11:CMR")</f>
        <v>ge:GENC:3:3-11:CMR</v>
      </c>
    </row>
    <row r="46" spans="1:9" ht="13.5" customHeight="1" x14ac:dyDescent="0.2">
      <c r="A46" s="64" t="s">
        <v>324</v>
      </c>
      <c r="B46" s="47" t="s">
        <v>325</v>
      </c>
      <c r="C46" s="48" t="s">
        <v>326</v>
      </c>
      <c r="D46" s="46" t="s">
        <v>327</v>
      </c>
      <c r="E46" s="47" t="s">
        <v>328</v>
      </c>
      <c r="F46" s="47" t="s">
        <v>328</v>
      </c>
      <c r="G46" s="54" t="str">
        <f>HYPERLINK("[#]Codes_for_AS_Names!A689:G689","&lt;link&gt;")</f>
        <v>&lt;link&gt;</v>
      </c>
      <c r="H46" s="73" t="str">
        <f>HYPERLINK("http://nsgreg.nga.mil/genc/view?v=291060&amp;end_month=6&amp;end_day=30&amp;end_year=2019","CANADA")</f>
        <v>CANADA</v>
      </c>
      <c r="I46" s="73" t="str">
        <f>HYPERLINK("http://api.nsgreg.nga.mil/geo-political/GENC/3/3-11/CAN","ge:GENC:3:3-11:CAN")</f>
        <v>ge:GENC:3:3-11:CAN</v>
      </c>
    </row>
    <row r="47" spans="1:9" ht="13.5" customHeight="1" x14ac:dyDescent="0.2">
      <c r="A47" s="65" t="s">
        <v>329</v>
      </c>
      <c r="B47" s="42" t="s">
        <v>330</v>
      </c>
      <c r="C47" s="43" t="s">
        <v>331</v>
      </c>
      <c r="D47" s="41" t="s">
        <v>332</v>
      </c>
      <c r="E47" s="42" t="s">
        <v>333</v>
      </c>
      <c r="F47" s="42" t="s">
        <v>333</v>
      </c>
      <c r="G47" s="85"/>
      <c r="H47" s="74" t="str">
        <f>HYPERLINK("http://nsgreg.nga.mil/genc/view?v=291061&amp;end_month=6&amp;end_day=30&amp;end_year=2019","CAYMAN ISLANDS")</f>
        <v>CAYMAN ISLANDS</v>
      </c>
      <c r="I47" s="74" t="str">
        <f>HYPERLINK("http://api.nsgreg.nga.mil/geo-political/GENC/3/3-11/CYM","ge:GENC:3:3-11:CYM")</f>
        <v>ge:GENC:3:3-11:CYM</v>
      </c>
    </row>
    <row r="48" spans="1:9" ht="13.5" customHeight="1" x14ac:dyDescent="0.2">
      <c r="A48" s="63" t="s">
        <v>334</v>
      </c>
      <c r="B48" s="21" t="s">
        <v>335</v>
      </c>
      <c r="C48" s="45" t="s">
        <v>336</v>
      </c>
      <c r="D48" s="44" t="s">
        <v>337</v>
      </c>
      <c r="E48" s="21" t="s">
        <v>338</v>
      </c>
      <c r="F48" s="21" t="s">
        <v>338</v>
      </c>
      <c r="G48" s="53" t="str">
        <f>HYPERLINK("[#]Codes_for_AS_Names!A702:G702","&lt;link&gt;")</f>
        <v>&lt;link&gt;</v>
      </c>
      <c r="H48" s="72" t="str">
        <f>HYPERLINK("http://nsgreg.nga.mil/genc/view?v=291062&amp;end_month=6&amp;end_day=30&amp;end_year=2019","CENTRAL AFRICAN REPUBLIC")</f>
        <v>CENTRAL AFRICAN REPUBLIC</v>
      </c>
      <c r="I48" s="72" t="str">
        <f>HYPERLINK("http://api.nsgreg.nga.mil/geo-political/GENC/3/3-11/CAF","ge:GENC:3:3-11:CAF")</f>
        <v>ge:GENC:3:3-11:CAF</v>
      </c>
    </row>
    <row r="49" spans="1:9" ht="13.5" customHeight="1" x14ac:dyDescent="0.2">
      <c r="A49" s="63" t="s">
        <v>339</v>
      </c>
      <c r="B49" s="21" t="s">
        <v>340</v>
      </c>
      <c r="C49" s="45" t="s">
        <v>341</v>
      </c>
      <c r="D49" s="44" t="s">
        <v>342</v>
      </c>
      <c r="E49" s="21" t="s">
        <v>343</v>
      </c>
      <c r="F49" s="21" t="s">
        <v>344</v>
      </c>
      <c r="G49" s="53" t="str">
        <f>HYPERLINK("[#]Codes_for_AS_Names!A719:G719","&lt;link&gt;")</f>
        <v>&lt;link&gt;</v>
      </c>
      <c r="H49" s="72" t="str">
        <f>HYPERLINK("http://nsgreg.nga.mil/genc/view?v=291063&amp;end_month=6&amp;end_day=30&amp;end_year=2019","CHAD")</f>
        <v>CHAD</v>
      </c>
      <c r="I49" s="72" t="str">
        <f>HYPERLINK("http://api.nsgreg.nga.mil/geo-political/GENC/3/3-11/TCD","ge:GENC:3:3-11:TCD")</f>
        <v>ge:GENC:3:3-11:TCD</v>
      </c>
    </row>
    <row r="50" spans="1:9" ht="13.5" customHeight="1" x14ac:dyDescent="0.2">
      <c r="A50" s="63" t="s">
        <v>346</v>
      </c>
      <c r="B50" s="21" t="s">
        <v>347</v>
      </c>
      <c r="C50" s="45" t="s">
        <v>348</v>
      </c>
      <c r="D50" s="44" t="s">
        <v>349</v>
      </c>
      <c r="E50" s="21" t="s">
        <v>350</v>
      </c>
      <c r="F50" s="21" t="s">
        <v>351</v>
      </c>
      <c r="G50" s="53" t="str">
        <f>HYPERLINK("[#]Codes_for_AS_Names!A742:G742","&lt;link&gt;")</f>
        <v>&lt;link&gt;</v>
      </c>
      <c r="H50" s="72" t="str">
        <f>HYPERLINK("http://nsgreg.nga.mil/genc/view?v=291064&amp;end_month=6&amp;end_day=30&amp;end_year=2019","CHILE")</f>
        <v>CHILE</v>
      </c>
      <c r="I50" s="72" t="str">
        <f>HYPERLINK("http://api.nsgreg.nga.mil/geo-political/GENC/3/3-11/CHL","ge:GENC:3:3-11:CHL")</f>
        <v>ge:GENC:3:3-11:CHL</v>
      </c>
    </row>
    <row r="51" spans="1:9" ht="13.5" customHeight="1" x14ac:dyDescent="0.2">
      <c r="A51" s="64" t="s">
        <v>353</v>
      </c>
      <c r="B51" s="47" t="s">
        <v>354</v>
      </c>
      <c r="C51" s="48" t="s">
        <v>355</v>
      </c>
      <c r="D51" s="46" t="s">
        <v>356</v>
      </c>
      <c r="E51" s="47" t="s">
        <v>357</v>
      </c>
      <c r="F51" s="47" t="s">
        <v>358</v>
      </c>
      <c r="G51" s="54" t="str">
        <f>HYPERLINK("[#]Codes_for_AS_Names!A758:G758","&lt;link&gt;")</f>
        <v>&lt;link&gt;</v>
      </c>
      <c r="H51" s="73" t="str">
        <f>HYPERLINK("http://nsgreg.nga.mil/genc/view?v=291065&amp;end_month=6&amp;end_day=30&amp;end_year=2019","CHINA")</f>
        <v>CHINA</v>
      </c>
      <c r="I51" s="73" t="str">
        <f>HYPERLINK("http://api.nsgreg.nga.mil/geo-political/GENC/3/3-11/CHN","ge:GENC:3:3-11:CHN")</f>
        <v>ge:GENC:3:3-11:CHN</v>
      </c>
    </row>
    <row r="52" spans="1:9" ht="13.5" customHeight="1" x14ac:dyDescent="0.2">
      <c r="A52" s="65" t="s">
        <v>360</v>
      </c>
      <c r="B52" s="42" t="s">
        <v>361</v>
      </c>
      <c r="C52" s="43" t="s">
        <v>362</v>
      </c>
      <c r="D52" s="41" t="s">
        <v>363</v>
      </c>
      <c r="E52" s="42" t="s">
        <v>364</v>
      </c>
      <c r="F52" s="42" t="s">
        <v>365</v>
      </c>
      <c r="G52" s="85"/>
      <c r="H52" s="74" t="str">
        <f>HYPERLINK("http://nsgreg.nga.mil/genc/view?v=291066&amp;end_month=6&amp;end_day=30&amp;end_year=2019","CHRISTMAS ISLAND")</f>
        <v>CHRISTMAS ISLAND</v>
      </c>
      <c r="I52" s="74" t="str">
        <f>HYPERLINK("http://api.nsgreg.nga.mil/geo-political/GENC/3/3-11/CXR","ge:GENC:3:3-11:CXR")</f>
        <v>ge:GENC:3:3-11:CXR</v>
      </c>
    </row>
    <row r="53" spans="1:9" ht="13.5" customHeight="1" x14ac:dyDescent="0.2">
      <c r="A53" s="63" t="s">
        <v>366</v>
      </c>
      <c r="B53" s="21" t="s">
        <v>367</v>
      </c>
      <c r="C53" s="45" t="s">
        <v>368</v>
      </c>
      <c r="D53" s="44" t="s">
        <v>369</v>
      </c>
      <c r="E53" s="21" t="s">
        <v>370</v>
      </c>
      <c r="F53" s="21" t="s">
        <v>370</v>
      </c>
      <c r="G53" s="83"/>
      <c r="H53" s="72" t="str">
        <f>HYPERLINK("http://nsgreg.nga.mil/genc/view?v=291067&amp;end_month=6&amp;end_day=30&amp;end_year=2019","CLIPPERTON ISLAND")</f>
        <v>CLIPPERTON ISLAND</v>
      </c>
      <c r="I53" s="72" t="str">
        <f>HYPERLINK("http://api.nsgreg.nga.mil/geo-political/GENC/3/3-11/CPT","ge:GENC:3:3-11:CPT")</f>
        <v>ge:GENC:3:3-11:CPT</v>
      </c>
    </row>
    <row r="54" spans="1:9" ht="13.5" customHeight="1" x14ac:dyDescent="0.2">
      <c r="A54" s="63" t="s">
        <v>371</v>
      </c>
      <c r="B54" s="21" t="s">
        <v>372</v>
      </c>
      <c r="C54" s="45" t="s">
        <v>373</v>
      </c>
      <c r="D54" s="44" t="s">
        <v>374</v>
      </c>
      <c r="E54" s="21" t="s">
        <v>375</v>
      </c>
      <c r="F54" s="21" t="s">
        <v>376</v>
      </c>
      <c r="G54" s="83"/>
      <c r="H54" s="72" t="str">
        <f>HYPERLINK("http://nsgreg.nga.mil/genc/view?v=291068&amp;end_month=6&amp;end_day=30&amp;end_year=2019","COCOS (KEELING) ISLANDS")</f>
        <v>COCOS (KEELING) ISLANDS</v>
      </c>
      <c r="I54" s="72" t="str">
        <f>HYPERLINK("http://api.nsgreg.nga.mil/geo-political/GENC/3/3-11/CCK","ge:GENC:3:3-11:CCK")</f>
        <v>ge:GENC:3:3-11:CCK</v>
      </c>
    </row>
    <row r="55" spans="1:9" ht="13.5" customHeight="1" x14ac:dyDescent="0.2">
      <c r="A55" s="63" t="s">
        <v>378</v>
      </c>
      <c r="B55" s="21" t="s">
        <v>379</v>
      </c>
      <c r="C55" s="45" t="s">
        <v>380</v>
      </c>
      <c r="D55" s="44" t="s">
        <v>381</v>
      </c>
      <c r="E55" s="21" t="s">
        <v>382</v>
      </c>
      <c r="F55" s="21" t="s">
        <v>383</v>
      </c>
      <c r="G55" s="53" t="str">
        <f>HYPERLINK("[#]Codes_for_AS_Names!A789:G789","&lt;link&gt;")</f>
        <v>&lt;link&gt;</v>
      </c>
      <c r="H55" s="72" t="str">
        <f>HYPERLINK("http://nsgreg.nga.mil/genc/view?v=291069&amp;end_month=6&amp;end_day=30&amp;end_year=2019","COLOMBIA")</f>
        <v>COLOMBIA</v>
      </c>
      <c r="I55" s="72" t="str">
        <f>HYPERLINK("http://api.nsgreg.nga.mil/geo-political/GENC/3/3-11/COL","ge:GENC:3:3-11:COL")</f>
        <v>ge:GENC:3:3-11:COL</v>
      </c>
    </row>
    <row r="56" spans="1:9" ht="13.5" customHeight="1" x14ac:dyDescent="0.2">
      <c r="A56" s="64" t="s">
        <v>384</v>
      </c>
      <c r="B56" s="47" t="s">
        <v>385</v>
      </c>
      <c r="C56" s="48" t="s">
        <v>386</v>
      </c>
      <c r="D56" s="46" t="s">
        <v>387</v>
      </c>
      <c r="E56" s="47" t="s">
        <v>388</v>
      </c>
      <c r="F56" s="47" t="s">
        <v>389</v>
      </c>
      <c r="G56" s="54" t="str">
        <f>HYPERLINK("[#]Codes_for_AS_Names!A822:G822","&lt;link&gt;")</f>
        <v>&lt;link&gt;</v>
      </c>
      <c r="H56" s="73" t="str">
        <f>HYPERLINK("http://nsgreg.nga.mil/genc/view?v=291070&amp;end_month=6&amp;end_day=30&amp;end_year=2019","COMOROS")</f>
        <v>COMOROS</v>
      </c>
      <c r="I56" s="73" t="str">
        <f>HYPERLINK("http://api.nsgreg.nga.mil/geo-political/GENC/3/3-11/COM","ge:GENC:3:3-11:COM")</f>
        <v>ge:GENC:3:3-11:COM</v>
      </c>
    </row>
    <row r="57" spans="1:9" ht="13.5" customHeight="1" x14ac:dyDescent="0.2">
      <c r="A57" s="65" t="s">
        <v>390</v>
      </c>
      <c r="B57" s="42" t="s">
        <v>391</v>
      </c>
      <c r="C57" s="43" t="s">
        <v>392</v>
      </c>
      <c r="D57" s="41" t="s">
        <v>393</v>
      </c>
      <c r="E57" s="42" t="s">
        <v>394</v>
      </c>
      <c r="F57" s="42" t="s">
        <v>395</v>
      </c>
      <c r="G57" s="52" t="str">
        <f>HYPERLINK("[#]Codes_for_AS_Names!A825:G825","&lt;link&gt;")</f>
        <v>&lt;link&gt;</v>
      </c>
      <c r="H57" s="74" t="str">
        <f>HYPERLINK("http://nsgreg.nga.mil/genc/view?v=291071&amp;end_month=6&amp;end_day=30&amp;end_year=2019","CONGO (BRAZZAVILLE)")</f>
        <v>CONGO (BRAZZAVILLE)</v>
      </c>
      <c r="I57" s="74" t="str">
        <f>HYPERLINK("http://api.nsgreg.nga.mil/geo-political/GENC/3/3-11/COG","ge:GENC:3:3-11:COG")</f>
        <v>ge:GENC:3:3-11:COG</v>
      </c>
    </row>
    <row r="58" spans="1:9" ht="13.5" customHeight="1" x14ac:dyDescent="0.2">
      <c r="A58" s="63" t="s">
        <v>396</v>
      </c>
      <c r="B58" s="21" t="s">
        <v>345</v>
      </c>
      <c r="C58" s="45" t="s">
        <v>397</v>
      </c>
      <c r="D58" s="44" t="s">
        <v>398</v>
      </c>
      <c r="E58" s="21" t="s">
        <v>399</v>
      </c>
      <c r="F58" s="21" t="s">
        <v>400</v>
      </c>
      <c r="G58" s="53" t="str">
        <f>HYPERLINK("[#]Codes_for_AS_Names!A837:G837","&lt;link&gt;")</f>
        <v>&lt;link&gt;</v>
      </c>
      <c r="H58" s="72" t="str">
        <f>HYPERLINK("http://nsgreg.nga.mil/genc/view?v=291072&amp;end_month=6&amp;end_day=30&amp;end_year=2019","CONGO (KINSHASA)")</f>
        <v>CONGO (KINSHASA)</v>
      </c>
      <c r="I58" s="72" t="str">
        <f>HYPERLINK("http://api.nsgreg.nga.mil/geo-political/GENC/3/3-11/COD","ge:GENC:3:3-11:COD")</f>
        <v>ge:GENC:3:3-11:COD</v>
      </c>
    </row>
    <row r="59" spans="1:9" ht="13.5" customHeight="1" x14ac:dyDescent="0.2">
      <c r="A59" s="63" t="s">
        <v>401</v>
      </c>
      <c r="B59" s="21" t="s">
        <v>377</v>
      </c>
      <c r="C59" s="45" t="s">
        <v>402</v>
      </c>
      <c r="D59" s="44" t="s">
        <v>403</v>
      </c>
      <c r="E59" s="21" t="s">
        <v>404</v>
      </c>
      <c r="F59" s="21" t="s">
        <v>404</v>
      </c>
      <c r="G59" s="83"/>
      <c r="H59" s="72" t="str">
        <f>HYPERLINK("http://nsgreg.nga.mil/genc/view?v=291073&amp;end_month=6&amp;end_day=30&amp;end_year=2019","COOK ISLANDS")</f>
        <v>COOK ISLANDS</v>
      </c>
      <c r="I59" s="72" t="str">
        <f>HYPERLINK("http://api.nsgreg.nga.mil/geo-political/GENC/3/3-11/COK","ge:GENC:3:3-11:COK")</f>
        <v>ge:GENC:3:3-11:COK</v>
      </c>
    </row>
    <row r="60" spans="1:9" ht="13.5" customHeight="1" x14ac:dyDescent="0.2">
      <c r="A60" s="63" t="s">
        <v>406</v>
      </c>
      <c r="B60" s="21" t="s">
        <v>407</v>
      </c>
      <c r="C60" s="45" t="s">
        <v>408</v>
      </c>
      <c r="D60" s="44" t="s">
        <v>409</v>
      </c>
      <c r="E60" s="21" t="s">
        <v>410</v>
      </c>
      <c r="F60" s="21" t="s">
        <v>411</v>
      </c>
      <c r="G60" s="83"/>
      <c r="H60" s="72" t="str">
        <f>HYPERLINK("http://nsgreg.nga.mil/genc/view?v=291074&amp;end_month=6&amp;end_day=30&amp;end_year=2019","CORAL SEA ISLANDS")</f>
        <v>CORAL SEA ISLANDS</v>
      </c>
      <c r="I60" s="72" t="str">
        <f>HYPERLINK("http://api.nsgreg.nga.mil/geo-political/GENC/3/3-11/XCS","ge:GENC:3:3-11:XCS")</f>
        <v>ge:GENC:3:3-11:XCS</v>
      </c>
    </row>
    <row r="61" spans="1:9" ht="13.5" customHeight="1" x14ac:dyDescent="0.2">
      <c r="A61" s="64" t="s">
        <v>413</v>
      </c>
      <c r="B61" s="47" t="s">
        <v>412</v>
      </c>
      <c r="C61" s="48" t="s">
        <v>414</v>
      </c>
      <c r="D61" s="46" t="s">
        <v>415</v>
      </c>
      <c r="E61" s="47" t="s">
        <v>416</v>
      </c>
      <c r="F61" s="47" t="s">
        <v>417</v>
      </c>
      <c r="G61" s="54" t="str">
        <f>HYPERLINK("[#]Codes_for_AS_Names!A863:G863","&lt;link&gt;")</f>
        <v>&lt;link&gt;</v>
      </c>
      <c r="H61" s="73" t="str">
        <f>HYPERLINK("http://nsgreg.nga.mil/genc/view?v=291075&amp;end_month=6&amp;end_day=30&amp;end_year=2019","COSTA RICA")</f>
        <v>COSTA RICA</v>
      </c>
      <c r="I61" s="73" t="str">
        <f>HYPERLINK("http://api.nsgreg.nga.mil/geo-political/GENC/3/3-11/CRI","ge:GENC:3:3-11:CRI")</f>
        <v>ge:GENC:3:3-11:CRI</v>
      </c>
    </row>
    <row r="62" spans="1:9" ht="13.5" customHeight="1" x14ac:dyDescent="0.2">
      <c r="A62" s="65" t="s">
        <v>418</v>
      </c>
      <c r="B62" s="42" t="s">
        <v>352</v>
      </c>
      <c r="C62" s="43" t="s">
        <v>419</v>
      </c>
      <c r="D62" s="41" t="s">
        <v>420</v>
      </c>
      <c r="E62" s="42" t="s">
        <v>421</v>
      </c>
      <c r="F62" s="42" t="s">
        <v>422</v>
      </c>
      <c r="G62" s="52" t="str">
        <f>HYPERLINK("[#]Codes_for_AS_Names!A870:G870","&lt;link&gt;")</f>
        <v>&lt;link&gt;</v>
      </c>
      <c r="H62" s="74" t="str">
        <f>HYPERLINK("http://nsgreg.nga.mil/genc/view?v=291076&amp;end_month=6&amp;end_day=30&amp;end_year=2019","CÔTE D’IVOIRE")</f>
        <v>CÔTE D’IVOIRE</v>
      </c>
      <c r="I62" s="74" t="str">
        <f>HYPERLINK("http://api.nsgreg.nga.mil/geo-political/GENC/3/3-11/CIV","ge:GENC:3:3-11:CIV")</f>
        <v>ge:GENC:3:3-11:CIV</v>
      </c>
    </row>
    <row r="63" spans="1:9" ht="13.5" customHeight="1" x14ac:dyDescent="0.2">
      <c r="A63" s="63" t="s">
        <v>423</v>
      </c>
      <c r="B63" s="21" t="s">
        <v>424</v>
      </c>
      <c r="C63" s="45" t="s">
        <v>425</v>
      </c>
      <c r="D63" s="44" t="s">
        <v>426</v>
      </c>
      <c r="E63" s="21" t="s">
        <v>427</v>
      </c>
      <c r="F63" s="21" t="s">
        <v>428</v>
      </c>
      <c r="G63" s="53" t="str">
        <f>HYPERLINK("[#]Codes_for_AS_Names!A884:G884","&lt;link&gt;")</f>
        <v>&lt;link&gt;</v>
      </c>
      <c r="H63" s="72" t="str">
        <f>HYPERLINK("http://nsgreg.nga.mil/genc/view?v=291077&amp;end_month=6&amp;end_day=30&amp;end_year=2019","CROATIA")</f>
        <v>CROATIA</v>
      </c>
      <c r="I63" s="72" t="str">
        <f>HYPERLINK("http://api.nsgreg.nga.mil/geo-political/GENC/3/3-11/HRV","ge:GENC:3:3-11:HRV")</f>
        <v>ge:GENC:3:3-11:HRV</v>
      </c>
    </row>
    <row r="64" spans="1:9" ht="13.5" customHeight="1" x14ac:dyDescent="0.2">
      <c r="A64" s="63" t="s">
        <v>429</v>
      </c>
      <c r="B64" s="21" t="s">
        <v>430</v>
      </c>
      <c r="C64" s="45" t="s">
        <v>431</v>
      </c>
      <c r="D64" s="44" t="s">
        <v>432</v>
      </c>
      <c r="E64" s="21" t="s">
        <v>433</v>
      </c>
      <c r="F64" s="21" t="s">
        <v>434</v>
      </c>
      <c r="G64" s="53" t="str">
        <f>HYPERLINK("[#]Codes_for_AS_Names!A905:G905","&lt;link&gt;")</f>
        <v>&lt;link&gt;</v>
      </c>
      <c r="H64" s="72" t="str">
        <f>HYPERLINK("http://nsgreg.nga.mil/genc/view?v=291078&amp;end_month=6&amp;end_day=30&amp;end_year=2019","CUBA")</f>
        <v>CUBA</v>
      </c>
      <c r="I64" s="72" t="str">
        <f>HYPERLINK("http://api.nsgreg.nga.mil/geo-political/GENC/3/3-11/CUB","ge:GENC:3:3-11:CUB")</f>
        <v>ge:GENC:3:3-11:CUB</v>
      </c>
    </row>
    <row r="65" spans="1:9" ht="13.5" customHeight="1" x14ac:dyDescent="0.2">
      <c r="A65" s="63" t="s">
        <v>435</v>
      </c>
      <c r="B65" s="21" t="s">
        <v>405</v>
      </c>
      <c r="C65" s="45" t="s">
        <v>436</v>
      </c>
      <c r="D65" s="44" t="s">
        <v>437</v>
      </c>
      <c r="E65" s="21" t="s">
        <v>438</v>
      </c>
      <c r="F65" s="21" t="s">
        <v>438</v>
      </c>
      <c r="G65" s="83"/>
      <c r="H65" s="72" t="str">
        <f>HYPERLINK("http://nsgreg.nga.mil/genc/view?v=291079&amp;end_month=6&amp;end_day=30&amp;end_year=2019","CURAÇAO")</f>
        <v>CURAÇAO</v>
      </c>
      <c r="I65" s="72" t="str">
        <f>HYPERLINK("http://api.nsgreg.nga.mil/geo-political/GENC/3/3-11/CUW","ge:GENC:3:3-11:CUW")</f>
        <v>ge:GENC:3:3-11:CUW</v>
      </c>
    </row>
    <row r="66" spans="1:9" ht="13.5" customHeight="1" x14ac:dyDescent="0.2">
      <c r="A66" s="64" t="s">
        <v>439</v>
      </c>
      <c r="B66" s="47" t="s">
        <v>440</v>
      </c>
      <c r="C66" s="48" t="s">
        <v>441</v>
      </c>
      <c r="D66" s="46" t="s">
        <v>442</v>
      </c>
      <c r="E66" s="47" t="s">
        <v>443</v>
      </c>
      <c r="F66" s="47" t="s">
        <v>444</v>
      </c>
      <c r="G66" s="54" t="str">
        <f>HYPERLINK("[#]Codes_for_AS_Names!A921:G921","&lt;link&gt;")</f>
        <v>&lt;link&gt;</v>
      </c>
      <c r="H66" s="73" t="str">
        <f>HYPERLINK("http://nsgreg.nga.mil/genc/view?v=291080&amp;end_month=6&amp;end_day=30&amp;end_year=2019","CYPRUS")</f>
        <v>CYPRUS</v>
      </c>
      <c r="I66" s="73" t="str">
        <f>HYPERLINK("http://api.nsgreg.nga.mil/geo-political/GENC/3/3-11/CYP","ge:GENC:3:3-11:CYP")</f>
        <v>ge:GENC:3:3-11:CYP</v>
      </c>
    </row>
    <row r="67" spans="1:9" ht="13.5" customHeight="1" x14ac:dyDescent="0.2">
      <c r="A67" s="65" t="s">
        <v>445</v>
      </c>
      <c r="B67" s="42" t="s">
        <v>446</v>
      </c>
      <c r="C67" s="43" t="s">
        <v>447</v>
      </c>
      <c r="D67" s="41" t="s">
        <v>448</v>
      </c>
      <c r="E67" s="42" t="s">
        <v>449</v>
      </c>
      <c r="F67" s="42" t="s">
        <v>450</v>
      </c>
      <c r="G67" s="52" t="str">
        <f>HYPERLINK("[#]Codes_for_AS_Names!A927:G927","&lt;link&gt;")</f>
        <v>&lt;link&gt;</v>
      </c>
      <c r="H67" s="74" t="str">
        <f>HYPERLINK("http://nsgreg.nga.mil/genc/view?v=291081&amp;end_month=6&amp;end_day=30&amp;end_year=2019","CZECHIA")</f>
        <v>CZECHIA</v>
      </c>
      <c r="I67" s="74" t="str">
        <f>HYPERLINK("http://api.nsgreg.nga.mil/geo-political/GENC/3/3-11/CZE","ge:GENC:3:3-11:CZE")</f>
        <v>ge:GENC:3:3-11:CZE</v>
      </c>
    </row>
    <row r="68" spans="1:9" ht="13.5" customHeight="1" x14ac:dyDescent="0.2">
      <c r="A68" s="63" t="s">
        <v>451</v>
      </c>
      <c r="B68" s="21" t="s">
        <v>452</v>
      </c>
      <c r="C68" s="45" t="s">
        <v>453</v>
      </c>
      <c r="D68" s="44" t="s">
        <v>454</v>
      </c>
      <c r="E68" s="21" t="s">
        <v>455</v>
      </c>
      <c r="F68" s="21" t="s">
        <v>456</v>
      </c>
      <c r="G68" s="53" t="str">
        <f>HYPERLINK("[#]Codes_for_AS_Names!A1017:G1017","&lt;link&gt;")</f>
        <v>&lt;link&gt;</v>
      </c>
      <c r="H68" s="72" t="str">
        <f>HYPERLINK("http://nsgreg.nga.mil/genc/view?v=291082&amp;end_month=6&amp;end_day=30&amp;end_year=2019","DENMARK")</f>
        <v>DENMARK</v>
      </c>
      <c r="I68" s="72" t="str">
        <f>HYPERLINK("http://api.nsgreg.nga.mil/geo-political/GENC/3/3-11/DNK","ge:GENC:3:3-11:DNK")</f>
        <v>ge:GENC:3:3-11:DNK</v>
      </c>
    </row>
    <row r="69" spans="1:9" ht="13.5" customHeight="1" x14ac:dyDescent="0.2">
      <c r="A69" s="63" t="s">
        <v>457</v>
      </c>
      <c r="B69" s="21" t="s">
        <v>458</v>
      </c>
      <c r="C69" s="45" t="s">
        <v>459</v>
      </c>
      <c r="D69" s="44" t="s">
        <v>460</v>
      </c>
      <c r="E69" s="21" t="s">
        <v>461</v>
      </c>
      <c r="F69" s="21" t="s">
        <v>461</v>
      </c>
      <c r="G69" s="83"/>
      <c r="H69" s="72" t="str">
        <f>HYPERLINK("http://nsgreg.nga.mil/genc/view?v=291083&amp;end_month=6&amp;end_day=30&amp;end_year=2019","DHEKELIA")</f>
        <v>DHEKELIA</v>
      </c>
      <c r="I69" s="72" t="str">
        <f>HYPERLINK("http://api.nsgreg.nga.mil/geo-political/GENC/3/3-11/XXD","ge:GENC:3:3-11:XXD")</f>
        <v>ge:GENC:3:3-11:XXD</v>
      </c>
    </row>
    <row r="70" spans="1:9" ht="13.5" customHeight="1" x14ac:dyDescent="0.2">
      <c r="A70" s="63" t="s">
        <v>462</v>
      </c>
      <c r="B70" s="21" t="s">
        <v>463</v>
      </c>
      <c r="C70" s="45" t="s">
        <v>464</v>
      </c>
      <c r="D70" s="44" t="s">
        <v>465</v>
      </c>
      <c r="E70" s="21" t="s">
        <v>466</v>
      </c>
      <c r="F70" s="21" t="s">
        <v>466</v>
      </c>
      <c r="G70" s="83"/>
      <c r="H70" s="72" t="str">
        <f>HYPERLINK("http://nsgreg.nga.mil/genc/view?v=291084&amp;end_month=6&amp;end_day=30&amp;end_year=2019","DIEGO GARCIA")</f>
        <v>DIEGO GARCIA</v>
      </c>
      <c r="I70" s="72" t="str">
        <f>HYPERLINK("http://api.nsgreg.nga.mil/geo-political/GENC/3/3-11/DGA","ge:GENC:3:3-11:DGA")</f>
        <v>ge:GENC:3:3-11:DGA</v>
      </c>
    </row>
    <row r="71" spans="1:9" ht="13.5" customHeight="1" x14ac:dyDescent="0.2">
      <c r="A71" s="64" t="s">
        <v>467</v>
      </c>
      <c r="B71" s="47" t="s">
        <v>468</v>
      </c>
      <c r="C71" s="48" t="s">
        <v>469</v>
      </c>
      <c r="D71" s="46" t="s">
        <v>470</v>
      </c>
      <c r="E71" s="47" t="s">
        <v>471</v>
      </c>
      <c r="F71" s="47" t="s">
        <v>472</v>
      </c>
      <c r="G71" s="54" t="str">
        <f>HYPERLINK("[#]Codes_for_AS_Names!A1022:G1022","&lt;link&gt;")</f>
        <v>&lt;link&gt;</v>
      </c>
      <c r="H71" s="73" t="str">
        <f>HYPERLINK("http://nsgreg.nga.mil/genc/view?v=291085&amp;end_month=6&amp;end_day=30&amp;end_year=2019","DJIBOUTI")</f>
        <v>DJIBOUTI</v>
      </c>
      <c r="I71" s="73" t="str">
        <f>HYPERLINK("http://api.nsgreg.nga.mil/geo-political/GENC/3/3-11/DJI","ge:GENC:3:3-11:DJI")</f>
        <v>ge:GENC:3:3-11:DJI</v>
      </c>
    </row>
    <row r="72" spans="1:9" ht="13.5" customHeight="1" x14ac:dyDescent="0.2">
      <c r="A72" s="65" t="s">
        <v>473</v>
      </c>
      <c r="B72" s="42" t="s">
        <v>474</v>
      </c>
      <c r="C72" s="43" t="s">
        <v>475</v>
      </c>
      <c r="D72" s="41" t="s">
        <v>476</v>
      </c>
      <c r="E72" s="42" t="s">
        <v>477</v>
      </c>
      <c r="F72" s="42" t="s">
        <v>478</v>
      </c>
      <c r="G72" s="52" t="str">
        <f>HYPERLINK("[#]Codes_for_AS_Names!A1028:G1028","&lt;link&gt;")</f>
        <v>&lt;link&gt;</v>
      </c>
      <c r="H72" s="74" t="str">
        <f>HYPERLINK("http://nsgreg.nga.mil/genc/view?v=291086&amp;end_month=6&amp;end_day=30&amp;end_year=2019","DOMINICA")</f>
        <v>DOMINICA</v>
      </c>
      <c r="I72" s="74" t="str">
        <f>HYPERLINK("http://api.nsgreg.nga.mil/geo-political/GENC/3/3-11/DMA","ge:GENC:3:3-11:DMA")</f>
        <v>ge:GENC:3:3-11:DMA</v>
      </c>
    </row>
    <row r="73" spans="1:9" ht="13.5" customHeight="1" x14ac:dyDescent="0.2">
      <c r="A73" s="63" t="s">
        <v>480</v>
      </c>
      <c r="B73" s="21" t="s">
        <v>479</v>
      </c>
      <c r="C73" s="45" t="s">
        <v>481</v>
      </c>
      <c r="D73" s="44" t="s">
        <v>482</v>
      </c>
      <c r="E73" s="21" t="s">
        <v>483</v>
      </c>
      <c r="F73" s="21" t="s">
        <v>483</v>
      </c>
      <c r="G73" s="53" t="str">
        <f>HYPERLINK("[#]Codes_for_AS_Names!A1038:G1038","&lt;link&gt;")</f>
        <v>&lt;link&gt;</v>
      </c>
      <c r="H73" s="72" t="str">
        <f>HYPERLINK("http://nsgreg.nga.mil/genc/view?v=291087&amp;end_month=6&amp;end_day=30&amp;end_year=2019","DOMINICAN REPUBLIC")</f>
        <v>DOMINICAN REPUBLIC</v>
      </c>
      <c r="I73" s="72" t="str">
        <f>HYPERLINK("http://api.nsgreg.nga.mil/geo-political/GENC/3/3-11/DOM","ge:GENC:3:3-11:DOM")</f>
        <v>ge:GENC:3:3-11:DOM</v>
      </c>
    </row>
    <row r="74" spans="1:9" ht="13.5" customHeight="1" x14ac:dyDescent="0.2">
      <c r="A74" s="63" t="s">
        <v>484</v>
      </c>
      <c r="B74" s="21" t="s">
        <v>485</v>
      </c>
      <c r="C74" s="45" t="s">
        <v>486</v>
      </c>
      <c r="D74" s="44" t="s">
        <v>487</v>
      </c>
      <c r="E74" s="21" t="s">
        <v>488</v>
      </c>
      <c r="F74" s="21" t="s">
        <v>489</v>
      </c>
      <c r="G74" s="53" t="str">
        <f>HYPERLINK("[#]Codes_for_AS_Names!A1080:G1080","&lt;link&gt;")</f>
        <v>&lt;link&gt;</v>
      </c>
      <c r="H74" s="72" t="str">
        <f>HYPERLINK("http://nsgreg.nga.mil/genc/view?v=291088&amp;end_month=6&amp;end_day=30&amp;end_year=2019","ECUADOR")</f>
        <v>ECUADOR</v>
      </c>
      <c r="I74" s="72" t="str">
        <f>HYPERLINK("http://api.nsgreg.nga.mil/geo-political/GENC/3/3-11/ECU","ge:GENC:3:3-11:ECU")</f>
        <v>ge:GENC:3:3-11:ECU</v>
      </c>
    </row>
    <row r="75" spans="1:9" ht="13.5" customHeight="1" x14ac:dyDescent="0.2">
      <c r="A75" s="63" t="s">
        <v>490</v>
      </c>
      <c r="B75" s="21" t="s">
        <v>491</v>
      </c>
      <c r="C75" s="45" t="s">
        <v>492</v>
      </c>
      <c r="D75" s="44" t="s">
        <v>493</v>
      </c>
      <c r="E75" s="21" t="s">
        <v>494</v>
      </c>
      <c r="F75" s="21" t="s">
        <v>495</v>
      </c>
      <c r="G75" s="53" t="str">
        <f>HYPERLINK("[#]Codes_for_AS_Names!A1104:G1104","&lt;link&gt;")</f>
        <v>&lt;link&gt;</v>
      </c>
      <c r="H75" s="72" t="str">
        <f>HYPERLINK("http://nsgreg.nga.mil/genc/view?v=291089&amp;end_month=6&amp;end_day=30&amp;end_year=2019","EGYPT")</f>
        <v>EGYPT</v>
      </c>
      <c r="I75" s="72" t="str">
        <f>HYPERLINK("http://api.nsgreg.nga.mil/geo-political/GENC/3/3-11/EGY","ge:GENC:3:3-11:EGY")</f>
        <v>ge:GENC:3:3-11:EGY</v>
      </c>
    </row>
    <row r="76" spans="1:9" ht="13.5" customHeight="1" x14ac:dyDescent="0.2">
      <c r="A76" s="64" t="s">
        <v>496</v>
      </c>
      <c r="B76" s="47" t="s">
        <v>497</v>
      </c>
      <c r="C76" s="48" t="s">
        <v>498</v>
      </c>
      <c r="D76" s="46" t="s">
        <v>499</v>
      </c>
      <c r="E76" s="47" t="s">
        <v>500</v>
      </c>
      <c r="F76" s="47" t="s">
        <v>501</v>
      </c>
      <c r="G76" s="54" t="str">
        <f>HYPERLINK("[#]Codes_for_AS_Names!A1131:G1131","&lt;link&gt;")</f>
        <v>&lt;link&gt;</v>
      </c>
      <c r="H76" s="73" t="str">
        <f>HYPERLINK("http://nsgreg.nga.mil/genc/view?v=291090&amp;end_month=6&amp;end_day=30&amp;end_year=2019","EL SALVADOR")</f>
        <v>EL SALVADOR</v>
      </c>
      <c r="I76" s="73" t="str">
        <f>HYPERLINK("http://api.nsgreg.nga.mil/geo-political/GENC/3/3-11/SLV","ge:GENC:3:3-11:SLV")</f>
        <v>ge:GENC:3:3-11:SLV</v>
      </c>
    </row>
    <row r="77" spans="1:9" ht="13.5" customHeight="1" x14ac:dyDescent="0.2">
      <c r="A77" s="65" t="s">
        <v>503</v>
      </c>
      <c r="B77" s="55" t="s">
        <v>504</v>
      </c>
      <c r="C77" s="43" t="s">
        <v>505</v>
      </c>
      <c r="D77" s="41" t="s">
        <v>506</v>
      </c>
      <c r="E77" s="42" t="s">
        <v>507</v>
      </c>
      <c r="F77" s="42" t="s">
        <v>507</v>
      </c>
      <c r="G77" s="85"/>
      <c r="H77" s="74" t="str">
        <f>HYPERLINK("http://nsgreg.nga.mil/genc/view?v=291091&amp;end_month=6&amp;end_day=30&amp;end_year=2019","ENTITY 1")</f>
        <v>ENTITY 1</v>
      </c>
      <c r="I77" s="74" t="str">
        <f>HYPERLINK("http://api.nsgreg.nga.mil/geo-political/GENC/3/3-11/XAZ","ge:GENC:3:3-11:XAZ")</f>
        <v>ge:GENC:3:3-11:XAZ</v>
      </c>
    </row>
    <row r="78" spans="1:9" ht="13.5" customHeight="1" x14ac:dyDescent="0.2">
      <c r="A78" s="63" t="s">
        <v>508</v>
      </c>
      <c r="B78" s="56" t="s">
        <v>504</v>
      </c>
      <c r="C78" s="45" t="s">
        <v>509</v>
      </c>
      <c r="D78" s="44" t="s">
        <v>510</v>
      </c>
      <c r="E78" s="21" t="s">
        <v>511</v>
      </c>
      <c r="F78" s="21" t="s">
        <v>511</v>
      </c>
      <c r="G78" s="83"/>
      <c r="H78" s="72" t="str">
        <f>HYPERLINK("http://nsgreg.nga.mil/genc/view?v=291092&amp;end_month=6&amp;end_day=30&amp;end_year=2019","ENTITY 2")</f>
        <v>ENTITY 2</v>
      </c>
      <c r="I78" s="72" t="str">
        <f>HYPERLINK("http://api.nsgreg.nga.mil/geo-political/GENC/3/3-11/XCR","ge:GENC:3:3-11:XCR")</f>
        <v>ge:GENC:3:3-11:XCR</v>
      </c>
    </row>
    <row r="79" spans="1:9" ht="13.5" customHeight="1" x14ac:dyDescent="0.2">
      <c r="A79" s="63" t="s">
        <v>512</v>
      </c>
      <c r="B79" s="56" t="s">
        <v>504</v>
      </c>
      <c r="C79" s="45" t="s">
        <v>513</v>
      </c>
      <c r="D79" s="44" t="s">
        <v>514</v>
      </c>
      <c r="E79" s="21" t="s">
        <v>515</v>
      </c>
      <c r="F79" s="21" t="s">
        <v>515</v>
      </c>
      <c r="G79" s="83"/>
      <c r="H79" s="72" t="str">
        <f>HYPERLINK("http://nsgreg.nga.mil/genc/view?v=291093&amp;end_month=6&amp;end_day=30&amp;end_year=2019","ENTITY 3")</f>
        <v>ENTITY 3</v>
      </c>
      <c r="I79" s="72" t="str">
        <f>HYPERLINK("http://api.nsgreg.nga.mil/geo-political/GENC/3/3-11/XCY","ge:GENC:3:3-11:XCY")</f>
        <v>ge:GENC:3:3-11:XCY</v>
      </c>
    </row>
    <row r="80" spans="1:9" ht="13.5" customHeight="1" x14ac:dyDescent="0.2">
      <c r="A80" s="63" t="s">
        <v>516</v>
      </c>
      <c r="B80" s="56" t="s">
        <v>504</v>
      </c>
      <c r="C80" s="45" t="s">
        <v>517</v>
      </c>
      <c r="D80" s="44" t="s">
        <v>518</v>
      </c>
      <c r="E80" s="21" t="s">
        <v>519</v>
      </c>
      <c r="F80" s="21" t="s">
        <v>519</v>
      </c>
      <c r="G80" s="83"/>
      <c r="H80" s="72" t="str">
        <f>HYPERLINK("http://nsgreg.nga.mil/genc/view?v=291094&amp;end_month=6&amp;end_day=30&amp;end_year=2019","ENTITY 4")</f>
        <v>ENTITY 4</v>
      </c>
      <c r="I80" s="72" t="str">
        <f>HYPERLINK("http://api.nsgreg.nga.mil/geo-political/GENC/3/3-11/XKM","ge:GENC:3:3-11:XKM")</f>
        <v>ge:GENC:3:3-11:XKM</v>
      </c>
    </row>
    <row r="81" spans="1:9" ht="13.5" customHeight="1" x14ac:dyDescent="0.2">
      <c r="A81" s="64" t="s">
        <v>520</v>
      </c>
      <c r="B81" s="57" t="s">
        <v>504</v>
      </c>
      <c r="C81" s="48" t="s">
        <v>521</v>
      </c>
      <c r="D81" s="46" t="s">
        <v>522</v>
      </c>
      <c r="E81" s="47" t="s">
        <v>523</v>
      </c>
      <c r="F81" s="47" t="s">
        <v>523</v>
      </c>
      <c r="G81" s="84"/>
      <c r="H81" s="73" t="str">
        <f>HYPERLINK("http://nsgreg.nga.mil/genc/view?v=291095&amp;end_month=6&amp;end_day=30&amp;end_year=2019","ENTITY 5")</f>
        <v>ENTITY 5</v>
      </c>
      <c r="I81" s="73" t="str">
        <f>HYPERLINK("http://api.nsgreg.nga.mil/geo-political/GENC/3/3-11/XKN","ge:GENC:3:3-11:XKN")</f>
        <v>ge:GENC:3:3-11:XKN</v>
      </c>
    </row>
    <row r="82" spans="1:9" ht="13.5" customHeight="1" x14ac:dyDescent="0.2">
      <c r="A82" s="65" t="s">
        <v>524</v>
      </c>
      <c r="B82" s="42" t="s">
        <v>525</v>
      </c>
      <c r="C82" s="43" t="s">
        <v>526</v>
      </c>
      <c r="D82" s="41" t="s">
        <v>527</v>
      </c>
      <c r="E82" s="42" t="s">
        <v>528</v>
      </c>
      <c r="F82" s="42" t="s">
        <v>528</v>
      </c>
      <c r="G82" s="85"/>
      <c r="H82" s="74" t="str">
        <f>HYPERLINK("http://nsgreg.nga.mil/genc/view?v=291096&amp;end_month=6&amp;end_day=30&amp;end_year=2019","ENTITY 6")</f>
        <v>ENTITY 6</v>
      </c>
      <c r="I82" s="74" t="str">
        <f>HYPERLINK("http://api.nsgreg.nga.mil/geo-political/GENC/3/3-11/AX3","ge:GENC:3:3-11:AX3")</f>
        <v>ge:GENC:3:3-11:AX3</v>
      </c>
    </row>
    <row r="83" spans="1:9" ht="13.5" customHeight="1" x14ac:dyDescent="0.2">
      <c r="A83" s="63" t="s">
        <v>529</v>
      </c>
      <c r="B83" s="21" t="s">
        <v>530</v>
      </c>
      <c r="C83" s="45" t="s">
        <v>531</v>
      </c>
      <c r="D83" s="44" t="s">
        <v>532</v>
      </c>
      <c r="E83" s="21" t="s">
        <v>533</v>
      </c>
      <c r="F83" s="21" t="s">
        <v>534</v>
      </c>
      <c r="G83" s="53" t="str">
        <f>HYPERLINK("[#]Codes_for_AS_Names!A1145:G1145","&lt;link&gt;")</f>
        <v>&lt;link&gt;</v>
      </c>
      <c r="H83" s="72" t="str">
        <f>HYPERLINK("http://nsgreg.nga.mil/genc/view?v=291097&amp;end_month=6&amp;end_day=30&amp;end_year=2019","EQUATORIAL GUINEA")</f>
        <v>EQUATORIAL GUINEA</v>
      </c>
      <c r="I83" s="72" t="str">
        <f>HYPERLINK("http://api.nsgreg.nga.mil/geo-political/GENC/3/3-11/GNQ","ge:GENC:3:3-11:GNQ")</f>
        <v>ge:GENC:3:3-11:GNQ</v>
      </c>
    </row>
    <row r="84" spans="1:9" ht="13.5" customHeight="1" x14ac:dyDescent="0.2">
      <c r="A84" s="63" t="s">
        <v>535</v>
      </c>
      <c r="B84" s="21" t="s">
        <v>536</v>
      </c>
      <c r="C84" s="45" t="s">
        <v>537</v>
      </c>
      <c r="D84" s="44" t="s">
        <v>538</v>
      </c>
      <c r="E84" s="21" t="s">
        <v>539</v>
      </c>
      <c r="F84" s="21" t="s">
        <v>540</v>
      </c>
      <c r="G84" s="53" t="str">
        <f>HYPERLINK("[#]Codes_for_AS_Names!A1154:G1154","&lt;link&gt;")</f>
        <v>&lt;link&gt;</v>
      </c>
      <c r="H84" s="72" t="str">
        <f>HYPERLINK("http://nsgreg.nga.mil/genc/view?v=291098&amp;end_month=6&amp;end_day=30&amp;end_year=2019","ERITREA")</f>
        <v>ERITREA</v>
      </c>
      <c r="I84" s="72" t="str">
        <f>HYPERLINK("http://api.nsgreg.nga.mil/geo-political/GENC/3/3-11/ERI","ge:GENC:3:3-11:ERI")</f>
        <v>ge:GENC:3:3-11:ERI</v>
      </c>
    </row>
    <row r="85" spans="1:9" ht="13.5" customHeight="1" x14ac:dyDescent="0.2">
      <c r="A85" s="63" t="s">
        <v>541</v>
      </c>
      <c r="B85" s="21" t="s">
        <v>542</v>
      </c>
      <c r="C85" s="45" t="s">
        <v>543</v>
      </c>
      <c r="D85" s="44" t="s">
        <v>544</v>
      </c>
      <c r="E85" s="21" t="s">
        <v>545</v>
      </c>
      <c r="F85" s="21" t="s">
        <v>546</v>
      </c>
      <c r="G85" s="53" t="str">
        <f>HYPERLINK("[#]Codes_for_AS_Names!A1160:G1160","&lt;link&gt;")</f>
        <v>&lt;link&gt;</v>
      </c>
      <c r="H85" s="72" t="str">
        <f>HYPERLINK("http://nsgreg.nga.mil/genc/view?v=291099&amp;end_month=6&amp;end_day=30&amp;end_year=2019","ESTONIA")</f>
        <v>ESTONIA</v>
      </c>
      <c r="I85" s="72" t="str">
        <f>HYPERLINK("http://api.nsgreg.nga.mil/geo-political/GENC/3/3-11/EST","ge:GENC:3:3-11:EST")</f>
        <v>ge:GENC:3:3-11:EST</v>
      </c>
    </row>
    <row r="86" spans="1:9" ht="13.5" customHeight="1" x14ac:dyDescent="0.2">
      <c r="A86" s="64" t="s">
        <v>547</v>
      </c>
      <c r="B86" s="47" t="s">
        <v>548</v>
      </c>
      <c r="C86" s="48" t="s">
        <v>549</v>
      </c>
      <c r="D86" s="46" t="s">
        <v>550</v>
      </c>
      <c r="E86" s="47" t="s">
        <v>551</v>
      </c>
      <c r="F86" s="47" t="s">
        <v>552</v>
      </c>
      <c r="G86" s="54" t="str">
        <f>HYPERLINK("[#]Codes_for_AS_Names!A1175:G1175","&lt;link&gt;")</f>
        <v>&lt;link&gt;</v>
      </c>
      <c r="H86" s="73" t="str">
        <f>HYPERLINK("http://nsgreg.nga.mil/genc/view?v=291258&amp;end_month=6&amp;end_day=30&amp;end_year=2019","ESWATINI")</f>
        <v>ESWATINI</v>
      </c>
      <c r="I86" s="73" t="str">
        <f>HYPERLINK("http://api.nsgreg.nga.mil/geo-political/GENC/3/3-11/SWZ","ge:GENC:3:3-11:SWZ")</f>
        <v>ge:GENC:3:3-11:SWZ</v>
      </c>
    </row>
    <row r="87" spans="1:9" ht="13.5" customHeight="1" x14ac:dyDescent="0.2">
      <c r="A87" s="65" t="s">
        <v>553</v>
      </c>
      <c r="B87" s="42" t="s">
        <v>554</v>
      </c>
      <c r="C87" s="43" t="s">
        <v>555</v>
      </c>
      <c r="D87" s="41" t="s">
        <v>556</v>
      </c>
      <c r="E87" s="42" t="s">
        <v>557</v>
      </c>
      <c r="F87" s="42" t="s">
        <v>558</v>
      </c>
      <c r="G87" s="52" t="str">
        <f>HYPERLINK("[#]Codes_for_AS_Names!A1179:G1179","&lt;link&gt;")</f>
        <v>&lt;link&gt;</v>
      </c>
      <c r="H87" s="74" t="str">
        <f>HYPERLINK("http://nsgreg.nga.mil/genc/view?v=291100&amp;end_month=6&amp;end_day=30&amp;end_year=2019","ETHIOPIA")</f>
        <v>ETHIOPIA</v>
      </c>
      <c r="I87" s="74" t="str">
        <f>HYPERLINK("http://api.nsgreg.nga.mil/geo-political/GENC/3/3-11/ETH","ge:GENC:3:3-11:ETH")</f>
        <v>ge:GENC:3:3-11:ETH</v>
      </c>
    </row>
    <row r="88" spans="1:9" ht="13.5" customHeight="1" x14ac:dyDescent="0.2">
      <c r="A88" s="63" t="s">
        <v>559</v>
      </c>
      <c r="B88" s="21" t="s">
        <v>560</v>
      </c>
      <c r="C88" s="45" t="s">
        <v>561</v>
      </c>
      <c r="D88" s="44" t="s">
        <v>562</v>
      </c>
      <c r="E88" s="21" t="s">
        <v>563</v>
      </c>
      <c r="F88" s="21" t="s">
        <v>563</v>
      </c>
      <c r="G88" s="83"/>
      <c r="H88" s="72" t="str">
        <f>HYPERLINK("http://nsgreg.nga.mil/genc/view?v=291101&amp;end_month=6&amp;end_day=30&amp;end_year=2019","EUROPA ISLAND")</f>
        <v>EUROPA ISLAND</v>
      </c>
      <c r="I88" s="72" t="str">
        <f>HYPERLINK("http://api.nsgreg.nga.mil/geo-political/GENC/3/3-11/XEU","ge:GENC:3:3-11:XEU")</f>
        <v>ge:GENC:3:3-11:XEU</v>
      </c>
    </row>
    <row r="89" spans="1:9" ht="13.5" customHeight="1" x14ac:dyDescent="0.2">
      <c r="A89" s="63" t="s">
        <v>564</v>
      </c>
      <c r="B89" s="21" t="s">
        <v>565</v>
      </c>
      <c r="C89" s="45" t="s">
        <v>566</v>
      </c>
      <c r="D89" s="44" t="s">
        <v>567</v>
      </c>
      <c r="E89" s="21" t="s">
        <v>568</v>
      </c>
      <c r="F89" s="21" t="s">
        <v>568</v>
      </c>
      <c r="G89" s="83"/>
      <c r="H89" s="72" t="str">
        <f>HYPERLINK("http://nsgreg.nga.mil/genc/view?v=291102&amp;end_month=6&amp;end_day=30&amp;end_year=2019","FALKLAND ISLANDS (ISLAS MALVINAS)")</f>
        <v>FALKLAND ISLANDS (ISLAS MALVINAS)</v>
      </c>
      <c r="I89" s="72" t="str">
        <f>HYPERLINK("http://api.nsgreg.nga.mil/geo-political/GENC/3/3-11/FLK","ge:GENC:3:3-11:FLK")</f>
        <v>ge:GENC:3:3-11:FLK</v>
      </c>
    </row>
    <row r="90" spans="1:9" ht="13.5" customHeight="1" x14ac:dyDescent="0.2">
      <c r="A90" s="63" t="s">
        <v>569</v>
      </c>
      <c r="B90" s="21" t="s">
        <v>570</v>
      </c>
      <c r="C90" s="45" t="s">
        <v>571</v>
      </c>
      <c r="D90" s="44" t="s">
        <v>572</v>
      </c>
      <c r="E90" s="21" t="s">
        <v>573</v>
      </c>
      <c r="F90" s="21" t="s">
        <v>573</v>
      </c>
      <c r="G90" s="53" t="str">
        <f>HYPERLINK("[#]Codes_for_AS_Names!A1190:G1190","&lt;link&gt;")</f>
        <v>&lt;link&gt;</v>
      </c>
      <c r="H90" s="72" t="str">
        <f>HYPERLINK("http://nsgreg.nga.mil/genc/view?v=291103&amp;end_month=6&amp;end_day=30&amp;end_year=2019","FAROE ISLANDS")</f>
        <v>FAROE ISLANDS</v>
      </c>
      <c r="I90" s="72" t="str">
        <f>HYPERLINK("http://api.nsgreg.nga.mil/geo-political/GENC/3/3-11/FRO","ge:GENC:3:3-11:FRO")</f>
        <v>ge:GENC:3:3-11:FRO</v>
      </c>
    </row>
    <row r="91" spans="1:9" ht="13.5" customHeight="1" x14ac:dyDescent="0.2">
      <c r="A91" s="64" t="s">
        <v>574</v>
      </c>
      <c r="B91" s="47" t="s">
        <v>575</v>
      </c>
      <c r="C91" s="48" t="s">
        <v>576</v>
      </c>
      <c r="D91" s="46" t="s">
        <v>577</v>
      </c>
      <c r="E91" s="47" t="s">
        <v>578</v>
      </c>
      <c r="F91" s="47" t="s">
        <v>579</v>
      </c>
      <c r="G91" s="54" t="str">
        <f>HYPERLINK("[#]Codes_for_AS_Names!A1219:G1219","&lt;link&gt;")</f>
        <v>&lt;link&gt;</v>
      </c>
      <c r="H91" s="73" t="str">
        <f>HYPERLINK("http://nsgreg.nga.mil/genc/view?v=291104&amp;end_month=6&amp;end_day=30&amp;end_year=2019","FIJI")</f>
        <v>FIJI</v>
      </c>
      <c r="I91" s="73" t="str">
        <f>HYPERLINK("http://api.nsgreg.nga.mil/geo-political/GENC/3/3-11/FJI","ge:GENC:3:3-11:FJI")</f>
        <v>ge:GENC:3:3-11:FJI</v>
      </c>
    </row>
    <row r="92" spans="1:9" ht="13.5" customHeight="1" x14ac:dyDescent="0.2">
      <c r="A92" s="65" t="s">
        <v>580</v>
      </c>
      <c r="B92" s="42" t="s">
        <v>581</v>
      </c>
      <c r="C92" s="43" t="s">
        <v>582</v>
      </c>
      <c r="D92" s="41" t="s">
        <v>583</v>
      </c>
      <c r="E92" s="42" t="s">
        <v>584</v>
      </c>
      <c r="F92" s="42" t="s">
        <v>585</v>
      </c>
      <c r="G92" s="52" t="str">
        <f>HYPERLINK("[#]Codes_for_AS_Names!A1238:G1238","&lt;link&gt;")</f>
        <v>&lt;link&gt;</v>
      </c>
      <c r="H92" s="74" t="str">
        <f>HYPERLINK("http://nsgreg.nga.mil/genc/view?v=291105&amp;end_month=6&amp;end_day=30&amp;end_year=2019","FINLAND")</f>
        <v>FINLAND</v>
      </c>
      <c r="I92" s="74" t="str">
        <f>HYPERLINK("http://api.nsgreg.nga.mil/geo-political/GENC/3/3-11/FIN","ge:GENC:3:3-11:FIN")</f>
        <v>ge:GENC:3:3-11:FIN</v>
      </c>
    </row>
    <row r="93" spans="1:9" ht="13.5" customHeight="1" x14ac:dyDescent="0.2">
      <c r="A93" s="63" t="s">
        <v>586</v>
      </c>
      <c r="B93" s="21" t="s">
        <v>587</v>
      </c>
      <c r="C93" s="45" t="s">
        <v>588</v>
      </c>
      <c r="D93" s="44" t="s">
        <v>589</v>
      </c>
      <c r="E93" s="21" t="s">
        <v>590</v>
      </c>
      <c r="F93" s="21" t="s">
        <v>591</v>
      </c>
      <c r="G93" s="53" t="str">
        <f>HYPERLINK("[#]Codes_for_AS_Names!A1257:G1257","&lt;link&gt;")</f>
        <v>&lt;link&gt;</v>
      </c>
      <c r="H93" s="72" t="str">
        <f>HYPERLINK("http://nsgreg.nga.mil/genc/view?v=291106&amp;end_month=6&amp;end_day=30&amp;end_year=2019","FRANCE")</f>
        <v>FRANCE</v>
      </c>
      <c r="I93" s="72" t="str">
        <f>HYPERLINK("http://api.nsgreg.nga.mil/geo-political/GENC/3/3-11/FRA","ge:GENC:3:3-11:FRA")</f>
        <v>ge:GENC:3:3-11:FRA</v>
      </c>
    </row>
    <row r="94" spans="1:9" ht="13.5" customHeight="1" x14ac:dyDescent="0.2">
      <c r="A94" s="63" t="s">
        <v>592</v>
      </c>
      <c r="B94" s="21" t="s">
        <v>593</v>
      </c>
      <c r="C94" s="45" t="s">
        <v>594</v>
      </c>
      <c r="D94" s="44" t="s">
        <v>595</v>
      </c>
      <c r="E94" s="21" t="s">
        <v>596</v>
      </c>
      <c r="F94" s="21" t="s">
        <v>597</v>
      </c>
      <c r="G94" s="83"/>
      <c r="H94" s="72" t="str">
        <f>HYPERLINK("http://nsgreg.nga.mil/genc/view?v=291107&amp;end_month=6&amp;end_day=30&amp;end_year=2019","FRENCH GUIANA")</f>
        <v>FRENCH GUIANA</v>
      </c>
      <c r="I94" s="72" t="str">
        <f>HYPERLINK("http://api.nsgreg.nga.mil/geo-political/GENC/3/3-11/GUF","ge:GENC:3:3-11:GUF")</f>
        <v>ge:GENC:3:3-11:GUF</v>
      </c>
    </row>
    <row r="95" spans="1:9" ht="13.5" customHeight="1" x14ac:dyDescent="0.2">
      <c r="A95" s="63" t="s">
        <v>598</v>
      </c>
      <c r="B95" s="21" t="s">
        <v>599</v>
      </c>
      <c r="C95" s="45" t="s">
        <v>600</v>
      </c>
      <c r="D95" s="44" t="s">
        <v>601</v>
      </c>
      <c r="E95" s="21" t="s">
        <v>602</v>
      </c>
      <c r="F95" s="21" t="s">
        <v>602</v>
      </c>
      <c r="G95" s="53" t="str">
        <f>HYPERLINK("[#]Codes_for_AS_Names!A1366:G1366","&lt;link&gt;")</f>
        <v>&lt;link&gt;</v>
      </c>
      <c r="H95" s="72" t="str">
        <f>HYPERLINK("http://nsgreg.nga.mil/genc/view?v=291108&amp;end_month=6&amp;end_day=30&amp;end_year=2019","FRENCH POLYNESIA")</f>
        <v>FRENCH POLYNESIA</v>
      </c>
      <c r="I95" s="72" t="str">
        <f>HYPERLINK("http://api.nsgreg.nga.mil/geo-political/GENC/3/3-11/PYF","ge:GENC:3:3-11:PYF")</f>
        <v>ge:GENC:3:3-11:PYF</v>
      </c>
    </row>
    <row r="96" spans="1:9" ht="13.5" customHeight="1" x14ac:dyDescent="0.2">
      <c r="A96" s="64" t="s">
        <v>603</v>
      </c>
      <c r="B96" s="47" t="s">
        <v>604</v>
      </c>
      <c r="C96" s="48" t="s">
        <v>605</v>
      </c>
      <c r="D96" s="46" t="s">
        <v>606</v>
      </c>
      <c r="E96" s="47" t="s">
        <v>607</v>
      </c>
      <c r="F96" s="47" t="s">
        <v>607</v>
      </c>
      <c r="G96" s="84"/>
      <c r="H96" s="73" t="str">
        <f>HYPERLINK("http://nsgreg.nga.mil/genc/view?v=291109&amp;end_month=6&amp;end_day=30&amp;end_year=2019","FRENCH SOUTHERN AND ANTARCTIC LANDS")</f>
        <v>FRENCH SOUTHERN AND ANTARCTIC LANDS</v>
      </c>
      <c r="I96" s="73" t="str">
        <f>HYPERLINK("http://api.nsgreg.nga.mil/geo-political/GENC/3/3-11/ATF","ge:GENC:3:3-11:ATF")</f>
        <v>ge:GENC:3:3-11:ATF</v>
      </c>
    </row>
    <row r="97" spans="1:9" ht="13.5" customHeight="1" x14ac:dyDescent="0.2">
      <c r="A97" s="65" t="s">
        <v>608</v>
      </c>
      <c r="B97" s="42" t="s">
        <v>609</v>
      </c>
      <c r="C97" s="43" t="s">
        <v>610</v>
      </c>
      <c r="D97" s="41" t="s">
        <v>611</v>
      </c>
      <c r="E97" s="42" t="s">
        <v>612</v>
      </c>
      <c r="F97" s="42" t="s">
        <v>613</v>
      </c>
      <c r="G97" s="52" t="str">
        <f>HYPERLINK("[#]Codes_for_AS_Names!A1371:G1371","&lt;link&gt;")</f>
        <v>&lt;link&gt;</v>
      </c>
      <c r="H97" s="74" t="str">
        <f>HYPERLINK("http://nsgreg.nga.mil/genc/view?v=291110&amp;end_month=6&amp;end_day=30&amp;end_year=2019","GABON")</f>
        <v>GABON</v>
      </c>
      <c r="I97" s="74" t="str">
        <f>HYPERLINK("http://api.nsgreg.nga.mil/geo-political/GENC/3/3-11/GAB","ge:GENC:3:3-11:GAB")</f>
        <v>ge:GENC:3:3-11:GAB</v>
      </c>
    </row>
    <row r="98" spans="1:9" ht="13.5" customHeight="1" x14ac:dyDescent="0.2">
      <c r="A98" s="63" t="s">
        <v>615</v>
      </c>
      <c r="B98" s="21" t="s">
        <v>616</v>
      </c>
      <c r="C98" s="45" t="s">
        <v>617</v>
      </c>
      <c r="D98" s="44" t="s">
        <v>618</v>
      </c>
      <c r="E98" s="21" t="s">
        <v>619</v>
      </c>
      <c r="F98" s="21" t="s">
        <v>620</v>
      </c>
      <c r="G98" s="53" t="str">
        <f>HYPERLINK("[#]Codes_for_AS_Names!A1380:G1380","&lt;link&gt;")</f>
        <v>&lt;link&gt;</v>
      </c>
      <c r="H98" s="72" t="str">
        <f>HYPERLINK("http://nsgreg.nga.mil/genc/view?v=291111&amp;end_month=6&amp;end_day=30&amp;end_year=2019","GAMBIA, THE")</f>
        <v>GAMBIA, THE</v>
      </c>
      <c r="I98" s="72" t="str">
        <f>HYPERLINK("http://api.nsgreg.nga.mil/geo-political/GENC/3/3-11/GMB","ge:GENC:3:3-11:GMB")</f>
        <v>ge:GENC:3:3-11:GMB</v>
      </c>
    </row>
    <row r="99" spans="1:9" ht="13.5" customHeight="1" x14ac:dyDescent="0.2">
      <c r="A99" s="63" t="s">
        <v>621</v>
      </c>
      <c r="B99" s="21" t="s">
        <v>622</v>
      </c>
      <c r="C99" s="45" t="s">
        <v>623</v>
      </c>
      <c r="D99" s="44" t="s">
        <v>624</v>
      </c>
      <c r="E99" s="21" t="s">
        <v>625</v>
      </c>
      <c r="F99" s="21" t="s">
        <v>625</v>
      </c>
      <c r="G99" s="83"/>
      <c r="H99" s="72" t="str">
        <f>HYPERLINK("http://nsgreg.nga.mil/genc/view?v=291112&amp;end_month=6&amp;end_day=30&amp;end_year=2019","GAZA STRIP")</f>
        <v>GAZA STRIP</v>
      </c>
      <c r="I99" s="72" t="str">
        <f>HYPERLINK("http://api.nsgreg.nga.mil/geo-political/GENC/3/3-11/XGZ","ge:GENC:3:3-11:XGZ")</f>
        <v>ge:GENC:3:3-11:XGZ</v>
      </c>
    </row>
    <row r="100" spans="1:9" ht="13.5" customHeight="1" x14ac:dyDescent="0.2">
      <c r="A100" s="63" t="s">
        <v>626</v>
      </c>
      <c r="B100" s="21" t="s">
        <v>627</v>
      </c>
      <c r="C100" s="45" t="s">
        <v>628</v>
      </c>
      <c r="D100" s="44" t="s">
        <v>629</v>
      </c>
      <c r="E100" s="21" t="s">
        <v>630</v>
      </c>
      <c r="F100" s="21" t="s">
        <v>630</v>
      </c>
      <c r="G100" s="53" t="str">
        <f>HYPERLINK("[#]Codes_for_AS_Names!A1387:G1387","&lt;link&gt;")</f>
        <v>&lt;link&gt;</v>
      </c>
      <c r="H100" s="72" t="str">
        <f>HYPERLINK("http://nsgreg.nga.mil/genc/view?v=291113&amp;end_month=6&amp;end_day=30&amp;end_year=2019","GEORGIA")</f>
        <v>GEORGIA</v>
      </c>
      <c r="I100" s="72" t="str">
        <f>HYPERLINK("http://api.nsgreg.nga.mil/geo-political/GENC/3/3-11/GEO","ge:GENC:3:3-11:GEO")</f>
        <v>ge:GENC:3:3-11:GEO</v>
      </c>
    </row>
    <row r="101" spans="1:9" ht="13.5" customHeight="1" x14ac:dyDescent="0.2">
      <c r="A101" s="64" t="s">
        <v>632</v>
      </c>
      <c r="B101" s="47" t="s">
        <v>633</v>
      </c>
      <c r="C101" s="48" t="s">
        <v>634</v>
      </c>
      <c r="D101" s="46" t="s">
        <v>635</v>
      </c>
      <c r="E101" s="47" t="s">
        <v>636</v>
      </c>
      <c r="F101" s="47" t="s">
        <v>637</v>
      </c>
      <c r="G101" s="54" t="str">
        <f>HYPERLINK("[#]Codes_for_AS_Names!A1399:G1399","&lt;link&gt;")</f>
        <v>&lt;link&gt;</v>
      </c>
      <c r="H101" s="73" t="str">
        <f>HYPERLINK("http://nsgreg.nga.mil/genc/view?v=291114&amp;end_month=6&amp;end_day=30&amp;end_year=2019","GERMANY")</f>
        <v>GERMANY</v>
      </c>
      <c r="I101" s="73" t="str">
        <f>HYPERLINK("http://api.nsgreg.nga.mil/geo-political/GENC/3/3-11/DEU","ge:GENC:3:3-11:DEU")</f>
        <v>ge:GENC:3:3-11:DEU</v>
      </c>
    </row>
    <row r="102" spans="1:9" ht="13.5" customHeight="1" x14ac:dyDescent="0.2">
      <c r="A102" s="65" t="s">
        <v>638</v>
      </c>
      <c r="B102" s="42" t="s">
        <v>639</v>
      </c>
      <c r="C102" s="43" t="s">
        <v>640</v>
      </c>
      <c r="D102" s="41" t="s">
        <v>641</v>
      </c>
      <c r="E102" s="42" t="s">
        <v>642</v>
      </c>
      <c r="F102" s="42" t="s">
        <v>643</v>
      </c>
      <c r="G102" s="52" t="str">
        <f>HYPERLINK("[#]Codes_for_AS_Names!A1415:G1415","&lt;link&gt;")</f>
        <v>&lt;link&gt;</v>
      </c>
      <c r="H102" s="74" t="str">
        <f>HYPERLINK("http://nsgreg.nga.mil/genc/view?v=291115&amp;end_month=6&amp;end_day=30&amp;end_year=2019","GHANA")</f>
        <v>GHANA</v>
      </c>
      <c r="I102" s="74" t="str">
        <f>HYPERLINK("http://api.nsgreg.nga.mil/geo-political/GENC/3/3-11/GHA","ge:GENC:3:3-11:GHA")</f>
        <v>ge:GENC:3:3-11:GHA</v>
      </c>
    </row>
    <row r="103" spans="1:9" ht="13.5" customHeight="1" x14ac:dyDescent="0.2">
      <c r="A103" s="63" t="s">
        <v>644</v>
      </c>
      <c r="B103" s="21" t="s">
        <v>645</v>
      </c>
      <c r="C103" s="45" t="s">
        <v>646</v>
      </c>
      <c r="D103" s="44" t="s">
        <v>647</v>
      </c>
      <c r="E103" s="21" t="s">
        <v>648</v>
      </c>
      <c r="F103" s="21" t="s">
        <v>648</v>
      </c>
      <c r="G103" s="83"/>
      <c r="H103" s="72" t="str">
        <f>HYPERLINK("http://nsgreg.nga.mil/genc/view?v=291116&amp;end_month=6&amp;end_day=30&amp;end_year=2019","GIBRALTAR")</f>
        <v>GIBRALTAR</v>
      </c>
      <c r="I103" s="72" t="str">
        <f>HYPERLINK("http://api.nsgreg.nga.mil/geo-political/GENC/3/3-11/GIB","ge:GENC:3:3-11:GIB")</f>
        <v>ge:GENC:3:3-11:GIB</v>
      </c>
    </row>
    <row r="104" spans="1:9" ht="13.5" customHeight="1" x14ac:dyDescent="0.2">
      <c r="A104" s="63" t="s">
        <v>649</v>
      </c>
      <c r="B104" s="21" t="s">
        <v>650</v>
      </c>
      <c r="C104" s="45" t="s">
        <v>651</v>
      </c>
      <c r="D104" s="44" t="s">
        <v>652</v>
      </c>
      <c r="E104" s="21" t="s">
        <v>653</v>
      </c>
      <c r="F104" s="21" t="s">
        <v>653</v>
      </c>
      <c r="G104" s="83"/>
      <c r="H104" s="72" t="str">
        <f>HYPERLINK("http://nsgreg.nga.mil/genc/view?v=291117&amp;end_month=6&amp;end_day=30&amp;end_year=2019","GLORIOSO ISLANDS")</f>
        <v>GLORIOSO ISLANDS</v>
      </c>
      <c r="I104" s="72" t="str">
        <f>HYPERLINK("http://api.nsgreg.nga.mil/geo-political/GENC/3/3-11/XGL","ge:GENC:3:3-11:XGL")</f>
        <v>ge:GENC:3:3-11:XGL</v>
      </c>
    </row>
    <row r="105" spans="1:9" ht="13.5" customHeight="1" x14ac:dyDescent="0.2">
      <c r="A105" s="63" t="s">
        <v>654</v>
      </c>
      <c r="B105" s="21" t="s">
        <v>655</v>
      </c>
      <c r="C105" s="45" t="s">
        <v>656</v>
      </c>
      <c r="D105" s="44" t="s">
        <v>657</v>
      </c>
      <c r="E105" s="21" t="s">
        <v>658</v>
      </c>
      <c r="F105" s="21" t="s">
        <v>659</v>
      </c>
      <c r="G105" s="53" t="str">
        <f>HYPERLINK("[#]Codes_for_AS_Names!A1431:G1431","&lt;link&gt;")</f>
        <v>&lt;link&gt;</v>
      </c>
      <c r="H105" s="72" t="str">
        <f>HYPERLINK("http://nsgreg.nga.mil/genc/view?v=291118&amp;end_month=6&amp;end_day=30&amp;end_year=2019","GREECE")</f>
        <v>GREECE</v>
      </c>
      <c r="I105" s="72" t="str">
        <f>HYPERLINK("http://api.nsgreg.nga.mil/geo-political/GENC/3/3-11/GRC","ge:GENC:3:3-11:GRC")</f>
        <v>ge:GENC:3:3-11:GRC</v>
      </c>
    </row>
    <row r="106" spans="1:9" ht="13.5" customHeight="1" x14ac:dyDescent="0.2">
      <c r="A106" s="64" t="s">
        <v>660</v>
      </c>
      <c r="B106" s="47" t="s">
        <v>661</v>
      </c>
      <c r="C106" s="48" t="s">
        <v>662</v>
      </c>
      <c r="D106" s="46" t="s">
        <v>663</v>
      </c>
      <c r="E106" s="47" t="s">
        <v>664</v>
      </c>
      <c r="F106" s="47" t="s">
        <v>664</v>
      </c>
      <c r="G106" s="54" t="str">
        <f>HYPERLINK("[#]Codes_for_AS_Names!A1445:G1445","&lt;link&gt;")</f>
        <v>&lt;link&gt;</v>
      </c>
      <c r="H106" s="73" t="str">
        <f>HYPERLINK("http://nsgreg.nga.mil/genc/view?v=291119&amp;end_month=6&amp;end_day=30&amp;end_year=2019","GREENLAND")</f>
        <v>GREENLAND</v>
      </c>
      <c r="I106" s="73" t="str">
        <f>HYPERLINK("http://api.nsgreg.nga.mil/geo-political/GENC/3/3-11/GRL","ge:GENC:3:3-11:GRL")</f>
        <v>ge:GENC:3:3-11:GRL</v>
      </c>
    </row>
    <row r="107" spans="1:9" ht="13.5" customHeight="1" x14ac:dyDescent="0.2">
      <c r="A107" s="65" t="s">
        <v>665</v>
      </c>
      <c r="B107" s="42" t="s">
        <v>666</v>
      </c>
      <c r="C107" s="43" t="s">
        <v>667</v>
      </c>
      <c r="D107" s="41" t="s">
        <v>668</v>
      </c>
      <c r="E107" s="42" t="s">
        <v>669</v>
      </c>
      <c r="F107" s="42" t="s">
        <v>669</v>
      </c>
      <c r="G107" s="52" t="str">
        <f>HYPERLINK("[#]Codes_for_AS_Names!A1450:G1450","&lt;link&gt;")</f>
        <v>&lt;link&gt;</v>
      </c>
      <c r="H107" s="74" t="str">
        <f>HYPERLINK("http://nsgreg.nga.mil/genc/view?v=291120&amp;end_month=6&amp;end_day=30&amp;end_year=2019","GRENADA")</f>
        <v>GRENADA</v>
      </c>
      <c r="I107" s="74" t="str">
        <f>HYPERLINK("http://api.nsgreg.nga.mil/geo-political/GENC/3/3-11/GRD","ge:GENC:3:3-11:GRD")</f>
        <v>ge:GENC:3:3-11:GRD</v>
      </c>
    </row>
    <row r="108" spans="1:9" ht="13.5" customHeight="1" x14ac:dyDescent="0.2">
      <c r="A108" s="63" t="s">
        <v>670</v>
      </c>
      <c r="B108" s="21" t="s">
        <v>671</v>
      </c>
      <c r="C108" s="45" t="s">
        <v>672</v>
      </c>
      <c r="D108" s="44" t="s">
        <v>673</v>
      </c>
      <c r="E108" s="21" t="s">
        <v>674</v>
      </c>
      <c r="F108" s="21" t="s">
        <v>675</v>
      </c>
      <c r="G108" s="83"/>
      <c r="H108" s="72" t="str">
        <f>HYPERLINK("http://nsgreg.nga.mil/genc/view?v=291121&amp;end_month=6&amp;end_day=30&amp;end_year=2019","GUADELOUPE")</f>
        <v>GUADELOUPE</v>
      </c>
      <c r="I108" s="72" t="str">
        <f>HYPERLINK("http://api.nsgreg.nga.mil/geo-political/GENC/3/3-11/GLP","ge:GENC:3:3-11:GLP")</f>
        <v>ge:GENC:3:3-11:GLP</v>
      </c>
    </row>
    <row r="109" spans="1:9" ht="13.5" customHeight="1" x14ac:dyDescent="0.2">
      <c r="A109" s="63" t="s">
        <v>676</v>
      </c>
      <c r="B109" s="21" t="s">
        <v>677</v>
      </c>
      <c r="C109" s="45" t="s">
        <v>678</v>
      </c>
      <c r="D109" s="44" t="s">
        <v>679</v>
      </c>
      <c r="E109" s="21" t="s">
        <v>680</v>
      </c>
      <c r="F109" s="21" t="s">
        <v>681</v>
      </c>
      <c r="G109" s="83"/>
      <c r="H109" s="72" t="str">
        <f>HYPERLINK("http://nsgreg.nga.mil/genc/view?v=291122&amp;end_month=6&amp;end_day=30&amp;end_year=2019","GUAM")</f>
        <v>GUAM</v>
      </c>
      <c r="I109" s="72" t="str">
        <f>HYPERLINK("http://api.nsgreg.nga.mil/geo-political/GENC/3/3-11/GUM","ge:GENC:3:3-11:GUM")</f>
        <v>ge:GENC:3:3-11:GUM</v>
      </c>
    </row>
    <row r="110" spans="1:9" ht="13.5" customHeight="1" x14ac:dyDescent="0.2">
      <c r="A110" s="63" t="s">
        <v>682</v>
      </c>
      <c r="B110" s="21" t="s">
        <v>683</v>
      </c>
      <c r="C110" s="45" t="s">
        <v>684</v>
      </c>
      <c r="D110" s="44" t="s">
        <v>685</v>
      </c>
      <c r="E110" s="21" t="s">
        <v>686</v>
      </c>
      <c r="F110" s="21" t="s">
        <v>686</v>
      </c>
      <c r="G110" s="83"/>
      <c r="H110" s="72" t="str">
        <f>HYPERLINK("http://nsgreg.nga.mil/genc/view?v=291123&amp;end_month=6&amp;end_day=30&amp;end_year=2019","GUANTANAMO BAY NAVAL BASE")</f>
        <v>GUANTANAMO BAY NAVAL BASE</v>
      </c>
      <c r="I110" s="72" t="str">
        <f>HYPERLINK("http://api.nsgreg.nga.mil/geo-political/GENC/3/3-11/AX2","ge:GENC:3:3-11:AX2")</f>
        <v>ge:GENC:3:3-11:AX2</v>
      </c>
    </row>
    <row r="111" spans="1:9" ht="13.5" customHeight="1" x14ac:dyDescent="0.2">
      <c r="A111" s="64" t="s">
        <v>687</v>
      </c>
      <c r="B111" s="47" t="s">
        <v>688</v>
      </c>
      <c r="C111" s="48" t="s">
        <v>689</v>
      </c>
      <c r="D111" s="46" t="s">
        <v>690</v>
      </c>
      <c r="E111" s="47" t="s">
        <v>691</v>
      </c>
      <c r="F111" s="47" t="s">
        <v>692</v>
      </c>
      <c r="G111" s="54" t="str">
        <f>HYPERLINK("[#]Codes_for_AS_Names!A1457:G1457","&lt;link&gt;")</f>
        <v>&lt;link&gt;</v>
      </c>
      <c r="H111" s="73" t="str">
        <f>HYPERLINK("http://nsgreg.nga.mil/genc/view?v=291124&amp;end_month=6&amp;end_day=30&amp;end_year=2019","GUATEMALA")</f>
        <v>GUATEMALA</v>
      </c>
      <c r="I111" s="73" t="str">
        <f>HYPERLINK("http://api.nsgreg.nga.mil/geo-political/GENC/3/3-11/GTM","ge:GENC:3:3-11:GTM")</f>
        <v>ge:GENC:3:3-11:GTM</v>
      </c>
    </row>
    <row r="112" spans="1:9" ht="13.5" customHeight="1" x14ac:dyDescent="0.2">
      <c r="A112" s="65" t="s">
        <v>693</v>
      </c>
      <c r="B112" s="42" t="s">
        <v>631</v>
      </c>
      <c r="C112" s="43" t="s">
        <v>694</v>
      </c>
      <c r="D112" s="41" t="s">
        <v>695</v>
      </c>
      <c r="E112" s="42" t="s">
        <v>696</v>
      </c>
      <c r="F112" s="42" t="s">
        <v>697</v>
      </c>
      <c r="G112" s="85"/>
      <c r="H112" s="74" t="str">
        <f>HYPERLINK("http://nsgreg.nga.mil/genc/view?v=291125&amp;end_month=6&amp;end_day=30&amp;end_year=2019","GUERNSEY")</f>
        <v>GUERNSEY</v>
      </c>
      <c r="I112" s="74" t="str">
        <f>HYPERLINK("http://api.nsgreg.nga.mil/geo-political/GENC/3/3-11/GGY","ge:GENC:3:3-11:GGY")</f>
        <v>ge:GENC:3:3-11:GGY</v>
      </c>
    </row>
    <row r="113" spans="1:9" ht="13.5" customHeight="1" x14ac:dyDescent="0.2">
      <c r="A113" s="63" t="s">
        <v>698</v>
      </c>
      <c r="B113" s="21" t="s">
        <v>699</v>
      </c>
      <c r="C113" s="45" t="s">
        <v>700</v>
      </c>
      <c r="D113" s="44" t="s">
        <v>701</v>
      </c>
      <c r="E113" s="21" t="s">
        <v>702</v>
      </c>
      <c r="F113" s="21" t="s">
        <v>703</v>
      </c>
      <c r="G113" s="53" t="str">
        <f>HYPERLINK("[#]Codes_for_AS_Names!A1479:G1479","&lt;link&gt;")</f>
        <v>&lt;link&gt;</v>
      </c>
      <c r="H113" s="72" t="str">
        <f>HYPERLINK("http://nsgreg.nga.mil/genc/view?v=291126&amp;end_month=6&amp;end_day=30&amp;end_year=2019","GUINEA")</f>
        <v>GUINEA</v>
      </c>
      <c r="I113" s="72" t="str">
        <f>HYPERLINK("http://api.nsgreg.nga.mil/geo-political/GENC/3/3-11/GIN","ge:GENC:3:3-11:GIN")</f>
        <v>ge:GENC:3:3-11:GIN</v>
      </c>
    </row>
    <row r="114" spans="1:9" ht="13.5" customHeight="1" x14ac:dyDescent="0.2">
      <c r="A114" s="63" t="s">
        <v>704</v>
      </c>
      <c r="B114" s="21" t="s">
        <v>705</v>
      </c>
      <c r="C114" s="45" t="s">
        <v>706</v>
      </c>
      <c r="D114" s="44" t="s">
        <v>707</v>
      </c>
      <c r="E114" s="21" t="s">
        <v>708</v>
      </c>
      <c r="F114" s="21" t="s">
        <v>709</v>
      </c>
      <c r="G114" s="53" t="str">
        <f>HYPERLINK("[#]Codes_for_AS_Names!A1520:G1520","&lt;link&gt;")</f>
        <v>&lt;link&gt;</v>
      </c>
      <c r="H114" s="72" t="str">
        <f>HYPERLINK("http://nsgreg.nga.mil/genc/view?v=291127&amp;end_month=6&amp;end_day=30&amp;end_year=2019","GUINEA-BISSAU")</f>
        <v>GUINEA-BISSAU</v>
      </c>
      <c r="I114" s="72" t="str">
        <f>HYPERLINK("http://api.nsgreg.nga.mil/geo-political/GENC/3/3-11/GNB","ge:GENC:3:3-11:GNB")</f>
        <v>ge:GENC:3:3-11:GNB</v>
      </c>
    </row>
    <row r="115" spans="1:9" ht="13.5" customHeight="1" x14ac:dyDescent="0.2">
      <c r="A115" s="63" t="s">
        <v>710</v>
      </c>
      <c r="B115" s="21" t="s">
        <v>711</v>
      </c>
      <c r="C115" s="45" t="s">
        <v>712</v>
      </c>
      <c r="D115" s="44" t="s">
        <v>713</v>
      </c>
      <c r="E115" s="21" t="s">
        <v>714</v>
      </c>
      <c r="F115" s="21" t="s">
        <v>715</v>
      </c>
      <c r="G115" s="53" t="str">
        <f>HYPERLINK("[#]Codes_for_AS_Names!A1532:G1532","&lt;link&gt;")</f>
        <v>&lt;link&gt;</v>
      </c>
      <c r="H115" s="72" t="str">
        <f>HYPERLINK("http://nsgreg.nga.mil/genc/view?v=291128&amp;end_month=6&amp;end_day=30&amp;end_year=2019","GUYANA")</f>
        <v>GUYANA</v>
      </c>
      <c r="I115" s="72" t="str">
        <f>HYPERLINK("http://api.nsgreg.nga.mil/geo-political/GENC/3/3-11/GUY","ge:GENC:3:3-11:GUY")</f>
        <v>ge:GENC:3:3-11:GUY</v>
      </c>
    </row>
    <row r="116" spans="1:9" ht="13.5" customHeight="1" x14ac:dyDescent="0.2">
      <c r="A116" s="64" t="s">
        <v>716</v>
      </c>
      <c r="B116" s="47" t="s">
        <v>717</v>
      </c>
      <c r="C116" s="48" t="s">
        <v>718</v>
      </c>
      <c r="D116" s="46" t="s">
        <v>719</v>
      </c>
      <c r="E116" s="47" t="s">
        <v>720</v>
      </c>
      <c r="F116" s="47" t="s">
        <v>721</v>
      </c>
      <c r="G116" s="54" t="str">
        <f>HYPERLINK("[#]Codes_for_AS_Names!A1542:G1542","&lt;link&gt;")</f>
        <v>&lt;link&gt;</v>
      </c>
      <c r="H116" s="73" t="str">
        <f>HYPERLINK("http://nsgreg.nga.mil/genc/view?v=291129&amp;end_month=6&amp;end_day=30&amp;end_year=2019","HAITI")</f>
        <v>HAITI</v>
      </c>
      <c r="I116" s="73" t="str">
        <f>HYPERLINK("http://api.nsgreg.nga.mil/geo-political/GENC/3/3-11/HTI","ge:GENC:3:3-11:HTI")</f>
        <v>ge:GENC:3:3-11:HTI</v>
      </c>
    </row>
    <row r="117" spans="1:9" ht="13.5" customHeight="1" x14ac:dyDescent="0.2">
      <c r="A117" s="65" t="s">
        <v>722</v>
      </c>
      <c r="B117" s="42" t="s">
        <v>723</v>
      </c>
      <c r="C117" s="43" t="s">
        <v>724</v>
      </c>
      <c r="D117" s="41" t="s">
        <v>725</v>
      </c>
      <c r="E117" s="42" t="s">
        <v>726</v>
      </c>
      <c r="F117" s="42" t="s">
        <v>727</v>
      </c>
      <c r="G117" s="85"/>
      <c r="H117" s="74" t="str">
        <f>HYPERLINK("http://nsgreg.nga.mil/genc/view?v=291130&amp;end_month=6&amp;end_day=30&amp;end_year=2019","HEARD ISLAND AND MCDONALD ISLANDS")</f>
        <v>HEARD ISLAND AND MCDONALD ISLANDS</v>
      </c>
      <c r="I117" s="74" t="str">
        <f>HYPERLINK("http://api.nsgreg.nga.mil/geo-political/GENC/3/3-11/HMD","ge:GENC:3:3-11:HMD")</f>
        <v>ge:GENC:3:3-11:HMD</v>
      </c>
    </row>
    <row r="118" spans="1:9" ht="13.5" customHeight="1" x14ac:dyDescent="0.2">
      <c r="A118" s="63" t="s">
        <v>728</v>
      </c>
      <c r="B118" s="21" t="s">
        <v>729</v>
      </c>
      <c r="C118" s="45" t="s">
        <v>730</v>
      </c>
      <c r="D118" s="44" t="s">
        <v>731</v>
      </c>
      <c r="E118" s="21" t="s">
        <v>732</v>
      </c>
      <c r="F118" s="21" t="s">
        <v>733</v>
      </c>
      <c r="G118" s="53" t="str">
        <f>HYPERLINK("[#]Codes_for_AS_Names!A1552:G1552","&lt;link&gt;")</f>
        <v>&lt;link&gt;</v>
      </c>
      <c r="H118" s="72" t="str">
        <f>HYPERLINK("http://nsgreg.nga.mil/genc/view?v=291131&amp;end_month=6&amp;end_day=30&amp;end_year=2019","HONDURAS")</f>
        <v>HONDURAS</v>
      </c>
      <c r="I118" s="72" t="str">
        <f>HYPERLINK("http://api.nsgreg.nga.mil/geo-political/GENC/3/3-11/HND","ge:GENC:3:3-11:HND")</f>
        <v>ge:GENC:3:3-11:HND</v>
      </c>
    </row>
    <row r="119" spans="1:9" ht="13.5" customHeight="1" x14ac:dyDescent="0.2">
      <c r="A119" s="63" t="s">
        <v>734</v>
      </c>
      <c r="B119" s="21" t="s">
        <v>735</v>
      </c>
      <c r="C119" s="45" t="s">
        <v>736</v>
      </c>
      <c r="D119" s="44" t="s">
        <v>737</v>
      </c>
      <c r="E119" s="21" t="s">
        <v>738</v>
      </c>
      <c r="F119" s="21" t="s">
        <v>739</v>
      </c>
      <c r="G119" s="83"/>
      <c r="H119" s="72" t="str">
        <f>HYPERLINK("http://nsgreg.nga.mil/genc/view?v=291132&amp;end_month=6&amp;end_day=30&amp;end_year=2019","HONG KONG")</f>
        <v>HONG KONG</v>
      </c>
      <c r="I119" s="72" t="str">
        <f>HYPERLINK("http://api.nsgreg.nga.mil/geo-political/GENC/3/3-11/HKG","ge:GENC:3:3-11:HKG")</f>
        <v>ge:GENC:3:3-11:HKG</v>
      </c>
    </row>
    <row r="120" spans="1:9" ht="13.5" customHeight="1" x14ac:dyDescent="0.2">
      <c r="A120" s="63" t="s">
        <v>740</v>
      </c>
      <c r="B120" s="21" t="s">
        <v>741</v>
      </c>
      <c r="C120" s="45" t="s">
        <v>742</v>
      </c>
      <c r="D120" s="44" t="s">
        <v>743</v>
      </c>
      <c r="E120" s="21" t="s">
        <v>744</v>
      </c>
      <c r="F120" s="21" t="s">
        <v>744</v>
      </c>
      <c r="G120" s="83"/>
      <c r="H120" s="72" t="str">
        <f>HYPERLINK("http://nsgreg.nga.mil/genc/view?v=291133&amp;end_month=6&amp;end_day=30&amp;end_year=2019","HOWLAND ISLAND")</f>
        <v>HOWLAND ISLAND</v>
      </c>
      <c r="I120" s="72" t="str">
        <f>HYPERLINK("http://api.nsgreg.nga.mil/geo-political/GENC/3/3-11/XHO","ge:GENC:3:3-11:XHO")</f>
        <v>ge:GENC:3:3-11:XHO</v>
      </c>
    </row>
    <row r="121" spans="1:9" ht="13.5" customHeight="1" x14ac:dyDescent="0.2">
      <c r="A121" s="64" t="s">
        <v>745</v>
      </c>
      <c r="B121" s="47" t="s">
        <v>746</v>
      </c>
      <c r="C121" s="48" t="s">
        <v>747</v>
      </c>
      <c r="D121" s="46" t="s">
        <v>748</v>
      </c>
      <c r="E121" s="47" t="s">
        <v>749</v>
      </c>
      <c r="F121" s="47" t="s">
        <v>749</v>
      </c>
      <c r="G121" s="54" t="str">
        <f>HYPERLINK("[#]Codes_for_AS_Names!A1570:G1570","&lt;link&gt;")</f>
        <v>&lt;link&gt;</v>
      </c>
      <c r="H121" s="73" t="str">
        <f>HYPERLINK("http://nsgreg.nga.mil/genc/view?v=291134&amp;end_month=6&amp;end_day=30&amp;end_year=2019","HUNGARY")</f>
        <v>HUNGARY</v>
      </c>
      <c r="I121" s="73" t="str">
        <f>HYPERLINK("http://api.nsgreg.nga.mil/geo-political/GENC/3/3-11/HUN","ge:GENC:3:3-11:HUN")</f>
        <v>ge:GENC:3:3-11:HUN</v>
      </c>
    </row>
    <row r="122" spans="1:9" ht="13.5" customHeight="1" x14ac:dyDescent="0.2">
      <c r="A122" s="65" t="s">
        <v>750</v>
      </c>
      <c r="B122" s="42" t="s">
        <v>751</v>
      </c>
      <c r="C122" s="43" t="s">
        <v>752</v>
      </c>
      <c r="D122" s="41" t="s">
        <v>753</v>
      </c>
      <c r="E122" s="42" t="s">
        <v>754</v>
      </c>
      <c r="F122" s="42" t="s">
        <v>755</v>
      </c>
      <c r="G122" s="52" t="str">
        <f>HYPERLINK("[#]Codes_for_AS_Names!A1613:G1613","&lt;link&gt;")</f>
        <v>&lt;link&gt;</v>
      </c>
      <c r="H122" s="74" t="str">
        <f>HYPERLINK("http://nsgreg.nga.mil/genc/view?v=291135&amp;end_month=6&amp;end_day=30&amp;end_year=2019","ICELAND")</f>
        <v>ICELAND</v>
      </c>
      <c r="I122" s="74" t="str">
        <f>HYPERLINK("http://api.nsgreg.nga.mil/geo-political/GENC/3/3-11/ISL","ge:GENC:3:3-11:ISL")</f>
        <v>ge:GENC:3:3-11:ISL</v>
      </c>
    </row>
    <row r="123" spans="1:9" ht="13.5" customHeight="1" x14ac:dyDescent="0.2">
      <c r="A123" s="63" t="s">
        <v>756</v>
      </c>
      <c r="B123" s="21" t="s">
        <v>757</v>
      </c>
      <c r="C123" s="45" t="s">
        <v>758</v>
      </c>
      <c r="D123" s="44" t="s">
        <v>759</v>
      </c>
      <c r="E123" s="21" t="s">
        <v>760</v>
      </c>
      <c r="F123" s="21" t="s">
        <v>761</v>
      </c>
      <c r="G123" s="53" t="str">
        <f>HYPERLINK("[#]Codes_for_AS_Names!A1687:G1687","&lt;link&gt;")</f>
        <v>&lt;link&gt;</v>
      </c>
      <c r="H123" s="72" t="str">
        <f>HYPERLINK("http://nsgreg.nga.mil/genc/view?v=291136&amp;end_month=6&amp;end_day=30&amp;end_year=2019","INDIA")</f>
        <v>INDIA</v>
      </c>
      <c r="I123" s="72" t="str">
        <f>HYPERLINK("http://api.nsgreg.nga.mil/geo-political/GENC/3/3-11/IND","ge:GENC:3:3-11:IND")</f>
        <v>ge:GENC:3:3-11:IND</v>
      </c>
    </row>
    <row r="124" spans="1:9" ht="13.5" customHeight="1" x14ac:dyDescent="0.2">
      <c r="A124" s="63" t="s">
        <v>762</v>
      </c>
      <c r="B124" s="21" t="s">
        <v>763</v>
      </c>
      <c r="C124" s="45" t="s">
        <v>764</v>
      </c>
      <c r="D124" s="44" t="s">
        <v>765</v>
      </c>
      <c r="E124" s="21" t="s">
        <v>766</v>
      </c>
      <c r="F124" s="21" t="s">
        <v>767</v>
      </c>
      <c r="G124" s="53" t="str">
        <f>HYPERLINK("[#]Codes_for_AS_Names!A1723:G1723","&lt;link&gt;")</f>
        <v>&lt;link&gt;</v>
      </c>
      <c r="H124" s="72" t="str">
        <f>HYPERLINK("http://nsgreg.nga.mil/genc/view?v=291137&amp;end_month=6&amp;end_day=30&amp;end_year=2019","INDONESIA")</f>
        <v>INDONESIA</v>
      </c>
      <c r="I124" s="72" t="str">
        <f>HYPERLINK("http://api.nsgreg.nga.mil/geo-political/GENC/3/3-11/IDN","ge:GENC:3:3-11:IDN")</f>
        <v>ge:GENC:3:3-11:IDN</v>
      </c>
    </row>
    <row r="125" spans="1:9" ht="13.5" customHeight="1" x14ac:dyDescent="0.2">
      <c r="A125" s="63" t="s">
        <v>768</v>
      </c>
      <c r="B125" s="21" t="s">
        <v>769</v>
      </c>
      <c r="C125" s="45" t="s">
        <v>770</v>
      </c>
      <c r="D125" s="44" t="s">
        <v>771</v>
      </c>
      <c r="E125" s="21" t="s">
        <v>772</v>
      </c>
      <c r="F125" s="21" t="s">
        <v>773</v>
      </c>
      <c r="G125" s="53" t="str">
        <f>HYPERLINK("[#]Codes_for_AS_Names!A1764:G1764","&lt;link&gt;")</f>
        <v>&lt;link&gt;</v>
      </c>
      <c r="H125" s="72" t="str">
        <f>HYPERLINK("http://nsgreg.nga.mil/genc/view?v=291138&amp;end_month=6&amp;end_day=30&amp;end_year=2019","IRAN")</f>
        <v>IRAN</v>
      </c>
      <c r="I125" s="72" t="str">
        <f>HYPERLINK("http://api.nsgreg.nga.mil/geo-political/GENC/3/3-11/IRN","ge:GENC:3:3-11:IRN")</f>
        <v>ge:GENC:3:3-11:IRN</v>
      </c>
    </row>
    <row r="126" spans="1:9" ht="13.5" customHeight="1" x14ac:dyDescent="0.2">
      <c r="A126" s="64" t="s">
        <v>774</v>
      </c>
      <c r="B126" s="47" t="s">
        <v>775</v>
      </c>
      <c r="C126" s="48" t="s">
        <v>776</v>
      </c>
      <c r="D126" s="46" t="s">
        <v>777</v>
      </c>
      <c r="E126" s="47" t="s">
        <v>778</v>
      </c>
      <c r="F126" s="47" t="s">
        <v>779</v>
      </c>
      <c r="G126" s="54" t="str">
        <f>HYPERLINK("[#]Codes_for_AS_Names!A1795:G1795","&lt;link&gt;")</f>
        <v>&lt;link&gt;</v>
      </c>
      <c r="H126" s="73" t="str">
        <f>HYPERLINK("http://nsgreg.nga.mil/genc/view?v=291139&amp;end_month=6&amp;end_day=30&amp;end_year=2019","IRAQ")</f>
        <v>IRAQ</v>
      </c>
      <c r="I126" s="73" t="str">
        <f>HYPERLINK("http://api.nsgreg.nga.mil/geo-political/GENC/3/3-11/IRQ","ge:GENC:3:3-11:IRQ")</f>
        <v>ge:GENC:3:3-11:IRQ</v>
      </c>
    </row>
    <row r="127" spans="1:9" ht="13.5" customHeight="1" x14ac:dyDescent="0.2">
      <c r="A127" s="65" t="s">
        <v>780</v>
      </c>
      <c r="B127" s="42" t="s">
        <v>781</v>
      </c>
      <c r="C127" s="43" t="s">
        <v>782</v>
      </c>
      <c r="D127" s="41" t="s">
        <v>783</v>
      </c>
      <c r="E127" s="42" t="s">
        <v>784</v>
      </c>
      <c r="F127" s="42" t="s">
        <v>784</v>
      </c>
      <c r="G127" s="52" t="str">
        <f>HYPERLINK("[#]Codes_for_AS_Names!A1813:G1813","&lt;link&gt;")</f>
        <v>&lt;link&gt;</v>
      </c>
      <c r="H127" s="74" t="str">
        <f>HYPERLINK("http://nsgreg.nga.mil/genc/view?v=291140&amp;end_month=6&amp;end_day=30&amp;end_year=2019","IRELAND")</f>
        <v>IRELAND</v>
      </c>
      <c r="I127" s="74" t="str">
        <f>HYPERLINK("http://api.nsgreg.nga.mil/geo-political/GENC/3/3-11/IRL","ge:GENC:3:3-11:IRL")</f>
        <v>ge:GENC:3:3-11:IRL</v>
      </c>
    </row>
    <row r="128" spans="1:9" ht="13.5" customHeight="1" x14ac:dyDescent="0.2">
      <c r="A128" s="63" t="s">
        <v>785</v>
      </c>
      <c r="B128" s="21" t="s">
        <v>786</v>
      </c>
      <c r="C128" s="45" t="s">
        <v>787</v>
      </c>
      <c r="D128" s="44" t="s">
        <v>788</v>
      </c>
      <c r="E128" s="21" t="s">
        <v>789</v>
      </c>
      <c r="F128" s="21" t="s">
        <v>789</v>
      </c>
      <c r="G128" s="83"/>
      <c r="H128" s="72" t="str">
        <f>HYPERLINK("http://nsgreg.nga.mil/genc/view?v=291141&amp;end_month=6&amp;end_day=30&amp;end_year=2019","ISLE OF MAN")</f>
        <v>ISLE OF MAN</v>
      </c>
      <c r="I128" s="72" t="str">
        <f>HYPERLINK("http://api.nsgreg.nga.mil/geo-political/GENC/3/3-11/IMN","ge:GENC:3:3-11:IMN")</f>
        <v>ge:GENC:3:3-11:IMN</v>
      </c>
    </row>
    <row r="129" spans="1:9" ht="13.5" customHeight="1" x14ac:dyDescent="0.2">
      <c r="A129" s="63" t="s">
        <v>790</v>
      </c>
      <c r="B129" s="21" t="s">
        <v>791</v>
      </c>
      <c r="C129" s="45" t="s">
        <v>792</v>
      </c>
      <c r="D129" s="44" t="s">
        <v>793</v>
      </c>
      <c r="E129" s="21" t="s">
        <v>794</v>
      </c>
      <c r="F129" s="21" t="s">
        <v>795</v>
      </c>
      <c r="G129" s="53" t="str">
        <f>HYPERLINK("[#]Codes_for_AS_Names!A1848:G1848","&lt;link&gt;")</f>
        <v>&lt;link&gt;</v>
      </c>
      <c r="H129" s="72" t="str">
        <f>HYPERLINK("http://nsgreg.nga.mil/genc/view?v=291142&amp;end_month=6&amp;end_day=30&amp;end_year=2019","ISRAEL")</f>
        <v>ISRAEL</v>
      </c>
      <c r="I129" s="72" t="str">
        <f>HYPERLINK("http://api.nsgreg.nga.mil/geo-political/GENC/3/3-11/ISR","ge:GENC:3:3-11:ISR")</f>
        <v>ge:GENC:3:3-11:ISR</v>
      </c>
    </row>
    <row r="130" spans="1:9" ht="13.5" customHeight="1" x14ac:dyDescent="0.2">
      <c r="A130" s="63" t="s">
        <v>796</v>
      </c>
      <c r="B130" s="21" t="s">
        <v>797</v>
      </c>
      <c r="C130" s="45" t="s">
        <v>798</v>
      </c>
      <c r="D130" s="44" t="s">
        <v>799</v>
      </c>
      <c r="E130" s="21" t="s">
        <v>800</v>
      </c>
      <c r="F130" s="21" t="s">
        <v>801</v>
      </c>
      <c r="G130" s="53" t="str">
        <f>HYPERLINK("[#]Codes_for_AS_Names!A1854:G1854","&lt;link&gt;")</f>
        <v>&lt;link&gt;</v>
      </c>
      <c r="H130" s="72" t="str">
        <f>HYPERLINK("http://nsgreg.nga.mil/genc/view?v=291143&amp;end_month=6&amp;end_day=30&amp;end_year=2019","ITALY")</f>
        <v>ITALY</v>
      </c>
      <c r="I130" s="72" t="str">
        <f>HYPERLINK("http://api.nsgreg.nga.mil/geo-political/GENC/3/3-11/ITA","ge:GENC:3:3-11:ITA")</f>
        <v>ge:GENC:3:3-11:ITA</v>
      </c>
    </row>
    <row r="131" spans="1:9" ht="13.5" customHeight="1" x14ac:dyDescent="0.2">
      <c r="A131" s="64" t="s">
        <v>802</v>
      </c>
      <c r="B131" s="47" t="s">
        <v>803</v>
      </c>
      <c r="C131" s="48" t="s">
        <v>804</v>
      </c>
      <c r="D131" s="46" t="s">
        <v>805</v>
      </c>
      <c r="E131" s="47" t="s">
        <v>806</v>
      </c>
      <c r="F131" s="47" t="s">
        <v>806</v>
      </c>
      <c r="G131" s="54" t="str">
        <f>HYPERLINK("[#]Codes_for_AS_Names!A1976:G1976","&lt;link&gt;")</f>
        <v>&lt;link&gt;</v>
      </c>
      <c r="H131" s="73" t="str">
        <f>HYPERLINK("http://nsgreg.nga.mil/genc/view?v=291144&amp;end_month=6&amp;end_day=30&amp;end_year=2019","JAMAICA")</f>
        <v>JAMAICA</v>
      </c>
      <c r="I131" s="73" t="str">
        <f>HYPERLINK("http://api.nsgreg.nga.mil/geo-political/GENC/3/3-11/JAM","ge:GENC:3:3-11:JAM")</f>
        <v>ge:GENC:3:3-11:JAM</v>
      </c>
    </row>
    <row r="132" spans="1:9" ht="13.5" customHeight="1" x14ac:dyDescent="0.2">
      <c r="A132" s="65" t="s">
        <v>807</v>
      </c>
      <c r="B132" s="42" t="s">
        <v>808</v>
      </c>
      <c r="C132" s="43" t="s">
        <v>809</v>
      </c>
      <c r="D132" s="41" t="s">
        <v>810</v>
      </c>
      <c r="E132" s="42" t="s">
        <v>811</v>
      </c>
      <c r="F132" s="42" t="s">
        <v>811</v>
      </c>
      <c r="G132" s="85"/>
      <c r="H132" s="74" t="str">
        <f>HYPERLINK("http://nsgreg.nga.mil/genc/view?v=291145&amp;end_month=6&amp;end_day=30&amp;end_year=2019","JAN MAYEN")</f>
        <v>JAN MAYEN</v>
      </c>
      <c r="I132" s="74" t="str">
        <f>HYPERLINK("http://api.nsgreg.nga.mil/geo-political/GENC/3/3-11/XJM","ge:GENC:3:3-11:XJM")</f>
        <v>ge:GENC:3:3-11:XJM</v>
      </c>
    </row>
    <row r="133" spans="1:9" ht="13.5" customHeight="1" x14ac:dyDescent="0.2">
      <c r="A133" s="63" t="s">
        <v>812</v>
      </c>
      <c r="B133" s="21" t="s">
        <v>813</v>
      </c>
      <c r="C133" s="45" t="s">
        <v>814</v>
      </c>
      <c r="D133" s="44" t="s">
        <v>815</v>
      </c>
      <c r="E133" s="21" t="s">
        <v>816</v>
      </c>
      <c r="F133" s="21" t="s">
        <v>816</v>
      </c>
      <c r="G133" s="53" t="str">
        <f>HYPERLINK("[#]Codes_for_AS_Names!A1990:G1990","&lt;link&gt;")</f>
        <v>&lt;link&gt;</v>
      </c>
      <c r="H133" s="72" t="str">
        <f>HYPERLINK("http://nsgreg.nga.mil/genc/view?v=291146&amp;end_month=6&amp;end_day=30&amp;end_year=2019","JAPAN")</f>
        <v>JAPAN</v>
      </c>
      <c r="I133" s="72" t="str">
        <f>HYPERLINK("http://api.nsgreg.nga.mil/geo-political/GENC/3/3-11/JPN","ge:GENC:3:3-11:JPN")</f>
        <v>ge:GENC:3:3-11:JPN</v>
      </c>
    </row>
    <row r="134" spans="1:9" ht="13.5" customHeight="1" x14ac:dyDescent="0.2">
      <c r="A134" s="63" t="s">
        <v>817</v>
      </c>
      <c r="B134" s="21" t="s">
        <v>818</v>
      </c>
      <c r="C134" s="45" t="s">
        <v>819</v>
      </c>
      <c r="D134" s="44" t="s">
        <v>820</v>
      </c>
      <c r="E134" s="21" t="s">
        <v>821</v>
      </c>
      <c r="F134" s="21" t="s">
        <v>821</v>
      </c>
      <c r="G134" s="83"/>
      <c r="H134" s="72" t="str">
        <f>HYPERLINK("http://nsgreg.nga.mil/genc/view?v=291147&amp;end_month=6&amp;end_day=30&amp;end_year=2019","JARVIS ISLAND")</f>
        <v>JARVIS ISLAND</v>
      </c>
      <c r="I134" s="72" t="str">
        <f>HYPERLINK("http://api.nsgreg.nga.mil/geo-political/GENC/3/3-11/XJV","ge:GENC:3:3-11:XJV")</f>
        <v>ge:GENC:3:3-11:XJV</v>
      </c>
    </row>
    <row r="135" spans="1:9" ht="13.5" customHeight="1" x14ac:dyDescent="0.2">
      <c r="A135" s="63" t="s">
        <v>822</v>
      </c>
      <c r="B135" s="21" t="s">
        <v>823</v>
      </c>
      <c r="C135" s="45" t="s">
        <v>824</v>
      </c>
      <c r="D135" s="44" t="s">
        <v>825</v>
      </c>
      <c r="E135" s="21" t="s">
        <v>826</v>
      </c>
      <c r="F135" s="21" t="s">
        <v>827</v>
      </c>
      <c r="G135" s="83"/>
      <c r="H135" s="72" t="str">
        <f>HYPERLINK("http://nsgreg.nga.mil/genc/view?v=291148&amp;end_month=6&amp;end_day=30&amp;end_year=2019","JERSEY")</f>
        <v>JERSEY</v>
      </c>
      <c r="I135" s="72" t="str">
        <f>HYPERLINK("http://api.nsgreg.nga.mil/geo-political/GENC/3/3-11/JEY","ge:GENC:3:3-11:JEY")</f>
        <v>ge:GENC:3:3-11:JEY</v>
      </c>
    </row>
    <row r="136" spans="1:9" ht="13.5" customHeight="1" x14ac:dyDescent="0.2">
      <c r="A136" s="64" t="s">
        <v>828</v>
      </c>
      <c r="B136" s="47" t="s">
        <v>829</v>
      </c>
      <c r="C136" s="48" t="s">
        <v>830</v>
      </c>
      <c r="D136" s="46" t="s">
        <v>831</v>
      </c>
      <c r="E136" s="47" t="s">
        <v>832</v>
      </c>
      <c r="F136" s="47" t="s">
        <v>832</v>
      </c>
      <c r="G136" s="84"/>
      <c r="H136" s="73" t="str">
        <f>HYPERLINK("http://nsgreg.nga.mil/genc/view?v=291149&amp;end_month=6&amp;end_day=30&amp;end_year=2019","JOHNSTON ATOLL")</f>
        <v>JOHNSTON ATOLL</v>
      </c>
      <c r="I136" s="73" t="str">
        <f>HYPERLINK("http://api.nsgreg.nga.mil/geo-political/GENC/3/3-11/XJA","ge:GENC:3:3-11:XJA")</f>
        <v>ge:GENC:3:3-11:XJA</v>
      </c>
    </row>
    <row r="137" spans="1:9" ht="13.5" customHeight="1" x14ac:dyDescent="0.2">
      <c r="A137" s="65" t="s">
        <v>833</v>
      </c>
      <c r="B137" s="42" t="s">
        <v>834</v>
      </c>
      <c r="C137" s="43" t="s">
        <v>835</v>
      </c>
      <c r="D137" s="41" t="s">
        <v>836</v>
      </c>
      <c r="E137" s="42" t="s">
        <v>837</v>
      </c>
      <c r="F137" s="42" t="s">
        <v>838</v>
      </c>
      <c r="G137" s="52" t="str">
        <f>HYPERLINK("[#]Codes_for_AS_Names!A2037:G2037","&lt;link&gt;")</f>
        <v>&lt;link&gt;</v>
      </c>
      <c r="H137" s="74" t="str">
        <f>HYPERLINK("http://nsgreg.nga.mil/genc/view?v=291150&amp;end_month=6&amp;end_day=30&amp;end_year=2019","JORDAN")</f>
        <v>JORDAN</v>
      </c>
      <c r="I137" s="74" t="str">
        <f>HYPERLINK("http://api.nsgreg.nga.mil/geo-political/GENC/3/3-11/JOR","ge:GENC:3:3-11:JOR")</f>
        <v>ge:GENC:3:3-11:JOR</v>
      </c>
    </row>
    <row r="138" spans="1:9" ht="13.5" customHeight="1" x14ac:dyDescent="0.2">
      <c r="A138" s="63" t="s">
        <v>839</v>
      </c>
      <c r="B138" s="21" t="s">
        <v>840</v>
      </c>
      <c r="C138" s="45" t="s">
        <v>841</v>
      </c>
      <c r="D138" s="44" t="s">
        <v>842</v>
      </c>
      <c r="E138" s="21" t="s">
        <v>843</v>
      </c>
      <c r="F138" s="21" t="s">
        <v>843</v>
      </c>
      <c r="G138" s="83"/>
      <c r="H138" s="72" t="str">
        <f>HYPERLINK("http://nsgreg.nga.mil/genc/view?v=291151&amp;end_month=6&amp;end_day=30&amp;end_year=2019","JUAN DE NOVA ISLAND")</f>
        <v>JUAN DE NOVA ISLAND</v>
      </c>
      <c r="I138" s="72" t="str">
        <f>HYPERLINK("http://api.nsgreg.nga.mil/geo-political/GENC/3/3-11/XJN","ge:GENC:3:3-11:XJN")</f>
        <v>ge:GENC:3:3-11:XJN</v>
      </c>
    </row>
    <row r="139" spans="1:9" ht="13.5" customHeight="1" x14ac:dyDescent="0.2">
      <c r="A139" s="63" t="s">
        <v>844</v>
      </c>
      <c r="B139" s="21" t="s">
        <v>845</v>
      </c>
      <c r="C139" s="45" t="s">
        <v>846</v>
      </c>
      <c r="D139" s="44" t="s">
        <v>847</v>
      </c>
      <c r="E139" s="21" t="s">
        <v>848</v>
      </c>
      <c r="F139" s="21" t="s">
        <v>849</v>
      </c>
      <c r="G139" s="53" t="str">
        <f>HYPERLINK("[#]Codes_for_AS_Names!A2049:G2049","&lt;link&gt;")</f>
        <v>&lt;link&gt;</v>
      </c>
      <c r="H139" s="72" t="str">
        <f>HYPERLINK("http://nsgreg.nga.mil/genc/view?v=291152&amp;end_month=6&amp;end_day=30&amp;end_year=2019","KAZAKHSTAN")</f>
        <v>KAZAKHSTAN</v>
      </c>
      <c r="I139" s="72" t="str">
        <f>HYPERLINK("http://api.nsgreg.nga.mil/geo-political/GENC/3/3-11/KAZ","ge:GENC:3:3-11:KAZ")</f>
        <v>ge:GENC:3:3-11:KAZ</v>
      </c>
    </row>
    <row r="140" spans="1:9" ht="13.5" customHeight="1" x14ac:dyDescent="0.2">
      <c r="A140" s="63" t="s">
        <v>850</v>
      </c>
      <c r="B140" s="21" t="s">
        <v>851</v>
      </c>
      <c r="C140" s="45" t="s">
        <v>852</v>
      </c>
      <c r="D140" s="44" t="s">
        <v>853</v>
      </c>
      <c r="E140" s="21" t="s">
        <v>854</v>
      </c>
      <c r="F140" s="21" t="s">
        <v>855</v>
      </c>
      <c r="G140" s="53" t="str">
        <f>HYPERLINK("[#]Codes_for_AS_Names!A2066:G2066","&lt;link&gt;")</f>
        <v>&lt;link&gt;</v>
      </c>
      <c r="H140" s="72" t="str">
        <f>HYPERLINK("http://nsgreg.nga.mil/genc/view?v=291153&amp;end_month=6&amp;end_day=30&amp;end_year=2019","KENYA")</f>
        <v>KENYA</v>
      </c>
      <c r="I140" s="72" t="str">
        <f>HYPERLINK("http://api.nsgreg.nga.mil/geo-political/GENC/3/3-11/KEN","ge:GENC:3:3-11:KEN")</f>
        <v>ge:GENC:3:3-11:KEN</v>
      </c>
    </row>
    <row r="141" spans="1:9" ht="13.5" customHeight="1" x14ac:dyDescent="0.2">
      <c r="A141" s="64" t="s">
        <v>856</v>
      </c>
      <c r="B141" s="47" t="s">
        <v>857</v>
      </c>
      <c r="C141" s="48" t="s">
        <v>858</v>
      </c>
      <c r="D141" s="46" t="s">
        <v>859</v>
      </c>
      <c r="E141" s="47" t="s">
        <v>860</v>
      </c>
      <c r="F141" s="47" t="s">
        <v>860</v>
      </c>
      <c r="G141" s="84"/>
      <c r="H141" s="73" t="str">
        <f>HYPERLINK("http://nsgreg.nga.mil/genc/view?v=291154&amp;end_month=6&amp;end_day=30&amp;end_year=2019","KINGMAN REEF")</f>
        <v>KINGMAN REEF</v>
      </c>
      <c r="I141" s="73" t="str">
        <f>HYPERLINK("http://api.nsgreg.nga.mil/geo-political/GENC/3/3-11/XKR","ge:GENC:3:3-11:XKR")</f>
        <v>ge:GENC:3:3-11:XKR</v>
      </c>
    </row>
    <row r="142" spans="1:9" ht="13.5" customHeight="1" x14ac:dyDescent="0.2">
      <c r="A142" s="65" t="s">
        <v>861</v>
      </c>
      <c r="B142" s="42" t="s">
        <v>862</v>
      </c>
      <c r="C142" s="43" t="s">
        <v>863</v>
      </c>
      <c r="D142" s="41" t="s">
        <v>864</v>
      </c>
      <c r="E142" s="42" t="s">
        <v>865</v>
      </c>
      <c r="F142" s="42" t="s">
        <v>866</v>
      </c>
      <c r="G142" s="85"/>
      <c r="H142" s="74" t="str">
        <f>HYPERLINK("http://nsgreg.nga.mil/genc/view?v=291155&amp;end_month=6&amp;end_day=30&amp;end_year=2019","KIRIBATI")</f>
        <v>KIRIBATI</v>
      </c>
      <c r="I142" s="74" t="str">
        <f>HYPERLINK("http://api.nsgreg.nga.mil/geo-political/GENC/3/3-11/KIR","ge:GENC:3:3-11:KIR")</f>
        <v>ge:GENC:3:3-11:KIR</v>
      </c>
    </row>
    <row r="143" spans="1:9" ht="13.5" customHeight="1" x14ac:dyDescent="0.2">
      <c r="A143" s="63" t="s">
        <v>868</v>
      </c>
      <c r="B143" s="21" t="s">
        <v>869</v>
      </c>
      <c r="C143" s="45" t="s">
        <v>870</v>
      </c>
      <c r="D143" s="44" t="s">
        <v>871</v>
      </c>
      <c r="E143" s="21" t="s">
        <v>872</v>
      </c>
      <c r="F143" s="21" t="s">
        <v>873</v>
      </c>
      <c r="G143" s="53" t="str">
        <f>HYPERLINK("[#]Codes_for_AS_Names!A2113:G2113","&lt;link&gt;")</f>
        <v>&lt;link&gt;</v>
      </c>
      <c r="H143" s="72" t="str">
        <f>HYPERLINK("http://nsgreg.nga.mil/genc/view?v=291156&amp;end_month=6&amp;end_day=30&amp;end_year=2019","KOREA, NORTH")</f>
        <v>KOREA, NORTH</v>
      </c>
      <c r="I143" s="72" t="str">
        <f>HYPERLINK("http://api.nsgreg.nga.mil/geo-political/GENC/3/3-11/PRK","ge:GENC:3:3-11:PRK")</f>
        <v>ge:GENC:3:3-11:PRK</v>
      </c>
    </row>
    <row r="144" spans="1:9" ht="13.5" customHeight="1" x14ac:dyDescent="0.2">
      <c r="A144" s="63" t="s">
        <v>875</v>
      </c>
      <c r="B144" s="21" t="s">
        <v>867</v>
      </c>
      <c r="C144" s="45" t="s">
        <v>876</v>
      </c>
      <c r="D144" s="44" t="s">
        <v>877</v>
      </c>
      <c r="E144" s="21" t="s">
        <v>878</v>
      </c>
      <c r="F144" s="21" t="s">
        <v>879</v>
      </c>
      <c r="G144" s="53" t="str">
        <f>HYPERLINK("[#]Codes_for_AS_Names!A2125:G2125","&lt;link&gt;")</f>
        <v>&lt;link&gt;</v>
      </c>
      <c r="H144" s="72" t="str">
        <f>HYPERLINK("http://nsgreg.nga.mil/genc/view?v=291157&amp;end_month=6&amp;end_day=30&amp;end_year=2019","KOREA, SOUTH")</f>
        <v>KOREA, SOUTH</v>
      </c>
      <c r="I144" s="72" t="str">
        <f>HYPERLINK("http://api.nsgreg.nga.mil/geo-political/GENC/3/3-11/KOR","ge:GENC:3:3-11:KOR")</f>
        <v>ge:GENC:3:3-11:KOR</v>
      </c>
    </row>
    <row r="145" spans="1:9" ht="13.5" customHeight="1" x14ac:dyDescent="0.2">
      <c r="A145" s="63" t="s">
        <v>880</v>
      </c>
      <c r="B145" s="21" t="s">
        <v>881</v>
      </c>
      <c r="C145" s="45" t="s">
        <v>882</v>
      </c>
      <c r="D145" s="44" t="s">
        <v>883</v>
      </c>
      <c r="E145" s="21" t="s">
        <v>884</v>
      </c>
      <c r="F145" s="21" t="s">
        <v>885</v>
      </c>
      <c r="G145" s="53" t="str">
        <f>HYPERLINK("[#]Codes_for_AS_Names!A2142:G2142","&lt;link&gt;")</f>
        <v>&lt;link&gt;</v>
      </c>
      <c r="H145" s="72" t="str">
        <f>HYPERLINK("http://nsgreg.nga.mil/genc/view?v=291158&amp;end_month=6&amp;end_day=30&amp;end_year=2019","KOSOVO")</f>
        <v>KOSOVO</v>
      </c>
      <c r="I145" s="72" t="str">
        <f>HYPERLINK("http://api.nsgreg.nga.mil/geo-political/GENC/3/3-11/XKS","ge:GENC:3:3-11:XKS")</f>
        <v>ge:GENC:3:3-11:XKS</v>
      </c>
    </row>
    <row r="146" spans="1:9" ht="13.5" customHeight="1" x14ac:dyDescent="0.2">
      <c r="A146" s="64" t="s">
        <v>886</v>
      </c>
      <c r="B146" s="47" t="s">
        <v>887</v>
      </c>
      <c r="C146" s="48" t="s">
        <v>888</v>
      </c>
      <c r="D146" s="46" t="s">
        <v>889</v>
      </c>
      <c r="E146" s="47" t="s">
        <v>890</v>
      </c>
      <c r="F146" s="47" t="s">
        <v>891</v>
      </c>
      <c r="G146" s="54" t="str">
        <f>HYPERLINK("[#]Codes_for_AS_Names!A2180:G2180","&lt;link&gt;")</f>
        <v>&lt;link&gt;</v>
      </c>
      <c r="H146" s="73" t="str">
        <f>HYPERLINK("http://nsgreg.nga.mil/genc/view?v=291159&amp;end_month=6&amp;end_day=30&amp;end_year=2019","KUWAIT")</f>
        <v>KUWAIT</v>
      </c>
      <c r="I146" s="73" t="str">
        <f>HYPERLINK("http://api.nsgreg.nga.mil/geo-political/GENC/3/3-11/KWT","ge:GENC:3:3-11:KWT")</f>
        <v>ge:GENC:3:3-11:KWT</v>
      </c>
    </row>
    <row r="147" spans="1:9" ht="13.5" customHeight="1" x14ac:dyDescent="0.2">
      <c r="A147" s="65" t="s">
        <v>892</v>
      </c>
      <c r="B147" s="42" t="s">
        <v>893</v>
      </c>
      <c r="C147" s="43" t="s">
        <v>894</v>
      </c>
      <c r="D147" s="41" t="s">
        <v>895</v>
      </c>
      <c r="E147" s="42" t="s">
        <v>896</v>
      </c>
      <c r="F147" s="42" t="s">
        <v>897</v>
      </c>
      <c r="G147" s="52" t="str">
        <f>HYPERLINK("[#]Codes_for_AS_Names!A2186:G2186","&lt;link&gt;")</f>
        <v>&lt;link&gt;</v>
      </c>
      <c r="H147" s="74" t="str">
        <f>HYPERLINK("http://nsgreg.nga.mil/genc/view?v=291160&amp;end_month=6&amp;end_day=30&amp;end_year=2019","KYRGYZSTAN")</f>
        <v>KYRGYZSTAN</v>
      </c>
      <c r="I147" s="74" t="str">
        <f>HYPERLINK("http://api.nsgreg.nga.mil/geo-political/GENC/3/3-11/KGZ","ge:GENC:3:3-11:KGZ")</f>
        <v>ge:GENC:3:3-11:KGZ</v>
      </c>
    </row>
    <row r="148" spans="1:9" ht="13.5" customHeight="1" x14ac:dyDescent="0.2">
      <c r="A148" s="63" t="s">
        <v>898</v>
      </c>
      <c r="B148" s="21" t="s">
        <v>899</v>
      </c>
      <c r="C148" s="45" t="s">
        <v>900</v>
      </c>
      <c r="D148" s="44" t="s">
        <v>901</v>
      </c>
      <c r="E148" s="21" t="s">
        <v>902</v>
      </c>
      <c r="F148" s="21" t="s">
        <v>903</v>
      </c>
      <c r="G148" s="53" t="str">
        <f>HYPERLINK("[#]Codes_for_AS_Names!A2195:G2195","&lt;link&gt;")</f>
        <v>&lt;link&gt;</v>
      </c>
      <c r="H148" s="72" t="str">
        <f>HYPERLINK("http://nsgreg.nga.mil/genc/view?v=291161&amp;end_month=6&amp;end_day=30&amp;end_year=2019","LAOS")</f>
        <v>LAOS</v>
      </c>
      <c r="I148" s="72" t="str">
        <f>HYPERLINK("http://api.nsgreg.nga.mil/geo-political/GENC/3/3-11/LAO","ge:GENC:3:3-11:LAO")</f>
        <v>ge:GENC:3:3-11:LAO</v>
      </c>
    </row>
    <row r="149" spans="1:9" ht="13.5" customHeight="1" x14ac:dyDescent="0.2">
      <c r="A149" s="63" t="s">
        <v>904</v>
      </c>
      <c r="B149" s="21" t="s">
        <v>905</v>
      </c>
      <c r="C149" s="45" t="s">
        <v>906</v>
      </c>
      <c r="D149" s="44" t="s">
        <v>907</v>
      </c>
      <c r="E149" s="21" t="s">
        <v>908</v>
      </c>
      <c r="F149" s="21" t="s">
        <v>909</v>
      </c>
      <c r="G149" s="53" t="str">
        <f>HYPERLINK("[#]Codes_for_AS_Names!A2213:G2213","&lt;link&gt;")</f>
        <v>&lt;link&gt;</v>
      </c>
      <c r="H149" s="72" t="str">
        <f>HYPERLINK("http://nsgreg.nga.mil/genc/view?v=291162&amp;end_month=6&amp;end_day=30&amp;end_year=2019","LATVIA")</f>
        <v>LATVIA</v>
      </c>
      <c r="I149" s="72" t="str">
        <f>HYPERLINK("http://api.nsgreg.nga.mil/geo-political/GENC/3/3-11/LVA","ge:GENC:3:3-11:LVA")</f>
        <v>ge:GENC:3:3-11:LVA</v>
      </c>
    </row>
    <row r="150" spans="1:9" ht="13.5" customHeight="1" x14ac:dyDescent="0.2">
      <c r="A150" s="63" t="s">
        <v>910</v>
      </c>
      <c r="B150" s="21" t="s">
        <v>911</v>
      </c>
      <c r="C150" s="45" t="s">
        <v>912</v>
      </c>
      <c r="D150" s="44" t="s">
        <v>913</v>
      </c>
      <c r="E150" s="21" t="s">
        <v>914</v>
      </c>
      <c r="F150" s="21" t="s">
        <v>915</v>
      </c>
      <c r="G150" s="53" t="str">
        <f>HYPERLINK("[#]Codes_for_AS_Names!A2332:G2332","&lt;link&gt;")</f>
        <v>&lt;link&gt;</v>
      </c>
      <c r="H150" s="72" t="str">
        <f>HYPERLINK("http://nsgreg.nga.mil/genc/view?v=291163&amp;end_month=6&amp;end_day=30&amp;end_year=2019","LEBANON")</f>
        <v>LEBANON</v>
      </c>
      <c r="I150" s="72" t="str">
        <f>HYPERLINK("http://api.nsgreg.nga.mil/geo-political/GENC/3/3-11/LBN","ge:GENC:3:3-11:LBN")</f>
        <v>ge:GENC:3:3-11:LBN</v>
      </c>
    </row>
    <row r="151" spans="1:9" ht="13.5" customHeight="1" x14ac:dyDescent="0.2">
      <c r="A151" s="64" t="s">
        <v>916</v>
      </c>
      <c r="B151" s="47" t="s">
        <v>917</v>
      </c>
      <c r="C151" s="48" t="s">
        <v>918</v>
      </c>
      <c r="D151" s="46" t="s">
        <v>919</v>
      </c>
      <c r="E151" s="47" t="s">
        <v>920</v>
      </c>
      <c r="F151" s="47" t="s">
        <v>921</v>
      </c>
      <c r="G151" s="54" t="str">
        <f>HYPERLINK("[#]Codes_for_AS_Names!A2340:G2340","&lt;link&gt;")</f>
        <v>&lt;link&gt;</v>
      </c>
      <c r="H151" s="73" t="str">
        <f>HYPERLINK("http://nsgreg.nga.mil/genc/view?v=291164&amp;end_month=6&amp;end_day=30&amp;end_year=2019","LESOTHO")</f>
        <v>LESOTHO</v>
      </c>
      <c r="I151" s="73" t="str">
        <f>HYPERLINK("http://api.nsgreg.nga.mil/geo-political/GENC/3/3-11/LSO","ge:GENC:3:3-11:LSO")</f>
        <v>ge:GENC:3:3-11:LSO</v>
      </c>
    </row>
    <row r="152" spans="1:9" ht="13.5" customHeight="1" x14ac:dyDescent="0.2">
      <c r="A152" s="65" t="s">
        <v>923</v>
      </c>
      <c r="B152" s="42" t="s">
        <v>924</v>
      </c>
      <c r="C152" s="43" t="s">
        <v>925</v>
      </c>
      <c r="D152" s="41" t="s">
        <v>926</v>
      </c>
      <c r="E152" s="42" t="s">
        <v>927</v>
      </c>
      <c r="F152" s="42" t="s">
        <v>928</v>
      </c>
      <c r="G152" s="52" t="str">
        <f>HYPERLINK("[#]Codes_for_AS_Names!A2350:G2350","&lt;link&gt;")</f>
        <v>&lt;link&gt;</v>
      </c>
      <c r="H152" s="74" t="str">
        <f>HYPERLINK("http://nsgreg.nga.mil/genc/view?v=291165&amp;end_month=6&amp;end_day=30&amp;end_year=2019","LIBERIA")</f>
        <v>LIBERIA</v>
      </c>
      <c r="I152" s="74" t="str">
        <f>HYPERLINK("http://api.nsgreg.nga.mil/geo-political/GENC/3/3-11/LBR","ge:GENC:3:3-11:LBR")</f>
        <v>ge:GENC:3:3-11:LBR</v>
      </c>
    </row>
    <row r="153" spans="1:9" ht="13.5" customHeight="1" x14ac:dyDescent="0.2">
      <c r="A153" s="63" t="s">
        <v>930</v>
      </c>
      <c r="B153" s="21" t="s">
        <v>931</v>
      </c>
      <c r="C153" s="45" t="s">
        <v>932</v>
      </c>
      <c r="D153" s="44" t="s">
        <v>933</v>
      </c>
      <c r="E153" s="21" t="s">
        <v>934</v>
      </c>
      <c r="F153" s="21" t="s">
        <v>935</v>
      </c>
      <c r="G153" s="53" t="str">
        <f>HYPERLINK("[#]Codes_for_AS_Names!A2365:G2365","&lt;link&gt;")</f>
        <v>&lt;link&gt;</v>
      </c>
      <c r="H153" s="72" t="str">
        <f>HYPERLINK("http://nsgreg.nga.mil/genc/view?v=291166&amp;end_month=6&amp;end_day=30&amp;end_year=2019","LIBYA")</f>
        <v>LIBYA</v>
      </c>
      <c r="I153" s="72" t="str">
        <f>HYPERLINK("http://api.nsgreg.nga.mil/geo-political/GENC/3/3-11/LBY","ge:GENC:3:3-11:LBY")</f>
        <v>ge:GENC:3:3-11:LBY</v>
      </c>
    </row>
    <row r="154" spans="1:9" ht="13.5" customHeight="1" x14ac:dyDescent="0.2">
      <c r="A154" s="63" t="s">
        <v>936</v>
      </c>
      <c r="B154" s="21" t="s">
        <v>929</v>
      </c>
      <c r="C154" s="45" t="s">
        <v>937</v>
      </c>
      <c r="D154" s="44" t="s">
        <v>938</v>
      </c>
      <c r="E154" s="21" t="s">
        <v>939</v>
      </c>
      <c r="F154" s="21" t="s">
        <v>940</v>
      </c>
      <c r="G154" s="53" t="str">
        <f>HYPERLINK("[#]Codes_for_AS_Names!A2387:G2387","&lt;link&gt;")</f>
        <v>&lt;link&gt;</v>
      </c>
      <c r="H154" s="72" t="str">
        <f>HYPERLINK("http://nsgreg.nga.mil/genc/view?v=291167&amp;end_month=6&amp;end_day=30&amp;end_year=2019","LIECHTENSTEIN")</f>
        <v>LIECHTENSTEIN</v>
      </c>
      <c r="I154" s="72" t="str">
        <f>HYPERLINK("http://api.nsgreg.nga.mil/geo-political/GENC/3/3-11/LIE","ge:GENC:3:3-11:LIE")</f>
        <v>ge:GENC:3:3-11:LIE</v>
      </c>
    </row>
    <row r="155" spans="1:9" ht="13.5" customHeight="1" x14ac:dyDescent="0.2">
      <c r="A155" s="63" t="s">
        <v>941</v>
      </c>
      <c r="B155" s="21" t="s">
        <v>922</v>
      </c>
      <c r="C155" s="45" t="s">
        <v>942</v>
      </c>
      <c r="D155" s="44" t="s">
        <v>943</v>
      </c>
      <c r="E155" s="21" t="s">
        <v>944</v>
      </c>
      <c r="F155" s="21" t="s">
        <v>945</v>
      </c>
      <c r="G155" s="53" t="str">
        <f>HYPERLINK("[#]Codes_for_AS_Names!A2398:G2398","&lt;link&gt;")</f>
        <v>&lt;link&gt;</v>
      </c>
      <c r="H155" s="72" t="str">
        <f>HYPERLINK("http://nsgreg.nga.mil/genc/view?v=291168&amp;end_month=6&amp;end_day=30&amp;end_year=2019","LITHUANIA")</f>
        <v>LITHUANIA</v>
      </c>
      <c r="I155" s="72" t="str">
        <f>HYPERLINK("http://api.nsgreg.nga.mil/geo-political/GENC/3/3-11/LTU","ge:GENC:3:3-11:LTU")</f>
        <v>ge:GENC:3:3-11:LTU</v>
      </c>
    </row>
    <row r="156" spans="1:9" ht="13.5" customHeight="1" x14ac:dyDescent="0.2">
      <c r="A156" s="64" t="s">
        <v>946</v>
      </c>
      <c r="B156" s="47" t="s">
        <v>947</v>
      </c>
      <c r="C156" s="48" t="s">
        <v>948</v>
      </c>
      <c r="D156" s="46" t="s">
        <v>949</v>
      </c>
      <c r="E156" s="47" t="s">
        <v>950</v>
      </c>
      <c r="F156" s="47" t="s">
        <v>951</v>
      </c>
      <c r="G156" s="54" t="str">
        <f>HYPERLINK("[#]Codes_for_AS_Names!A2468:G2468","&lt;link&gt;")</f>
        <v>&lt;link&gt;</v>
      </c>
      <c r="H156" s="73" t="str">
        <f>HYPERLINK("http://nsgreg.nga.mil/genc/view?v=291169&amp;end_month=6&amp;end_day=30&amp;end_year=2019","LUXEMBOURG")</f>
        <v>LUXEMBOURG</v>
      </c>
      <c r="I156" s="73" t="str">
        <f>HYPERLINK("http://api.nsgreg.nga.mil/geo-political/GENC/3/3-11/LUX","ge:GENC:3:3-11:LUX")</f>
        <v>ge:GENC:3:3-11:LUX</v>
      </c>
    </row>
    <row r="157" spans="1:9" ht="13.5" customHeight="1" x14ac:dyDescent="0.2">
      <c r="A157" s="65" t="s">
        <v>952</v>
      </c>
      <c r="B157" s="42" t="s">
        <v>953</v>
      </c>
      <c r="C157" s="43" t="s">
        <v>954</v>
      </c>
      <c r="D157" s="41" t="s">
        <v>955</v>
      </c>
      <c r="E157" s="42" t="s">
        <v>956</v>
      </c>
      <c r="F157" s="42" t="s">
        <v>957</v>
      </c>
      <c r="G157" s="85"/>
      <c r="H157" s="74" t="str">
        <f>HYPERLINK("http://nsgreg.nga.mil/genc/view?v=291170&amp;end_month=6&amp;end_day=30&amp;end_year=2019","MACAU")</f>
        <v>MACAU</v>
      </c>
      <c r="I157" s="74" t="str">
        <f>HYPERLINK("http://api.nsgreg.nga.mil/geo-political/GENC/3/3-11/MAC","ge:GENC:3:3-11:MAC")</f>
        <v>ge:GENC:3:3-11:MAC</v>
      </c>
    </row>
    <row r="158" spans="1:9" ht="13.5" customHeight="1" x14ac:dyDescent="0.2">
      <c r="A158" s="63" t="s">
        <v>959</v>
      </c>
      <c r="B158" s="21" t="s">
        <v>960</v>
      </c>
      <c r="C158" s="45" t="s">
        <v>961</v>
      </c>
      <c r="D158" s="44" t="s">
        <v>962</v>
      </c>
      <c r="E158" s="21" t="s">
        <v>963</v>
      </c>
      <c r="F158" s="21" t="s">
        <v>964</v>
      </c>
      <c r="G158" s="53" t="str">
        <f>HYPERLINK("[#]Codes_for_AS_Names!A2480:G2480","&lt;link&gt;")</f>
        <v>&lt;link&gt;</v>
      </c>
      <c r="H158" s="72" t="str">
        <f>HYPERLINK("http://nsgreg.nga.mil/genc/view?v=291172&amp;end_month=6&amp;end_day=30&amp;end_year=2019","MADAGASCAR")</f>
        <v>MADAGASCAR</v>
      </c>
      <c r="I158" s="72" t="str">
        <f>HYPERLINK("http://api.nsgreg.nga.mil/geo-political/GENC/3/3-11/MDG","ge:GENC:3:3-11:MDG")</f>
        <v>ge:GENC:3:3-11:MDG</v>
      </c>
    </row>
    <row r="159" spans="1:9" ht="13.5" customHeight="1" x14ac:dyDescent="0.2">
      <c r="A159" s="63" t="s">
        <v>966</v>
      </c>
      <c r="B159" s="21" t="s">
        <v>967</v>
      </c>
      <c r="C159" s="45" t="s">
        <v>968</v>
      </c>
      <c r="D159" s="44" t="s">
        <v>969</v>
      </c>
      <c r="E159" s="21" t="s">
        <v>970</v>
      </c>
      <c r="F159" s="21" t="s">
        <v>971</v>
      </c>
      <c r="G159" s="53" t="str">
        <f>HYPERLINK("[#]Codes_for_AS_Names!A2486:G2486","&lt;link&gt;")</f>
        <v>&lt;link&gt;</v>
      </c>
      <c r="H159" s="72" t="str">
        <f>HYPERLINK("http://nsgreg.nga.mil/genc/view?v=291173&amp;end_month=6&amp;end_day=30&amp;end_year=2019","MALAWI")</f>
        <v>MALAWI</v>
      </c>
      <c r="I159" s="72" t="str">
        <f>HYPERLINK("http://api.nsgreg.nga.mil/geo-political/GENC/3/3-11/MWI","ge:GENC:3:3-11:MWI")</f>
        <v>ge:GENC:3:3-11:MWI</v>
      </c>
    </row>
    <row r="160" spans="1:9" ht="13.5" customHeight="1" x14ac:dyDescent="0.2">
      <c r="A160" s="63" t="s">
        <v>972</v>
      </c>
      <c r="B160" s="21" t="s">
        <v>973</v>
      </c>
      <c r="C160" s="45" t="s">
        <v>974</v>
      </c>
      <c r="D160" s="44" t="s">
        <v>975</v>
      </c>
      <c r="E160" s="21" t="s">
        <v>976</v>
      </c>
      <c r="F160" s="21" t="s">
        <v>976</v>
      </c>
      <c r="G160" s="53" t="str">
        <f>HYPERLINK("[#]Codes_for_AS_Names!A2517:G2517","&lt;link&gt;")</f>
        <v>&lt;link&gt;</v>
      </c>
      <c r="H160" s="72" t="str">
        <f>HYPERLINK("http://nsgreg.nga.mil/genc/view?v=291174&amp;end_month=6&amp;end_day=30&amp;end_year=2019","MALAYSIA")</f>
        <v>MALAYSIA</v>
      </c>
      <c r="I160" s="72" t="str">
        <f>HYPERLINK("http://api.nsgreg.nga.mil/geo-political/GENC/3/3-11/MYS","ge:GENC:3:3-11:MYS")</f>
        <v>ge:GENC:3:3-11:MYS</v>
      </c>
    </row>
    <row r="161" spans="1:9" ht="13.5" customHeight="1" x14ac:dyDescent="0.2">
      <c r="A161" s="64" t="s">
        <v>977</v>
      </c>
      <c r="B161" s="47" t="s">
        <v>978</v>
      </c>
      <c r="C161" s="48" t="s">
        <v>979</v>
      </c>
      <c r="D161" s="46" t="s">
        <v>980</v>
      </c>
      <c r="E161" s="47" t="s">
        <v>981</v>
      </c>
      <c r="F161" s="47" t="s">
        <v>982</v>
      </c>
      <c r="G161" s="54" t="str">
        <f>HYPERLINK("[#]Codes_for_AS_Names!A2533:G2533","&lt;link&gt;")</f>
        <v>&lt;link&gt;</v>
      </c>
      <c r="H161" s="73" t="str">
        <f>HYPERLINK("http://nsgreg.nga.mil/genc/view?v=291175&amp;end_month=6&amp;end_day=30&amp;end_year=2019","MALDIVES")</f>
        <v>MALDIVES</v>
      </c>
      <c r="I161" s="73" t="str">
        <f>HYPERLINK("http://api.nsgreg.nga.mil/geo-political/GENC/3/3-11/MDV","ge:GENC:3:3-11:MDV")</f>
        <v>ge:GENC:3:3-11:MDV</v>
      </c>
    </row>
    <row r="162" spans="1:9" ht="13.5" customHeight="1" x14ac:dyDescent="0.2">
      <c r="A162" s="65" t="s">
        <v>983</v>
      </c>
      <c r="B162" s="42" t="s">
        <v>984</v>
      </c>
      <c r="C162" s="43" t="s">
        <v>985</v>
      </c>
      <c r="D162" s="41" t="s">
        <v>986</v>
      </c>
      <c r="E162" s="42" t="s">
        <v>987</v>
      </c>
      <c r="F162" s="42" t="s">
        <v>988</v>
      </c>
      <c r="G162" s="52" t="str">
        <f>HYPERLINK("[#]Codes_for_AS_Names!A2554:G2554","&lt;link&gt;")</f>
        <v>&lt;link&gt;</v>
      </c>
      <c r="H162" s="74" t="str">
        <f>HYPERLINK("http://nsgreg.nga.mil/genc/view?v=291176&amp;end_month=6&amp;end_day=30&amp;end_year=2019","MALI")</f>
        <v>MALI</v>
      </c>
      <c r="I162" s="74" t="str">
        <f>HYPERLINK("http://api.nsgreg.nga.mil/geo-political/GENC/3/3-11/MLI","ge:GENC:3:3-11:MLI")</f>
        <v>ge:GENC:3:3-11:MLI</v>
      </c>
    </row>
    <row r="163" spans="1:9" ht="13.5" customHeight="1" x14ac:dyDescent="0.2">
      <c r="A163" s="63" t="s">
        <v>989</v>
      </c>
      <c r="B163" s="21" t="s">
        <v>990</v>
      </c>
      <c r="C163" s="45" t="s">
        <v>991</v>
      </c>
      <c r="D163" s="44" t="s">
        <v>992</v>
      </c>
      <c r="E163" s="21" t="s">
        <v>993</v>
      </c>
      <c r="F163" s="21" t="s">
        <v>994</v>
      </c>
      <c r="G163" s="53" t="str">
        <f>HYPERLINK("[#]Codes_for_AS_Names!A2563:G2563","&lt;link&gt;")</f>
        <v>&lt;link&gt;</v>
      </c>
      <c r="H163" s="72" t="str">
        <f>HYPERLINK("http://nsgreg.nga.mil/genc/view?v=291177&amp;end_month=6&amp;end_day=30&amp;end_year=2019","MALTA")</f>
        <v>MALTA</v>
      </c>
      <c r="I163" s="72" t="str">
        <f>HYPERLINK("http://api.nsgreg.nga.mil/geo-political/GENC/3/3-11/MLT","ge:GENC:3:3-11:MLT")</f>
        <v>ge:GENC:3:3-11:MLT</v>
      </c>
    </row>
    <row r="164" spans="1:9" ht="13.5" customHeight="1" x14ac:dyDescent="0.2">
      <c r="A164" s="63" t="s">
        <v>995</v>
      </c>
      <c r="B164" s="21" t="s">
        <v>996</v>
      </c>
      <c r="C164" s="45" t="s">
        <v>997</v>
      </c>
      <c r="D164" s="44" t="s">
        <v>998</v>
      </c>
      <c r="E164" s="21" t="s">
        <v>999</v>
      </c>
      <c r="F164" s="21" t="s">
        <v>1000</v>
      </c>
      <c r="G164" s="53" t="str">
        <f>HYPERLINK("[#]Codes_for_AS_Names!A2631:G2631","&lt;link&gt;")</f>
        <v>&lt;link&gt;</v>
      </c>
      <c r="H164" s="72" t="str">
        <f>HYPERLINK("http://nsgreg.nga.mil/genc/view?v=291178&amp;end_month=6&amp;end_day=30&amp;end_year=2019","MARSHALL ISLANDS")</f>
        <v>MARSHALL ISLANDS</v>
      </c>
      <c r="I164" s="72" t="str">
        <f>HYPERLINK("http://api.nsgreg.nga.mil/geo-political/GENC/3/3-11/MHL","ge:GENC:3:3-11:MHL")</f>
        <v>ge:GENC:3:3-11:MHL</v>
      </c>
    </row>
    <row r="165" spans="1:9" ht="13.5" customHeight="1" x14ac:dyDescent="0.2">
      <c r="A165" s="63" t="s">
        <v>1001</v>
      </c>
      <c r="B165" s="21" t="s">
        <v>1002</v>
      </c>
      <c r="C165" s="45" t="s">
        <v>1003</v>
      </c>
      <c r="D165" s="44" t="s">
        <v>1004</v>
      </c>
      <c r="E165" s="21" t="s">
        <v>1005</v>
      </c>
      <c r="F165" s="21" t="s">
        <v>1006</v>
      </c>
      <c r="G165" s="83"/>
      <c r="H165" s="72" t="str">
        <f>HYPERLINK("http://nsgreg.nga.mil/genc/view?v=291179&amp;end_month=6&amp;end_day=30&amp;end_year=2019","MARTINIQUE")</f>
        <v>MARTINIQUE</v>
      </c>
      <c r="I165" s="72" t="str">
        <f>HYPERLINK("http://api.nsgreg.nga.mil/geo-political/GENC/3/3-11/MTQ","ge:GENC:3:3-11:MTQ")</f>
        <v>ge:GENC:3:3-11:MTQ</v>
      </c>
    </row>
    <row r="166" spans="1:9" ht="13.5" customHeight="1" x14ac:dyDescent="0.2">
      <c r="A166" s="64" t="s">
        <v>1007</v>
      </c>
      <c r="B166" s="47" t="s">
        <v>1008</v>
      </c>
      <c r="C166" s="48" t="s">
        <v>1009</v>
      </c>
      <c r="D166" s="46" t="s">
        <v>1010</v>
      </c>
      <c r="E166" s="47" t="s">
        <v>1011</v>
      </c>
      <c r="F166" s="47" t="s">
        <v>1012</v>
      </c>
      <c r="G166" s="54" t="str">
        <f>HYPERLINK("[#]Codes_for_AS_Names!A2657:G2657","&lt;link&gt;")</f>
        <v>&lt;link&gt;</v>
      </c>
      <c r="H166" s="73" t="str">
        <f>HYPERLINK("http://nsgreg.nga.mil/genc/view?v=291180&amp;end_month=6&amp;end_day=30&amp;end_year=2019","MAURITANIA")</f>
        <v>MAURITANIA</v>
      </c>
      <c r="I166" s="73" t="str">
        <f>HYPERLINK("http://api.nsgreg.nga.mil/geo-political/GENC/3/3-11/MRT","ge:GENC:3:3-11:MRT")</f>
        <v>ge:GENC:3:3-11:MRT</v>
      </c>
    </row>
    <row r="167" spans="1:9" ht="13.5" customHeight="1" x14ac:dyDescent="0.2">
      <c r="A167" s="65" t="s">
        <v>1013</v>
      </c>
      <c r="B167" s="42" t="s">
        <v>1014</v>
      </c>
      <c r="C167" s="43" t="s">
        <v>1015</v>
      </c>
      <c r="D167" s="41" t="s">
        <v>1016</v>
      </c>
      <c r="E167" s="42" t="s">
        <v>1017</v>
      </c>
      <c r="F167" s="42" t="s">
        <v>1018</v>
      </c>
      <c r="G167" s="52" t="str">
        <f>HYPERLINK("[#]Codes_for_AS_Names!A2672:G2672","&lt;link&gt;")</f>
        <v>&lt;link&gt;</v>
      </c>
      <c r="H167" s="74" t="str">
        <f>HYPERLINK("http://nsgreg.nga.mil/genc/view?v=291181&amp;end_month=6&amp;end_day=30&amp;end_year=2019","MAURITIUS")</f>
        <v>MAURITIUS</v>
      </c>
      <c r="I167" s="74" t="str">
        <f>HYPERLINK("http://api.nsgreg.nga.mil/geo-political/GENC/3/3-11/MUS","ge:GENC:3:3-11:MUS")</f>
        <v>ge:GENC:3:3-11:MUS</v>
      </c>
    </row>
    <row r="168" spans="1:9" ht="13.5" customHeight="1" x14ac:dyDescent="0.2">
      <c r="A168" s="63" t="s">
        <v>1020</v>
      </c>
      <c r="B168" s="21" t="s">
        <v>1021</v>
      </c>
      <c r="C168" s="45" t="s">
        <v>1022</v>
      </c>
      <c r="D168" s="44" t="s">
        <v>1023</v>
      </c>
      <c r="E168" s="21" t="s">
        <v>1024</v>
      </c>
      <c r="F168" s="21" t="s">
        <v>1025</v>
      </c>
      <c r="G168" s="83"/>
      <c r="H168" s="72" t="str">
        <f>HYPERLINK("http://nsgreg.nga.mil/genc/view?v=291182&amp;end_month=6&amp;end_day=30&amp;end_year=2019","MAYOTTE")</f>
        <v>MAYOTTE</v>
      </c>
      <c r="I168" s="72" t="str">
        <f>HYPERLINK("http://api.nsgreg.nga.mil/geo-political/GENC/3/3-11/MYT","ge:GENC:3:3-11:MYT")</f>
        <v>ge:GENC:3:3-11:MYT</v>
      </c>
    </row>
    <row r="169" spans="1:9" ht="13.5" customHeight="1" x14ac:dyDescent="0.2">
      <c r="A169" s="63" t="s">
        <v>1027</v>
      </c>
      <c r="B169" s="21" t="s">
        <v>1028</v>
      </c>
      <c r="C169" s="45" t="s">
        <v>1029</v>
      </c>
      <c r="D169" s="44" t="s">
        <v>1030</v>
      </c>
      <c r="E169" s="21" t="s">
        <v>1031</v>
      </c>
      <c r="F169" s="21" t="s">
        <v>1032</v>
      </c>
      <c r="G169" s="53" t="str">
        <f>HYPERLINK("[#]Codes_for_AS_Names!A2689:G2689","&lt;link&gt;")</f>
        <v>&lt;link&gt;</v>
      </c>
      <c r="H169" s="72" t="str">
        <f>HYPERLINK("http://nsgreg.nga.mil/genc/view?v=291183&amp;end_month=6&amp;end_day=30&amp;end_year=2019","MEXICO")</f>
        <v>MEXICO</v>
      </c>
      <c r="I169" s="72" t="str">
        <f>HYPERLINK("http://api.nsgreg.nga.mil/geo-political/GENC/3/3-11/MEX","ge:GENC:3:3-11:MEX")</f>
        <v>ge:GENC:3:3-11:MEX</v>
      </c>
    </row>
    <row r="170" spans="1:9" ht="13.5" customHeight="1" x14ac:dyDescent="0.2">
      <c r="A170" s="63" t="s">
        <v>1033</v>
      </c>
      <c r="B170" s="21" t="s">
        <v>1034</v>
      </c>
      <c r="C170" s="45" t="s">
        <v>1035</v>
      </c>
      <c r="D170" s="44" t="s">
        <v>1036</v>
      </c>
      <c r="E170" s="21" t="s">
        <v>1037</v>
      </c>
      <c r="F170" s="21" t="s">
        <v>1038</v>
      </c>
      <c r="G170" s="53" t="str">
        <f>HYPERLINK("[#]Codes_for_AS_Names!A2721:G2721","&lt;link&gt;")</f>
        <v>&lt;link&gt;</v>
      </c>
      <c r="H170" s="72" t="str">
        <f>HYPERLINK("http://nsgreg.nga.mil/genc/view?v=291184&amp;end_month=6&amp;end_day=30&amp;end_year=2019","MICRONESIA, FEDERATED STATES OF")</f>
        <v>MICRONESIA, FEDERATED STATES OF</v>
      </c>
      <c r="I170" s="72" t="str">
        <f>HYPERLINK("http://api.nsgreg.nga.mil/geo-political/GENC/3/3-11/FSM","ge:GENC:3:3-11:FSM")</f>
        <v>ge:GENC:3:3-11:FSM</v>
      </c>
    </row>
    <row r="171" spans="1:9" ht="13.5" customHeight="1" x14ac:dyDescent="0.2">
      <c r="A171" s="64" t="s">
        <v>1039</v>
      </c>
      <c r="B171" s="47" t="s">
        <v>1040</v>
      </c>
      <c r="C171" s="48" t="s">
        <v>1041</v>
      </c>
      <c r="D171" s="46" t="s">
        <v>1042</v>
      </c>
      <c r="E171" s="47" t="s">
        <v>1043</v>
      </c>
      <c r="F171" s="47" t="s">
        <v>1043</v>
      </c>
      <c r="G171" s="84"/>
      <c r="H171" s="73" t="str">
        <f>HYPERLINK("http://nsgreg.nga.mil/genc/view?v=291185&amp;end_month=6&amp;end_day=30&amp;end_year=2019","MIDWAY ISLANDS")</f>
        <v>MIDWAY ISLANDS</v>
      </c>
      <c r="I171" s="73" t="str">
        <f>HYPERLINK("http://api.nsgreg.nga.mil/geo-political/GENC/3/3-11/XMW","ge:GENC:3:3-11:XMW")</f>
        <v>ge:GENC:3:3-11:XMW</v>
      </c>
    </row>
    <row r="172" spans="1:9" ht="13.5" customHeight="1" x14ac:dyDescent="0.2">
      <c r="A172" s="65" t="s">
        <v>1044</v>
      </c>
      <c r="B172" s="42" t="s">
        <v>1045</v>
      </c>
      <c r="C172" s="43" t="s">
        <v>1046</v>
      </c>
      <c r="D172" s="41" t="s">
        <v>1047</v>
      </c>
      <c r="E172" s="42" t="s">
        <v>1048</v>
      </c>
      <c r="F172" s="42" t="s">
        <v>1049</v>
      </c>
      <c r="G172" s="52" t="str">
        <f>HYPERLINK("[#]Codes_for_AS_Names!A2725:G2725","&lt;link&gt;")</f>
        <v>&lt;link&gt;</v>
      </c>
      <c r="H172" s="74" t="str">
        <f>HYPERLINK("http://nsgreg.nga.mil/genc/view?v=291186&amp;end_month=6&amp;end_day=30&amp;end_year=2019","MOLDOVA")</f>
        <v>MOLDOVA</v>
      </c>
      <c r="I172" s="74" t="str">
        <f>HYPERLINK("http://api.nsgreg.nga.mil/geo-political/GENC/3/3-11/MDA","ge:GENC:3:3-11:MDA")</f>
        <v>ge:GENC:3:3-11:MDA</v>
      </c>
    </row>
    <row r="173" spans="1:9" ht="13.5" customHeight="1" x14ac:dyDescent="0.2">
      <c r="A173" s="63" t="s">
        <v>1050</v>
      </c>
      <c r="B173" s="21" t="s">
        <v>958</v>
      </c>
      <c r="C173" s="45" t="s">
        <v>1051</v>
      </c>
      <c r="D173" s="44" t="s">
        <v>1052</v>
      </c>
      <c r="E173" s="21" t="s">
        <v>1053</v>
      </c>
      <c r="F173" s="21" t="s">
        <v>1054</v>
      </c>
      <c r="G173" s="53" t="str">
        <f>HYPERLINK("[#]Codes_for_AS_Names!A2762:G2762","&lt;link&gt;")</f>
        <v>&lt;link&gt;</v>
      </c>
      <c r="H173" s="72" t="str">
        <f>HYPERLINK("http://nsgreg.nga.mil/genc/view?v=291187&amp;end_month=6&amp;end_day=30&amp;end_year=2019","MONACO")</f>
        <v>MONACO</v>
      </c>
      <c r="I173" s="72" t="str">
        <f>HYPERLINK("http://api.nsgreg.nga.mil/geo-political/GENC/3/3-11/MCO","ge:GENC:3:3-11:MCO")</f>
        <v>ge:GENC:3:3-11:MCO</v>
      </c>
    </row>
    <row r="174" spans="1:9" ht="13.5" customHeight="1" x14ac:dyDescent="0.2">
      <c r="A174" s="63" t="s">
        <v>1056</v>
      </c>
      <c r="B174" s="21" t="s">
        <v>1055</v>
      </c>
      <c r="C174" s="45" t="s">
        <v>1057</v>
      </c>
      <c r="D174" s="44" t="s">
        <v>1058</v>
      </c>
      <c r="E174" s="21" t="s">
        <v>1059</v>
      </c>
      <c r="F174" s="21" t="s">
        <v>1059</v>
      </c>
      <c r="G174" s="53" t="str">
        <f>HYPERLINK("[#]Codes_for_AS_Names!A2779:G2779","&lt;link&gt;")</f>
        <v>&lt;link&gt;</v>
      </c>
      <c r="H174" s="72" t="str">
        <f>HYPERLINK("http://nsgreg.nga.mil/genc/view?v=291188&amp;end_month=6&amp;end_day=30&amp;end_year=2019","MONGOLIA")</f>
        <v>MONGOLIA</v>
      </c>
      <c r="I174" s="72" t="str">
        <f>HYPERLINK("http://api.nsgreg.nga.mil/geo-political/GENC/3/3-11/MNG","ge:GENC:3:3-11:MNG")</f>
        <v>ge:GENC:3:3-11:MNG</v>
      </c>
    </row>
    <row r="175" spans="1:9" ht="13.5" customHeight="1" x14ac:dyDescent="0.2">
      <c r="A175" s="63" t="s">
        <v>1060</v>
      </c>
      <c r="B175" s="21" t="s">
        <v>1061</v>
      </c>
      <c r="C175" s="45" t="s">
        <v>1062</v>
      </c>
      <c r="D175" s="44" t="s">
        <v>1063</v>
      </c>
      <c r="E175" s="21" t="s">
        <v>1064</v>
      </c>
      <c r="F175" s="21" t="s">
        <v>1064</v>
      </c>
      <c r="G175" s="53" t="str">
        <f>HYPERLINK("[#]Codes_for_AS_Names!A2801:G2801","&lt;link&gt;")</f>
        <v>&lt;link&gt;</v>
      </c>
      <c r="H175" s="72" t="str">
        <f>HYPERLINK("http://nsgreg.nga.mil/genc/view?v=291189&amp;end_month=6&amp;end_day=30&amp;end_year=2019","MONTENEGRO")</f>
        <v>MONTENEGRO</v>
      </c>
      <c r="I175" s="72" t="str">
        <f>HYPERLINK("http://api.nsgreg.nga.mil/geo-political/GENC/3/3-11/MNE","ge:GENC:3:3-11:MNE")</f>
        <v>ge:GENC:3:3-11:MNE</v>
      </c>
    </row>
    <row r="176" spans="1:9" ht="13.5" customHeight="1" x14ac:dyDescent="0.2">
      <c r="A176" s="64" t="s">
        <v>1065</v>
      </c>
      <c r="B176" s="47" t="s">
        <v>1066</v>
      </c>
      <c r="C176" s="48" t="s">
        <v>1067</v>
      </c>
      <c r="D176" s="46" t="s">
        <v>1068</v>
      </c>
      <c r="E176" s="47" t="s">
        <v>1069</v>
      </c>
      <c r="F176" s="47" t="s">
        <v>1069</v>
      </c>
      <c r="G176" s="54" t="str">
        <f>HYPERLINK("[#]Codes_for_AS_Names!A2825:G2825","&lt;link&gt;")</f>
        <v>&lt;link&gt;</v>
      </c>
      <c r="H176" s="73" t="str">
        <f>HYPERLINK("http://nsgreg.nga.mil/genc/view?v=291190&amp;end_month=6&amp;end_day=30&amp;end_year=2019","MONTSERRAT")</f>
        <v>MONTSERRAT</v>
      </c>
      <c r="I176" s="73" t="str">
        <f>HYPERLINK("http://api.nsgreg.nga.mil/geo-political/GENC/3/3-11/MSR","ge:GENC:3:3-11:MSR")</f>
        <v>ge:GENC:3:3-11:MSR</v>
      </c>
    </row>
    <row r="177" spans="1:9" ht="13.5" customHeight="1" x14ac:dyDescent="0.2">
      <c r="A177" s="65" t="s">
        <v>1070</v>
      </c>
      <c r="B177" s="42" t="s">
        <v>965</v>
      </c>
      <c r="C177" s="43" t="s">
        <v>1071</v>
      </c>
      <c r="D177" s="41" t="s">
        <v>1072</v>
      </c>
      <c r="E177" s="42" t="s">
        <v>1073</v>
      </c>
      <c r="F177" s="42" t="s">
        <v>1074</v>
      </c>
      <c r="G177" s="52" t="str">
        <f>HYPERLINK("[#]Codes_for_AS_Names!A2828:G2828","&lt;link&gt;")</f>
        <v>&lt;link&gt;</v>
      </c>
      <c r="H177" s="74" t="str">
        <f>HYPERLINK("http://nsgreg.nga.mil/genc/view?v=291191&amp;end_month=6&amp;end_day=30&amp;end_year=2019","MOROCCO")</f>
        <v>MOROCCO</v>
      </c>
      <c r="I177" s="74" t="str">
        <f>HYPERLINK("http://api.nsgreg.nga.mil/geo-political/GENC/3/3-11/MAR","ge:GENC:3:3-11:MAR")</f>
        <v>ge:GENC:3:3-11:MAR</v>
      </c>
    </row>
    <row r="178" spans="1:9" ht="13.5" customHeight="1" x14ac:dyDescent="0.2">
      <c r="A178" s="63" t="s">
        <v>1075</v>
      </c>
      <c r="B178" s="21" t="s">
        <v>1076</v>
      </c>
      <c r="C178" s="45" t="s">
        <v>1077</v>
      </c>
      <c r="D178" s="44" t="s">
        <v>1078</v>
      </c>
      <c r="E178" s="21" t="s">
        <v>1079</v>
      </c>
      <c r="F178" s="21" t="s">
        <v>1080</v>
      </c>
      <c r="G178" s="53" t="str">
        <f>HYPERLINK("[#]Codes_for_AS_Names!A2910:G2910","&lt;link&gt;")</f>
        <v>&lt;link&gt;</v>
      </c>
      <c r="H178" s="72" t="str">
        <f>HYPERLINK("http://nsgreg.nga.mil/genc/view?v=291192&amp;end_month=6&amp;end_day=30&amp;end_year=2019","MOZAMBIQUE")</f>
        <v>MOZAMBIQUE</v>
      </c>
      <c r="I178" s="72" t="str">
        <f>HYPERLINK("http://api.nsgreg.nga.mil/geo-political/GENC/3/3-11/MOZ","ge:GENC:3:3-11:MOZ")</f>
        <v>ge:GENC:3:3-11:MOZ</v>
      </c>
    </row>
    <row r="179" spans="1:9" ht="13.5" customHeight="1" x14ac:dyDescent="0.2">
      <c r="A179" s="63" t="s">
        <v>1081</v>
      </c>
      <c r="B179" s="21" t="s">
        <v>1082</v>
      </c>
      <c r="C179" s="45" t="s">
        <v>1083</v>
      </c>
      <c r="D179" s="44" t="s">
        <v>1084</v>
      </c>
      <c r="E179" s="21" t="s">
        <v>1085</v>
      </c>
      <c r="F179" s="21" t="s">
        <v>1086</v>
      </c>
      <c r="G179" s="53" t="str">
        <f>HYPERLINK("[#]Codes_for_AS_Names!A2921:G2921","&lt;link&gt;")</f>
        <v>&lt;link&gt;</v>
      </c>
      <c r="H179" s="72" t="str">
        <f>HYPERLINK("http://nsgreg.nga.mil/genc/view?v=291193&amp;end_month=6&amp;end_day=30&amp;end_year=2019","NAMIBIA")</f>
        <v>NAMIBIA</v>
      </c>
      <c r="I179" s="72" t="str">
        <f>HYPERLINK("http://api.nsgreg.nga.mil/geo-political/GENC/3/3-11/NAM","ge:GENC:3:3-11:NAM")</f>
        <v>ge:GENC:3:3-11:NAM</v>
      </c>
    </row>
    <row r="180" spans="1:9" ht="13.5" customHeight="1" x14ac:dyDescent="0.2">
      <c r="A180" s="63" t="s">
        <v>1087</v>
      </c>
      <c r="B180" s="21" t="s">
        <v>1088</v>
      </c>
      <c r="C180" s="45" t="s">
        <v>1089</v>
      </c>
      <c r="D180" s="44" t="s">
        <v>1090</v>
      </c>
      <c r="E180" s="21" t="s">
        <v>1091</v>
      </c>
      <c r="F180" s="21" t="s">
        <v>1092</v>
      </c>
      <c r="G180" s="53" t="str">
        <f>HYPERLINK("[#]Codes_for_AS_Names!A2935:G2935","&lt;link&gt;")</f>
        <v>&lt;link&gt;</v>
      </c>
      <c r="H180" s="72" t="str">
        <f>HYPERLINK("http://nsgreg.nga.mil/genc/view?v=291194&amp;end_month=6&amp;end_day=30&amp;end_year=2019","NAURU")</f>
        <v>NAURU</v>
      </c>
      <c r="I180" s="72" t="str">
        <f>HYPERLINK("http://api.nsgreg.nga.mil/geo-political/GENC/3/3-11/NRU","ge:GENC:3:3-11:NRU")</f>
        <v>ge:GENC:3:3-11:NRU</v>
      </c>
    </row>
    <row r="181" spans="1:9" ht="13.5" customHeight="1" x14ac:dyDescent="0.2">
      <c r="A181" s="64" t="s">
        <v>1093</v>
      </c>
      <c r="B181" s="47" t="s">
        <v>1094</v>
      </c>
      <c r="C181" s="48" t="s">
        <v>1095</v>
      </c>
      <c r="D181" s="46" t="s">
        <v>1096</v>
      </c>
      <c r="E181" s="47" t="s">
        <v>1097</v>
      </c>
      <c r="F181" s="47" t="s">
        <v>1097</v>
      </c>
      <c r="G181" s="84"/>
      <c r="H181" s="73" t="str">
        <f>HYPERLINK("http://nsgreg.nga.mil/genc/view?v=291195&amp;end_month=6&amp;end_day=30&amp;end_year=2019","NAVASSA ISLAND")</f>
        <v>NAVASSA ISLAND</v>
      </c>
      <c r="I181" s="73" t="str">
        <f>HYPERLINK("http://api.nsgreg.nga.mil/geo-political/GENC/3/3-11/XNV","ge:GENC:3:3-11:XNV")</f>
        <v>ge:GENC:3:3-11:XNV</v>
      </c>
    </row>
    <row r="182" spans="1:9" ht="13.5" customHeight="1" x14ac:dyDescent="0.2">
      <c r="A182" s="65" t="s">
        <v>1098</v>
      </c>
      <c r="B182" s="42" t="s">
        <v>1099</v>
      </c>
      <c r="C182" s="43" t="s">
        <v>1100</v>
      </c>
      <c r="D182" s="41" t="s">
        <v>1101</v>
      </c>
      <c r="E182" s="42" t="s">
        <v>1102</v>
      </c>
      <c r="F182" s="42" t="s">
        <v>1103</v>
      </c>
      <c r="G182" s="52" t="str">
        <f>HYPERLINK("[#]Codes_for_AS_Names!A2949:G2949","&lt;link&gt;")</f>
        <v>&lt;link&gt;</v>
      </c>
      <c r="H182" s="74" t="str">
        <f>HYPERLINK("http://nsgreg.nga.mil/genc/view?v=291196&amp;end_month=6&amp;end_day=30&amp;end_year=2019","NEPAL")</f>
        <v>NEPAL</v>
      </c>
      <c r="I182" s="74" t="str">
        <f>HYPERLINK("http://api.nsgreg.nga.mil/geo-political/GENC/3/3-11/NPL","ge:GENC:3:3-11:NPL")</f>
        <v>ge:GENC:3:3-11:NPL</v>
      </c>
    </row>
    <row r="183" spans="1:9" ht="13.5" customHeight="1" x14ac:dyDescent="0.2">
      <c r="A183" s="63" t="s">
        <v>1104</v>
      </c>
      <c r="B183" s="21" t="s">
        <v>1105</v>
      </c>
      <c r="C183" s="45" t="s">
        <v>1106</v>
      </c>
      <c r="D183" s="44" t="s">
        <v>1107</v>
      </c>
      <c r="E183" s="21" t="s">
        <v>1108</v>
      </c>
      <c r="F183" s="21" t="s">
        <v>1109</v>
      </c>
      <c r="G183" s="53" t="str">
        <f>HYPERLINK("[#]Codes_for_AS_Names!A2968:G2968","&lt;link&gt;")</f>
        <v>&lt;link&gt;</v>
      </c>
      <c r="H183" s="72" t="str">
        <f>HYPERLINK("http://nsgreg.nga.mil/genc/view?v=291197&amp;end_month=6&amp;end_day=30&amp;end_year=2019","NETHERLANDS")</f>
        <v>NETHERLANDS</v>
      </c>
      <c r="I183" s="72" t="str">
        <f>HYPERLINK("http://api.nsgreg.nga.mil/geo-political/GENC/3/3-11/NLD","ge:GENC:3:3-11:NLD")</f>
        <v>ge:GENC:3:3-11:NLD</v>
      </c>
    </row>
    <row r="184" spans="1:9" ht="13.5" customHeight="1" x14ac:dyDescent="0.2">
      <c r="A184" s="63" t="s">
        <v>1110</v>
      </c>
      <c r="B184" s="21" t="s">
        <v>1111</v>
      </c>
      <c r="C184" s="45" t="s">
        <v>1112</v>
      </c>
      <c r="D184" s="44" t="s">
        <v>1113</v>
      </c>
      <c r="E184" s="21" t="s">
        <v>1114</v>
      </c>
      <c r="F184" s="21" t="s">
        <v>1114</v>
      </c>
      <c r="G184" s="53" t="str">
        <f>HYPERLINK("[#]Codes_for_AS_Names!A2980:G2980","&lt;link&gt;")</f>
        <v>&lt;link&gt;</v>
      </c>
      <c r="H184" s="72" t="str">
        <f>HYPERLINK("http://nsgreg.nga.mil/genc/view?v=291198&amp;end_month=6&amp;end_day=30&amp;end_year=2019","NEW CALEDONIA")</f>
        <v>NEW CALEDONIA</v>
      </c>
      <c r="I184" s="72" t="str">
        <f>HYPERLINK("http://api.nsgreg.nga.mil/geo-political/GENC/3/3-11/NCL","ge:GENC:3:3-11:NCL")</f>
        <v>ge:GENC:3:3-11:NCL</v>
      </c>
    </row>
    <row r="185" spans="1:9" ht="13.5" customHeight="1" x14ac:dyDescent="0.2">
      <c r="A185" s="63" t="s">
        <v>1115</v>
      </c>
      <c r="B185" s="21" t="s">
        <v>1116</v>
      </c>
      <c r="C185" s="45" t="s">
        <v>1117</v>
      </c>
      <c r="D185" s="44" t="s">
        <v>1118</v>
      </c>
      <c r="E185" s="21" t="s">
        <v>1119</v>
      </c>
      <c r="F185" s="21" t="s">
        <v>1119</v>
      </c>
      <c r="G185" s="53" t="str">
        <f>HYPERLINK("[#]Codes_for_AS_Names!A2983:G2983","&lt;link&gt;")</f>
        <v>&lt;link&gt;</v>
      </c>
      <c r="H185" s="72" t="str">
        <f>HYPERLINK("http://nsgreg.nga.mil/genc/view?v=291199&amp;end_month=6&amp;end_day=30&amp;end_year=2019","NEW ZEALAND")</f>
        <v>NEW ZEALAND</v>
      </c>
      <c r="I185" s="72" t="str">
        <f>HYPERLINK("http://api.nsgreg.nga.mil/geo-political/GENC/3/3-11/NZL","ge:GENC:3:3-11:NZL")</f>
        <v>ge:GENC:3:3-11:NZL</v>
      </c>
    </row>
    <row r="186" spans="1:9" ht="13.5" customHeight="1" x14ac:dyDescent="0.2">
      <c r="A186" s="64" t="s">
        <v>1120</v>
      </c>
      <c r="B186" s="47" t="s">
        <v>1121</v>
      </c>
      <c r="C186" s="48" t="s">
        <v>1122</v>
      </c>
      <c r="D186" s="46" t="s">
        <v>1123</v>
      </c>
      <c r="E186" s="47" t="s">
        <v>1124</v>
      </c>
      <c r="F186" s="47" t="s">
        <v>1125</v>
      </c>
      <c r="G186" s="54" t="str">
        <f>HYPERLINK("[#]Codes_for_AS_Names!A3000:G3000","&lt;link&gt;")</f>
        <v>&lt;link&gt;</v>
      </c>
      <c r="H186" s="73" t="str">
        <f>HYPERLINK("http://nsgreg.nga.mil/genc/view?v=291200&amp;end_month=6&amp;end_day=30&amp;end_year=2019","NICARAGUA")</f>
        <v>NICARAGUA</v>
      </c>
      <c r="I186" s="73" t="str">
        <f>HYPERLINK("http://api.nsgreg.nga.mil/geo-political/GENC/3/3-11/NIC","ge:GENC:3:3-11:NIC")</f>
        <v>ge:GENC:3:3-11:NIC</v>
      </c>
    </row>
    <row r="187" spans="1:9" ht="13.5" customHeight="1" x14ac:dyDescent="0.2">
      <c r="A187" s="65" t="s">
        <v>1127</v>
      </c>
      <c r="B187" s="42" t="s">
        <v>1128</v>
      </c>
      <c r="C187" s="43" t="s">
        <v>1129</v>
      </c>
      <c r="D187" s="41" t="s">
        <v>1130</v>
      </c>
      <c r="E187" s="42" t="s">
        <v>1131</v>
      </c>
      <c r="F187" s="42" t="s">
        <v>1132</v>
      </c>
      <c r="G187" s="52" t="str">
        <f>HYPERLINK("[#]Codes_for_AS_Names!A3017:G3017","&lt;link&gt;")</f>
        <v>&lt;link&gt;</v>
      </c>
      <c r="H187" s="74" t="str">
        <f>HYPERLINK("http://nsgreg.nga.mil/genc/view?v=291201&amp;end_month=6&amp;end_day=30&amp;end_year=2019","NIGER")</f>
        <v>NIGER</v>
      </c>
      <c r="I187" s="74" t="str">
        <f>HYPERLINK("http://api.nsgreg.nga.mil/geo-political/GENC/3/3-11/NER","ge:GENC:3:3-11:NER")</f>
        <v>ge:GENC:3:3-11:NER</v>
      </c>
    </row>
    <row r="188" spans="1:9" ht="13.5" customHeight="1" x14ac:dyDescent="0.2">
      <c r="A188" s="63" t="s">
        <v>1134</v>
      </c>
      <c r="B188" s="21" t="s">
        <v>1133</v>
      </c>
      <c r="C188" s="45" t="s">
        <v>1135</v>
      </c>
      <c r="D188" s="44" t="s">
        <v>1136</v>
      </c>
      <c r="E188" s="21" t="s">
        <v>1137</v>
      </c>
      <c r="F188" s="21" t="s">
        <v>1138</v>
      </c>
      <c r="G188" s="53" t="str">
        <f>HYPERLINK("[#]Codes_for_AS_Names!A3025:G3025","&lt;link&gt;")</f>
        <v>&lt;link&gt;</v>
      </c>
      <c r="H188" s="72" t="str">
        <f>HYPERLINK("http://nsgreg.nga.mil/genc/view?v=291202&amp;end_month=6&amp;end_day=30&amp;end_year=2019","NIGERIA")</f>
        <v>NIGERIA</v>
      </c>
      <c r="I188" s="72" t="str">
        <f>HYPERLINK("http://api.nsgreg.nga.mil/geo-political/GENC/3/3-11/NGA","ge:GENC:3:3-11:NGA")</f>
        <v>ge:GENC:3:3-11:NGA</v>
      </c>
    </row>
    <row r="189" spans="1:9" ht="13.5" customHeight="1" x14ac:dyDescent="0.2">
      <c r="A189" s="63" t="s">
        <v>1139</v>
      </c>
      <c r="B189" s="21" t="s">
        <v>1126</v>
      </c>
      <c r="C189" s="45" t="s">
        <v>1140</v>
      </c>
      <c r="D189" s="44" t="s">
        <v>1141</v>
      </c>
      <c r="E189" s="21" t="s">
        <v>1142</v>
      </c>
      <c r="F189" s="21" t="s">
        <v>1142</v>
      </c>
      <c r="G189" s="83"/>
      <c r="H189" s="72" t="str">
        <f>HYPERLINK("http://nsgreg.nga.mil/genc/view?v=291203&amp;end_month=6&amp;end_day=30&amp;end_year=2019","NIUE")</f>
        <v>NIUE</v>
      </c>
      <c r="I189" s="72" t="str">
        <f>HYPERLINK("http://api.nsgreg.nga.mil/geo-political/GENC/3/3-11/NIU","ge:GENC:3:3-11:NIU")</f>
        <v>ge:GENC:3:3-11:NIU</v>
      </c>
    </row>
    <row r="190" spans="1:9" ht="13.5" customHeight="1" x14ac:dyDescent="0.2">
      <c r="A190" s="63" t="s">
        <v>1143</v>
      </c>
      <c r="B190" s="21" t="s">
        <v>1144</v>
      </c>
      <c r="C190" s="45" t="s">
        <v>1145</v>
      </c>
      <c r="D190" s="44" t="s">
        <v>1146</v>
      </c>
      <c r="E190" s="21" t="s">
        <v>1147</v>
      </c>
      <c r="F190" s="21" t="s">
        <v>1148</v>
      </c>
      <c r="G190" s="83"/>
      <c r="H190" s="72" t="str">
        <f>HYPERLINK("http://nsgreg.nga.mil/genc/view?v=291204&amp;end_month=6&amp;end_day=30&amp;end_year=2019","NORFOLK ISLAND")</f>
        <v>NORFOLK ISLAND</v>
      </c>
      <c r="I190" s="72" t="str">
        <f>HYPERLINK("http://api.nsgreg.nga.mil/geo-political/GENC/3/3-11/NFK","ge:GENC:3:3-11:NFK")</f>
        <v>ge:GENC:3:3-11:NFK</v>
      </c>
    </row>
    <row r="191" spans="1:9" ht="13.5" customHeight="1" x14ac:dyDescent="0.2">
      <c r="A191" s="64" t="s">
        <v>1149</v>
      </c>
      <c r="B191" s="47" t="s">
        <v>1150</v>
      </c>
      <c r="C191" s="48" t="s">
        <v>1151</v>
      </c>
      <c r="D191" s="46" t="s">
        <v>1152</v>
      </c>
      <c r="E191" s="47" t="s">
        <v>1153</v>
      </c>
      <c r="F191" s="47" t="s">
        <v>1154</v>
      </c>
      <c r="G191" s="54" t="str">
        <f>HYPERLINK("[#]Codes_for_AS_Names!A3062:G3062","&lt;link&gt;")</f>
        <v>&lt;link&gt;</v>
      </c>
      <c r="H191" s="73" t="str">
        <f>HYPERLINK("http://nsgreg.nga.mil/genc/view?v=291171&amp;end_month=6&amp;end_day=30&amp;end_year=2019","NORTH MACEDONIA")</f>
        <v>NORTH MACEDONIA</v>
      </c>
      <c r="I191" s="73" t="str">
        <f>HYPERLINK("http://api.nsgreg.nga.mil/geo-political/GENC/3/3-11/MKD","ge:GENC:3:3-11:MKD")</f>
        <v>ge:GENC:3:3-11:MKD</v>
      </c>
    </row>
    <row r="192" spans="1:9" ht="13.5" customHeight="1" x14ac:dyDescent="0.2">
      <c r="A192" s="65" t="s">
        <v>1155</v>
      </c>
      <c r="B192" s="42" t="s">
        <v>1019</v>
      </c>
      <c r="C192" s="43" t="s">
        <v>1156</v>
      </c>
      <c r="D192" s="41" t="s">
        <v>1157</v>
      </c>
      <c r="E192" s="42" t="s">
        <v>1158</v>
      </c>
      <c r="F192" s="42" t="s">
        <v>1159</v>
      </c>
      <c r="G192" s="85"/>
      <c r="H192" s="74" t="str">
        <f>HYPERLINK("http://nsgreg.nga.mil/genc/view?v=291205&amp;end_month=6&amp;end_day=30&amp;end_year=2019","NORTHERN MARIANA ISLANDS")</f>
        <v>NORTHERN MARIANA ISLANDS</v>
      </c>
      <c r="I192" s="74" t="str">
        <f>HYPERLINK("http://api.nsgreg.nga.mil/geo-political/GENC/3/3-11/MNP","ge:GENC:3:3-11:MNP")</f>
        <v>ge:GENC:3:3-11:MNP</v>
      </c>
    </row>
    <row r="193" spans="1:9" ht="13.5" customHeight="1" x14ac:dyDescent="0.2">
      <c r="A193" s="63" t="s">
        <v>1160</v>
      </c>
      <c r="B193" s="21" t="s">
        <v>1161</v>
      </c>
      <c r="C193" s="45" t="s">
        <v>1162</v>
      </c>
      <c r="D193" s="44" t="s">
        <v>1163</v>
      </c>
      <c r="E193" s="21" t="s">
        <v>1164</v>
      </c>
      <c r="F193" s="21" t="s">
        <v>1165</v>
      </c>
      <c r="G193" s="53" t="str">
        <f>HYPERLINK("[#]Codes_for_AS_Names!A3133:G3133","&lt;link&gt;")</f>
        <v>&lt;link&gt;</v>
      </c>
      <c r="H193" s="72" t="str">
        <f>HYPERLINK("http://nsgreg.nga.mil/genc/view?v=291206&amp;end_month=6&amp;end_day=30&amp;end_year=2019","NORWAY")</f>
        <v>NORWAY</v>
      </c>
      <c r="I193" s="72" t="str">
        <f>HYPERLINK("http://api.nsgreg.nga.mil/geo-political/GENC/3/3-11/NOR","ge:GENC:3:3-11:NOR")</f>
        <v>ge:GENC:3:3-11:NOR</v>
      </c>
    </row>
    <row r="194" spans="1:9" ht="13.5" customHeight="1" x14ac:dyDescent="0.2">
      <c r="A194" s="63" t="s">
        <v>1166</v>
      </c>
      <c r="B194" s="21" t="s">
        <v>1167</v>
      </c>
      <c r="C194" s="45" t="s">
        <v>1168</v>
      </c>
      <c r="D194" s="44" t="s">
        <v>1169</v>
      </c>
      <c r="E194" s="21" t="s">
        <v>1170</v>
      </c>
      <c r="F194" s="21" t="s">
        <v>1171</v>
      </c>
      <c r="G194" s="53" t="str">
        <f>HYPERLINK("[#]Codes_for_AS_Names!A3151:G3151","&lt;link&gt;")</f>
        <v>&lt;link&gt;</v>
      </c>
      <c r="H194" s="72" t="str">
        <f>HYPERLINK("http://nsgreg.nga.mil/genc/view?v=291207&amp;end_month=6&amp;end_day=30&amp;end_year=2019","OMAN")</f>
        <v>OMAN</v>
      </c>
      <c r="I194" s="72" t="str">
        <f>HYPERLINK("http://api.nsgreg.nga.mil/geo-political/GENC/3/3-11/OMN","ge:GENC:3:3-11:OMN")</f>
        <v>ge:GENC:3:3-11:OMN</v>
      </c>
    </row>
    <row r="195" spans="1:9" ht="13.5" customHeight="1" x14ac:dyDescent="0.2">
      <c r="A195" s="63" t="s">
        <v>1172</v>
      </c>
      <c r="B195" s="21" t="s">
        <v>1173</v>
      </c>
      <c r="C195" s="45" t="s">
        <v>1174</v>
      </c>
      <c r="D195" s="44" t="s">
        <v>1175</v>
      </c>
      <c r="E195" s="21" t="s">
        <v>1176</v>
      </c>
      <c r="F195" s="21" t="s">
        <v>1177</v>
      </c>
      <c r="G195" s="53" t="str">
        <f>HYPERLINK("[#]Codes_for_AS_Names!A3162:G3162","&lt;link&gt;")</f>
        <v>&lt;link&gt;</v>
      </c>
      <c r="H195" s="72" t="str">
        <f>HYPERLINK("http://nsgreg.nga.mil/genc/view?v=291208&amp;end_month=6&amp;end_day=30&amp;end_year=2019","PAKISTAN")</f>
        <v>PAKISTAN</v>
      </c>
      <c r="I195" s="72" t="str">
        <f>HYPERLINK("http://api.nsgreg.nga.mil/geo-political/GENC/3/3-11/PAK","ge:GENC:3:3-11:PAK")</f>
        <v>ge:GENC:3:3-11:PAK</v>
      </c>
    </row>
    <row r="196" spans="1:9" ht="13.5" customHeight="1" x14ac:dyDescent="0.2">
      <c r="A196" s="64" t="s">
        <v>1178</v>
      </c>
      <c r="B196" s="47" t="s">
        <v>1179</v>
      </c>
      <c r="C196" s="48" t="s">
        <v>1180</v>
      </c>
      <c r="D196" s="46" t="s">
        <v>1181</v>
      </c>
      <c r="E196" s="47" t="s">
        <v>1182</v>
      </c>
      <c r="F196" s="47" t="s">
        <v>1183</v>
      </c>
      <c r="G196" s="54" t="str">
        <f>HYPERLINK("[#]Codes_for_AS_Names!A3169:G3169","&lt;link&gt;")</f>
        <v>&lt;link&gt;</v>
      </c>
      <c r="H196" s="73" t="str">
        <f>HYPERLINK("http://nsgreg.nga.mil/genc/view?v=291209&amp;end_month=6&amp;end_day=30&amp;end_year=2019","PALAU")</f>
        <v>PALAU</v>
      </c>
      <c r="I196" s="73" t="str">
        <f>HYPERLINK("http://api.nsgreg.nga.mil/geo-political/GENC/3/3-11/PLW","ge:GENC:3:3-11:PLW")</f>
        <v>ge:GENC:3:3-11:PLW</v>
      </c>
    </row>
    <row r="197" spans="1:9" ht="13.5" customHeight="1" x14ac:dyDescent="0.2">
      <c r="A197" s="65" t="s">
        <v>1184</v>
      </c>
      <c r="B197" s="42" t="s">
        <v>1185</v>
      </c>
      <c r="C197" s="43" t="s">
        <v>1186</v>
      </c>
      <c r="D197" s="41" t="s">
        <v>1187</v>
      </c>
      <c r="E197" s="42" t="s">
        <v>1188</v>
      </c>
      <c r="F197" s="42" t="s">
        <v>1188</v>
      </c>
      <c r="G197" s="85"/>
      <c r="H197" s="74" t="str">
        <f>HYPERLINK("http://nsgreg.nga.mil/genc/view?v=291211&amp;end_month=6&amp;end_day=30&amp;end_year=2019","PALMYRA ATOLL")</f>
        <v>PALMYRA ATOLL</v>
      </c>
      <c r="I197" s="74" t="str">
        <f>HYPERLINK("http://api.nsgreg.nga.mil/geo-political/GENC/3/3-11/XPL","ge:GENC:3:3-11:XPL")</f>
        <v>ge:GENC:3:3-11:XPL</v>
      </c>
    </row>
    <row r="198" spans="1:9" ht="13.5" customHeight="1" x14ac:dyDescent="0.2">
      <c r="A198" s="63" t="s">
        <v>1189</v>
      </c>
      <c r="B198" s="21" t="s">
        <v>1190</v>
      </c>
      <c r="C198" s="45" t="s">
        <v>1191</v>
      </c>
      <c r="D198" s="44" t="s">
        <v>1192</v>
      </c>
      <c r="E198" s="21" t="s">
        <v>1193</v>
      </c>
      <c r="F198" s="21" t="s">
        <v>1194</v>
      </c>
      <c r="G198" s="53" t="str">
        <f>HYPERLINK("[#]Codes_for_AS_Names!A3185:G3185","&lt;link&gt;")</f>
        <v>&lt;link&gt;</v>
      </c>
      <c r="H198" s="72" t="str">
        <f>HYPERLINK("http://nsgreg.nga.mil/genc/view?v=291212&amp;end_month=6&amp;end_day=30&amp;end_year=2019","PANAMA")</f>
        <v>PANAMA</v>
      </c>
      <c r="I198" s="72" t="str">
        <f>HYPERLINK("http://api.nsgreg.nga.mil/geo-political/GENC/3/3-11/PAN","ge:GENC:3:3-11:PAN")</f>
        <v>ge:GENC:3:3-11:PAN</v>
      </c>
    </row>
    <row r="199" spans="1:9" ht="13.5" customHeight="1" x14ac:dyDescent="0.2">
      <c r="A199" s="63" t="s">
        <v>1196</v>
      </c>
      <c r="B199" s="21" t="s">
        <v>1197</v>
      </c>
      <c r="C199" s="45" t="s">
        <v>1198</v>
      </c>
      <c r="D199" s="44" t="s">
        <v>1199</v>
      </c>
      <c r="E199" s="21" t="s">
        <v>1200</v>
      </c>
      <c r="F199" s="21" t="s">
        <v>1201</v>
      </c>
      <c r="G199" s="53" t="str">
        <f>HYPERLINK("[#]Codes_for_AS_Names!A3198:G3198","&lt;link&gt;")</f>
        <v>&lt;link&gt;</v>
      </c>
      <c r="H199" s="72" t="str">
        <f>HYPERLINK("http://nsgreg.nga.mil/genc/view?v=291213&amp;end_month=6&amp;end_day=30&amp;end_year=2019","PAPUA NEW GUINEA")</f>
        <v>PAPUA NEW GUINEA</v>
      </c>
      <c r="I199" s="72" t="str">
        <f>HYPERLINK("http://api.nsgreg.nga.mil/geo-political/GENC/3/3-11/PNG","ge:GENC:3:3-11:PNG")</f>
        <v>ge:GENC:3:3-11:PNG</v>
      </c>
    </row>
    <row r="200" spans="1:9" ht="13.5" customHeight="1" x14ac:dyDescent="0.2">
      <c r="A200" s="63" t="s">
        <v>1202</v>
      </c>
      <c r="B200" s="21" t="s">
        <v>1203</v>
      </c>
      <c r="C200" s="45" t="s">
        <v>1204</v>
      </c>
      <c r="D200" s="44" t="s">
        <v>1205</v>
      </c>
      <c r="E200" s="21" t="s">
        <v>1206</v>
      </c>
      <c r="F200" s="21" t="s">
        <v>1206</v>
      </c>
      <c r="G200" s="83"/>
      <c r="H200" s="72" t="str">
        <f>HYPERLINK("http://nsgreg.nga.mil/genc/view?v=291214&amp;end_month=6&amp;end_day=30&amp;end_year=2019","PARACEL ISLANDS")</f>
        <v>PARACEL ISLANDS</v>
      </c>
      <c r="I200" s="72" t="str">
        <f>HYPERLINK("http://api.nsgreg.nga.mil/geo-political/GENC/3/3-11/XPR","ge:GENC:3:3-11:XPR")</f>
        <v>ge:GENC:3:3-11:XPR</v>
      </c>
    </row>
    <row r="201" spans="1:9" ht="13.5" customHeight="1" x14ac:dyDescent="0.2">
      <c r="A201" s="64" t="s">
        <v>1207</v>
      </c>
      <c r="B201" s="47" t="s">
        <v>1208</v>
      </c>
      <c r="C201" s="48" t="s">
        <v>1209</v>
      </c>
      <c r="D201" s="46" t="s">
        <v>1210</v>
      </c>
      <c r="E201" s="47" t="s">
        <v>1211</v>
      </c>
      <c r="F201" s="47" t="s">
        <v>1212</v>
      </c>
      <c r="G201" s="54" t="str">
        <f>HYPERLINK("[#]Codes_for_AS_Names!A3220:G3220","&lt;link&gt;")</f>
        <v>&lt;link&gt;</v>
      </c>
      <c r="H201" s="73" t="str">
        <f>HYPERLINK("http://nsgreg.nga.mil/genc/view?v=291215&amp;end_month=6&amp;end_day=30&amp;end_year=2019","PARAGUAY")</f>
        <v>PARAGUAY</v>
      </c>
      <c r="I201" s="73" t="str">
        <f>HYPERLINK("http://api.nsgreg.nga.mil/geo-political/GENC/3/3-11/PRY","ge:GENC:3:3-11:PRY")</f>
        <v>ge:GENC:3:3-11:PRY</v>
      </c>
    </row>
    <row r="202" spans="1:9" ht="13.5" customHeight="1" x14ac:dyDescent="0.2">
      <c r="A202" s="65" t="s">
        <v>1213</v>
      </c>
      <c r="B202" s="42" t="s">
        <v>1214</v>
      </c>
      <c r="C202" s="43" t="s">
        <v>1215</v>
      </c>
      <c r="D202" s="41" t="s">
        <v>1216</v>
      </c>
      <c r="E202" s="42" t="s">
        <v>1217</v>
      </c>
      <c r="F202" s="42" t="s">
        <v>1218</v>
      </c>
      <c r="G202" s="52" t="str">
        <f>HYPERLINK("[#]Codes_for_AS_Names!A3238:G3238","&lt;link&gt;")</f>
        <v>&lt;link&gt;</v>
      </c>
      <c r="H202" s="74" t="str">
        <f>HYPERLINK("http://nsgreg.nga.mil/genc/view?v=291216&amp;end_month=6&amp;end_day=30&amp;end_year=2019","PERU")</f>
        <v>PERU</v>
      </c>
      <c r="I202" s="74" t="str">
        <f>HYPERLINK("http://api.nsgreg.nga.mil/geo-political/GENC/3/3-11/PER","ge:GENC:3:3-11:PER")</f>
        <v>ge:GENC:3:3-11:PER</v>
      </c>
    </row>
    <row r="203" spans="1:9" ht="13.5" customHeight="1" x14ac:dyDescent="0.2">
      <c r="A203" s="63" t="s">
        <v>1219</v>
      </c>
      <c r="B203" s="21" t="s">
        <v>1220</v>
      </c>
      <c r="C203" s="45" t="s">
        <v>1221</v>
      </c>
      <c r="D203" s="44" t="s">
        <v>1222</v>
      </c>
      <c r="E203" s="21" t="s">
        <v>1223</v>
      </c>
      <c r="F203" s="21" t="s">
        <v>1224</v>
      </c>
      <c r="G203" s="53" t="str">
        <f>HYPERLINK("[#]Codes_for_AS_Names!A3264:G3264","&lt;link&gt;")</f>
        <v>&lt;link&gt;</v>
      </c>
      <c r="H203" s="72" t="str">
        <f>HYPERLINK("http://nsgreg.nga.mil/genc/view?v=291217&amp;end_month=6&amp;end_day=30&amp;end_year=2019","PHILIPPINES")</f>
        <v>PHILIPPINES</v>
      </c>
      <c r="I203" s="72" t="str">
        <f>HYPERLINK("http://api.nsgreg.nga.mil/geo-political/GENC/3/3-11/PHL","ge:GENC:3:3-11:PHL")</f>
        <v>ge:GENC:3:3-11:PHL</v>
      </c>
    </row>
    <row r="204" spans="1:9" ht="13.5" customHeight="1" x14ac:dyDescent="0.2">
      <c r="A204" s="63" t="s">
        <v>1225</v>
      </c>
      <c r="B204" s="21" t="s">
        <v>1226</v>
      </c>
      <c r="C204" s="45" t="s">
        <v>1227</v>
      </c>
      <c r="D204" s="44" t="s">
        <v>1228</v>
      </c>
      <c r="E204" s="21" t="s">
        <v>1229</v>
      </c>
      <c r="F204" s="21" t="s">
        <v>1230</v>
      </c>
      <c r="G204" s="83"/>
      <c r="H204" s="72" t="str">
        <f>HYPERLINK("http://nsgreg.nga.mil/genc/view?v=291218&amp;end_month=6&amp;end_day=30&amp;end_year=2019","PITCAIRN ISLANDS")</f>
        <v>PITCAIRN ISLANDS</v>
      </c>
      <c r="I204" s="72" t="str">
        <f>HYPERLINK("http://api.nsgreg.nga.mil/geo-political/GENC/3/3-11/PCN","ge:GENC:3:3-11:PCN")</f>
        <v>ge:GENC:3:3-11:PCN</v>
      </c>
    </row>
    <row r="205" spans="1:9" ht="13.5" customHeight="1" x14ac:dyDescent="0.2">
      <c r="A205" s="63" t="s">
        <v>1231</v>
      </c>
      <c r="B205" s="21" t="s">
        <v>1232</v>
      </c>
      <c r="C205" s="45" t="s">
        <v>1233</v>
      </c>
      <c r="D205" s="44" t="s">
        <v>1234</v>
      </c>
      <c r="E205" s="21" t="s">
        <v>1235</v>
      </c>
      <c r="F205" s="21" t="s">
        <v>1236</v>
      </c>
      <c r="G205" s="53" t="str">
        <f>HYPERLINK("[#]Codes_for_AS_Names!A3400:G3400","&lt;link&gt;")</f>
        <v>&lt;link&gt;</v>
      </c>
      <c r="H205" s="72" t="str">
        <f>HYPERLINK("http://nsgreg.nga.mil/genc/view?v=291219&amp;end_month=6&amp;end_day=30&amp;end_year=2019","POLAND")</f>
        <v>POLAND</v>
      </c>
      <c r="I205" s="72" t="str">
        <f>HYPERLINK("http://api.nsgreg.nga.mil/geo-political/GENC/3/3-11/POL","ge:GENC:3:3-11:POL")</f>
        <v>ge:GENC:3:3-11:POL</v>
      </c>
    </row>
    <row r="206" spans="1:9" ht="13.5" customHeight="1" x14ac:dyDescent="0.2">
      <c r="A206" s="64" t="s">
        <v>1237</v>
      </c>
      <c r="B206" s="47" t="s">
        <v>1238</v>
      </c>
      <c r="C206" s="48" t="s">
        <v>1239</v>
      </c>
      <c r="D206" s="46" t="s">
        <v>1240</v>
      </c>
      <c r="E206" s="47" t="s">
        <v>1241</v>
      </c>
      <c r="F206" s="47" t="s">
        <v>1242</v>
      </c>
      <c r="G206" s="54" t="str">
        <f>HYPERLINK("[#]Codes_for_AS_Names!A3416:G3416","&lt;link&gt;")</f>
        <v>&lt;link&gt;</v>
      </c>
      <c r="H206" s="73" t="str">
        <f>HYPERLINK("http://nsgreg.nga.mil/genc/view?v=291220&amp;end_month=6&amp;end_day=30&amp;end_year=2019","PORTUGAL")</f>
        <v>PORTUGAL</v>
      </c>
      <c r="I206" s="73" t="str">
        <f>HYPERLINK("http://api.nsgreg.nga.mil/geo-political/GENC/3/3-11/PRT","ge:GENC:3:3-11:PRT")</f>
        <v>ge:GENC:3:3-11:PRT</v>
      </c>
    </row>
    <row r="207" spans="1:9" ht="13.5" customHeight="1" x14ac:dyDescent="0.2">
      <c r="A207" s="65" t="s">
        <v>1243</v>
      </c>
      <c r="B207" s="42" t="s">
        <v>1244</v>
      </c>
      <c r="C207" s="43" t="s">
        <v>1245</v>
      </c>
      <c r="D207" s="41" t="s">
        <v>1246</v>
      </c>
      <c r="E207" s="42" t="s">
        <v>1247</v>
      </c>
      <c r="F207" s="42" t="s">
        <v>1248</v>
      </c>
      <c r="G207" s="85"/>
      <c r="H207" s="74" t="str">
        <f>HYPERLINK("http://nsgreg.nga.mil/genc/view?v=291221&amp;end_month=6&amp;end_day=30&amp;end_year=2019","PUERTO RICO")</f>
        <v>PUERTO RICO</v>
      </c>
      <c r="I207" s="74" t="str">
        <f>HYPERLINK("http://api.nsgreg.nga.mil/geo-political/GENC/3/3-11/PRI","ge:GENC:3:3-11:PRI")</f>
        <v>ge:GENC:3:3-11:PRI</v>
      </c>
    </row>
    <row r="208" spans="1:9" ht="13.5" customHeight="1" x14ac:dyDescent="0.2">
      <c r="A208" s="63" t="s">
        <v>1249</v>
      </c>
      <c r="B208" s="21" t="s">
        <v>1250</v>
      </c>
      <c r="C208" s="45" t="s">
        <v>1251</v>
      </c>
      <c r="D208" s="44" t="s">
        <v>1252</v>
      </c>
      <c r="E208" s="21" t="s">
        <v>1253</v>
      </c>
      <c r="F208" s="21" t="s">
        <v>1254</v>
      </c>
      <c r="G208" s="53" t="str">
        <f>HYPERLINK("[#]Codes_for_AS_Names!A3436:G3436","&lt;link&gt;")</f>
        <v>&lt;link&gt;</v>
      </c>
      <c r="H208" s="72" t="str">
        <f>HYPERLINK("http://nsgreg.nga.mil/genc/view?v=291222&amp;end_month=6&amp;end_day=30&amp;end_year=2019","QATAR")</f>
        <v>QATAR</v>
      </c>
      <c r="I208" s="72" t="str">
        <f>HYPERLINK("http://api.nsgreg.nga.mil/geo-political/GENC/3/3-11/QAT","ge:GENC:3:3-11:QAT")</f>
        <v>ge:GENC:3:3-11:QAT</v>
      </c>
    </row>
    <row r="209" spans="1:9" ht="13.5" customHeight="1" x14ac:dyDescent="0.2">
      <c r="A209" s="63" t="s">
        <v>1255</v>
      </c>
      <c r="B209" s="21" t="s">
        <v>1256</v>
      </c>
      <c r="C209" s="45" t="s">
        <v>1257</v>
      </c>
      <c r="D209" s="44" t="s">
        <v>1258</v>
      </c>
      <c r="E209" s="21" t="s">
        <v>1259</v>
      </c>
      <c r="F209" s="21" t="s">
        <v>1260</v>
      </c>
      <c r="G209" s="83"/>
      <c r="H209" s="72" t="str">
        <f>HYPERLINK("http://nsgreg.nga.mil/genc/view?v=291223&amp;end_month=6&amp;end_day=30&amp;end_year=2019","REUNION")</f>
        <v>REUNION</v>
      </c>
      <c r="I209" s="72" t="str">
        <f>HYPERLINK("http://api.nsgreg.nga.mil/geo-political/GENC/3/3-11/REU","ge:GENC:3:3-11:REU")</f>
        <v>ge:GENC:3:3-11:REU</v>
      </c>
    </row>
    <row r="210" spans="1:9" ht="13.5" customHeight="1" x14ac:dyDescent="0.2">
      <c r="A210" s="63" t="s">
        <v>1261</v>
      </c>
      <c r="B210" s="21" t="s">
        <v>1262</v>
      </c>
      <c r="C210" s="45" t="s">
        <v>1263</v>
      </c>
      <c r="D210" s="44" t="s">
        <v>1264</v>
      </c>
      <c r="E210" s="21" t="s">
        <v>1265</v>
      </c>
      <c r="F210" s="21" t="s">
        <v>1265</v>
      </c>
      <c r="G210" s="53" t="str">
        <f>HYPERLINK("[#]Codes_for_AS_Names!A3444:G3444","&lt;link&gt;")</f>
        <v>&lt;link&gt;</v>
      </c>
      <c r="H210" s="72" t="str">
        <f>HYPERLINK("http://nsgreg.nga.mil/genc/view?v=291224&amp;end_month=6&amp;end_day=30&amp;end_year=2019","ROMANIA")</f>
        <v>ROMANIA</v>
      </c>
      <c r="I210" s="72" t="str">
        <f>HYPERLINK("http://api.nsgreg.nga.mil/geo-political/GENC/3/3-11/ROU","ge:GENC:3:3-11:ROU")</f>
        <v>ge:GENC:3:3-11:ROU</v>
      </c>
    </row>
    <row r="211" spans="1:9" ht="13.5" customHeight="1" x14ac:dyDescent="0.2">
      <c r="A211" s="64" t="s">
        <v>1266</v>
      </c>
      <c r="B211" s="47" t="s">
        <v>1267</v>
      </c>
      <c r="C211" s="48" t="s">
        <v>1268</v>
      </c>
      <c r="D211" s="46" t="s">
        <v>1269</v>
      </c>
      <c r="E211" s="47" t="s">
        <v>1270</v>
      </c>
      <c r="F211" s="47" t="s">
        <v>1271</v>
      </c>
      <c r="G211" s="54" t="str">
        <f>HYPERLINK("[#]Codes_for_AS_Names!A3486:G3486","&lt;link&gt;")</f>
        <v>&lt;link&gt;</v>
      </c>
      <c r="H211" s="73" t="str">
        <f>HYPERLINK("http://nsgreg.nga.mil/genc/view?v=291225&amp;end_month=6&amp;end_day=30&amp;end_year=2019","RUSSIA")</f>
        <v>RUSSIA</v>
      </c>
      <c r="I211" s="73" t="str">
        <f>HYPERLINK("http://api.nsgreg.nga.mil/geo-political/GENC/3/3-11/RUS","ge:GENC:3:3-11:RUS")</f>
        <v>ge:GENC:3:3-11:RUS</v>
      </c>
    </row>
    <row r="212" spans="1:9" ht="13.5" customHeight="1" x14ac:dyDescent="0.2">
      <c r="A212" s="65" t="s">
        <v>1273</v>
      </c>
      <c r="B212" s="42" t="s">
        <v>1274</v>
      </c>
      <c r="C212" s="43" t="s">
        <v>1275</v>
      </c>
      <c r="D212" s="41" t="s">
        <v>1276</v>
      </c>
      <c r="E212" s="42" t="s">
        <v>1277</v>
      </c>
      <c r="F212" s="42" t="s">
        <v>1278</v>
      </c>
      <c r="G212" s="52" t="str">
        <f>HYPERLINK("[#]Codes_for_AS_Names!A3569:G3569","&lt;link&gt;")</f>
        <v>&lt;link&gt;</v>
      </c>
      <c r="H212" s="74" t="str">
        <f>HYPERLINK("http://nsgreg.nga.mil/genc/view?v=291226&amp;end_month=6&amp;end_day=30&amp;end_year=2019","RWANDA")</f>
        <v>RWANDA</v>
      </c>
      <c r="I212" s="74" t="str">
        <f>HYPERLINK("http://api.nsgreg.nga.mil/geo-political/GENC/3/3-11/RWA","ge:GENC:3:3-11:RWA")</f>
        <v>ge:GENC:3:3-11:RWA</v>
      </c>
    </row>
    <row r="213" spans="1:9" ht="13.5" customHeight="1" x14ac:dyDescent="0.2">
      <c r="A213" s="63" t="s">
        <v>1279</v>
      </c>
      <c r="B213" s="21" t="s">
        <v>248</v>
      </c>
      <c r="C213" s="45" t="s">
        <v>1280</v>
      </c>
      <c r="D213" s="44" t="s">
        <v>1281</v>
      </c>
      <c r="E213" s="21" t="s">
        <v>1282</v>
      </c>
      <c r="F213" s="21" t="s">
        <v>1282</v>
      </c>
      <c r="G213" s="83"/>
      <c r="H213" s="72" t="str">
        <f>HYPERLINK("http://nsgreg.nga.mil/genc/view?v=291227&amp;end_month=6&amp;end_day=30&amp;end_year=2019","SAINT BARTHELEMY")</f>
        <v>SAINT BARTHELEMY</v>
      </c>
      <c r="I213" s="72" t="str">
        <f>HYPERLINK("http://api.nsgreg.nga.mil/geo-political/GENC/3/3-11/BLM","ge:GENC:3:3-11:BLM")</f>
        <v>ge:GENC:3:3-11:BLM</v>
      </c>
    </row>
    <row r="214" spans="1:9" ht="13.5" customHeight="1" x14ac:dyDescent="0.2">
      <c r="A214" s="63" t="s">
        <v>1283</v>
      </c>
      <c r="B214" s="21" t="s">
        <v>1284</v>
      </c>
      <c r="C214" s="45" t="s">
        <v>1285</v>
      </c>
      <c r="D214" s="44" t="s">
        <v>1286</v>
      </c>
      <c r="E214" s="21" t="s">
        <v>1287</v>
      </c>
      <c r="F214" s="21" t="s">
        <v>1287</v>
      </c>
      <c r="G214" s="53" t="str">
        <f>HYPERLINK("[#]Codes_for_AS_Names!A3574:G3574","&lt;link&gt;")</f>
        <v>&lt;link&gt;</v>
      </c>
      <c r="H214" s="72" t="str">
        <f>HYPERLINK("http://nsgreg.nga.mil/genc/view?v=291228&amp;end_month=6&amp;end_day=30&amp;end_year=2019","SAINT HELENA, ASCENSION, AND TRISTAN DA CUNHA")</f>
        <v>SAINT HELENA, ASCENSION, AND TRISTAN DA CUNHA</v>
      </c>
      <c r="I214" s="72" t="str">
        <f>HYPERLINK("http://api.nsgreg.nga.mil/geo-political/GENC/3/3-11/SHN","ge:GENC:3:3-11:SHN")</f>
        <v>ge:GENC:3:3-11:SHN</v>
      </c>
    </row>
    <row r="215" spans="1:9" ht="13.5" customHeight="1" x14ac:dyDescent="0.2">
      <c r="A215" s="63" t="s">
        <v>1288</v>
      </c>
      <c r="B215" s="21" t="s">
        <v>874</v>
      </c>
      <c r="C215" s="45" t="s">
        <v>1289</v>
      </c>
      <c r="D215" s="44" t="s">
        <v>1290</v>
      </c>
      <c r="E215" s="21" t="s">
        <v>1291</v>
      </c>
      <c r="F215" s="21" t="s">
        <v>1292</v>
      </c>
      <c r="G215" s="53" t="str">
        <f>HYPERLINK("[#]Codes_for_AS_Names!A3577:G3577","&lt;link&gt;")</f>
        <v>&lt;link&gt;</v>
      </c>
      <c r="H215" s="72" t="str">
        <f>HYPERLINK("http://nsgreg.nga.mil/genc/view?v=291229&amp;end_month=6&amp;end_day=30&amp;end_year=2019","SAINT KITTS AND NEVIS")</f>
        <v>SAINT KITTS AND NEVIS</v>
      </c>
      <c r="I215" s="72" t="str">
        <f>HYPERLINK("http://api.nsgreg.nga.mil/geo-political/GENC/3/3-11/KNA","ge:GENC:3:3-11:KNA")</f>
        <v>ge:GENC:3:3-11:KNA</v>
      </c>
    </row>
    <row r="216" spans="1:9" ht="13.5" customHeight="1" x14ac:dyDescent="0.2">
      <c r="A216" s="64" t="s">
        <v>1294</v>
      </c>
      <c r="B216" s="47" t="s">
        <v>1295</v>
      </c>
      <c r="C216" s="48" t="s">
        <v>1296</v>
      </c>
      <c r="D216" s="46" t="s">
        <v>1297</v>
      </c>
      <c r="E216" s="47" t="s">
        <v>1298</v>
      </c>
      <c r="F216" s="47" t="s">
        <v>1298</v>
      </c>
      <c r="G216" s="54" t="str">
        <f>HYPERLINK("[#]Codes_for_AS_Names!A3593:G3593","&lt;link&gt;")</f>
        <v>&lt;link&gt;</v>
      </c>
      <c r="H216" s="73" t="str">
        <f>HYPERLINK("http://nsgreg.nga.mil/genc/view?v=291230&amp;end_month=6&amp;end_day=30&amp;end_year=2019","SAINT LUCIA")</f>
        <v>SAINT LUCIA</v>
      </c>
      <c r="I216" s="73" t="str">
        <f>HYPERLINK("http://api.nsgreg.nga.mil/geo-political/GENC/3/3-11/LCA","ge:GENC:3:3-11:LCA")</f>
        <v>ge:GENC:3:3-11:LCA</v>
      </c>
    </row>
    <row r="217" spans="1:9" ht="13.5" customHeight="1" x14ac:dyDescent="0.2">
      <c r="A217" s="65" t="s">
        <v>1300</v>
      </c>
      <c r="B217" s="42" t="s">
        <v>1026</v>
      </c>
      <c r="C217" s="43" t="s">
        <v>1301</v>
      </c>
      <c r="D217" s="41" t="s">
        <v>1302</v>
      </c>
      <c r="E217" s="42" t="s">
        <v>1303</v>
      </c>
      <c r="F217" s="42" t="s">
        <v>1303</v>
      </c>
      <c r="G217" s="85"/>
      <c r="H217" s="74" t="str">
        <f>HYPERLINK("http://nsgreg.nga.mil/genc/view?v=291231&amp;end_month=6&amp;end_day=30&amp;end_year=2019","SAINT MARTIN")</f>
        <v>SAINT MARTIN</v>
      </c>
      <c r="I217" s="74" t="str">
        <f>HYPERLINK("http://api.nsgreg.nga.mil/geo-political/GENC/3/3-11/MAF","ge:GENC:3:3-11:MAF")</f>
        <v>ge:GENC:3:3-11:MAF</v>
      </c>
    </row>
    <row r="218" spans="1:9" ht="13.5" customHeight="1" x14ac:dyDescent="0.2">
      <c r="A218" s="63" t="s">
        <v>1304</v>
      </c>
      <c r="B218" s="21" t="s">
        <v>1195</v>
      </c>
      <c r="C218" s="45" t="s">
        <v>1305</v>
      </c>
      <c r="D218" s="44" t="s">
        <v>1306</v>
      </c>
      <c r="E218" s="21" t="s">
        <v>1307</v>
      </c>
      <c r="F218" s="21" t="s">
        <v>1308</v>
      </c>
      <c r="G218" s="83"/>
      <c r="H218" s="72" t="str">
        <f>HYPERLINK("http://nsgreg.nga.mil/genc/view?v=291232&amp;end_month=6&amp;end_day=30&amp;end_year=2019","SAINT PIERRE AND MIQUELON")</f>
        <v>SAINT PIERRE AND MIQUELON</v>
      </c>
      <c r="I218" s="72" t="str">
        <f>HYPERLINK("http://api.nsgreg.nga.mil/geo-political/GENC/3/3-11/SPM","ge:GENC:3:3-11:SPM")</f>
        <v>ge:GENC:3:3-11:SPM</v>
      </c>
    </row>
    <row r="219" spans="1:9" ht="13.5" customHeight="1" x14ac:dyDescent="0.2">
      <c r="A219" s="63" t="s">
        <v>1310</v>
      </c>
      <c r="B219" s="21" t="s">
        <v>1311</v>
      </c>
      <c r="C219" s="45" t="s">
        <v>1312</v>
      </c>
      <c r="D219" s="44" t="s">
        <v>1313</v>
      </c>
      <c r="E219" s="21" t="s">
        <v>1314</v>
      </c>
      <c r="F219" s="21" t="s">
        <v>1314</v>
      </c>
      <c r="G219" s="53" t="str">
        <f>HYPERLINK("[#]Codes_for_AS_Names!A3603:G3603","&lt;link&gt;")</f>
        <v>&lt;link&gt;</v>
      </c>
      <c r="H219" s="72" t="str">
        <f>HYPERLINK("http://nsgreg.nga.mil/genc/view?v=291233&amp;end_month=6&amp;end_day=30&amp;end_year=2019","SAINT VINCENT AND THE GRENADINES")</f>
        <v>SAINT VINCENT AND THE GRENADINES</v>
      </c>
      <c r="I219" s="72" t="str">
        <f>HYPERLINK("http://api.nsgreg.nga.mil/geo-political/GENC/3/3-11/VCT","ge:GENC:3:3-11:VCT")</f>
        <v>ge:GENC:3:3-11:VCT</v>
      </c>
    </row>
    <row r="220" spans="1:9" ht="13.5" customHeight="1" x14ac:dyDescent="0.2">
      <c r="A220" s="63" t="s">
        <v>1315</v>
      </c>
      <c r="B220" s="21" t="s">
        <v>1316</v>
      </c>
      <c r="C220" s="45" t="s">
        <v>1317</v>
      </c>
      <c r="D220" s="44" t="s">
        <v>1318</v>
      </c>
      <c r="E220" s="21" t="s">
        <v>1319</v>
      </c>
      <c r="F220" s="21" t="s">
        <v>1320</v>
      </c>
      <c r="G220" s="53" t="str">
        <f>HYPERLINK("[#]Codes_for_AS_Names!A3609:G3609","&lt;link&gt;")</f>
        <v>&lt;link&gt;</v>
      </c>
      <c r="H220" s="72" t="str">
        <f>HYPERLINK("http://nsgreg.nga.mil/genc/view?v=291234&amp;end_month=6&amp;end_day=30&amp;end_year=2019","SAMOA")</f>
        <v>SAMOA</v>
      </c>
      <c r="I220" s="72" t="str">
        <f>HYPERLINK("http://api.nsgreg.nga.mil/geo-political/GENC/3/3-11/WSM","ge:GENC:3:3-11:WSM")</f>
        <v>ge:GENC:3:3-11:WSM</v>
      </c>
    </row>
    <row r="221" spans="1:9" ht="13.5" customHeight="1" x14ac:dyDescent="0.2">
      <c r="A221" s="64" t="s">
        <v>1321</v>
      </c>
      <c r="B221" s="47" t="s">
        <v>1322</v>
      </c>
      <c r="C221" s="48" t="s">
        <v>1323</v>
      </c>
      <c r="D221" s="46" t="s">
        <v>1324</v>
      </c>
      <c r="E221" s="47" t="s">
        <v>1325</v>
      </c>
      <c r="F221" s="47" t="s">
        <v>1326</v>
      </c>
      <c r="G221" s="54" t="str">
        <f>HYPERLINK("[#]Codes_for_AS_Names!A3620:G3620","&lt;link&gt;")</f>
        <v>&lt;link&gt;</v>
      </c>
      <c r="H221" s="73" t="str">
        <f>HYPERLINK("http://nsgreg.nga.mil/genc/view?v=291235&amp;end_month=6&amp;end_day=30&amp;end_year=2019","SAN MARINO")</f>
        <v>SAN MARINO</v>
      </c>
      <c r="I221" s="73" t="str">
        <f>HYPERLINK("http://api.nsgreg.nga.mil/geo-political/GENC/3/3-11/SMR","ge:GENC:3:3-11:SMR")</f>
        <v>ge:GENC:3:3-11:SMR</v>
      </c>
    </row>
    <row r="222" spans="1:9" ht="13.5" customHeight="1" x14ac:dyDescent="0.2">
      <c r="A222" s="65" t="s">
        <v>1327</v>
      </c>
      <c r="B222" s="42" t="s">
        <v>1299</v>
      </c>
      <c r="C222" s="43" t="s">
        <v>1328</v>
      </c>
      <c r="D222" s="41" t="s">
        <v>1329</v>
      </c>
      <c r="E222" s="42" t="s">
        <v>1330</v>
      </c>
      <c r="F222" s="42" t="s">
        <v>1331</v>
      </c>
      <c r="G222" s="52" t="str">
        <f>HYPERLINK("[#]Codes_for_AS_Names!A3629:G3629","&lt;link&gt;")</f>
        <v>&lt;link&gt;</v>
      </c>
      <c r="H222" s="74" t="str">
        <f>HYPERLINK("http://nsgreg.nga.mil/genc/view?v=291236&amp;end_month=6&amp;end_day=30&amp;end_year=2019","SAO TOME AND PRINCIPE")</f>
        <v>SAO TOME AND PRINCIPE</v>
      </c>
      <c r="I222" s="74" t="str">
        <f>HYPERLINK("http://api.nsgreg.nga.mil/geo-political/GENC/3/3-11/STP","ge:GENC:3:3-11:STP")</f>
        <v>ge:GENC:3:3-11:STP</v>
      </c>
    </row>
    <row r="223" spans="1:9" ht="13.5" customHeight="1" x14ac:dyDescent="0.2">
      <c r="A223" s="63" t="s">
        <v>1332</v>
      </c>
      <c r="B223" s="21" t="s">
        <v>1333</v>
      </c>
      <c r="C223" s="45" t="s">
        <v>1334</v>
      </c>
      <c r="D223" s="44" t="s">
        <v>1335</v>
      </c>
      <c r="E223" s="21" t="s">
        <v>1336</v>
      </c>
      <c r="F223" s="21" t="s">
        <v>1337</v>
      </c>
      <c r="G223" s="53" t="str">
        <f>HYPERLINK("[#]Codes_for_AS_Names!A3636:G3636","&lt;link&gt;")</f>
        <v>&lt;link&gt;</v>
      </c>
      <c r="H223" s="72" t="str">
        <f>HYPERLINK("http://nsgreg.nga.mil/genc/view?v=291237&amp;end_month=6&amp;end_day=30&amp;end_year=2019","SAUDI ARABIA")</f>
        <v>SAUDI ARABIA</v>
      </c>
      <c r="I223" s="72" t="str">
        <f>HYPERLINK("http://api.nsgreg.nga.mil/geo-political/GENC/3/3-11/SAU","ge:GENC:3:3-11:SAU")</f>
        <v>ge:GENC:3:3-11:SAU</v>
      </c>
    </row>
    <row r="224" spans="1:9" ht="13.5" customHeight="1" x14ac:dyDescent="0.2">
      <c r="A224" s="63" t="s">
        <v>1338</v>
      </c>
      <c r="B224" s="21" t="s">
        <v>1339</v>
      </c>
      <c r="C224" s="45" t="s">
        <v>1340</v>
      </c>
      <c r="D224" s="44" t="s">
        <v>1341</v>
      </c>
      <c r="E224" s="21" t="s">
        <v>1342</v>
      </c>
      <c r="F224" s="21" t="s">
        <v>1343</v>
      </c>
      <c r="G224" s="53" t="str">
        <f>HYPERLINK("[#]Codes_for_AS_Names!A3649:G3649","&lt;link&gt;")</f>
        <v>&lt;link&gt;</v>
      </c>
      <c r="H224" s="72" t="str">
        <f>HYPERLINK("http://nsgreg.nga.mil/genc/view?v=291238&amp;end_month=6&amp;end_day=30&amp;end_year=2019","SENEGAL")</f>
        <v>SENEGAL</v>
      </c>
      <c r="I224" s="72" t="str">
        <f>HYPERLINK("http://api.nsgreg.nga.mil/geo-political/GENC/3/3-11/SEN","ge:GENC:3:3-11:SEN")</f>
        <v>ge:GENC:3:3-11:SEN</v>
      </c>
    </row>
    <row r="225" spans="1:9" ht="13.5" customHeight="1" x14ac:dyDescent="0.2">
      <c r="A225" s="63" t="s">
        <v>1345</v>
      </c>
      <c r="B225" s="21" t="s">
        <v>1272</v>
      </c>
      <c r="C225" s="45" t="s">
        <v>1346</v>
      </c>
      <c r="D225" s="44" t="s">
        <v>1347</v>
      </c>
      <c r="E225" s="21" t="s">
        <v>1348</v>
      </c>
      <c r="F225" s="21" t="s">
        <v>1349</v>
      </c>
      <c r="G225" s="53" t="str">
        <f>HYPERLINK("[#]Codes_for_AS_Names!A3663:G3663","&lt;link&gt;")</f>
        <v>&lt;link&gt;</v>
      </c>
      <c r="H225" s="72" t="str">
        <f>HYPERLINK("http://nsgreg.nga.mil/genc/view?v=291239&amp;end_month=6&amp;end_day=30&amp;end_year=2019","SERBIA")</f>
        <v>SERBIA</v>
      </c>
      <c r="I225" s="72" t="str">
        <f>HYPERLINK("http://api.nsgreg.nga.mil/geo-political/GENC/3/3-11/SRB","ge:GENC:3:3-11:SRB")</f>
        <v>ge:GENC:3:3-11:SRB</v>
      </c>
    </row>
    <row r="226" spans="1:9" ht="13.5" customHeight="1" x14ac:dyDescent="0.2">
      <c r="A226" s="64" t="s">
        <v>1350</v>
      </c>
      <c r="B226" s="47" t="s">
        <v>1293</v>
      </c>
      <c r="C226" s="48" t="s">
        <v>1351</v>
      </c>
      <c r="D226" s="46" t="s">
        <v>1352</v>
      </c>
      <c r="E226" s="47" t="s">
        <v>1353</v>
      </c>
      <c r="F226" s="47" t="s">
        <v>1354</v>
      </c>
      <c r="G226" s="54" t="str">
        <f>HYPERLINK("[#]Codes_for_AS_Names!A3833:G3833","&lt;link&gt;")</f>
        <v>&lt;link&gt;</v>
      </c>
      <c r="H226" s="73" t="str">
        <f>HYPERLINK("http://nsgreg.nga.mil/genc/view?v=291240&amp;end_month=6&amp;end_day=30&amp;end_year=2019","SEYCHELLES")</f>
        <v>SEYCHELLES</v>
      </c>
      <c r="I226" s="73" t="str">
        <f>HYPERLINK("http://api.nsgreg.nga.mil/geo-political/GENC/3/3-11/SYC","ge:GENC:3:3-11:SYC")</f>
        <v>ge:GENC:3:3-11:SYC</v>
      </c>
    </row>
    <row r="227" spans="1:9" ht="13.5" customHeight="1" x14ac:dyDescent="0.2">
      <c r="A227" s="65" t="s">
        <v>1356</v>
      </c>
      <c r="B227" s="42" t="s">
        <v>1357</v>
      </c>
      <c r="C227" s="43" t="s">
        <v>1358</v>
      </c>
      <c r="D227" s="41" t="s">
        <v>1359</v>
      </c>
      <c r="E227" s="42" t="s">
        <v>1360</v>
      </c>
      <c r="F227" s="42" t="s">
        <v>1361</v>
      </c>
      <c r="G227" s="52" t="str">
        <f>HYPERLINK("[#]Codes_for_AS_Names!A3858:G3858","&lt;link&gt;")</f>
        <v>&lt;link&gt;</v>
      </c>
      <c r="H227" s="74" t="str">
        <f>HYPERLINK("http://nsgreg.nga.mil/genc/view?v=291241&amp;end_month=6&amp;end_day=30&amp;end_year=2019","SIERRA LEONE")</f>
        <v>SIERRA LEONE</v>
      </c>
      <c r="I227" s="74" t="str">
        <f>HYPERLINK("http://api.nsgreg.nga.mil/geo-political/GENC/3/3-11/SLE","ge:GENC:3:3-11:SLE")</f>
        <v>ge:GENC:3:3-11:SLE</v>
      </c>
    </row>
    <row r="228" spans="1:9" ht="13.5" customHeight="1" x14ac:dyDescent="0.2">
      <c r="A228" s="63" t="s">
        <v>1362</v>
      </c>
      <c r="B228" s="21" t="s">
        <v>1344</v>
      </c>
      <c r="C228" s="45" t="s">
        <v>1363</v>
      </c>
      <c r="D228" s="44" t="s">
        <v>1364</v>
      </c>
      <c r="E228" s="21" t="s">
        <v>1365</v>
      </c>
      <c r="F228" s="21" t="s">
        <v>1366</v>
      </c>
      <c r="G228" s="53" t="str">
        <f>HYPERLINK("[#]Codes_for_AS_Names!A3863:G3863","&lt;link&gt;")</f>
        <v>&lt;link&gt;</v>
      </c>
      <c r="H228" s="72" t="str">
        <f>HYPERLINK("http://nsgreg.nga.mil/genc/view?v=291242&amp;end_month=6&amp;end_day=30&amp;end_year=2019","SINGAPORE")</f>
        <v>SINGAPORE</v>
      </c>
      <c r="I228" s="72" t="str">
        <f>HYPERLINK("http://api.nsgreg.nga.mil/geo-political/GENC/3/3-11/SGP","ge:GENC:3:3-11:SGP")</f>
        <v>ge:GENC:3:3-11:SGP</v>
      </c>
    </row>
    <row r="229" spans="1:9" ht="13.5" customHeight="1" x14ac:dyDescent="0.2">
      <c r="A229" s="63" t="s">
        <v>1367</v>
      </c>
      <c r="B229" s="21" t="s">
        <v>1368</v>
      </c>
      <c r="C229" s="45" t="s">
        <v>1369</v>
      </c>
      <c r="D229" s="44" t="s">
        <v>1370</v>
      </c>
      <c r="E229" s="21" t="s">
        <v>1371</v>
      </c>
      <c r="F229" s="21" t="s">
        <v>1371</v>
      </c>
      <c r="G229" s="83"/>
      <c r="H229" s="72" t="str">
        <f>HYPERLINK("http://nsgreg.nga.mil/genc/view?v=291243&amp;end_month=6&amp;end_day=30&amp;end_year=2019","SINT MAARTEN")</f>
        <v>SINT MAARTEN</v>
      </c>
      <c r="I229" s="72" t="str">
        <f>HYPERLINK("http://api.nsgreg.nga.mil/geo-political/GENC/3/3-11/SXM","ge:GENC:3:3-11:SXM")</f>
        <v>ge:GENC:3:3-11:SXM</v>
      </c>
    </row>
    <row r="230" spans="1:9" ht="13.5" customHeight="1" x14ac:dyDescent="0.2">
      <c r="A230" s="63" t="s">
        <v>1372</v>
      </c>
      <c r="B230" s="21" t="s">
        <v>1373</v>
      </c>
      <c r="C230" s="45" t="s">
        <v>1374</v>
      </c>
      <c r="D230" s="44" t="s">
        <v>1375</v>
      </c>
      <c r="E230" s="21" t="s">
        <v>1376</v>
      </c>
      <c r="F230" s="21" t="s">
        <v>1377</v>
      </c>
      <c r="G230" s="53" t="str">
        <f>HYPERLINK("[#]Codes_for_AS_Names!A3868:G3868","&lt;link&gt;")</f>
        <v>&lt;link&gt;</v>
      </c>
      <c r="H230" s="72" t="str">
        <f>HYPERLINK("http://nsgreg.nga.mil/genc/view?v=291244&amp;end_month=6&amp;end_day=30&amp;end_year=2019","SLOVAKIA")</f>
        <v>SLOVAKIA</v>
      </c>
      <c r="I230" s="72" t="str">
        <f>HYPERLINK("http://api.nsgreg.nga.mil/geo-political/GENC/3/3-11/SVK","ge:GENC:3:3-11:SVK")</f>
        <v>ge:GENC:3:3-11:SVK</v>
      </c>
    </row>
    <row r="231" spans="1:9" ht="13.5" customHeight="1" x14ac:dyDescent="0.2">
      <c r="A231" s="64" t="s">
        <v>1378</v>
      </c>
      <c r="B231" s="47" t="s">
        <v>1379</v>
      </c>
      <c r="C231" s="48" t="s">
        <v>1380</v>
      </c>
      <c r="D231" s="46" t="s">
        <v>1381</v>
      </c>
      <c r="E231" s="47" t="s">
        <v>1382</v>
      </c>
      <c r="F231" s="47" t="s">
        <v>1383</v>
      </c>
      <c r="G231" s="54" t="str">
        <f>HYPERLINK("[#]Codes_for_AS_Names!A3876:G3876","&lt;link&gt;")</f>
        <v>&lt;link&gt;</v>
      </c>
      <c r="H231" s="73" t="str">
        <f>HYPERLINK("http://nsgreg.nga.mil/genc/view?v=291245&amp;end_month=6&amp;end_day=30&amp;end_year=2019","SLOVENIA")</f>
        <v>SLOVENIA</v>
      </c>
      <c r="I231" s="73" t="str">
        <f>HYPERLINK("http://api.nsgreg.nga.mil/geo-political/GENC/3/3-11/SVN","ge:GENC:3:3-11:SVN")</f>
        <v>ge:GENC:3:3-11:SVN</v>
      </c>
    </row>
    <row r="232" spans="1:9" ht="13.5" customHeight="1" x14ac:dyDescent="0.2">
      <c r="A232" s="65" t="s">
        <v>1384</v>
      </c>
      <c r="B232" s="42" t="s">
        <v>1309</v>
      </c>
      <c r="C232" s="43" t="s">
        <v>1385</v>
      </c>
      <c r="D232" s="41" t="s">
        <v>1386</v>
      </c>
      <c r="E232" s="42" t="s">
        <v>1387</v>
      </c>
      <c r="F232" s="42" t="s">
        <v>1387</v>
      </c>
      <c r="G232" s="52" t="str">
        <f>HYPERLINK("[#]Codes_for_AS_Names!A4088:G4088","&lt;link&gt;")</f>
        <v>&lt;link&gt;</v>
      </c>
      <c r="H232" s="74" t="str">
        <f>HYPERLINK("http://nsgreg.nga.mil/genc/view?v=291246&amp;end_month=6&amp;end_day=30&amp;end_year=2019","SOLOMON ISLANDS")</f>
        <v>SOLOMON ISLANDS</v>
      </c>
      <c r="I232" s="74" t="str">
        <f>HYPERLINK("http://api.nsgreg.nga.mil/geo-political/GENC/3/3-11/SLB","ge:GENC:3:3-11:SLB")</f>
        <v>ge:GENC:3:3-11:SLB</v>
      </c>
    </row>
    <row r="233" spans="1:9" ht="13.5" customHeight="1" x14ac:dyDescent="0.2">
      <c r="A233" s="63" t="s">
        <v>1388</v>
      </c>
      <c r="B233" s="21" t="s">
        <v>1389</v>
      </c>
      <c r="C233" s="45" t="s">
        <v>1390</v>
      </c>
      <c r="D233" s="44" t="s">
        <v>1391</v>
      </c>
      <c r="E233" s="21" t="s">
        <v>1392</v>
      </c>
      <c r="F233" s="21" t="s">
        <v>1393</v>
      </c>
      <c r="G233" s="53" t="str">
        <f>HYPERLINK("[#]Codes_for_AS_Names!A4098:G4098","&lt;link&gt;")</f>
        <v>&lt;link&gt;</v>
      </c>
      <c r="H233" s="72" t="str">
        <f>HYPERLINK("http://nsgreg.nga.mil/genc/view?v=291247&amp;end_month=6&amp;end_day=30&amp;end_year=2019","SOMALIA")</f>
        <v>SOMALIA</v>
      </c>
      <c r="I233" s="72" t="str">
        <f>HYPERLINK("http://api.nsgreg.nga.mil/geo-political/GENC/3/3-11/SOM","ge:GENC:3:3-11:SOM")</f>
        <v>ge:GENC:3:3-11:SOM</v>
      </c>
    </row>
    <row r="234" spans="1:9" ht="13.5" customHeight="1" x14ac:dyDescent="0.2">
      <c r="A234" s="63" t="s">
        <v>1394</v>
      </c>
      <c r="B234" s="21" t="s">
        <v>1395</v>
      </c>
      <c r="C234" s="45" t="s">
        <v>1396</v>
      </c>
      <c r="D234" s="44" t="s">
        <v>1397</v>
      </c>
      <c r="E234" s="21" t="s">
        <v>1398</v>
      </c>
      <c r="F234" s="21" t="s">
        <v>1399</v>
      </c>
      <c r="G234" s="53" t="str">
        <f>HYPERLINK("[#]Codes_for_AS_Names!A4116:G4116","&lt;link&gt;")</f>
        <v>&lt;link&gt;</v>
      </c>
      <c r="H234" s="72" t="str">
        <f>HYPERLINK("http://nsgreg.nga.mil/genc/view?v=291248&amp;end_month=6&amp;end_day=30&amp;end_year=2019","SOUTH AFRICA")</f>
        <v>SOUTH AFRICA</v>
      </c>
      <c r="I234" s="72" t="str">
        <f>HYPERLINK("http://api.nsgreg.nga.mil/geo-political/GENC/3/3-11/ZAF","ge:GENC:3:3-11:ZAF")</f>
        <v>ge:GENC:3:3-11:ZAF</v>
      </c>
    </row>
    <row r="235" spans="1:9" ht="13.5" customHeight="1" x14ac:dyDescent="0.2">
      <c r="A235" s="63" t="s">
        <v>1400</v>
      </c>
      <c r="B235" s="21" t="s">
        <v>1401</v>
      </c>
      <c r="C235" s="45" t="s">
        <v>1402</v>
      </c>
      <c r="D235" s="44" t="s">
        <v>1403</v>
      </c>
      <c r="E235" s="21" t="s">
        <v>1404</v>
      </c>
      <c r="F235" s="21" t="s">
        <v>1405</v>
      </c>
      <c r="G235" s="83"/>
      <c r="H235" s="72" t="str">
        <f>HYPERLINK("http://nsgreg.nga.mil/genc/view?v=291249&amp;end_month=6&amp;end_day=30&amp;end_year=2019","SOUTH GEORGIA AND SOUTH SANDWICH ISLANDS")</f>
        <v>SOUTH GEORGIA AND SOUTH SANDWICH ISLANDS</v>
      </c>
      <c r="I235" s="72" t="str">
        <f>HYPERLINK("http://api.nsgreg.nga.mil/geo-political/GENC/3/3-11/SGS","ge:GENC:3:3-11:SGS")</f>
        <v>ge:GENC:3:3-11:SGS</v>
      </c>
    </row>
    <row r="236" spans="1:9" ht="13.5" customHeight="1" x14ac:dyDescent="0.2">
      <c r="A236" s="64" t="s">
        <v>1406</v>
      </c>
      <c r="B236" s="47" t="s">
        <v>1407</v>
      </c>
      <c r="C236" s="48" t="s">
        <v>1408</v>
      </c>
      <c r="D236" s="46" t="s">
        <v>1409</v>
      </c>
      <c r="E236" s="47" t="s">
        <v>1410</v>
      </c>
      <c r="F236" s="47" t="s">
        <v>1411</v>
      </c>
      <c r="G236" s="54" t="str">
        <f>HYPERLINK("[#]Codes_for_AS_Names!A4125:G4125","&lt;link&gt;")</f>
        <v>&lt;link&gt;</v>
      </c>
      <c r="H236" s="73" t="str">
        <f>HYPERLINK("http://nsgreg.nga.mil/genc/view?v=291250&amp;end_month=6&amp;end_day=30&amp;end_year=2019","SOUTH SUDAN")</f>
        <v>SOUTH SUDAN</v>
      </c>
      <c r="I236" s="73" t="str">
        <f>HYPERLINK("http://api.nsgreg.nga.mil/geo-political/GENC/3/3-11/SSD","ge:GENC:3:3-11:SSD")</f>
        <v>ge:GENC:3:3-11:SSD</v>
      </c>
    </row>
    <row r="237" spans="1:9" ht="13.5" customHeight="1" x14ac:dyDescent="0.2">
      <c r="A237" s="65" t="s">
        <v>1412</v>
      </c>
      <c r="B237" s="42" t="s">
        <v>502</v>
      </c>
      <c r="C237" s="43" t="s">
        <v>1413</v>
      </c>
      <c r="D237" s="41" t="s">
        <v>1414</v>
      </c>
      <c r="E237" s="42" t="s">
        <v>1415</v>
      </c>
      <c r="F237" s="42" t="s">
        <v>1416</v>
      </c>
      <c r="G237" s="52" t="str">
        <f>HYPERLINK("[#]Codes_for_AS_Names!A4135:G4135","&lt;link&gt;")</f>
        <v>&lt;link&gt;</v>
      </c>
      <c r="H237" s="74" t="str">
        <f>HYPERLINK("http://nsgreg.nga.mil/genc/view?v=291251&amp;end_month=6&amp;end_day=30&amp;end_year=2019","SPAIN")</f>
        <v>SPAIN</v>
      </c>
      <c r="I237" s="74" t="str">
        <f>HYPERLINK("http://api.nsgreg.nga.mil/geo-political/GENC/3/3-11/ESP","ge:GENC:3:3-11:ESP")</f>
        <v>ge:GENC:3:3-11:ESP</v>
      </c>
    </row>
    <row r="238" spans="1:9" ht="13.5" customHeight="1" x14ac:dyDescent="0.2">
      <c r="A238" s="63" t="s">
        <v>1417</v>
      </c>
      <c r="B238" s="21" t="s">
        <v>1418</v>
      </c>
      <c r="C238" s="45" t="s">
        <v>1419</v>
      </c>
      <c r="D238" s="44" t="s">
        <v>1420</v>
      </c>
      <c r="E238" s="21" t="s">
        <v>1421</v>
      </c>
      <c r="F238" s="21" t="s">
        <v>1421</v>
      </c>
      <c r="G238" s="83"/>
      <c r="H238" s="72" t="str">
        <f>HYPERLINK("http://nsgreg.nga.mil/genc/view?v=291252&amp;end_month=6&amp;end_day=30&amp;end_year=2019","SPRATLY ISLANDS")</f>
        <v>SPRATLY ISLANDS</v>
      </c>
      <c r="I238" s="72" t="str">
        <f>HYPERLINK("http://api.nsgreg.nga.mil/geo-political/GENC/3/3-11/XSP","ge:GENC:3:3-11:XSP")</f>
        <v>ge:GENC:3:3-11:XSP</v>
      </c>
    </row>
    <row r="239" spans="1:9" ht="13.5" customHeight="1" x14ac:dyDescent="0.2">
      <c r="A239" s="63" t="s">
        <v>1422</v>
      </c>
      <c r="B239" s="21" t="s">
        <v>1423</v>
      </c>
      <c r="C239" s="45" t="s">
        <v>1424</v>
      </c>
      <c r="D239" s="44" t="s">
        <v>1425</v>
      </c>
      <c r="E239" s="21" t="s">
        <v>1426</v>
      </c>
      <c r="F239" s="21" t="s">
        <v>1427</v>
      </c>
      <c r="G239" s="53" t="str">
        <f>HYPERLINK("[#]Codes_for_AS_Names!A4204:G4204","&lt;link&gt;")</f>
        <v>&lt;link&gt;</v>
      </c>
      <c r="H239" s="72" t="str">
        <f>HYPERLINK("http://nsgreg.nga.mil/genc/view?v=291253&amp;end_month=6&amp;end_day=30&amp;end_year=2019","SRI LANKA")</f>
        <v>SRI LANKA</v>
      </c>
      <c r="I239" s="72" t="str">
        <f>HYPERLINK("http://api.nsgreg.nga.mil/geo-political/GENC/3/3-11/LKA","ge:GENC:3:3-11:LKA")</f>
        <v>ge:GENC:3:3-11:LKA</v>
      </c>
    </row>
    <row r="240" spans="1:9" ht="13.5" customHeight="1" x14ac:dyDescent="0.2">
      <c r="A240" s="63" t="s">
        <v>1428</v>
      </c>
      <c r="B240" s="21" t="s">
        <v>1429</v>
      </c>
      <c r="C240" s="45" t="s">
        <v>1430</v>
      </c>
      <c r="D240" s="44" t="s">
        <v>1431</v>
      </c>
      <c r="E240" s="21" t="s">
        <v>1432</v>
      </c>
      <c r="F240" s="21" t="s">
        <v>1433</v>
      </c>
      <c r="G240" s="53" t="str">
        <f>HYPERLINK("[#]Codes_for_AS_Names!A4238:G4238","&lt;link&gt;")</f>
        <v>&lt;link&gt;</v>
      </c>
      <c r="H240" s="72" t="str">
        <f>HYPERLINK("http://nsgreg.nga.mil/genc/view?v=291254&amp;end_month=6&amp;end_day=30&amp;end_year=2019","SUDAN")</f>
        <v>SUDAN</v>
      </c>
      <c r="I240" s="72" t="str">
        <f>HYPERLINK("http://api.nsgreg.nga.mil/geo-political/GENC/3/3-11/SDN","ge:GENC:3:3-11:SDN")</f>
        <v>ge:GENC:3:3-11:SDN</v>
      </c>
    </row>
    <row r="241" spans="1:9" ht="13.5" customHeight="1" x14ac:dyDescent="0.2">
      <c r="A241" s="64" t="s">
        <v>1434</v>
      </c>
      <c r="B241" s="47" t="s">
        <v>1435</v>
      </c>
      <c r="C241" s="48" t="s">
        <v>1436</v>
      </c>
      <c r="D241" s="46" t="s">
        <v>1437</v>
      </c>
      <c r="E241" s="47" t="s">
        <v>1438</v>
      </c>
      <c r="F241" s="47" t="s">
        <v>1439</v>
      </c>
      <c r="G241" s="54" t="str">
        <f>HYPERLINK("[#]Codes_for_AS_Names!A4256:G4256","&lt;link&gt;")</f>
        <v>&lt;link&gt;</v>
      </c>
      <c r="H241" s="73" t="str">
        <f>HYPERLINK("http://nsgreg.nga.mil/genc/view?v=291255&amp;end_month=6&amp;end_day=30&amp;end_year=2019","SURINAME")</f>
        <v>SURINAME</v>
      </c>
      <c r="I241" s="73" t="str">
        <f>HYPERLINK("http://api.nsgreg.nga.mil/geo-political/GENC/3/3-11/SUR","ge:GENC:3:3-11:SUR")</f>
        <v>ge:GENC:3:3-11:SUR</v>
      </c>
    </row>
    <row r="242" spans="1:9" ht="13.5" customHeight="1" x14ac:dyDescent="0.2">
      <c r="A242" s="65" t="s">
        <v>1440</v>
      </c>
      <c r="B242" s="42" t="s">
        <v>1441</v>
      </c>
      <c r="C242" s="43" t="s">
        <v>1442</v>
      </c>
      <c r="D242" s="41" t="s">
        <v>1443</v>
      </c>
      <c r="E242" s="42" t="s">
        <v>1444</v>
      </c>
      <c r="F242" s="42" t="s">
        <v>1444</v>
      </c>
      <c r="G242" s="85"/>
      <c r="H242" s="74" t="str">
        <f>HYPERLINK("http://nsgreg.nga.mil/genc/view?v=291256&amp;end_month=6&amp;end_day=30&amp;end_year=2019","SVALBARD")</f>
        <v>SVALBARD</v>
      </c>
      <c r="I242" s="74" t="str">
        <f>HYPERLINK("http://api.nsgreg.nga.mil/geo-political/GENC/3/3-11/XSV","ge:GENC:3:3-11:XSV")</f>
        <v>ge:GENC:3:3-11:XSV</v>
      </c>
    </row>
    <row r="243" spans="1:9" ht="13.5" customHeight="1" x14ac:dyDescent="0.2">
      <c r="A243" s="63" t="s">
        <v>1445</v>
      </c>
      <c r="B243" s="21" t="s">
        <v>1355</v>
      </c>
      <c r="C243" s="45" t="s">
        <v>1446</v>
      </c>
      <c r="D243" s="44" t="s">
        <v>1447</v>
      </c>
      <c r="E243" s="21" t="s">
        <v>1448</v>
      </c>
      <c r="F243" s="21" t="s">
        <v>1449</v>
      </c>
      <c r="G243" s="53" t="str">
        <f>HYPERLINK("[#]Codes_for_AS_Names!A4266:G4266","&lt;link&gt;")</f>
        <v>&lt;link&gt;</v>
      </c>
      <c r="H243" s="72" t="str">
        <f>HYPERLINK("http://nsgreg.nga.mil/genc/view?v=291259&amp;end_month=6&amp;end_day=30&amp;end_year=2019","SWEDEN")</f>
        <v>SWEDEN</v>
      </c>
      <c r="I243" s="72" t="str">
        <f>HYPERLINK("http://api.nsgreg.nga.mil/geo-political/GENC/3/3-11/SWE","ge:GENC:3:3-11:SWE")</f>
        <v>ge:GENC:3:3-11:SWE</v>
      </c>
    </row>
    <row r="244" spans="1:9" ht="13.5" customHeight="1" x14ac:dyDescent="0.2">
      <c r="A244" s="63" t="s">
        <v>1450</v>
      </c>
      <c r="B244" s="21" t="s">
        <v>359</v>
      </c>
      <c r="C244" s="45" t="s">
        <v>1451</v>
      </c>
      <c r="D244" s="44" t="s">
        <v>1452</v>
      </c>
      <c r="E244" s="21" t="s">
        <v>1453</v>
      </c>
      <c r="F244" s="21" t="s">
        <v>1454</v>
      </c>
      <c r="G244" s="53" t="str">
        <f>HYPERLINK("[#]Codes_for_AS_Names!A4287:G4287","&lt;link&gt;")</f>
        <v>&lt;link&gt;</v>
      </c>
      <c r="H244" s="72" t="str">
        <f>HYPERLINK("http://nsgreg.nga.mil/genc/view?v=291260&amp;end_month=6&amp;end_day=30&amp;end_year=2019","SWITZERLAND")</f>
        <v>SWITZERLAND</v>
      </c>
      <c r="I244" s="72" t="str">
        <f>HYPERLINK("http://api.nsgreg.nga.mil/geo-political/GENC/3/3-11/CHE","ge:GENC:3:3-11:CHE")</f>
        <v>ge:GENC:3:3-11:CHE</v>
      </c>
    </row>
    <row r="245" spans="1:9" ht="13.5" customHeight="1" x14ac:dyDescent="0.2">
      <c r="A245" s="63" t="s">
        <v>1455</v>
      </c>
      <c r="B245" s="21" t="s">
        <v>1456</v>
      </c>
      <c r="C245" s="45" t="s">
        <v>1457</v>
      </c>
      <c r="D245" s="44" t="s">
        <v>1458</v>
      </c>
      <c r="E245" s="21" t="s">
        <v>1459</v>
      </c>
      <c r="F245" s="21" t="s">
        <v>1460</v>
      </c>
      <c r="G245" s="53" t="str">
        <f>HYPERLINK("[#]Codes_for_AS_Names!A4313:G4313","&lt;link&gt;")</f>
        <v>&lt;link&gt;</v>
      </c>
      <c r="H245" s="72" t="str">
        <f>HYPERLINK("http://nsgreg.nga.mil/genc/view?v=291261&amp;end_month=6&amp;end_day=30&amp;end_year=2019","SYRIA")</f>
        <v>SYRIA</v>
      </c>
      <c r="I245" s="72" t="str">
        <f>HYPERLINK("http://api.nsgreg.nga.mil/geo-political/GENC/3/3-11/SYR","ge:GENC:3:3-11:SYR")</f>
        <v>ge:GENC:3:3-11:SYR</v>
      </c>
    </row>
    <row r="246" spans="1:9" ht="13.5" customHeight="1" x14ac:dyDescent="0.2">
      <c r="A246" s="64" t="s">
        <v>1461</v>
      </c>
      <c r="B246" s="47" t="s">
        <v>1462</v>
      </c>
      <c r="C246" s="48" t="s">
        <v>1463</v>
      </c>
      <c r="D246" s="46" t="s">
        <v>1464</v>
      </c>
      <c r="E246" s="47" t="s">
        <v>1465</v>
      </c>
      <c r="F246" s="47" t="s">
        <v>1465</v>
      </c>
      <c r="G246" s="54" t="str">
        <f>HYPERLINK("[#]Codes_for_AS_Names!A4327:G4327","&lt;link&gt;")</f>
        <v>&lt;link&gt;</v>
      </c>
      <c r="H246" s="73" t="str">
        <f>HYPERLINK("http://nsgreg.nga.mil/genc/view?v=291262&amp;end_month=6&amp;end_day=30&amp;end_year=2019","TAIWAN")</f>
        <v>TAIWAN</v>
      </c>
      <c r="I246" s="73" t="str">
        <f>HYPERLINK("http://api.nsgreg.nga.mil/geo-political/GENC/3/3-11/TWN","ge:GENC:3:3-11:TWN")</f>
        <v>ge:GENC:3:3-11:TWN</v>
      </c>
    </row>
    <row r="247" spans="1:9" ht="13.5" customHeight="1" x14ac:dyDescent="0.2">
      <c r="A247" s="65" t="s">
        <v>1466</v>
      </c>
      <c r="B247" s="42" t="s">
        <v>1467</v>
      </c>
      <c r="C247" s="43" t="s">
        <v>1468</v>
      </c>
      <c r="D247" s="41" t="s">
        <v>1469</v>
      </c>
      <c r="E247" s="42" t="s">
        <v>1470</v>
      </c>
      <c r="F247" s="42" t="s">
        <v>1471</v>
      </c>
      <c r="G247" s="52" t="str">
        <f>HYPERLINK("[#]Codes_for_AS_Names!A4349:G4349","&lt;link&gt;")</f>
        <v>&lt;link&gt;</v>
      </c>
      <c r="H247" s="74" t="str">
        <f>HYPERLINK("http://nsgreg.nga.mil/genc/view?v=291263&amp;end_month=6&amp;end_day=30&amp;end_year=2019","TAJIKISTAN")</f>
        <v>TAJIKISTAN</v>
      </c>
      <c r="I247" s="74" t="str">
        <f>HYPERLINK("http://api.nsgreg.nga.mil/geo-political/GENC/3/3-11/TJK","ge:GENC:3:3-11:TJK")</f>
        <v>ge:GENC:3:3-11:TJK</v>
      </c>
    </row>
    <row r="248" spans="1:9" ht="13.5" customHeight="1" x14ac:dyDescent="0.2">
      <c r="A248" s="63" t="s">
        <v>1472</v>
      </c>
      <c r="B248" s="21" t="s">
        <v>1473</v>
      </c>
      <c r="C248" s="45" t="s">
        <v>1474</v>
      </c>
      <c r="D248" s="44" t="s">
        <v>1475</v>
      </c>
      <c r="E248" s="21" t="s">
        <v>1476</v>
      </c>
      <c r="F248" s="21" t="s">
        <v>1477</v>
      </c>
      <c r="G248" s="53" t="str">
        <f>HYPERLINK("[#]Codes_for_AS_Names!A4354:G4354","&lt;link&gt;")</f>
        <v>&lt;link&gt;</v>
      </c>
      <c r="H248" s="72" t="str">
        <f>HYPERLINK("http://nsgreg.nga.mil/genc/view?v=291264&amp;end_month=6&amp;end_day=30&amp;end_year=2019","TANZANIA")</f>
        <v>TANZANIA</v>
      </c>
      <c r="I248" s="72" t="str">
        <f>HYPERLINK("http://api.nsgreg.nga.mil/geo-political/GENC/3/3-11/TZA","ge:GENC:3:3-11:TZA")</f>
        <v>ge:GENC:3:3-11:TZA</v>
      </c>
    </row>
    <row r="249" spans="1:9" ht="13.5" customHeight="1" x14ac:dyDescent="0.2">
      <c r="A249" s="63" t="s">
        <v>1478</v>
      </c>
      <c r="B249" s="21" t="s">
        <v>1479</v>
      </c>
      <c r="C249" s="45" t="s">
        <v>1480</v>
      </c>
      <c r="D249" s="44" t="s">
        <v>1481</v>
      </c>
      <c r="E249" s="21" t="s">
        <v>1482</v>
      </c>
      <c r="F249" s="21" t="s">
        <v>1483</v>
      </c>
      <c r="G249" s="53" t="str">
        <f>HYPERLINK("[#]Codes_for_AS_Names!A4385:G4385","&lt;link&gt;")</f>
        <v>&lt;link&gt;</v>
      </c>
      <c r="H249" s="72" t="str">
        <f>HYPERLINK("http://nsgreg.nga.mil/genc/view?v=291265&amp;end_month=6&amp;end_day=30&amp;end_year=2019","THAILAND")</f>
        <v>THAILAND</v>
      </c>
      <c r="I249" s="72" t="str">
        <f>HYPERLINK("http://api.nsgreg.nga.mil/geo-political/GENC/3/3-11/THA","ge:GENC:3:3-11:THA")</f>
        <v>ge:GENC:3:3-11:THA</v>
      </c>
    </row>
    <row r="250" spans="1:9" ht="13.5" customHeight="1" x14ac:dyDescent="0.2">
      <c r="A250" s="63" t="s">
        <v>1484</v>
      </c>
      <c r="B250" s="21" t="s">
        <v>1485</v>
      </c>
      <c r="C250" s="45" t="s">
        <v>1486</v>
      </c>
      <c r="D250" s="44" t="s">
        <v>1487</v>
      </c>
      <c r="E250" s="21" t="s">
        <v>1488</v>
      </c>
      <c r="F250" s="21" t="s">
        <v>1489</v>
      </c>
      <c r="G250" s="53" t="str">
        <f>HYPERLINK("[#]Codes_for_AS_Names!A4462:G4462","&lt;link&gt;")</f>
        <v>&lt;link&gt;</v>
      </c>
      <c r="H250" s="72" t="str">
        <f>HYPERLINK("http://nsgreg.nga.mil/genc/view?v=291266&amp;end_month=6&amp;end_day=30&amp;end_year=2019","TIMOR-LESTE")</f>
        <v>TIMOR-LESTE</v>
      </c>
      <c r="I250" s="72" t="str">
        <f>HYPERLINK("http://api.nsgreg.nga.mil/geo-political/GENC/3/3-11/TLS","ge:GENC:3:3-11:TLS")</f>
        <v>ge:GENC:3:3-11:TLS</v>
      </c>
    </row>
    <row r="251" spans="1:9" ht="13.5" customHeight="1" x14ac:dyDescent="0.2">
      <c r="A251" s="64" t="s">
        <v>1491</v>
      </c>
      <c r="B251" s="47" t="s">
        <v>1492</v>
      </c>
      <c r="C251" s="48" t="s">
        <v>1493</v>
      </c>
      <c r="D251" s="46" t="s">
        <v>1494</v>
      </c>
      <c r="E251" s="47" t="s">
        <v>1495</v>
      </c>
      <c r="F251" s="47" t="s">
        <v>1496</v>
      </c>
      <c r="G251" s="54" t="str">
        <f>HYPERLINK("[#]Codes_for_AS_Names!A4475:G4475","&lt;link&gt;")</f>
        <v>&lt;link&gt;</v>
      </c>
      <c r="H251" s="73" t="str">
        <f>HYPERLINK("http://nsgreg.nga.mil/genc/view?v=291267&amp;end_month=6&amp;end_day=30&amp;end_year=2019","TOGO")</f>
        <v>TOGO</v>
      </c>
      <c r="I251" s="73" t="str">
        <f>HYPERLINK("http://api.nsgreg.nga.mil/geo-political/GENC/3/3-11/TGO","ge:GENC:3:3-11:TGO")</f>
        <v>ge:GENC:3:3-11:TGO</v>
      </c>
    </row>
    <row r="252" spans="1:9" ht="13.5" customHeight="1" x14ac:dyDescent="0.2">
      <c r="A252" s="65" t="s">
        <v>1498</v>
      </c>
      <c r="B252" s="42" t="s">
        <v>1499</v>
      </c>
      <c r="C252" s="43" t="s">
        <v>1500</v>
      </c>
      <c r="D252" s="41" t="s">
        <v>1501</v>
      </c>
      <c r="E252" s="42" t="s">
        <v>1502</v>
      </c>
      <c r="F252" s="42" t="s">
        <v>1502</v>
      </c>
      <c r="G252" s="85"/>
      <c r="H252" s="74" t="str">
        <f>HYPERLINK("http://nsgreg.nga.mil/genc/view?v=291268&amp;end_month=6&amp;end_day=30&amp;end_year=2019","TOKELAU")</f>
        <v>TOKELAU</v>
      </c>
      <c r="I252" s="74" t="str">
        <f>HYPERLINK("http://api.nsgreg.nga.mil/geo-political/GENC/3/3-11/TKL","ge:GENC:3:3-11:TKL")</f>
        <v>ge:GENC:3:3-11:TKL</v>
      </c>
    </row>
    <row r="253" spans="1:9" ht="13.5" customHeight="1" x14ac:dyDescent="0.2">
      <c r="A253" s="63" t="s">
        <v>1503</v>
      </c>
      <c r="B253" s="21" t="s">
        <v>1497</v>
      </c>
      <c r="C253" s="45" t="s">
        <v>1504</v>
      </c>
      <c r="D253" s="44" t="s">
        <v>1505</v>
      </c>
      <c r="E253" s="21" t="s">
        <v>1506</v>
      </c>
      <c r="F253" s="21" t="s">
        <v>1507</v>
      </c>
      <c r="G253" s="53" t="str">
        <f>HYPERLINK("[#]Codes_for_AS_Names!A4480:G4480","&lt;link&gt;")</f>
        <v>&lt;link&gt;</v>
      </c>
      <c r="H253" s="72" t="str">
        <f>HYPERLINK("http://nsgreg.nga.mil/genc/view?v=291269&amp;end_month=6&amp;end_day=30&amp;end_year=2019","TONGA")</f>
        <v>TONGA</v>
      </c>
      <c r="I253" s="72" t="str">
        <f>HYPERLINK("http://api.nsgreg.nga.mil/geo-political/GENC/3/3-11/TON","ge:GENC:3:3-11:TON")</f>
        <v>ge:GENC:3:3-11:TON</v>
      </c>
    </row>
    <row r="254" spans="1:9" ht="13.5" customHeight="1" x14ac:dyDescent="0.2">
      <c r="A254" s="63" t="s">
        <v>1509</v>
      </c>
      <c r="B254" s="21" t="s">
        <v>1490</v>
      </c>
      <c r="C254" s="45" t="s">
        <v>1510</v>
      </c>
      <c r="D254" s="44" t="s">
        <v>1511</v>
      </c>
      <c r="E254" s="21" t="s">
        <v>1512</v>
      </c>
      <c r="F254" s="21" t="s">
        <v>1513</v>
      </c>
      <c r="G254" s="53" t="str">
        <f>HYPERLINK("[#]Codes_for_AS_Names!A4485:G4485","&lt;link&gt;")</f>
        <v>&lt;link&gt;</v>
      </c>
      <c r="H254" s="72" t="str">
        <f>HYPERLINK("http://nsgreg.nga.mil/genc/view?v=291270&amp;end_month=6&amp;end_day=30&amp;end_year=2019","TRINIDAD AND TOBAGO")</f>
        <v>TRINIDAD AND TOBAGO</v>
      </c>
      <c r="I254" s="72" t="str">
        <f>HYPERLINK("http://api.nsgreg.nga.mil/geo-political/GENC/3/3-11/TTO","ge:GENC:3:3-11:TTO")</f>
        <v>ge:GENC:3:3-11:TTO</v>
      </c>
    </row>
    <row r="255" spans="1:9" ht="13.5" customHeight="1" x14ac:dyDescent="0.2">
      <c r="A255" s="63" t="s">
        <v>1514</v>
      </c>
      <c r="B255" s="21" t="s">
        <v>1515</v>
      </c>
      <c r="C255" s="45" t="s">
        <v>1516</v>
      </c>
      <c r="D255" s="44" t="s">
        <v>1517</v>
      </c>
      <c r="E255" s="21" t="s">
        <v>1518</v>
      </c>
      <c r="F255" s="21" t="s">
        <v>1518</v>
      </c>
      <c r="G255" s="83"/>
      <c r="H255" s="72" t="str">
        <f>HYPERLINK("http://nsgreg.nga.mil/genc/view?v=291271&amp;end_month=6&amp;end_day=30&amp;end_year=2019","TROMELIN ISLAND")</f>
        <v>TROMELIN ISLAND</v>
      </c>
      <c r="I255" s="72" t="str">
        <f>HYPERLINK("http://api.nsgreg.nga.mil/geo-political/GENC/3/3-11/XTR","ge:GENC:3:3-11:XTR")</f>
        <v>ge:GENC:3:3-11:XTR</v>
      </c>
    </row>
    <row r="256" spans="1:9" ht="13.5" customHeight="1" x14ac:dyDescent="0.2">
      <c r="A256" s="64" t="s">
        <v>1519</v>
      </c>
      <c r="B256" s="47" t="s">
        <v>1508</v>
      </c>
      <c r="C256" s="48" t="s">
        <v>1520</v>
      </c>
      <c r="D256" s="46" t="s">
        <v>1521</v>
      </c>
      <c r="E256" s="47" t="s">
        <v>1522</v>
      </c>
      <c r="F256" s="47" t="s">
        <v>1523</v>
      </c>
      <c r="G256" s="54" t="str">
        <f>HYPERLINK("[#]Codes_for_AS_Names!A4500:G4500","&lt;link&gt;")</f>
        <v>&lt;link&gt;</v>
      </c>
      <c r="H256" s="73" t="str">
        <f>HYPERLINK("http://nsgreg.nga.mil/genc/view?v=291272&amp;end_month=6&amp;end_day=30&amp;end_year=2019","TUNISIA")</f>
        <v>TUNISIA</v>
      </c>
      <c r="I256" s="73" t="str">
        <f>HYPERLINK("http://api.nsgreg.nga.mil/geo-political/GENC/3/3-11/TUN","ge:GENC:3:3-11:TUN")</f>
        <v>ge:GENC:3:3-11:TUN</v>
      </c>
    </row>
    <row r="257" spans="1:9" ht="13.5" customHeight="1" x14ac:dyDescent="0.2">
      <c r="A257" s="65" t="s">
        <v>1524</v>
      </c>
      <c r="B257" s="42" t="s">
        <v>1525</v>
      </c>
      <c r="C257" s="43" t="s">
        <v>1526</v>
      </c>
      <c r="D257" s="41" t="s">
        <v>1527</v>
      </c>
      <c r="E257" s="42" t="s">
        <v>1528</v>
      </c>
      <c r="F257" s="42" t="s">
        <v>1529</v>
      </c>
      <c r="G257" s="52" t="str">
        <f>HYPERLINK("[#]Codes_for_AS_Names!A4524:G4524","&lt;link&gt;")</f>
        <v>&lt;link&gt;</v>
      </c>
      <c r="H257" s="74" t="str">
        <f>HYPERLINK("http://nsgreg.nga.mil/genc/view?v=291273&amp;end_month=6&amp;end_day=30&amp;end_year=2019","TURKEY")</f>
        <v>TURKEY</v>
      </c>
      <c r="I257" s="74" t="str">
        <f>HYPERLINK("http://api.nsgreg.nga.mil/geo-political/GENC/3/3-11/TUR","ge:GENC:3:3-11:TUR")</f>
        <v>ge:GENC:3:3-11:TUR</v>
      </c>
    </row>
    <row r="258" spans="1:9" ht="13.5" customHeight="1" x14ac:dyDescent="0.2">
      <c r="A258" s="63" t="s">
        <v>1530</v>
      </c>
      <c r="B258" s="21" t="s">
        <v>1531</v>
      </c>
      <c r="C258" s="45" t="s">
        <v>1532</v>
      </c>
      <c r="D258" s="44" t="s">
        <v>1533</v>
      </c>
      <c r="E258" s="21" t="s">
        <v>1534</v>
      </c>
      <c r="F258" s="21" t="s">
        <v>1534</v>
      </c>
      <c r="G258" s="53" t="str">
        <f>HYPERLINK("[#]Codes_for_AS_Names!A4605:G4605","&lt;link&gt;")</f>
        <v>&lt;link&gt;</v>
      </c>
      <c r="H258" s="72" t="str">
        <f>HYPERLINK("http://nsgreg.nga.mil/genc/view?v=291274&amp;end_month=6&amp;end_day=30&amp;end_year=2019","TURKMENISTAN")</f>
        <v>TURKMENISTAN</v>
      </c>
      <c r="I258" s="72" t="str">
        <f>HYPERLINK("http://api.nsgreg.nga.mil/geo-political/GENC/3/3-11/TKM","ge:GENC:3:3-11:TKM")</f>
        <v>ge:GENC:3:3-11:TKM</v>
      </c>
    </row>
    <row r="259" spans="1:9" ht="13.5" customHeight="1" x14ac:dyDescent="0.2">
      <c r="A259" s="63" t="s">
        <v>1535</v>
      </c>
      <c r="B259" s="21" t="s">
        <v>1536</v>
      </c>
      <c r="C259" s="45" t="s">
        <v>1537</v>
      </c>
      <c r="D259" s="44" t="s">
        <v>1538</v>
      </c>
      <c r="E259" s="21" t="s">
        <v>1539</v>
      </c>
      <c r="F259" s="21" t="s">
        <v>1539</v>
      </c>
      <c r="G259" s="83"/>
      <c r="H259" s="72" t="str">
        <f>HYPERLINK("http://nsgreg.nga.mil/genc/view?v=291275&amp;end_month=6&amp;end_day=30&amp;end_year=2019","TURKS AND CAICOS ISLANDS")</f>
        <v>TURKS AND CAICOS ISLANDS</v>
      </c>
      <c r="I259" s="72" t="str">
        <f>HYPERLINK("http://api.nsgreg.nga.mil/geo-political/GENC/3/3-11/TCA","ge:GENC:3:3-11:TCA")</f>
        <v>ge:GENC:3:3-11:TCA</v>
      </c>
    </row>
    <row r="260" spans="1:9" ht="13.5" customHeight="1" x14ac:dyDescent="0.2">
      <c r="A260" s="63" t="s">
        <v>1540</v>
      </c>
      <c r="B260" s="21" t="s">
        <v>1541</v>
      </c>
      <c r="C260" s="45" t="s">
        <v>1542</v>
      </c>
      <c r="D260" s="44" t="s">
        <v>1543</v>
      </c>
      <c r="E260" s="21" t="s">
        <v>1544</v>
      </c>
      <c r="F260" s="21" t="s">
        <v>1544</v>
      </c>
      <c r="G260" s="53" t="str">
        <f>HYPERLINK("[#]Codes_for_AS_Names!A4611:G4611","&lt;link&gt;")</f>
        <v>&lt;link&gt;</v>
      </c>
      <c r="H260" s="72" t="str">
        <f>HYPERLINK("http://nsgreg.nga.mil/genc/view?v=291276&amp;end_month=6&amp;end_day=30&amp;end_year=2019","TUVALU")</f>
        <v>TUVALU</v>
      </c>
      <c r="I260" s="72" t="str">
        <f>HYPERLINK("http://api.nsgreg.nga.mil/geo-political/GENC/3/3-11/TUV","ge:GENC:3:3-11:TUV")</f>
        <v>ge:GENC:3:3-11:TUV</v>
      </c>
    </row>
    <row r="261" spans="1:9" ht="13.5" customHeight="1" x14ac:dyDescent="0.2">
      <c r="A261" s="64" t="s">
        <v>1545</v>
      </c>
      <c r="B261" s="47" t="s">
        <v>1546</v>
      </c>
      <c r="C261" s="48" t="s">
        <v>1547</v>
      </c>
      <c r="D261" s="46" t="s">
        <v>1548</v>
      </c>
      <c r="E261" s="47" t="s">
        <v>1549</v>
      </c>
      <c r="F261" s="47" t="s">
        <v>1550</v>
      </c>
      <c r="G261" s="54" t="str">
        <f>HYPERLINK("[#]Codes_for_AS_Names!A4619:G4619","&lt;link&gt;")</f>
        <v>&lt;link&gt;</v>
      </c>
      <c r="H261" s="73" t="str">
        <f>HYPERLINK("http://nsgreg.nga.mil/genc/view?v=291277&amp;end_month=6&amp;end_day=30&amp;end_year=2019","UGANDA")</f>
        <v>UGANDA</v>
      </c>
      <c r="I261" s="73" t="str">
        <f>HYPERLINK("http://api.nsgreg.nga.mil/geo-political/GENC/3/3-11/UGA","ge:GENC:3:3-11:UGA")</f>
        <v>ge:GENC:3:3-11:UGA</v>
      </c>
    </row>
    <row r="262" spans="1:9" ht="13.5" customHeight="1" x14ac:dyDescent="0.2">
      <c r="A262" s="65" t="s">
        <v>1551</v>
      </c>
      <c r="B262" s="42" t="s">
        <v>1552</v>
      </c>
      <c r="C262" s="43" t="s">
        <v>1553</v>
      </c>
      <c r="D262" s="41" t="s">
        <v>1554</v>
      </c>
      <c r="E262" s="42" t="s">
        <v>1555</v>
      </c>
      <c r="F262" s="42" t="s">
        <v>1555</v>
      </c>
      <c r="G262" s="52" t="str">
        <f>HYPERLINK("[#]Codes_for_AS_Names!A4745:G4745","&lt;link&gt;")</f>
        <v>&lt;link&gt;</v>
      </c>
      <c r="H262" s="74" t="str">
        <f>HYPERLINK("http://nsgreg.nga.mil/genc/view?v=291278&amp;end_month=6&amp;end_day=30&amp;end_year=2019","UKRAINE")</f>
        <v>UKRAINE</v>
      </c>
      <c r="I262" s="74" t="str">
        <f>HYPERLINK("http://api.nsgreg.nga.mil/geo-political/GENC/3/3-11/UKR","ge:GENC:3:3-11:UKR")</f>
        <v>ge:GENC:3:3-11:UKR</v>
      </c>
    </row>
    <row r="263" spans="1:9" ht="13.5" customHeight="1" x14ac:dyDescent="0.2">
      <c r="A263" s="63" t="s">
        <v>1556</v>
      </c>
      <c r="B263" s="21" t="s">
        <v>1557</v>
      </c>
      <c r="C263" s="45" t="s">
        <v>1558</v>
      </c>
      <c r="D263" s="44" t="s">
        <v>1559</v>
      </c>
      <c r="E263" s="21" t="s">
        <v>1560</v>
      </c>
      <c r="F263" s="21" t="s">
        <v>1560</v>
      </c>
      <c r="G263" s="53" t="str">
        <f>HYPERLINK("[#]Codes_for_AS_Names!A4772:G4772","&lt;link&gt;")</f>
        <v>&lt;link&gt;</v>
      </c>
      <c r="H263" s="72" t="str">
        <f>HYPERLINK("http://nsgreg.nga.mil/genc/view?v=291279&amp;end_month=6&amp;end_day=30&amp;end_year=2019","UNITED ARAB EMIRATES")</f>
        <v>UNITED ARAB EMIRATES</v>
      </c>
      <c r="I263" s="72" t="str">
        <f>HYPERLINK("http://api.nsgreg.nga.mil/geo-political/GENC/3/3-11/ARE","ge:GENC:3:3-11:ARE")</f>
        <v>ge:GENC:3:3-11:ARE</v>
      </c>
    </row>
    <row r="264" spans="1:9" ht="13.5" customHeight="1" x14ac:dyDescent="0.2">
      <c r="A264" s="63" t="s">
        <v>1561</v>
      </c>
      <c r="B264" s="21" t="s">
        <v>614</v>
      </c>
      <c r="C264" s="45" t="s">
        <v>1562</v>
      </c>
      <c r="D264" s="44" t="s">
        <v>1563</v>
      </c>
      <c r="E264" s="21" t="s">
        <v>1564</v>
      </c>
      <c r="F264" s="21" t="s">
        <v>1565</v>
      </c>
      <c r="G264" s="53" t="str">
        <f>HYPERLINK("[#]Codes_for_AS_Names!A4779:G4779","&lt;link&gt;")</f>
        <v>&lt;link&gt;</v>
      </c>
      <c r="H264" s="72" t="str">
        <f>HYPERLINK("http://nsgreg.nga.mil/genc/view?v=291280&amp;end_month=6&amp;end_day=30&amp;end_year=2019","UNITED KINGDOM")</f>
        <v>UNITED KINGDOM</v>
      </c>
      <c r="I264" s="72" t="str">
        <f>HYPERLINK("http://api.nsgreg.nga.mil/geo-political/GENC/3/3-11/GBR","ge:GENC:3:3-11:GBR")</f>
        <v>ge:GENC:3:3-11:GBR</v>
      </c>
    </row>
    <row r="265" spans="1:9" ht="13.5" customHeight="1" x14ac:dyDescent="0.2">
      <c r="A265" s="63" t="s">
        <v>1566</v>
      </c>
      <c r="B265" s="21" t="s">
        <v>1567</v>
      </c>
      <c r="C265" s="45" t="s">
        <v>1568</v>
      </c>
      <c r="D265" s="44" t="s">
        <v>1569</v>
      </c>
      <c r="E265" s="21" t="s">
        <v>1570</v>
      </c>
      <c r="F265" s="21" t="s">
        <v>1571</v>
      </c>
      <c r="G265" s="53" t="str">
        <f>HYPERLINK("[#]Codes_for_AS_Names!A5000:G5000","&lt;link&gt;")</f>
        <v>&lt;link&gt;</v>
      </c>
      <c r="H265" s="72" t="str">
        <f>HYPERLINK("http://nsgreg.nga.mil/genc/view?v=291281&amp;end_month=6&amp;end_day=30&amp;end_year=2019","UNITED STATES")</f>
        <v>UNITED STATES</v>
      </c>
      <c r="I265" s="72" t="str">
        <f>HYPERLINK("http://api.nsgreg.nga.mil/geo-political/GENC/3/3-11/USA","ge:GENC:3:3-11:USA")</f>
        <v>ge:GENC:3:3-11:USA</v>
      </c>
    </row>
    <row r="266" spans="1:9" ht="13.5" customHeight="1" x14ac:dyDescent="0.2">
      <c r="A266" s="64" t="s">
        <v>1572</v>
      </c>
      <c r="B266" s="47" t="s">
        <v>1573</v>
      </c>
      <c r="C266" s="48" t="s">
        <v>1574</v>
      </c>
      <c r="D266" s="46" t="s">
        <v>1575</v>
      </c>
      <c r="E266" s="47" t="s">
        <v>1576</v>
      </c>
      <c r="F266" s="47" t="s">
        <v>1576</v>
      </c>
      <c r="G266" s="84"/>
      <c r="H266" s="73" t="str">
        <f>HYPERLINK("http://nsgreg.nga.mil/genc/view?v=291283&amp;end_month=6&amp;end_day=30&amp;end_year=2019","UNKNOWN")</f>
        <v>UNKNOWN</v>
      </c>
      <c r="I266" s="73" t="str">
        <f>HYPERLINK("http://api.nsgreg.nga.mil/geo-political/GENC/3/3-11/AX1","ge:GENC:3:3-11:AX1")</f>
        <v>ge:GENC:3:3-11:AX1</v>
      </c>
    </row>
    <row r="267" spans="1:9" ht="13.5" customHeight="1" x14ac:dyDescent="0.2">
      <c r="A267" s="65" t="s">
        <v>1577</v>
      </c>
      <c r="B267" s="42" t="s">
        <v>1578</v>
      </c>
      <c r="C267" s="43" t="s">
        <v>1579</v>
      </c>
      <c r="D267" s="41" t="s">
        <v>1580</v>
      </c>
      <c r="E267" s="42" t="s">
        <v>1581</v>
      </c>
      <c r="F267" s="42" t="s">
        <v>1582</v>
      </c>
      <c r="G267" s="52" t="str">
        <f>HYPERLINK("[#]Codes_for_AS_Names!A5051:G5051","&lt;link&gt;")</f>
        <v>&lt;link&gt;</v>
      </c>
      <c r="H267" s="74" t="str">
        <f>HYPERLINK("http://nsgreg.nga.mil/genc/view?v=291284&amp;end_month=6&amp;end_day=30&amp;end_year=2019","URUGUAY")</f>
        <v>URUGUAY</v>
      </c>
      <c r="I267" s="74" t="str">
        <f>HYPERLINK("http://api.nsgreg.nga.mil/geo-political/GENC/3/3-11/URY","ge:GENC:3:3-11:URY")</f>
        <v>ge:GENC:3:3-11:URY</v>
      </c>
    </row>
    <row r="268" spans="1:9" ht="13.5" customHeight="1" x14ac:dyDescent="0.2">
      <c r="A268" s="63" t="s">
        <v>1583</v>
      </c>
      <c r="B268" s="21" t="s">
        <v>1584</v>
      </c>
      <c r="C268" s="45" t="s">
        <v>1585</v>
      </c>
      <c r="D268" s="44" t="s">
        <v>1586</v>
      </c>
      <c r="E268" s="21" t="s">
        <v>1587</v>
      </c>
      <c r="F268" s="21" t="s">
        <v>1588</v>
      </c>
      <c r="G268" s="53" t="str">
        <f>HYPERLINK("[#]Codes_for_AS_Names!A5070:G5070","&lt;link&gt;")</f>
        <v>&lt;link&gt;</v>
      </c>
      <c r="H268" s="72" t="str">
        <f>HYPERLINK("http://nsgreg.nga.mil/genc/view?v=291285&amp;end_month=6&amp;end_day=30&amp;end_year=2019","UZBEKISTAN")</f>
        <v>UZBEKISTAN</v>
      </c>
      <c r="I268" s="72" t="str">
        <f>HYPERLINK("http://api.nsgreg.nga.mil/geo-political/GENC/3/3-11/UZB","ge:GENC:3:3-11:UZB")</f>
        <v>ge:GENC:3:3-11:UZB</v>
      </c>
    </row>
    <row r="269" spans="1:9" ht="13.5" customHeight="1" x14ac:dyDescent="0.2">
      <c r="A269" s="63" t="s">
        <v>1589</v>
      </c>
      <c r="B269" s="21" t="s">
        <v>1590</v>
      </c>
      <c r="C269" s="45" t="s">
        <v>1591</v>
      </c>
      <c r="D269" s="44" t="s">
        <v>1592</v>
      </c>
      <c r="E269" s="21" t="s">
        <v>1593</v>
      </c>
      <c r="F269" s="21" t="s">
        <v>1594</v>
      </c>
      <c r="G269" s="53" t="str">
        <f>HYPERLINK("[#]Codes_for_AS_Names!A5084:G5084","&lt;link&gt;")</f>
        <v>&lt;link&gt;</v>
      </c>
      <c r="H269" s="72" t="str">
        <f>HYPERLINK("http://nsgreg.nga.mil/genc/view?v=291286&amp;end_month=6&amp;end_day=30&amp;end_year=2019","VANUATU")</f>
        <v>VANUATU</v>
      </c>
      <c r="I269" s="72" t="str">
        <f>HYPERLINK("http://api.nsgreg.nga.mil/geo-political/GENC/3/3-11/VUT","ge:GENC:3:3-11:VUT")</f>
        <v>ge:GENC:3:3-11:VUT</v>
      </c>
    </row>
    <row r="270" spans="1:9" ht="13.5" customHeight="1" x14ac:dyDescent="0.2">
      <c r="A270" s="63" t="s">
        <v>1595</v>
      </c>
      <c r="B270" s="21" t="s">
        <v>1596</v>
      </c>
      <c r="C270" s="45" t="s">
        <v>1597</v>
      </c>
      <c r="D270" s="44" t="s">
        <v>1598</v>
      </c>
      <c r="E270" s="21" t="s">
        <v>1599</v>
      </c>
      <c r="F270" s="21" t="s">
        <v>1600</v>
      </c>
      <c r="G270" s="83"/>
      <c r="H270" s="72" t="str">
        <f>HYPERLINK("http://nsgreg.nga.mil/genc/view?v=291287&amp;end_month=6&amp;end_day=30&amp;end_year=2019","VATICAN CITY")</f>
        <v>VATICAN CITY</v>
      </c>
      <c r="I270" s="72" t="str">
        <f>HYPERLINK("http://api.nsgreg.nga.mil/geo-political/GENC/3/3-11/VAT","ge:GENC:3:3-11:VAT")</f>
        <v>ge:GENC:3:3-11:VAT</v>
      </c>
    </row>
    <row r="271" spans="1:9" ht="13.5" customHeight="1" x14ac:dyDescent="0.2">
      <c r="A271" s="64" t="s">
        <v>1601</v>
      </c>
      <c r="B271" s="47" t="s">
        <v>1602</v>
      </c>
      <c r="C271" s="48" t="s">
        <v>1603</v>
      </c>
      <c r="D271" s="46" t="s">
        <v>1604</v>
      </c>
      <c r="E271" s="47" t="s">
        <v>1605</v>
      </c>
      <c r="F271" s="47" t="s">
        <v>1606</v>
      </c>
      <c r="G271" s="54" t="str">
        <f>HYPERLINK("[#]Codes_for_AS_Names!A5090:G5090","&lt;link&gt;")</f>
        <v>&lt;link&gt;</v>
      </c>
      <c r="H271" s="73" t="str">
        <f>HYPERLINK("http://nsgreg.nga.mil/genc/view?v=291288&amp;end_month=6&amp;end_day=30&amp;end_year=2019","VENEZUELA")</f>
        <v>VENEZUELA</v>
      </c>
      <c r="I271" s="73" t="str">
        <f>HYPERLINK("http://api.nsgreg.nga.mil/geo-political/GENC/3/3-11/VEN","ge:GENC:3:3-11:VEN")</f>
        <v>ge:GENC:3:3-11:VEN</v>
      </c>
    </row>
    <row r="272" spans="1:9" ht="13.5" customHeight="1" x14ac:dyDescent="0.2">
      <c r="A272" s="65" t="s">
        <v>1607</v>
      </c>
      <c r="B272" s="42" t="s">
        <v>1608</v>
      </c>
      <c r="C272" s="43" t="s">
        <v>1609</v>
      </c>
      <c r="D272" s="41" t="s">
        <v>1610</v>
      </c>
      <c r="E272" s="42" t="s">
        <v>1611</v>
      </c>
      <c r="F272" s="42" t="s">
        <v>1612</v>
      </c>
      <c r="G272" s="52" t="str">
        <f>HYPERLINK("[#]Codes_for_AS_Names!A5115:G5115","&lt;link&gt;")</f>
        <v>&lt;link&gt;</v>
      </c>
      <c r="H272" s="74" t="str">
        <f>HYPERLINK("http://nsgreg.nga.mil/genc/view?v=291289&amp;end_month=6&amp;end_day=30&amp;end_year=2019","VIETNAM")</f>
        <v>VIETNAM</v>
      </c>
      <c r="I272" s="74" t="str">
        <f>HYPERLINK("http://api.nsgreg.nga.mil/geo-political/GENC/3/3-11/VNM","ge:GENC:3:3-11:VNM")</f>
        <v>ge:GENC:3:3-11:VNM</v>
      </c>
    </row>
    <row r="273" spans="1:9" ht="13.5" customHeight="1" x14ac:dyDescent="0.2">
      <c r="A273" s="63" t="s">
        <v>1613</v>
      </c>
      <c r="B273" s="21" t="s">
        <v>1614</v>
      </c>
      <c r="C273" s="45" t="s">
        <v>1615</v>
      </c>
      <c r="D273" s="44" t="s">
        <v>1616</v>
      </c>
      <c r="E273" s="21" t="s">
        <v>1617</v>
      </c>
      <c r="F273" s="21" t="s">
        <v>1618</v>
      </c>
      <c r="G273" s="83"/>
      <c r="H273" s="72" t="str">
        <f>HYPERLINK("http://nsgreg.nga.mil/genc/view?v=291290&amp;end_month=6&amp;end_day=30&amp;end_year=2019","VIRGIN ISLANDS, BRITISH")</f>
        <v>VIRGIN ISLANDS, BRITISH</v>
      </c>
      <c r="I273" s="72" t="str">
        <f>HYPERLINK("http://api.nsgreg.nga.mil/geo-political/GENC/3/3-11/VGB","ge:GENC:3:3-11:VGB")</f>
        <v>ge:GENC:3:3-11:VGB</v>
      </c>
    </row>
    <row r="274" spans="1:9" ht="13.5" customHeight="1" x14ac:dyDescent="0.2">
      <c r="A274" s="63" t="s">
        <v>1620</v>
      </c>
      <c r="B274" s="21" t="s">
        <v>1619</v>
      </c>
      <c r="C274" s="45" t="s">
        <v>1621</v>
      </c>
      <c r="D274" s="44" t="s">
        <v>1622</v>
      </c>
      <c r="E274" s="21" t="s">
        <v>1623</v>
      </c>
      <c r="F274" s="21" t="s">
        <v>1624</v>
      </c>
      <c r="G274" s="83"/>
      <c r="H274" s="72" t="str">
        <f>HYPERLINK("http://nsgreg.nga.mil/genc/view?v=291291&amp;end_month=6&amp;end_day=30&amp;end_year=2019","VIRGIN ISLANDS, U.S.")</f>
        <v>VIRGIN ISLANDS, U.S.</v>
      </c>
      <c r="I274" s="72" t="str">
        <f>HYPERLINK("http://api.nsgreg.nga.mil/geo-political/GENC/3/3-11/VIR","ge:GENC:3:3-11:VIR")</f>
        <v>ge:GENC:3:3-11:VIR</v>
      </c>
    </row>
    <row r="275" spans="1:9" ht="13.5" customHeight="1" x14ac:dyDescent="0.2">
      <c r="A275" s="63" t="s">
        <v>1625</v>
      </c>
      <c r="B275" s="21" t="s">
        <v>1626</v>
      </c>
      <c r="C275" s="45" t="s">
        <v>1627</v>
      </c>
      <c r="D275" s="44" t="s">
        <v>1628</v>
      </c>
      <c r="E275" s="21" t="s">
        <v>1629</v>
      </c>
      <c r="F275" s="21" t="s">
        <v>1629</v>
      </c>
      <c r="G275" s="83"/>
      <c r="H275" s="72" t="str">
        <f>HYPERLINK("http://nsgreg.nga.mil/genc/view?v=291292&amp;end_month=6&amp;end_day=30&amp;end_year=2019","WAKE ISLAND")</f>
        <v>WAKE ISLAND</v>
      </c>
      <c r="I275" s="72" t="str">
        <f>HYPERLINK("http://api.nsgreg.nga.mil/geo-political/GENC/3/3-11/XWK","ge:GENC:3:3-11:XWK")</f>
        <v>ge:GENC:3:3-11:XWK</v>
      </c>
    </row>
    <row r="276" spans="1:9" ht="13.5" customHeight="1" x14ac:dyDescent="0.2">
      <c r="A276" s="64" t="s">
        <v>1630</v>
      </c>
      <c r="B276" s="47" t="s">
        <v>1631</v>
      </c>
      <c r="C276" s="48" t="s">
        <v>1632</v>
      </c>
      <c r="D276" s="46" t="s">
        <v>1633</v>
      </c>
      <c r="E276" s="47" t="s">
        <v>1634</v>
      </c>
      <c r="F276" s="47" t="s">
        <v>1634</v>
      </c>
      <c r="G276" s="54" t="str">
        <f>HYPERLINK("[#]Codes_for_AS_Names!A5178:G5178","&lt;link&gt;")</f>
        <v>&lt;link&gt;</v>
      </c>
      <c r="H276" s="73" t="str">
        <f>HYPERLINK("http://nsgreg.nga.mil/genc/view?v=291293&amp;end_month=6&amp;end_day=30&amp;end_year=2019","WALLIS AND FUTUNA")</f>
        <v>WALLIS AND FUTUNA</v>
      </c>
      <c r="I276" s="73" t="str">
        <f>HYPERLINK("http://api.nsgreg.nga.mil/geo-political/GENC/3/3-11/WLF","ge:GENC:3:3-11:WLF")</f>
        <v>ge:GENC:3:3-11:WLF</v>
      </c>
    </row>
    <row r="277" spans="1:9" ht="13.5" customHeight="1" x14ac:dyDescent="0.2">
      <c r="A277" s="65" t="s">
        <v>1635</v>
      </c>
      <c r="B277" s="42" t="s">
        <v>1636</v>
      </c>
      <c r="C277" s="43" t="s">
        <v>1637</v>
      </c>
      <c r="D277" s="41" t="s">
        <v>1638</v>
      </c>
      <c r="E277" s="42" t="s">
        <v>1639</v>
      </c>
      <c r="F277" s="42" t="s">
        <v>1639</v>
      </c>
      <c r="G277" s="85"/>
      <c r="H277" s="74" t="str">
        <f>HYPERLINK("http://nsgreg.nga.mil/genc/view?v=291294&amp;end_month=6&amp;end_day=30&amp;end_year=2019","WEST BANK")</f>
        <v>WEST BANK</v>
      </c>
      <c r="I277" s="74" t="str">
        <f>HYPERLINK("http://api.nsgreg.nga.mil/geo-political/GENC/3/3-11/XWB","ge:GENC:3:3-11:XWB")</f>
        <v>ge:GENC:3:3-11:XWB</v>
      </c>
    </row>
    <row r="278" spans="1:9" ht="13.5" customHeight="1" x14ac:dyDescent="0.2">
      <c r="A278" s="63" t="s">
        <v>1640</v>
      </c>
      <c r="B278" s="21" t="s">
        <v>1641</v>
      </c>
      <c r="C278" s="45" t="s">
        <v>1642</v>
      </c>
      <c r="D278" s="44" t="s">
        <v>1643</v>
      </c>
      <c r="E278" s="21" t="s">
        <v>1644</v>
      </c>
      <c r="F278" s="21" t="s">
        <v>1644</v>
      </c>
      <c r="G278" s="83"/>
      <c r="H278" s="72" t="str">
        <f>HYPERLINK("http://nsgreg.nga.mil/genc/view?v=291295&amp;end_month=6&amp;end_day=30&amp;end_year=2019","WESTERN SAHARA")</f>
        <v>WESTERN SAHARA</v>
      </c>
      <c r="I278" s="72" t="str">
        <f>HYPERLINK("http://api.nsgreg.nga.mil/geo-political/GENC/3/3-11/ESH","ge:GENC:3:3-11:ESH")</f>
        <v>ge:GENC:3:3-11:ESH</v>
      </c>
    </row>
    <row r="279" spans="1:9" ht="13.5" customHeight="1" x14ac:dyDescent="0.2">
      <c r="A279" s="63" t="s">
        <v>1645</v>
      </c>
      <c r="B279" s="21" t="s">
        <v>1646</v>
      </c>
      <c r="C279" s="45" t="s">
        <v>1647</v>
      </c>
      <c r="D279" s="44" t="s">
        <v>1648</v>
      </c>
      <c r="E279" s="21" t="s">
        <v>1649</v>
      </c>
      <c r="F279" s="21" t="s">
        <v>1650</v>
      </c>
      <c r="G279" s="53" t="str">
        <f>HYPERLINK("[#]Codes_for_AS_Names!A5181:G5181","&lt;link&gt;")</f>
        <v>&lt;link&gt;</v>
      </c>
      <c r="H279" s="72" t="str">
        <f>HYPERLINK("http://nsgreg.nga.mil/genc/view?v=291296&amp;end_month=6&amp;end_day=30&amp;end_year=2019","YEMEN")</f>
        <v>YEMEN</v>
      </c>
      <c r="I279" s="72" t="str">
        <f>HYPERLINK("http://api.nsgreg.nga.mil/geo-political/GENC/3/3-11/YEM","ge:GENC:3:3-11:YEM")</f>
        <v>ge:GENC:3:3-11:YEM</v>
      </c>
    </row>
    <row r="280" spans="1:9" ht="13.5" customHeight="1" x14ac:dyDescent="0.2">
      <c r="A280" s="63" t="s">
        <v>1651</v>
      </c>
      <c r="B280" s="21" t="s">
        <v>1652</v>
      </c>
      <c r="C280" s="45" t="s">
        <v>1653</v>
      </c>
      <c r="D280" s="44" t="s">
        <v>1654</v>
      </c>
      <c r="E280" s="21" t="s">
        <v>1655</v>
      </c>
      <c r="F280" s="21" t="s">
        <v>1656</v>
      </c>
      <c r="G280" s="53" t="str">
        <f>HYPERLINK("[#]Codes_for_AS_Names!A5203:G5203","&lt;link&gt;")</f>
        <v>&lt;link&gt;</v>
      </c>
      <c r="H280" s="72" t="str">
        <f>HYPERLINK("http://nsgreg.nga.mil/genc/view?v=291297&amp;end_month=6&amp;end_day=30&amp;end_year=2019","ZAMBIA")</f>
        <v>ZAMBIA</v>
      </c>
      <c r="I280" s="72" t="str">
        <f>HYPERLINK("http://api.nsgreg.nga.mil/geo-political/GENC/3/3-11/ZMB","ge:GENC:3:3-11:ZMB")</f>
        <v>ge:GENC:3:3-11:ZMB</v>
      </c>
    </row>
    <row r="281" spans="1:9" ht="13.5" customHeight="1" thickBot="1" x14ac:dyDescent="0.25">
      <c r="A281" s="66" t="s">
        <v>1657</v>
      </c>
      <c r="B281" s="67" t="s">
        <v>1658</v>
      </c>
      <c r="C281" s="68" t="s">
        <v>1659</v>
      </c>
      <c r="D281" s="69" t="s">
        <v>1660</v>
      </c>
      <c r="E281" s="67" t="s">
        <v>1661</v>
      </c>
      <c r="F281" s="67" t="s">
        <v>1662</v>
      </c>
      <c r="G281" s="86" t="str">
        <f>HYPERLINK("[#]Codes_for_AS_Names!A5213:G5213","&lt;link&gt;")</f>
        <v>&lt;link&gt;</v>
      </c>
      <c r="H281" s="75" t="str">
        <f>HYPERLINK("http://nsgreg.nga.mil/genc/view?v=291298&amp;end_month=6&amp;end_day=30&amp;end_year=2019","ZIMBABWE")</f>
        <v>ZIMBABWE</v>
      </c>
      <c r="I281" s="75" t="str">
        <f>HYPERLINK("http://api.nsgreg.nga.mil/geo-political/GENC/3/3-11/ZWE","ge:GENC:3:3-11:ZWE")</f>
        <v>ge:GENC:3:3-11:ZWE</v>
      </c>
    </row>
  </sheetData>
  <autoFilter ref="A1:F1" xr:uid="{00000000-0009-0000-0000-000001000000}"/>
  <printOptions horizontalCentered="1"/>
  <pageMargins left="0.7" right="0.7" top="0.36" bottom="0.43" header="0.24" footer="0.24"/>
  <pageSetup scale="50" fitToHeight="0" orientation="landscape"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222"/>
  <sheetViews>
    <sheetView zoomScale="85" zoomScaleNormal="85" workbookViewId="0">
      <pane ySplit="3" topLeftCell="A4" activePane="bottomLeft" state="frozen"/>
      <selection pane="bottomLeft" sqref="A1:E2"/>
    </sheetView>
  </sheetViews>
  <sheetFormatPr defaultColWidth="9.28515625" defaultRowHeight="13.2" x14ac:dyDescent="0.25"/>
  <cols>
    <col min="1" max="1" width="59.7109375" style="21" customWidth="1"/>
    <col min="2" max="2" width="13.85546875" style="21" customWidth="1"/>
    <col min="3" max="3" width="67.28515625" style="21" customWidth="1"/>
    <col min="4" max="4" width="28" style="21" customWidth="1"/>
    <col min="5" max="5" width="18.7109375" style="21" customWidth="1"/>
    <col min="6" max="6" width="27.140625" style="21" customWidth="1"/>
    <col min="7" max="7" width="51.85546875" style="21" customWidth="1"/>
    <col min="8" max="16384" width="9.28515625" style="24"/>
  </cols>
  <sheetData>
    <row r="1" spans="1:7" s="21" customFormat="1" ht="15" customHeight="1" x14ac:dyDescent="0.2">
      <c r="A1" s="105" t="s">
        <v>1663</v>
      </c>
      <c r="B1" s="106"/>
      <c r="C1" s="106"/>
      <c r="D1" s="106"/>
      <c r="E1" s="107"/>
      <c r="F1" s="25" t="s">
        <v>31</v>
      </c>
      <c r="G1" s="34" t="s">
        <v>1664</v>
      </c>
    </row>
    <row r="2" spans="1:7" s="21" customFormat="1" ht="15" customHeight="1" x14ac:dyDescent="0.2">
      <c r="A2" s="108"/>
      <c r="B2" s="109"/>
      <c r="C2" s="109"/>
      <c r="D2" s="109"/>
      <c r="E2" s="110"/>
      <c r="F2" s="39" t="s">
        <v>32</v>
      </c>
      <c r="G2" s="40" t="s">
        <v>1665</v>
      </c>
    </row>
    <row r="3" spans="1:7" s="23" customFormat="1" ht="27" customHeight="1" thickBot="1" x14ac:dyDescent="0.25">
      <c r="A3" s="26" t="s">
        <v>33</v>
      </c>
      <c r="B3" s="9" t="s">
        <v>28</v>
      </c>
      <c r="C3" s="7" t="s">
        <v>46</v>
      </c>
      <c r="D3" s="7" t="s">
        <v>30</v>
      </c>
      <c r="E3" s="7" t="s">
        <v>29</v>
      </c>
      <c r="F3" s="10" t="s">
        <v>16</v>
      </c>
      <c r="G3" s="11" t="s">
        <v>70</v>
      </c>
    </row>
    <row r="4" spans="1:7" x14ac:dyDescent="0.25">
      <c r="A4" s="115" t="str">
        <f>HYPERLINK("[#]Codes_for_GE_Names!A4:I4","AFGHANISTAN")</f>
        <v>AFGHANISTAN</v>
      </c>
      <c r="B4" s="59" t="s">
        <v>1666</v>
      </c>
      <c r="C4" s="59" t="s">
        <v>1667</v>
      </c>
      <c r="D4" s="59" t="s">
        <v>1668</v>
      </c>
      <c r="E4" s="62" t="b">
        <v>1</v>
      </c>
      <c r="F4" s="71" t="str">
        <f>HYPERLINK("http://nsgreg.nga.mil/genc/view?v=291316&amp;end_month=6&amp;end_day=30&amp;end_year=2019","Badakhshān")</f>
        <v>Badakhshān</v>
      </c>
      <c r="G4" s="71" t="str">
        <f>HYPERLINK("http://api.nsgreg.nga.mil/geo-division/GENC/6/3-11/AF-BDS","as:GENC:6:3-11:AF-BDS")</f>
        <v>as:GENC:6:3-11:AF-BDS</v>
      </c>
    </row>
    <row r="5" spans="1:7" x14ac:dyDescent="0.25">
      <c r="A5" s="112"/>
      <c r="B5" s="21" t="s">
        <v>1669</v>
      </c>
      <c r="C5" s="21" t="s">
        <v>1670</v>
      </c>
      <c r="D5" s="21" t="s">
        <v>1668</v>
      </c>
      <c r="E5" s="50" t="b">
        <v>1</v>
      </c>
      <c r="F5" s="72" t="str">
        <f>HYPERLINK("http://nsgreg.nga.mil/genc/view?v=291315&amp;end_month=6&amp;end_day=30&amp;end_year=2019","Bādghīs")</f>
        <v>Bādghīs</v>
      </c>
      <c r="G5" s="72" t="str">
        <f>HYPERLINK("http://api.nsgreg.nga.mil/geo-division/GENC/6/3-11/AF-BDG","as:GENC:6:3-11:AF-BDG")</f>
        <v>as:GENC:6:3-11:AF-BDG</v>
      </c>
    </row>
    <row r="6" spans="1:7" x14ac:dyDescent="0.25">
      <c r="A6" s="112"/>
      <c r="B6" s="21" t="s">
        <v>1671</v>
      </c>
      <c r="C6" s="21" t="s">
        <v>1672</v>
      </c>
      <c r="D6" s="21" t="s">
        <v>1668</v>
      </c>
      <c r="E6" s="50" t="b">
        <v>1</v>
      </c>
      <c r="F6" s="72" t="str">
        <f>HYPERLINK("http://nsgreg.nga.mil/genc/view?v=291317&amp;end_month=6&amp;end_day=30&amp;end_year=2019","Baghlān")</f>
        <v>Baghlān</v>
      </c>
      <c r="G6" s="72" t="str">
        <f>HYPERLINK("http://api.nsgreg.nga.mil/geo-division/GENC/6/3-11/AF-BGL","as:GENC:6:3-11:AF-BGL")</f>
        <v>as:GENC:6:3-11:AF-BGL</v>
      </c>
    </row>
    <row r="7" spans="1:7" x14ac:dyDescent="0.25">
      <c r="A7" s="112"/>
      <c r="B7" s="21" t="s">
        <v>1673</v>
      </c>
      <c r="C7" s="21" t="s">
        <v>1674</v>
      </c>
      <c r="D7" s="21" t="s">
        <v>1668</v>
      </c>
      <c r="E7" s="50" t="b">
        <v>1</v>
      </c>
      <c r="F7" s="72" t="str">
        <f>HYPERLINK("http://nsgreg.nga.mil/genc/view?v=291313&amp;end_month=6&amp;end_day=30&amp;end_year=2019","Balkh")</f>
        <v>Balkh</v>
      </c>
      <c r="G7" s="72" t="str">
        <f>HYPERLINK("http://api.nsgreg.nga.mil/geo-division/GENC/6/3-11/AF-BAL","as:GENC:6:3-11:AF-BAL")</f>
        <v>as:GENC:6:3-11:AF-BAL</v>
      </c>
    </row>
    <row r="8" spans="1:7" x14ac:dyDescent="0.25">
      <c r="A8" s="112"/>
      <c r="B8" s="21" t="s">
        <v>1675</v>
      </c>
      <c r="C8" s="21" t="s">
        <v>1676</v>
      </c>
      <c r="D8" s="21" t="s">
        <v>1668</v>
      </c>
      <c r="E8" s="50" t="b">
        <v>1</v>
      </c>
      <c r="F8" s="72" t="str">
        <f>HYPERLINK("http://nsgreg.nga.mil/genc/view?v=291314&amp;end_month=6&amp;end_day=30&amp;end_year=2019","Bāmyān")</f>
        <v>Bāmyān</v>
      </c>
      <c r="G8" s="72" t="str">
        <f>HYPERLINK("http://api.nsgreg.nga.mil/geo-division/GENC/6/3-11/AF-BAM","as:GENC:6:3-11:AF-BAM")</f>
        <v>as:GENC:6:3-11:AF-BAM</v>
      </c>
    </row>
    <row r="9" spans="1:7" x14ac:dyDescent="0.25">
      <c r="A9" s="112"/>
      <c r="B9" s="21" t="s">
        <v>1677</v>
      </c>
      <c r="C9" s="21" t="s">
        <v>1678</v>
      </c>
      <c r="D9" s="21" t="s">
        <v>1668</v>
      </c>
      <c r="E9" s="50" t="b">
        <v>1</v>
      </c>
      <c r="F9" s="72" t="str">
        <f>HYPERLINK("http://nsgreg.nga.mil/genc/view?v=291318&amp;end_month=6&amp;end_day=30&amp;end_year=2019","Dāykundī")</f>
        <v>Dāykundī</v>
      </c>
      <c r="G9" s="72" t="str">
        <f>HYPERLINK("http://api.nsgreg.nga.mil/geo-division/GENC/6/3-11/AF-DAY","as:GENC:6:3-11:AF-DAY")</f>
        <v>as:GENC:6:3-11:AF-DAY</v>
      </c>
    </row>
    <row r="10" spans="1:7" x14ac:dyDescent="0.25">
      <c r="A10" s="112"/>
      <c r="B10" s="21" t="s">
        <v>1679</v>
      </c>
      <c r="C10" s="21" t="s">
        <v>1680</v>
      </c>
      <c r="D10" s="21" t="s">
        <v>1668</v>
      </c>
      <c r="E10" s="50" t="b">
        <v>1</v>
      </c>
      <c r="F10" s="72" t="str">
        <f>HYPERLINK("http://nsgreg.nga.mil/genc/view?v=291319&amp;end_month=6&amp;end_day=30&amp;end_year=2019","Farāh")</f>
        <v>Farāh</v>
      </c>
      <c r="G10" s="72" t="str">
        <f>HYPERLINK("http://api.nsgreg.nga.mil/geo-division/GENC/6/3-11/AF-FRA","as:GENC:6:3-11:AF-FRA")</f>
        <v>as:GENC:6:3-11:AF-FRA</v>
      </c>
    </row>
    <row r="11" spans="1:7" x14ac:dyDescent="0.25">
      <c r="A11" s="112"/>
      <c r="B11" s="21" t="s">
        <v>1681</v>
      </c>
      <c r="C11" s="21" t="s">
        <v>1682</v>
      </c>
      <c r="D11" s="21" t="s">
        <v>1668</v>
      </c>
      <c r="E11" s="50" t="b">
        <v>1</v>
      </c>
      <c r="F11" s="72" t="str">
        <f>HYPERLINK("http://nsgreg.nga.mil/genc/view?v=291320&amp;end_month=6&amp;end_day=30&amp;end_year=2019","Fāryāb")</f>
        <v>Fāryāb</v>
      </c>
      <c r="G11" s="72" t="str">
        <f>HYPERLINK("http://api.nsgreg.nga.mil/geo-division/GENC/6/3-11/AF-FYB","as:GENC:6:3-11:AF-FYB")</f>
        <v>as:GENC:6:3-11:AF-FYB</v>
      </c>
    </row>
    <row r="12" spans="1:7" x14ac:dyDescent="0.25">
      <c r="A12" s="112"/>
      <c r="B12" s="21" t="s">
        <v>1683</v>
      </c>
      <c r="C12" s="21" t="s">
        <v>1684</v>
      </c>
      <c r="D12" s="21" t="s">
        <v>1668</v>
      </c>
      <c r="E12" s="50" t="b">
        <v>1</v>
      </c>
      <c r="F12" s="72" t="str">
        <f>HYPERLINK("http://nsgreg.nga.mil/genc/view?v=291321&amp;end_month=6&amp;end_day=30&amp;end_year=2019","Ghaznī")</f>
        <v>Ghaznī</v>
      </c>
      <c r="G12" s="72" t="str">
        <f>HYPERLINK("http://api.nsgreg.nga.mil/geo-division/GENC/6/3-11/AF-GHA","as:GENC:6:3-11:AF-GHA")</f>
        <v>as:GENC:6:3-11:AF-GHA</v>
      </c>
    </row>
    <row r="13" spans="1:7" x14ac:dyDescent="0.25">
      <c r="A13" s="112"/>
      <c r="B13" s="21" t="s">
        <v>1685</v>
      </c>
      <c r="C13" s="21" t="s">
        <v>1686</v>
      </c>
      <c r="D13" s="21" t="s">
        <v>1668</v>
      </c>
      <c r="E13" s="50" t="b">
        <v>1</v>
      </c>
      <c r="F13" s="72" t="str">
        <f>HYPERLINK("http://nsgreg.nga.mil/genc/view?v=291322&amp;end_month=6&amp;end_day=30&amp;end_year=2019","Ghōr")</f>
        <v>Ghōr</v>
      </c>
      <c r="G13" s="72" t="str">
        <f>HYPERLINK("http://api.nsgreg.nga.mil/geo-division/GENC/6/3-11/AF-GHO","as:GENC:6:3-11:AF-GHO")</f>
        <v>as:GENC:6:3-11:AF-GHO</v>
      </c>
    </row>
    <row r="14" spans="1:7" x14ac:dyDescent="0.25">
      <c r="A14" s="112"/>
      <c r="B14" s="21" t="s">
        <v>1687</v>
      </c>
      <c r="C14" s="21" t="s">
        <v>1688</v>
      </c>
      <c r="D14" s="21" t="s">
        <v>1668</v>
      </c>
      <c r="E14" s="50" t="b">
        <v>1</v>
      </c>
      <c r="F14" s="72" t="str">
        <f>HYPERLINK("http://nsgreg.nga.mil/genc/view?v=291323&amp;end_month=6&amp;end_day=30&amp;end_year=2019","Helmand")</f>
        <v>Helmand</v>
      </c>
      <c r="G14" s="72" t="str">
        <f>HYPERLINK("http://api.nsgreg.nga.mil/geo-division/GENC/6/3-11/AF-HEL","as:GENC:6:3-11:AF-HEL")</f>
        <v>as:GENC:6:3-11:AF-HEL</v>
      </c>
    </row>
    <row r="15" spans="1:7" x14ac:dyDescent="0.25">
      <c r="A15" s="112"/>
      <c r="B15" s="21" t="s">
        <v>1689</v>
      </c>
      <c r="C15" s="21" t="s">
        <v>1690</v>
      </c>
      <c r="D15" s="21" t="s">
        <v>1668</v>
      </c>
      <c r="E15" s="50" t="b">
        <v>1</v>
      </c>
      <c r="F15" s="72" t="str">
        <f>HYPERLINK("http://nsgreg.nga.mil/genc/view?v=291324&amp;end_month=6&amp;end_day=30&amp;end_year=2019","Herāt")</f>
        <v>Herāt</v>
      </c>
      <c r="G15" s="72" t="str">
        <f>HYPERLINK("http://api.nsgreg.nga.mil/geo-division/GENC/6/3-11/AF-HER","as:GENC:6:3-11:AF-HER")</f>
        <v>as:GENC:6:3-11:AF-HER</v>
      </c>
    </row>
    <row r="16" spans="1:7" x14ac:dyDescent="0.25">
      <c r="A16" s="112"/>
      <c r="B16" s="21" t="s">
        <v>1691</v>
      </c>
      <c r="C16" s="21" t="s">
        <v>1692</v>
      </c>
      <c r="D16" s="21" t="s">
        <v>1668</v>
      </c>
      <c r="E16" s="50" t="b">
        <v>1</v>
      </c>
      <c r="F16" s="72" t="str">
        <f>HYPERLINK("http://nsgreg.nga.mil/genc/view?v=291325&amp;end_month=6&amp;end_day=30&amp;end_year=2019","Jowzjān")</f>
        <v>Jowzjān</v>
      </c>
      <c r="G16" s="72" t="str">
        <f>HYPERLINK("http://api.nsgreg.nga.mil/geo-division/GENC/6/3-11/AF-JOW","as:GENC:6:3-11:AF-JOW")</f>
        <v>as:GENC:6:3-11:AF-JOW</v>
      </c>
    </row>
    <row r="17" spans="1:7" x14ac:dyDescent="0.25">
      <c r="A17" s="112"/>
      <c r="B17" s="21" t="s">
        <v>1693</v>
      </c>
      <c r="C17" s="21" t="s">
        <v>1694</v>
      </c>
      <c r="D17" s="21" t="s">
        <v>1668</v>
      </c>
      <c r="E17" s="50" t="b">
        <v>1</v>
      </c>
      <c r="F17" s="72" t="str">
        <f>HYPERLINK("http://nsgreg.nga.mil/genc/view?v=291326&amp;end_month=6&amp;end_day=30&amp;end_year=2019","Kābul")</f>
        <v>Kābul</v>
      </c>
      <c r="G17" s="72" t="str">
        <f>HYPERLINK("http://api.nsgreg.nga.mil/geo-division/GENC/6/3-11/AF-KAB","as:GENC:6:3-11:AF-KAB")</f>
        <v>as:GENC:6:3-11:AF-KAB</v>
      </c>
    </row>
    <row r="18" spans="1:7" x14ac:dyDescent="0.25">
      <c r="A18" s="112"/>
      <c r="B18" s="21" t="s">
        <v>1695</v>
      </c>
      <c r="C18" s="21" t="s">
        <v>1696</v>
      </c>
      <c r="D18" s="21" t="s">
        <v>1668</v>
      </c>
      <c r="E18" s="50" t="b">
        <v>1</v>
      </c>
      <c r="F18" s="72" t="str">
        <f>HYPERLINK("http://nsgreg.nga.mil/genc/view?v=291327&amp;end_month=6&amp;end_day=30&amp;end_year=2019","Kandahār")</f>
        <v>Kandahār</v>
      </c>
      <c r="G18" s="72" t="str">
        <f>HYPERLINK("http://api.nsgreg.nga.mil/geo-division/GENC/6/3-11/AF-KAN","as:GENC:6:3-11:AF-KAN")</f>
        <v>as:GENC:6:3-11:AF-KAN</v>
      </c>
    </row>
    <row r="19" spans="1:7" x14ac:dyDescent="0.25">
      <c r="A19" s="112"/>
      <c r="B19" s="21" t="s">
        <v>1697</v>
      </c>
      <c r="C19" s="21" t="s">
        <v>1698</v>
      </c>
      <c r="D19" s="21" t="s">
        <v>1668</v>
      </c>
      <c r="E19" s="50" t="b">
        <v>1</v>
      </c>
      <c r="F19" s="72" t="str">
        <f>HYPERLINK("http://nsgreg.nga.mil/genc/view?v=291328&amp;end_month=6&amp;end_day=30&amp;end_year=2019","Kāpīsā")</f>
        <v>Kāpīsā</v>
      </c>
      <c r="G19" s="72" t="str">
        <f>HYPERLINK("http://api.nsgreg.nga.mil/geo-division/GENC/6/3-11/AF-KAP","as:GENC:6:3-11:AF-KAP")</f>
        <v>as:GENC:6:3-11:AF-KAP</v>
      </c>
    </row>
    <row r="20" spans="1:7" x14ac:dyDescent="0.25">
      <c r="A20" s="112"/>
      <c r="B20" s="21" t="s">
        <v>1699</v>
      </c>
      <c r="C20" s="21" t="s">
        <v>1700</v>
      </c>
      <c r="D20" s="21" t="s">
        <v>1668</v>
      </c>
      <c r="E20" s="50" t="b">
        <v>1</v>
      </c>
      <c r="F20" s="72" t="str">
        <f>HYPERLINK("http://nsgreg.nga.mil/genc/view?v=291330&amp;end_month=6&amp;end_day=30&amp;end_year=2019","Khōst")</f>
        <v>Khōst</v>
      </c>
      <c r="G20" s="72" t="str">
        <f>HYPERLINK("http://api.nsgreg.nga.mil/geo-division/GENC/6/3-11/AF-KHO","as:GENC:6:3-11:AF-KHO")</f>
        <v>as:GENC:6:3-11:AF-KHO</v>
      </c>
    </row>
    <row r="21" spans="1:7" x14ac:dyDescent="0.25">
      <c r="A21" s="112"/>
      <c r="B21" s="21" t="s">
        <v>1701</v>
      </c>
      <c r="C21" s="21" t="s">
        <v>1702</v>
      </c>
      <c r="D21" s="21" t="s">
        <v>1668</v>
      </c>
      <c r="E21" s="50" t="b">
        <v>1</v>
      </c>
      <c r="F21" s="72" t="str">
        <f>HYPERLINK("http://nsgreg.nga.mil/genc/view?v=291331&amp;end_month=6&amp;end_day=30&amp;end_year=2019","Kunaṟ")</f>
        <v>Kunaṟ</v>
      </c>
      <c r="G21" s="72" t="str">
        <f>HYPERLINK("http://api.nsgreg.nga.mil/geo-division/GENC/6/3-11/AF-KNR","as:GENC:6:3-11:AF-KNR")</f>
        <v>as:GENC:6:3-11:AF-KNR</v>
      </c>
    </row>
    <row r="22" spans="1:7" x14ac:dyDescent="0.25">
      <c r="A22" s="112"/>
      <c r="B22" s="21" t="s">
        <v>1703</v>
      </c>
      <c r="C22" s="21" t="s">
        <v>1704</v>
      </c>
      <c r="D22" s="21" t="s">
        <v>1668</v>
      </c>
      <c r="E22" s="50" t="b">
        <v>1</v>
      </c>
      <c r="F22" s="72" t="str">
        <f>HYPERLINK("http://nsgreg.nga.mil/genc/view?v=291329&amp;end_month=6&amp;end_day=30&amp;end_year=2019","Kunduz")</f>
        <v>Kunduz</v>
      </c>
      <c r="G22" s="72" t="str">
        <f>HYPERLINK("http://api.nsgreg.nga.mil/geo-division/GENC/6/3-11/AF-KDZ","as:GENC:6:3-11:AF-KDZ")</f>
        <v>as:GENC:6:3-11:AF-KDZ</v>
      </c>
    </row>
    <row r="23" spans="1:7" x14ac:dyDescent="0.25">
      <c r="A23" s="112"/>
      <c r="B23" s="21" t="s">
        <v>1705</v>
      </c>
      <c r="C23" s="21" t="s">
        <v>1706</v>
      </c>
      <c r="D23" s="21" t="s">
        <v>1668</v>
      </c>
      <c r="E23" s="50" t="b">
        <v>1</v>
      </c>
      <c r="F23" s="72" t="str">
        <f>HYPERLINK("http://nsgreg.nga.mil/genc/view?v=291332&amp;end_month=6&amp;end_day=30&amp;end_year=2019","Laghmān")</f>
        <v>Laghmān</v>
      </c>
      <c r="G23" s="72" t="str">
        <f>HYPERLINK("http://api.nsgreg.nga.mil/geo-division/GENC/6/3-11/AF-LAG","as:GENC:6:3-11:AF-LAG")</f>
        <v>as:GENC:6:3-11:AF-LAG</v>
      </c>
    </row>
    <row r="24" spans="1:7" x14ac:dyDescent="0.25">
      <c r="A24" s="112"/>
      <c r="B24" s="21" t="s">
        <v>1707</v>
      </c>
      <c r="C24" s="21" t="s">
        <v>1708</v>
      </c>
      <c r="D24" s="21" t="s">
        <v>1668</v>
      </c>
      <c r="E24" s="50" t="b">
        <v>1</v>
      </c>
      <c r="F24" s="72" t="str">
        <f>HYPERLINK("http://nsgreg.nga.mil/genc/view?v=291333&amp;end_month=6&amp;end_day=30&amp;end_year=2019","Lōgar")</f>
        <v>Lōgar</v>
      </c>
      <c r="G24" s="72" t="str">
        <f>HYPERLINK("http://api.nsgreg.nga.mil/geo-division/GENC/6/3-11/AF-LOG","as:GENC:6:3-11:AF-LOG")</f>
        <v>as:GENC:6:3-11:AF-LOG</v>
      </c>
    </row>
    <row r="25" spans="1:7" x14ac:dyDescent="0.25">
      <c r="A25" s="112"/>
      <c r="B25" s="21" t="s">
        <v>1709</v>
      </c>
      <c r="C25" s="21" t="s">
        <v>1710</v>
      </c>
      <c r="D25" s="21" t="s">
        <v>1668</v>
      </c>
      <c r="E25" s="50" t="b">
        <v>1</v>
      </c>
      <c r="F25" s="72" t="str">
        <f>HYPERLINK("http://nsgreg.nga.mil/genc/view?v=291334&amp;end_month=6&amp;end_day=30&amp;end_year=2019","Nangarhār")</f>
        <v>Nangarhār</v>
      </c>
      <c r="G25" s="72" t="str">
        <f>HYPERLINK("http://api.nsgreg.nga.mil/geo-division/GENC/6/3-11/AF-NAN","as:GENC:6:3-11:AF-NAN")</f>
        <v>as:GENC:6:3-11:AF-NAN</v>
      </c>
    </row>
    <row r="26" spans="1:7" x14ac:dyDescent="0.25">
      <c r="A26" s="112"/>
      <c r="B26" s="21" t="s">
        <v>1711</v>
      </c>
      <c r="C26" s="21" t="s">
        <v>1712</v>
      </c>
      <c r="D26" s="21" t="s">
        <v>1668</v>
      </c>
      <c r="E26" s="50" t="b">
        <v>1</v>
      </c>
      <c r="F26" s="72" t="str">
        <f>HYPERLINK("http://nsgreg.nga.mil/genc/view?v=291335&amp;end_month=6&amp;end_day=30&amp;end_year=2019","Nīmrōz")</f>
        <v>Nīmrōz</v>
      </c>
      <c r="G26" s="72" t="str">
        <f>HYPERLINK("http://api.nsgreg.nga.mil/geo-division/GENC/6/3-11/AF-NIM","as:GENC:6:3-11:AF-NIM")</f>
        <v>as:GENC:6:3-11:AF-NIM</v>
      </c>
    </row>
    <row r="27" spans="1:7" x14ac:dyDescent="0.25">
      <c r="A27" s="112"/>
      <c r="B27" s="21" t="s">
        <v>1713</v>
      </c>
      <c r="C27" s="21" t="s">
        <v>1714</v>
      </c>
      <c r="D27" s="21" t="s">
        <v>1668</v>
      </c>
      <c r="E27" s="50" t="b">
        <v>1</v>
      </c>
      <c r="F27" s="72" t="str">
        <f>HYPERLINK("http://nsgreg.nga.mil/genc/view?v=291336&amp;end_month=6&amp;end_day=30&amp;end_year=2019","Nūristān")</f>
        <v>Nūristān</v>
      </c>
      <c r="G27" s="72" t="str">
        <f>HYPERLINK("http://api.nsgreg.nga.mil/geo-division/GENC/6/3-11/AF-NUR","as:GENC:6:3-11:AF-NUR")</f>
        <v>as:GENC:6:3-11:AF-NUR</v>
      </c>
    </row>
    <row r="28" spans="1:7" x14ac:dyDescent="0.25">
      <c r="A28" s="112"/>
      <c r="B28" s="21" t="s">
        <v>1715</v>
      </c>
      <c r="C28" s="21" t="s">
        <v>1716</v>
      </c>
      <c r="D28" s="21" t="s">
        <v>1668</v>
      </c>
      <c r="E28" s="50" t="b">
        <v>1</v>
      </c>
      <c r="F28" s="72" t="str">
        <f>HYPERLINK("http://nsgreg.nga.mil/genc/view?v=291340&amp;end_month=6&amp;end_day=30&amp;end_year=2019","Paktīkā")</f>
        <v>Paktīkā</v>
      </c>
      <c r="G28" s="72" t="str">
        <f>HYPERLINK("http://api.nsgreg.nga.mil/geo-division/GENC/6/3-11/AF-PKA","as:GENC:6:3-11:AF-PKA")</f>
        <v>as:GENC:6:3-11:AF-PKA</v>
      </c>
    </row>
    <row r="29" spans="1:7" x14ac:dyDescent="0.25">
      <c r="A29" s="112"/>
      <c r="B29" s="21" t="s">
        <v>1717</v>
      </c>
      <c r="C29" s="21" t="s">
        <v>1718</v>
      </c>
      <c r="D29" s="21" t="s">
        <v>1668</v>
      </c>
      <c r="E29" s="50" t="b">
        <v>1</v>
      </c>
      <c r="F29" s="72" t="str">
        <f>HYPERLINK("http://nsgreg.nga.mil/genc/view?v=291339&amp;end_month=6&amp;end_day=30&amp;end_year=2019","Paktiyā")</f>
        <v>Paktiyā</v>
      </c>
      <c r="G29" s="72" t="str">
        <f>HYPERLINK("http://api.nsgreg.nga.mil/geo-division/GENC/6/3-11/AF-PIA","as:GENC:6:3-11:AF-PIA")</f>
        <v>as:GENC:6:3-11:AF-PIA</v>
      </c>
    </row>
    <row r="30" spans="1:7" x14ac:dyDescent="0.25">
      <c r="A30" s="112"/>
      <c r="B30" s="21" t="s">
        <v>1719</v>
      </c>
      <c r="C30" s="21" t="s">
        <v>1720</v>
      </c>
      <c r="D30" s="21" t="s">
        <v>1668</v>
      </c>
      <c r="E30" s="50" t="b">
        <v>1</v>
      </c>
      <c r="F30" s="72" t="str">
        <f>HYPERLINK("http://nsgreg.nga.mil/genc/view?v=291337&amp;end_month=6&amp;end_day=30&amp;end_year=2019","Panjshir")</f>
        <v>Panjshir</v>
      </c>
      <c r="G30" s="72" t="str">
        <f>HYPERLINK("http://api.nsgreg.nga.mil/geo-division/GENC/6/3-11/AF-PAN","as:GENC:6:3-11:AF-PAN")</f>
        <v>as:GENC:6:3-11:AF-PAN</v>
      </c>
    </row>
    <row r="31" spans="1:7" x14ac:dyDescent="0.25">
      <c r="A31" s="112"/>
      <c r="B31" s="21" t="s">
        <v>1721</v>
      </c>
      <c r="C31" s="21" t="s">
        <v>1722</v>
      </c>
      <c r="D31" s="21" t="s">
        <v>1668</v>
      </c>
      <c r="E31" s="50" t="b">
        <v>1</v>
      </c>
      <c r="F31" s="72" t="str">
        <f>HYPERLINK("http://nsgreg.nga.mil/genc/view?v=291338&amp;end_month=6&amp;end_day=30&amp;end_year=2019","Parwān")</f>
        <v>Parwān</v>
      </c>
      <c r="G31" s="72" t="str">
        <f>HYPERLINK("http://api.nsgreg.nga.mil/geo-division/GENC/6/3-11/AF-PAR","as:GENC:6:3-11:AF-PAR")</f>
        <v>as:GENC:6:3-11:AF-PAR</v>
      </c>
    </row>
    <row r="32" spans="1:7" x14ac:dyDescent="0.25">
      <c r="A32" s="112"/>
      <c r="B32" s="21" t="s">
        <v>1723</v>
      </c>
      <c r="C32" s="21" t="s">
        <v>1724</v>
      </c>
      <c r="D32" s="21" t="s">
        <v>1668</v>
      </c>
      <c r="E32" s="50" t="b">
        <v>1</v>
      </c>
      <c r="F32" s="72" t="str">
        <f>HYPERLINK("http://nsgreg.nga.mil/genc/view?v=291341&amp;end_month=6&amp;end_day=30&amp;end_year=2019","Samangān")</f>
        <v>Samangān</v>
      </c>
      <c r="G32" s="72" t="str">
        <f>HYPERLINK("http://api.nsgreg.nga.mil/geo-division/GENC/6/3-11/AF-SAM","as:GENC:6:3-11:AF-SAM")</f>
        <v>as:GENC:6:3-11:AF-SAM</v>
      </c>
    </row>
    <row r="33" spans="1:7" x14ac:dyDescent="0.25">
      <c r="A33" s="112"/>
      <c r="B33" s="21" t="s">
        <v>1725</v>
      </c>
      <c r="C33" s="21" t="s">
        <v>1726</v>
      </c>
      <c r="D33" s="21" t="s">
        <v>1668</v>
      </c>
      <c r="E33" s="50" t="b">
        <v>1</v>
      </c>
      <c r="F33" s="72" t="str">
        <f>HYPERLINK("http://nsgreg.nga.mil/genc/view?v=291342&amp;end_month=6&amp;end_day=30&amp;end_year=2019","Sar-e Pul")</f>
        <v>Sar-e Pul</v>
      </c>
      <c r="G33" s="72" t="str">
        <f>HYPERLINK("http://api.nsgreg.nga.mil/geo-division/GENC/6/3-11/AF-SAR","as:GENC:6:3-11:AF-SAR")</f>
        <v>as:GENC:6:3-11:AF-SAR</v>
      </c>
    </row>
    <row r="34" spans="1:7" x14ac:dyDescent="0.25">
      <c r="A34" s="112"/>
      <c r="B34" s="21" t="s">
        <v>1727</v>
      </c>
      <c r="C34" s="21" t="s">
        <v>1728</v>
      </c>
      <c r="D34" s="21" t="s">
        <v>1668</v>
      </c>
      <c r="E34" s="50" t="b">
        <v>1</v>
      </c>
      <c r="F34" s="72" t="str">
        <f>HYPERLINK("http://nsgreg.nga.mil/genc/view?v=291343&amp;end_month=6&amp;end_day=30&amp;end_year=2019","Takhār")</f>
        <v>Takhār</v>
      </c>
      <c r="G34" s="72" t="str">
        <f>HYPERLINK("http://api.nsgreg.nga.mil/geo-division/GENC/6/3-11/AF-TAK","as:GENC:6:3-11:AF-TAK")</f>
        <v>as:GENC:6:3-11:AF-TAK</v>
      </c>
    </row>
    <row r="35" spans="1:7" x14ac:dyDescent="0.25">
      <c r="A35" s="112"/>
      <c r="B35" s="21" t="s">
        <v>1729</v>
      </c>
      <c r="C35" s="21" t="s">
        <v>1730</v>
      </c>
      <c r="D35" s="21" t="s">
        <v>1668</v>
      </c>
      <c r="E35" s="50" t="b">
        <v>1</v>
      </c>
      <c r="F35" s="72" t="str">
        <f>HYPERLINK("http://nsgreg.nga.mil/genc/view?v=291344&amp;end_month=6&amp;end_day=30&amp;end_year=2019","Uruzgān")</f>
        <v>Uruzgān</v>
      </c>
      <c r="G35" s="72" t="str">
        <f>HYPERLINK("http://api.nsgreg.nga.mil/geo-division/GENC/6/3-11/AF-URU","as:GENC:6:3-11:AF-URU")</f>
        <v>as:GENC:6:3-11:AF-URU</v>
      </c>
    </row>
    <row r="36" spans="1:7" x14ac:dyDescent="0.25">
      <c r="A36" s="112"/>
      <c r="B36" s="21" t="s">
        <v>1731</v>
      </c>
      <c r="C36" s="21" t="s">
        <v>1732</v>
      </c>
      <c r="D36" s="21" t="s">
        <v>1668</v>
      </c>
      <c r="E36" s="50" t="b">
        <v>1</v>
      </c>
      <c r="F36" s="72" t="str">
        <f>HYPERLINK("http://nsgreg.nga.mil/genc/view?v=291345&amp;end_month=6&amp;end_day=30&amp;end_year=2019","Wardak")</f>
        <v>Wardak</v>
      </c>
      <c r="G36" s="72" t="str">
        <f>HYPERLINK("http://api.nsgreg.nga.mil/geo-division/GENC/6/3-11/AF-WAR","as:GENC:6:3-11:AF-WAR")</f>
        <v>as:GENC:6:3-11:AF-WAR</v>
      </c>
    </row>
    <row r="37" spans="1:7" x14ac:dyDescent="0.25">
      <c r="A37" s="113"/>
      <c r="B37" s="47" t="s">
        <v>1733</v>
      </c>
      <c r="C37" s="47" t="s">
        <v>1734</v>
      </c>
      <c r="D37" s="47" t="s">
        <v>1668</v>
      </c>
      <c r="E37" s="51" t="b">
        <v>1</v>
      </c>
      <c r="F37" s="73" t="str">
        <f>HYPERLINK("http://nsgreg.nga.mil/genc/view?v=291346&amp;end_month=6&amp;end_day=30&amp;end_year=2019","Zābul")</f>
        <v>Zābul</v>
      </c>
      <c r="G37" s="73" t="str">
        <f>HYPERLINK("http://api.nsgreg.nga.mil/geo-division/GENC/6/3-11/AF-ZAB","as:GENC:6:3-11:AF-ZAB")</f>
        <v>as:GENC:6:3-11:AF-ZAB</v>
      </c>
    </row>
    <row r="38" spans="1:7" x14ac:dyDescent="0.25">
      <c r="A38" s="111" t="str">
        <f>HYPERLINK("[#]Codes_for_GE_Names!A6:I6","ALBANIA")</f>
        <v>ALBANIA</v>
      </c>
      <c r="B38" s="42" t="s">
        <v>1735</v>
      </c>
      <c r="C38" s="42" t="s">
        <v>1736</v>
      </c>
      <c r="D38" s="42" t="s">
        <v>1737</v>
      </c>
      <c r="E38" s="49" t="b">
        <v>1</v>
      </c>
      <c r="F38" s="74" t="str">
        <f>HYPERLINK("http://nsgreg.nga.mil/genc/view?v=291355&amp;end_month=6&amp;end_day=30&amp;end_year=2019","Berat")</f>
        <v>Berat</v>
      </c>
      <c r="G38" s="74" t="str">
        <f>HYPERLINK("http://api.nsgreg.nga.mil/geo-division/GENC/6/3-11/AL-01","as:GENC:6:3-11:AL-01")</f>
        <v>as:GENC:6:3-11:AL-01</v>
      </c>
    </row>
    <row r="39" spans="1:7" x14ac:dyDescent="0.25">
      <c r="A39" s="112"/>
      <c r="B39" s="21" t="s">
        <v>1738</v>
      </c>
      <c r="C39" s="21" t="s">
        <v>1739</v>
      </c>
      <c r="D39" s="21" t="s">
        <v>1737</v>
      </c>
      <c r="E39" s="50" t="b">
        <v>1</v>
      </c>
      <c r="F39" s="72" t="str">
        <f>HYPERLINK("http://nsgreg.nga.mil/genc/view?v=291363&amp;end_month=6&amp;end_day=30&amp;end_year=2019","Dibër")</f>
        <v>Dibër</v>
      </c>
      <c r="G39" s="72" t="str">
        <f>HYPERLINK("http://api.nsgreg.nga.mil/geo-division/GENC/6/3-11/AL-09","as:GENC:6:3-11:AL-09")</f>
        <v>as:GENC:6:3-11:AL-09</v>
      </c>
    </row>
    <row r="40" spans="1:7" x14ac:dyDescent="0.25">
      <c r="A40" s="112"/>
      <c r="B40" s="21" t="s">
        <v>1740</v>
      </c>
      <c r="C40" s="21" t="s">
        <v>1741</v>
      </c>
      <c r="D40" s="21" t="s">
        <v>1737</v>
      </c>
      <c r="E40" s="50" t="b">
        <v>1</v>
      </c>
      <c r="F40" s="72" t="str">
        <f>HYPERLINK("http://nsgreg.nga.mil/genc/view?v=291356&amp;end_month=6&amp;end_day=30&amp;end_year=2019","Durrës")</f>
        <v>Durrës</v>
      </c>
      <c r="G40" s="72" t="str">
        <f>HYPERLINK("http://api.nsgreg.nga.mil/geo-division/GENC/6/3-11/AL-02","as:GENC:6:3-11:AL-02")</f>
        <v>as:GENC:6:3-11:AL-02</v>
      </c>
    </row>
    <row r="41" spans="1:7" x14ac:dyDescent="0.25">
      <c r="A41" s="112"/>
      <c r="B41" s="21" t="s">
        <v>1742</v>
      </c>
      <c r="C41" s="21" t="s">
        <v>1743</v>
      </c>
      <c r="D41" s="21" t="s">
        <v>1737</v>
      </c>
      <c r="E41" s="50" t="b">
        <v>1</v>
      </c>
      <c r="F41" s="72" t="str">
        <f>HYPERLINK("http://nsgreg.nga.mil/genc/view?v=291357&amp;end_month=6&amp;end_day=30&amp;end_year=2019","Elbasan")</f>
        <v>Elbasan</v>
      </c>
      <c r="G41" s="72" t="str">
        <f>HYPERLINK("http://api.nsgreg.nga.mil/geo-division/GENC/6/3-11/AL-03","as:GENC:6:3-11:AL-03")</f>
        <v>as:GENC:6:3-11:AL-03</v>
      </c>
    </row>
    <row r="42" spans="1:7" x14ac:dyDescent="0.25">
      <c r="A42" s="112"/>
      <c r="B42" s="21" t="s">
        <v>1744</v>
      </c>
      <c r="C42" s="21" t="s">
        <v>1745</v>
      </c>
      <c r="D42" s="21" t="s">
        <v>1737</v>
      </c>
      <c r="E42" s="50" t="b">
        <v>1</v>
      </c>
      <c r="F42" s="72" t="str">
        <f>HYPERLINK("http://nsgreg.nga.mil/genc/view?v=291358&amp;end_month=6&amp;end_day=30&amp;end_year=2019","Fier")</f>
        <v>Fier</v>
      </c>
      <c r="G42" s="72" t="str">
        <f>HYPERLINK("http://api.nsgreg.nga.mil/geo-division/GENC/6/3-11/AL-04","as:GENC:6:3-11:AL-04")</f>
        <v>as:GENC:6:3-11:AL-04</v>
      </c>
    </row>
    <row r="43" spans="1:7" x14ac:dyDescent="0.25">
      <c r="A43" s="112"/>
      <c r="B43" s="21" t="s">
        <v>1746</v>
      </c>
      <c r="C43" s="21" t="s">
        <v>1747</v>
      </c>
      <c r="D43" s="21" t="s">
        <v>1737</v>
      </c>
      <c r="E43" s="50" t="b">
        <v>1</v>
      </c>
      <c r="F43" s="72" t="str">
        <f>HYPERLINK("http://nsgreg.nga.mil/genc/view?v=291359&amp;end_month=6&amp;end_day=30&amp;end_year=2019","Gjirokastër")</f>
        <v>Gjirokastër</v>
      </c>
      <c r="G43" s="72" t="str">
        <f>HYPERLINK("http://api.nsgreg.nga.mil/geo-division/GENC/6/3-11/AL-05","as:GENC:6:3-11:AL-05")</f>
        <v>as:GENC:6:3-11:AL-05</v>
      </c>
    </row>
    <row r="44" spans="1:7" x14ac:dyDescent="0.25">
      <c r="A44" s="112"/>
      <c r="B44" s="21" t="s">
        <v>1748</v>
      </c>
      <c r="C44" s="21" t="s">
        <v>1749</v>
      </c>
      <c r="D44" s="21" t="s">
        <v>1737</v>
      </c>
      <c r="E44" s="50" t="b">
        <v>1</v>
      </c>
      <c r="F44" s="72" t="str">
        <f>HYPERLINK("http://nsgreg.nga.mil/genc/view?v=291360&amp;end_month=6&amp;end_day=30&amp;end_year=2019","Korçë")</f>
        <v>Korçë</v>
      </c>
      <c r="G44" s="72" t="str">
        <f>HYPERLINK("http://api.nsgreg.nga.mil/geo-division/GENC/6/3-11/AL-06","as:GENC:6:3-11:AL-06")</f>
        <v>as:GENC:6:3-11:AL-06</v>
      </c>
    </row>
    <row r="45" spans="1:7" x14ac:dyDescent="0.25">
      <c r="A45" s="112"/>
      <c r="B45" s="21" t="s">
        <v>1750</v>
      </c>
      <c r="C45" s="21" t="s">
        <v>1751</v>
      </c>
      <c r="D45" s="21" t="s">
        <v>1737</v>
      </c>
      <c r="E45" s="50" t="b">
        <v>1</v>
      </c>
      <c r="F45" s="72" t="str">
        <f>HYPERLINK("http://nsgreg.nga.mil/genc/view?v=291361&amp;end_month=6&amp;end_day=30&amp;end_year=2019","Kukës")</f>
        <v>Kukës</v>
      </c>
      <c r="G45" s="72" t="str">
        <f>HYPERLINK("http://api.nsgreg.nga.mil/geo-division/GENC/6/3-11/AL-07","as:GENC:6:3-11:AL-07")</f>
        <v>as:GENC:6:3-11:AL-07</v>
      </c>
    </row>
    <row r="46" spans="1:7" x14ac:dyDescent="0.25">
      <c r="A46" s="112"/>
      <c r="B46" s="21" t="s">
        <v>1752</v>
      </c>
      <c r="C46" s="21" t="s">
        <v>1753</v>
      </c>
      <c r="D46" s="21" t="s">
        <v>1737</v>
      </c>
      <c r="E46" s="50" t="b">
        <v>1</v>
      </c>
      <c r="F46" s="72" t="str">
        <f>HYPERLINK("http://nsgreg.nga.mil/genc/view?v=291362&amp;end_month=6&amp;end_day=30&amp;end_year=2019","Lezhë")</f>
        <v>Lezhë</v>
      </c>
      <c r="G46" s="72" t="str">
        <f>HYPERLINK("http://api.nsgreg.nga.mil/geo-division/GENC/6/3-11/AL-08","as:GENC:6:3-11:AL-08")</f>
        <v>as:GENC:6:3-11:AL-08</v>
      </c>
    </row>
    <row r="47" spans="1:7" x14ac:dyDescent="0.25">
      <c r="A47" s="112"/>
      <c r="B47" s="21" t="s">
        <v>1754</v>
      </c>
      <c r="C47" s="21" t="s">
        <v>1755</v>
      </c>
      <c r="D47" s="21" t="s">
        <v>1737</v>
      </c>
      <c r="E47" s="50" t="b">
        <v>1</v>
      </c>
      <c r="F47" s="72" t="str">
        <f>HYPERLINK("http://nsgreg.nga.mil/genc/view?v=291364&amp;end_month=6&amp;end_day=30&amp;end_year=2019","Shkodër")</f>
        <v>Shkodër</v>
      </c>
      <c r="G47" s="72" t="str">
        <f>HYPERLINK("http://api.nsgreg.nga.mil/geo-division/GENC/6/3-11/AL-10","as:GENC:6:3-11:AL-10")</f>
        <v>as:GENC:6:3-11:AL-10</v>
      </c>
    </row>
    <row r="48" spans="1:7" x14ac:dyDescent="0.25">
      <c r="A48" s="112"/>
      <c r="B48" s="21" t="s">
        <v>1756</v>
      </c>
      <c r="C48" s="21" t="s">
        <v>1757</v>
      </c>
      <c r="D48" s="21" t="s">
        <v>1737</v>
      </c>
      <c r="E48" s="50" t="b">
        <v>1</v>
      </c>
      <c r="F48" s="72" t="str">
        <f>HYPERLINK("http://nsgreg.nga.mil/genc/view?v=291365&amp;end_month=6&amp;end_day=30&amp;end_year=2019","Tiranë")</f>
        <v>Tiranë</v>
      </c>
      <c r="G48" s="72" t="str">
        <f>HYPERLINK("http://api.nsgreg.nga.mil/geo-division/GENC/6/3-11/AL-11","as:GENC:6:3-11:AL-11")</f>
        <v>as:GENC:6:3-11:AL-11</v>
      </c>
    </row>
    <row r="49" spans="1:7" x14ac:dyDescent="0.25">
      <c r="A49" s="113"/>
      <c r="B49" s="47" t="s">
        <v>1758</v>
      </c>
      <c r="C49" s="47" t="s">
        <v>1759</v>
      </c>
      <c r="D49" s="47" t="s">
        <v>1737</v>
      </c>
      <c r="E49" s="51" t="b">
        <v>1</v>
      </c>
      <c r="F49" s="73" t="str">
        <f>HYPERLINK("http://nsgreg.nga.mil/genc/view?v=291366&amp;end_month=6&amp;end_day=30&amp;end_year=2019","Vlorë")</f>
        <v>Vlorë</v>
      </c>
      <c r="G49" s="73" t="str">
        <f>HYPERLINK("http://api.nsgreg.nga.mil/geo-division/GENC/6/3-11/AL-12","as:GENC:6:3-11:AL-12")</f>
        <v>as:GENC:6:3-11:AL-12</v>
      </c>
    </row>
    <row r="50" spans="1:7" x14ac:dyDescent="0.25">
      <c r="A50" s="111" t="str">
        <f>HYPERLINK("[#]Codes_for_GE_Names!A7:I7","ALGERIA")</f>
        <v>ALGERIA</v>
      </c>
      <c r="B50" s="42" t="s">
        <v>1760</v>
      </c>
      <c r="C50" s="42" t="s">
        <v>1761</v>
      </c>
      <c r="D50" s="42" t="s">
        <v>1668</v>
      </c>
      <c r="E50" s="49" t="b">
        <v>1</v>
      </c>
      <c r="F50" s="74" t="str">
        <f>HYPERLINK("http://nsgreg.nga.mil/genc/view?v=292292&amp;end_month=6&amp;end_day=30&amp;end_year=2019","Adrar")</f>
        <v>Adrar</v>
      </c>
      <c r="G50" s="74" t="str">
        <f>HYPERLINK("http://api.nsgreg.nga.mil/geo-division/GENC/6/3-11/DZ-01","as:GENC:6:3-11:DZ-01")</f>
        <v>as:GENC:6:3-11:DZ-01</v>
      </c>
    </row>
    <row r="51" spans="1:7" x14ac:dyDescent="0.25">
      <c r="A51" s="112"/>
      <c r="B51" s="21" t="s">
        <v>1762</v>
      </c>
      <c r="C51" s="21" t="s">
        <v>1763</v>
      </c>
      <c r="D51" s="21" t="s">
        <v>1668</v>
      </c>
      <c r="E51" s="50" t="b">
        <v>1</v>
      </c>
      <c r="F51" s="72" t="str">
        <f>HYPERLINK("http://nsgreg.nga.mil/genc/view?v=292335&amp;end_month=6&amp;end_day=30&amp;end_year=2019","Aïn Defla")</f>
        <v>Aïn Defla</v>
      </c>
      <c r="G51" s="72" t="str">
        <f>HYPERLINK("http://api.nsgreg.nga.mil/geo-division/GENC/6/3-11/DZ-44","as:GENC:6:3-11:DZ-44")</f>
        <v>as:GENC:6:3-11:DZ-44</v>
      </c>
    </row>
    <row r="52" spans="1:7" x14ac:dyDescent="0.25">
      <c r="A52" s="112"/>
      <c r="B52" s="21" t="s">
        <v>1764</v>
      </c>
      <c r="C52" s="21" t="s">
        <v>1765</v>
      </c>
      <c r="D52" s="21" t="s">
        <v>1668</v>
      </c>
      <c r="E52" s="50" t="b">
        <v>1</v>
      </c>
      <c r="F52" s="72" t="str">
        <f>HYPERLINK("http://nsgreg.nga.mil/genc/view?v=292337&amp;end_month=6&amp;end_day=30&amp;end_year=2019","Aïn Temouchent")</f>
        <v>Aïn Temouchent</v>
      </c>
      <c r="G52" s="72" t="str">
        <f>HYPERLINK("http://api.nsgreg.nga.mil/geo-division/GENC/6/3-11/DZ-46","as:GENC:6:3-11:DZ-46")</f>
        <v>as:GENC:6:3-11:DZ-46</v>
      </c>
    </row>
    <row r="53" spans="1:7" x14ac:dyDescent="0.25">
      <c r="A53" s="112"/>
      <c r="B53" s="21" t="s">
        <v>1766</v>
      </c>
      <c r="C53" s="21" t="s">
        <v>1767</v>
      </c>
      <c r="D53" s="21" t="s">
        <v>1668</v>
      </c>
      <c r="E53" s="50" t="b">
        <v>1</v>
      </c>
      <c r="F53" s="72" t="str">
        <f>HYPERLINK("http://nsgreg.nga.mil/genc/view?v=292307&amp;end_month=6&amp;end_day=30&amp;end_year=2019","Alger")</f>
        <v>Alger</v>
      </c>
      <c r="G53" s="72" t="str">
        <f>HYPERLINK("http://api.nsgreg.nga.mil/geo-division/GENC/6/3-11/DZ-16","as:GENC:6:3-11:DZ-16")</f>
        <v>as:GENC:6:3-11:DZ-16</v>
      </c>
    </row>
    <row r="54" spans="1:7" x14ac:dyDescent="0.25">
      <c r="A54" s="112"/>
      <c r="B54" s="21" t="s">
        <v>1768</v>
      </c>
      <c r="C54" s="21" t="s">
        <v>1769</v>
      </c>
      <c r="D54" s="21" t="s">
        <v>1668</v>
      </c>
      <c r="E54" s="50" t="b">
        <v>1</v>
      </c>
      <c r="F54" s="72" t="str">
        <f>HYPERLINK("http://nsgreg.nga.mil/genc/view?v=292314&amp;end_month=6&amp;end_day=30&amp;end_year=2019","Annaba")</f>
        <v>Annaba</v>
      </c>
      <c r="G54" s="72" t="str">
        <f>HYPERLINK("http://api.nsgreg.nga.mil/geo-division/GENC/6/3-11/DZ-23","as:GENC:6:3-11:DZ-23")</f>
        <v>as:GENC:6:3-11:DZ-23</v>
      </c>
    </row>
    <row r="55" spans="1:7" x14ac:dyDescent="0.25">
      <c r="A55" s="112"/>
      <c r="B55" s="21" t="s">
        <v>1770</v>
      </c>
      <c r="C55" s="21" t="s">
        <v>1771</v>
      </c>
      <c r="D55" s="21" t="s">
        <v>1668</v>
      </c>
      <c r="E55" s="50" t="b">
        <v>1</v>
      </c>
      <c r="F55" s="72" t="str">
        <f>HYPERLINK("http://nsgreg.nga.mil/genc/view?v=292296&amp;end_month=6&amp;end_day=30&amp;end_year=2019","Batna")</f>
        <v>Batna</v>
      </c>
      <c r="G55" s="72" t="str">
        <f>HYPERLINK("http://api.nsgreg.nga.mil/geo-division/GENC/6/3-11/DZ-05","as:GENC:6:3-11:DZ-05")</f>
        <v>as:GENC:6:3-11:DZ-05</v>
      </c>
    </row>
    <row r="56" spans="1:7" x14ac:dyDescent="0.25">
      <c r="A56" s="112"/>
      <c r="B56" s="21" t="s">
        <v>1772</v>
      </c>
      <c r="C56" s="21" t="s">
        <v>1773</v>
      </c>
      <c r="D56" s="21" t="s">
        <v>1668</v>
      </c>
      <c r="E56" s="50" t="b">
        <v>1</v>
      </c>
      <c r="F56" s="72" t="str">
        <f>HYPERLINK("http://nsgreg.nga.mil/genc/view?v=292299&amp;end_month=6&amp;end_day=30&amp;end_year=2019","Béchar")</f>
        <v>Béchar</v>
      </c>
      <c r="G56" s="72" t="str">
        <f>HYPERLINK("http://api.nsgreg.nga.mil/geo-division/GENC/6/3-11/DZ-08","as:GENC:6:3-11:DZ-08")</f>
        <v>as:GENC:6:3-11:DZ-08</v>
      </c>
    </row>
    <row r="57" spans="1:7" x14ac:dyDescent="0.25">
      <c r="A57" s="112"/>
      <c r="B57" s="21" t="s">
        <v>1774</v>
      </c>
      <c r="C57" s="21" t="s">
        <v>1775</v>
      </c>
      <c r="D57" s="21" t="s">
        <v>1668</v>
      </c>
      <c r="E57" s="50" t="b">
        <v>1</v>
      </c>
      <c r="F57" s="72" t="str">
        <f>HYPERLINK("http://nsgreg.nga.mil/genc/view?v=292297&amp;end_month=6&amp;end_day=30&amp;end_year=2019","Bejaïa")</f>
        <v>Bejaïa</v>
      </c>
      <c r="G57" s="72" t="str">
        <f>HYPERLINK("http://api.nsgreg.nga.mil/geo-division/GENC/6/3-11/DZ-06","as:GENC:6:3-11:DZ-06")</f>
        <v>as:GENC:6:3-11:DZ-06</v>
      </c>
    </row>
    <row r="58" spans="1:7" x14ac:dyDescent="0.25">
      <c r="A58" s="112"/>
      <c r="B58" s="21" t="s">
        <v>1776</v>
      </c>
      <c r="C58" s="21" t="s">
        <v>1777</v>
      </c>
      <c r="D58" s="21" t="s">
        <v>1668</v>
      </c>
      <c r="E58" s="50" t="b">
        <v>1</v>
      </c>
      <c r="F58" s="72" t="str">
        <f>HYPERLINK("http://nsgreg.nga.mil/genc/view?v=292298&amp;end_month=6&amp;end_day=30&amp;end_year=2019","Biskra")</f>
        <v>Biskra</v>
      </c>
      <c r="G58" s="72" t="str">
        <f>HYPERLINK("http://api.nsgreg.nga.mil/geo-division/GENC/6/3-11/DZ-07","as:GENC:6:3-11:DZ-07")</f>
        <v>as:GENC:6:3-11:DZ-07</v>
      </c>
    </row>
    <row r="59" spans="1:7" x14ac:dyDescent="0.25">
      <c r="A59" s="112"/>
      <c r="B59" s="21" t="s">
        <v>1778</v>
      </c>
      <c r="C59" s="21" t="s">
        <v>1779</v>
      </c>
      <c r="D59" s="21" t="s">
        <v>1668</v>
      </c>
      <c r="E59" s="50" t="b">
        <v>1</v>
      </c>
      <c r="F59" s="72" t="str">
        <f>HYPERLINK("http://nsgreg.nga.mil/genc/view?v=292300&amp;end_month=6&amp;end_day=30&amp;end_year=2019","Blida")</f>
        <v>Blida</v>
      </c>
      <c r="G59" s="72" t="str">
        <f>HYPERLINK("http://api.nsgreg.nga.mil/geo-division/GENC/6/3-11/DZ-09","as:GENC:6:3-11:DZ-09")</f>
        <v>as:GENC:6:3-11:DZ-09</v>
      </c>
    </row>
    <row r="60" spans="1:7" x14ac:dyDescent="0.25">
      <c r="A60" s="112"/>
      <c r="B60" s="21" t="s">
        <v>1780</v>
      </c>
      <c r="C60" s="21" t="s">
        <v>1781</v>
      </c>
      <c r="D60" s="21" t="s">
        <v>1668</v>
      </c>
      <c r="E60" s="50" t="b">
        <v>1</v>
      </c>
      <c r="F60" s="72" t="str">
        <f>HYPERLINK("http://nsgreg.nga.mil/genc/view?v=292325&amp;end_month=6&amp;end_day=30&amp;end_year=2019","Bordj Bou Arréridj")</f>
        <v>Bordj Bou Arréridj</v>
      </c>
      <c r="G60" s="72" t="str">
        <f>HYPERLINK("http://api.nsgreg.nga.mil/geo-division/GENC/6/3-11/DZ-34","as:GENC:6:3-11:DZ-34")</f>
        <v>as:GENC:6:3-11:DZ-34</v>
      </c>
    </row>
    <row r="61" spans="1:7" x14ac:dyDescent="0.25">
      <c r="A61" s="112"/>
      <c r="B61" s="21" t="s">
        <v>1782</v>
      </c>
      <c r="C61" s="21" t="s">
        <v>1783</v>
      </c>
      <c r="D61" s="21" t="s">
        <v>1668</v>
      </c>
      <c r="E61" s="50" t="b">
        <v>1</v>
      </c>
      <c r="F61" s="72" t="str">
        <f>HYPERLINK("http://nsgreg.nga.mil/genc/view?v=292301&amp;end_month=6&amp;end_day=30&amp;end_year=2019","Bouira")</f>
        <v>Bouira</v>
      </c>
      <c r="G61" s="72" t="str">
        <f>HYPERLINK("http://api.nsgreg.nga.mil/geo-division/GENC/6/3-11/DZ-10","as:GENC:6:3-11:DZ-10")</f>
        <v>as:GENC:6:3-11:DZ-10</v>
      </c>
    </row>
    <row r="62" spans="1:7" x14ac:dyDescent="0.25">
      <c r="A62" s="112"/>
      <c r="B62" s="21" t="s">
        <v>1784</v>
      </c>
      <c r="C62" s="21" t="s">
        <v>1785</v>
      </c>
      <c r="D62" s="21" t="s">
        <v>1668</v>
      </c>
      <c r="E62" s="50" t="b">
        <v>1</v>
      </c>
      <c r="F62" s="72" t="str">
        <f>HYPERLINK("http://nsgreg.nga.mil/genc/view?v=292326&amp;end_month=6&amp;end_day=30&amp;end_year=2019","Boumerdes")</f>
        <v>Boumerdes</v>
      </c>
      <c r="G62" s="72" t="str">
        <f>HYPERLINK("http://api.nsgreg.nga.mil/geo-division/GENC/6/3-11/DZ-35","as:GENC:6:3-11:DZ-35")</f>
        <v>as:GENC:6:3-11:DZ-35</v>
      </c>
    </row>
    <row r="63" spans="1:7" x14ac:dyDescent="0.25">
      <c r="A63" s="112"/>
      <c r="B63" s="21" t="s">
        <v>1786</v>
      </c>
      <c r="C63" s="21" t="s">
        <v>1787</v>
      </c>
      <c r="D63" s="21" t="s">
        <v>1668</v>
      </c>
      <c r="E63" s="50" t="b">
        <v>1</v>
      </c>
      <c r="F63" s="72" t="str">
        <f>HYPERLINK("http://nsgreg.nga.mil/genc/view?v=292293&amp;end_month=6&amp;end_day=30&amp;end_year=2019","Chlef")</f>
        <v>Chlef</v>
      </c>
      <c r="G63" s="72" t="str">
        <f>HYPERLINK("http://api.nsgreg.nga.mil/geo-division/GENC/6/3-11/DZ-02","as:GENC:6:3-11:DZ-02")</f>
        <v>as:GENC:6:3-11:DZ-02</v>
      </c>
    </row>
    <row r="64" spans="1:7" x14ac:dyDescent="0.25">
      <c r="A64" s="112"/>
      <c r="B64" s="21" t="s">
        <v>1788</v>
      </c>
      <c r="C64" s="21" t="s">
        <v>1789</v>
      </c>
      <c r="D64" s="21" t="s">
        <v>1668</v>
      </c>
      <c r="E64" s="50" t="b">
        <v>1</v>
      </c>
      <c r="F64" s="72" t="str">
        <f>HYPERLINK("http://nsgreg.nga.mil/genc/view?v=292316&amp;end_month=6&amp;end_day=30&amp;end_year=2019","Constantine")</f>
        <v>Constantine</v>
      </c>
      <c r="G64" s="72" t="str">
        <f>HYPERLINK("http://api.nsgreg.nga.mil/geo-division/GENC/6/3-11/DZ-25","as:GENC:6:3-11:DZ-25")</f>
        <v>as:GENC:6:3-11:DZ-25</v>
      </c>
    </row>
    <row r="65" spans="1:7" x14ac:dyDescent="0.25">
      <c r="A65" s="112"/>
      <c r="B65" s="21" t="s">
        <v>1790</v>
      </c>
      <c r="C65" s="21" t="s">
        <v>1791</v>
      </c>
      <c r="D65" s="21" t="s">
        <v>1668</v>
      </c>
      <c r="E65" s="50" t="b">
        <v>1</v>
      </c>
      <c r="F65" s="72" t="str">
        <f>HYPERLINK("http://nsgreg.nga.mil/genc/view?v=292308&amp;end_month=6&amp;end_day=30&amp;end_year=2019","Djelfa")</f>
        <v>Djelfa</v>
      </c>
      <c r="G65" s="72" t="str">
        <f>HYPERLINK("http://api.nsgreg.nga.mil/geo-division/GENC/6/3-11/DZ-17","as:GENC:6:3-11:DZ-17")</f>
        <v>as:GENC:6:3-11:DZ-17</v>
      </c>
    </row>
    <row r="66" spans="1:7" x14ac:dyDescent="0.25">
      <c r="A66" s="112"/>
      <c r="B66" s="21" t="s">
        <v>1792</v>
      </c>
      <c r="C66" s="21" t="s">
        <v>1793</v>
      </c>
      <c r="D66" s="21" t="s">
        <v>1668</v>
      </c>
      <c r="E66" s="50" t="b">
        <v>1</v>
      </c>
      <c r="F66" s="72" t="str">
        <f>HYPERLINK("http://nsgreg.nga.mil/genc/view?v=292323&amp;end_month=6&amp;end_day=30&amp;end_year=2019","El Bayadh")</f>
        <v>El Bayadh</v>
      </c>
      <c r="G66" s="72" t="str">
        <f>HYPERLINK("http://api.nsgreg.nga.mil/geo-division/GENC/6/3-11/DZ-32","as:GENC:6:3-11:DZ-32")</f>
        <v>as:GENC:6:3-11:DZ-32</v>
      </c>
    </row>
    <row r="67" spans="1:7" x14ac:dyDescent="0.25">
      <c r="A67" s="112"/>
      <c r="B67" s="21" t="s">
        <v>1794</v>
      </c>
      <c r="C67" s="21" t="s">
        <v>1795</v>
      </c>
      <c r="D67" s="21" t="s">
        <v>1668</v>
      </c>
      <c r="E67" s="50" t="b">
        <v>1</v>
      </c>
      <c r="F67" s="72" t="str">
        <f>HYPERLINK("http://nsgreg.nga.mil/genc/view?v=292330&amp;end_month=6&amp;end_day=30&amp;end_year=2019","El Oued")</f>
        <v>El Oued</v>
      </c>
      <c r="G67" s="72" t="str">
        <f>HYPERLINK("http://api.nsgreg.nga.mil/geo-division/GENC/6/3-11/DZ-39","as:GENC:6:3-11:DZ-39")</f>
        <v>as:GENC:6:3-11:DZ-39</v>
      </c>
    </row>
    <row r="68" spans="1:7" x14ac:dyDescent="0.25">
      <c r="A68" s="112"/>
      <c r="B68" s="21" t="s">
        <v>1796</v>
      </c>
      <c r="C68" s="21" t="s">
        <v>1797</v>
      </c>
      <c r="D68" s="21" t="s">
        <v>1668</v>
      </c>
      <c r="E68" s="50" t="b">
        <v>1</v>
      </c>
      <c r="F68" s="72" t="str">
        <f>HYPERLINK("http://nsgreg.nga.mil/genc/view?v=292327&amp;end_month=6&amp;end_day=30&amp;end_year=2019","El Tarf")</f>
        <v>El Tarf</v>
      </c>
      <c r="G68" s="72" t="str">
        <f>HYPERLINK("http://api.nsgreg.nga.mil/geo-division/GENC/6/3-11/DZ-36","as:GENC:6:3-11:DZ-36")</f>
        <v>as:GENC:6:3-11:DZ-36</v>
      </c>
    </row>
    <row r="69" spans="1:7" x14ac:dyDescent="0.25">
      <c r="A69" s="112"/>
      <c r="B69" s="21" t="s">
        <v>1798</v>
      </c>
      <c r="C69" s="21" t="s">
        <v>1799</v>
      </c>
      <c r="D69" s="21" t="s">
        <v>1668</v>
      </c>
      <c r="E69" s="50" t="b">
        <v>1</v>
      </c>
      <c r="F69" s="72" t="str">
        <f>HYPERLINK("http://nsgreg.nga.mil/genc/view?v=292338&amp;end_month=6&amp;end_day=30&amp;end_year=2019","Ghardaïa")</f>
        <v>Ghardaïa</v>
      </c>
      <c r="G69" s="72" t="str">
        <f>HYPERLINK("http://api.nsgreg.nga.mil/geo-division/GENC/6/3-11/DZ-47","as:GENC:6:3-11:DZ-47")</f>
        <v>as:GENC:6:3-11:DZ-47</v>
      </c>
    </row>
    <row r="70" spans="1:7" x14ac:dyDescent="0.25">
      <c r="A70" s="112"/>
      <c r="B70" s="21" t="s">
        <v>1800</v>
      </c>
      <c r="C70" s="21" t="s">
        <v>1801</v>
      </c>
      <c r="D70" s="21" t="s">
        <v>1668</v>
      </c>
      <c r="E70" s="50" t="b">
        <v>1</v>
      </c>
      <c r="F70" s="72" t="str">
        <f>HYPERLINK("http://nsgreg.nga.mil/genc/view?v=292315&amp;end_month=6&amp;end_day=30&amp;end_year=2019","Guelma")</f>
        <v>Guelma</v>
      </c>
      <c r="G70" s="72" t="str">
        <f>HYPERLINK("http://api.nsgreg.nga.mil/geo-division/GENC/6/3-11/DZ-24","as:GENC:6:3-11:DZ-24")</f>
        <v>as:GENC:6:3-11:DZ-24</v>
      </c>
    </row>
    <row r="71" spans="1:7" x14ac:dyDescent="0.25">
      <c r="A71" s="112"/>
      <c r="B71" s="21" t="s">
        <v>1802</v>
      </c>
      <c r="C71" s="21" t="s">
        <v>1803</v>
      </c>
      <c r="D71" s="21" t="s">
        <v>1668</v>
      </c>
      <c r="E71" s="50" t="b">
        <v>1</v>
      </c>
      <c r="F71" s="72" t="str">
        <f>HYPERLINK("http://nsgreg.nga.mil/genc/view?v=292324&amp;end_month=6&amp;end_day=30&amp;end_year=2019","Illizi")</f>
        <v>Illizi</v>
      </c>
      <c r="G71" s="72" t="str">
        <f>HYPERLINK("http://api.nsgreg.nga.mil/geo-division/GENC/6/3-11/DZ-33","as:GENC:6:3-11:DZ-33")</f>
        <v>as:GENC:6:3-11:DZ-33</v>
      </c>
    </row>
    <row r="72" spans="1:7" x14ac:dyDescent="0.25">
      <c r="A72" s="112"/>
      <c r="B72" s="21" t="s">
        <v>1804</v>
      </c>
      <c r="C72" s="21" t="s">
        <v>1805</v>
      </c>
      <c r="D72" s="21" t="s">
        <v>1668</v>
      </c>
      <c r="E72" s="50" t="b">
        <v>1</v>
      </c>
      <c r="F72" s="72" t="str">
        <f>HYPERLINK("http://nsgreg.nga.mil/genc/view?v=292309&amp;end_month=6&amp;end_day=30&amp;end_year=2019","Jijel")</f>
        <v>Jijel</v>
      </c>
      <c r="G72" s="72" t="str">
        <f>HYPERLINK("http://api.nsgreg.nga.mil/geo-division/GENC/6/3-11/DZ-18","as:GENC:6:3-11:DZ-18")</f>
        <v>as:GENC:6:3-11:DZ-18</v>
      </c>
    </row>
    <row r="73" spans="1:7" x14ac:dyDescent="0.25">
      <c r="A73" s="112"/>
      <c r="B73" s="21" t="s">
        <v>1806</v>
      </c>
      <c r="C73" s="21" t="s">
        <v>1807</v>
      </c>
      <c r="D73" s="21" t="s">
        <v>1668</v>
      </c>
      <c r="E73" s="50" t="b">
        <v>1</v>
      </c>
      <c r="F73" s="72" t="str">
        <f>HYPERLINK("http://nsgreg.nga.mil/genc/view?v=292331&amp;end_month=6&amp;end_day=30&amp;end_year=2019","Khenchela")</f>
        <v>Khenchela</v>
      </c>
      <c r="G73" s="72" t="str">
        <f>HYPERLINK("http://api.nsgreg.nga.mil/geo-division/GENC/6/3-11/DZ-40","as:GENC:6:3-11:DZ-40")</f>
        <v>as:GENC:6:3-11:DZ-40</v>
      </c>
    </row>
    <row r="74" spans="1:7" x14ac:dyDescent="0.25">
      <c r="A74" s="112"/>
      <c r="B74" s="21" t="s">
        <v>1808</v>
      </c>
      <c r="C74" s="21" t="s">
        <v>1809</v>
      </c>
      <c r="D74" s="21" t="s">
        <v>1668</v>
      </c>
      <c r="E74" s="50" t="b">
        <v>1</v>
      </c>
      <c r="F74" s="72" t="str">
        <f>HYPERLINK("http://nsgreg.nga.mil/genc/view?v=292294&amp;end_month=6&amp;end_day=30&amp;end_year=2019","Laghouat")</f>
        <v>Laghouat</v>
      </c>
      <c r="G74" s="72" t="str">
        <f>HYPERLINK("http://api.nsgreg.nga.mil/geo-division/GENC/6/3-11/DZ-03","as:GENC:6:3-11:DZ-03")</f>
        <v>as:GENC:6:3-11:DZ-03</v>
      </c>
    </row>
    <row r="75" spans="1:7" x14ac:dyDescent="0.25">
      <c r="A75" s="112"/>
      <c r="B75" s="21" t="s">
        <v>1810</v>
      </c>
      <c r="C75" s="21" t="s">
        <v>1811</v>
      </c>
      <c r="D75" s="21" t="s">
        <v>1668</v>
      </c>
      <c r="E75" s="50" t="b">
        <v>1</v>
      </c>
      <c r="F75" s="72" t="str">
        <f>HYPERLINK("http://nsgreg.nga.mil/genc/view?v=292320&amp;end_month=6&amp;end_day=30&amp;end_year=2019","Mascara")</f>
        <v>Mascara</v>
      </c>
      <c r="G75" s="72" t="str">
        <f>HYPERLINK("http://api.nsgreg.nga.mil/geo-division/GENC/6/3-11/DZ-29","as:GENC:6:3-11:DZ-29")</f>
        <v>as:GENC:6:3-11:DZ-29</v>
      </c>
    </row>
    <row r="76" spans="1:7" x14ac:dyDescent="0.25">
      <c r="A76" s="112"/>
      <c r="B76" s="21" t="s">
        <v>1812</v>
      </c>
      <c r="C76" s="21" t="s">
        <v>1813</v>
      </c>
      <c r="D76" s="21" t="s">
        <v>1668</v>
      </c>
      <c r="E76" s="50" t="b">
        <v>1</v>
      </c>
      <c r="F76" s="72" t="str">
        <f>HYPERLINK("http://nsgreg.nga.mil/genc/view?v=292317&amp;end_month=6&amp;end_day=30&amp;end_year=2019","Médéa")</f>
        <v>Médéa</v>
      </c>
      <c r="G76" s="72" t="str">
        <f>HYPERLINK("http://api.nsgreg.nga.mil/geo-division/GENC/6/3-11/DZ-26","as:GENC:6:3-11:DZ-26")</f>
        <v>as:GENC:6:3-11:DZ-26</v>
      </c>
    </row>
    <row r="77" spans="1:7" x14ac:dyDescent="0.25">
      <c r="A77" s="112"/>
      <c r="B77" s="21" t="s">
        <v>1814</v>
      </c>
      <c r="C77" s="21" t="s">
        <v>1815</v>
      </c>
      <c r="D77" s="21" t="s">
        <v>1668</v>
      </c>
      <c r="E77" s="50" t="b">
        <v>1</v>
      </c>
      <c r="F77" s="72" t="str">
        <f>HYPERLINK("http://nsgreg.nga.mil/genc/view?v=292334&amp;end_month=6&amp;end_day=30&amp;end_year=2019","Mila")</f>
        <v>Mila</v>
      </c>
      <c r="G77" s="72" t="str">
        <f>HYPERLINK("http://api.nsgreg.nga.mil/geo-division/GENC/6/3-11/DZ-43","as:GENC:6:3-11:DZ-43")</f>
        <v>as:GENC:6:3-11:DZ-43</v>
      </c>
    </row>
    <row r="78" spans="1:7" x14ac:dyDescent="0.25">
      <c r="A78" s="112"/>
      <c r="B78" s="21" t="s">
        <v>1816</v>
      </c>
      <c r="C78" s="21" t="s">
        <v>1817</v>
      </c>
      <c r="D78" s="21" t="s">
        <v>1668</v>
      </c>
      <c r="E78" s="50" t="b">
        <v>1</v>
      </c>
      <c r="F78" s="72" t="str">
        <f>HYPERLINK("http://nsgreg.nga.mil/genc/view?v=292318&amp;end_month=6&amp;end_day=30&amp;end_year=2019","Mostaganem")</f>
        <v>Mostaganem</v>
      </c>
      <c r="G78" s="72" t="str">
        <f>HYPERLINK("http://api.nsgreg.nga.mil/geo-division/GENC/6/3-11/DZ-27","as:GENC:6:3-11:DZ-27")</f>
        <v>as:GENC:6:3-11:DZ-27</v>
      </c>
    </row>
    <row r="79" spans="1:7" x14ac:dyDescent="0.25">
      <c r="A79" s="112"/>
      <c r="B79" s="21" t="s">
        <v>1818</v>
      </c>
      <c r="C79" s="21" t="s">
        <v>1819</v>
      </c>
      <c r="D79" s="21" t="s">
        <v>1668</v>
      </c>
      <c r="E79" s="50" t="b">
        <v>1</v>
      </c>
      <c r="F79" s="72" t="str">
        <f>HYPERLINK("http://nsgreg.nga.mil/genc/view?v=292319&amp;end_month=6&amp;end_day=30&amp;end_year=2019","M’sila")</f>
        <v>M’sila</v>
      </c>
      <c r="G79" s="72" t="str">
        <f>HYPERLINK("http://api.nsgreg.nga.mil/geo-division/GENC/6/3-11/DZ-28","as:GENC:6:3-11:DZ-28")</f>
        <v>as:GENC:6:3-11:DZ-28</v>
      </c>
    </row>
    <row r="80" spans="1:7" x14ac:dyDescent="0.25">
      <c r="A80" s="112"/>
      <c r="B80" s="21" t="s">
        <v>1820</v>
      </c>
      <c r="C80" s="21" t="s">
        <v>1821</v>
      </c>
      <c r="D80" s="21" t="s">
        <v>1668</v>
      </c>
      <c r="E80" s="50" t="b">
        <v>1</v>
      </c>
      <c r="F80" s="72" t="str">
        <f>HYPERLINK("http://nsgreg.nga.mil/genc/view?v=292336&amp;end_month=6&amp;end_day=30&amp;end_year=2019","Naama")</f>
        <v>Naama</v>
      </c>
      <c r="G80" s="72" t="str">
        <f>HYPERLINK("http://api.nsgreg.nga.mil/geo-division/GENC/6/3-11/DZ-45","as:GENC:6:3-11:DZ-45")</f>
        <v>as:GENC:6:3-11:DZ-45</v>
      </c>
    </row>
    <row r="81" spans="1:7" x14ac:dyDescent="0.25">
      <c r="A81" s="112"/>
      <c r="B81" s="21" t="s">
        <v>1822</v>
      </c>
      <c r="C81" s="21" t="s">
        <v>1823</v>
      </c>
      <c r="D81" s="21" t="s">
        <v>1668</v>
      </c>
      <c r="E81" s="50" t="b">
        <v>1</v>
      </c>
      <c r="F81" s="72" t="str">
        <f>HYPERLINK("http://nsgreg.nga.mil/genc/view?v=292322&amp;end_month=6&amp;end_day=30&amp;end_year=2019","Oran")</f>
        <v>Oran</v>
      </c>
      <c r="G81" s="72" t="str">
        <f>HYPERLINK("http://api.nsgreg.nga.mil/geo-division/GENC/6/3-11/DZ-31","as:GENC:6:3-11:DZ-31")</f>
        <v>as:GENC:6:3-11:DZ-31</v>
      </c>
    </row>
    <row r="82" spans="1:7" x14ac:dyDescent="0.25">
      <c r="A82" s="112"/>
      <c r="B82" s="21" t="s">
        <v>1824</v>
      </c>
      <c r="C82" s="21" t="s">
        <v>1825</v>
      </c>
      <c r="D82" s="21" t="s">
        <v>1668</v>
      </c>
      <c r="E82" s="50" t="b">
        <v>1</v>
      </c>
      <c r="F82" s="72" t="str">
        <f>HYPERLINK("http://nsgreg.nga.mil/genc/view?v=292321&amp;end_month=6&amp;end_day=30&amp;end_year=2019","Ouargla")</f>
        <v>Ouargla</v>
      </c>
      <c r="G82" s="72" t="str">
        <f>HYPERLINK("http://api.nsgreg.nga.mil/geo-division/GENC/6/3-11/DZ-30","as:GENC:6:3-11:DZ-30")</f>
        <v>as:GENC:6:3-11:DZ-30</v>
      </c>
    </row>
    <row r="83" spans="1:7" x14ac:dyDescent="0.25">
      <c r="A83" s="112"/>
      <c r="B83" s="21" t="s">
        <v>1826</v>
      </c>
      <c r="C83" s="21" t="s">
        <v>1827</v>
      </c>
      <c r="D83" s="21" t="s">
        <v>1668</v>
      </c>
      <c r="E83" s="50" t="b">
        <v>1</v>
      </c>
      <c r="F83" s="72" t="str">
        <f>HYPERLINK("http://nsgreg.nga.mil/genc/view?v=292295&amp;end_month=6&amp;end_day=30&amp;end_year=2019","Oum el Bouaghi")</f>
        <v>Oum el Bouaghi</v>
      </c>
      <c r="G83" s="72" t="str">
        <f>HYPERLINK("http://api.nsgreg.nga.mil/geo-division/GENC/6/3-11/DZ-04","as:GENC:6:3-11:DZ-04")</f>
        <v>as:GENC:6:3-11:DZ-04</v>
      </c>
    </row>
    <row r="84" spans="1:7" x14ac:dyDescent="0.25">
      <c r="A84" s="112"/>
      <c r="B84" s="21" t="s">
        <v>1828</v>
      </c>
      <c r="C84" s="21" t="s">
        <v>1829</v>
      </c>
      <c r="D84" s="21" t="s">
        <v>1668</v>
      </c>
      <c r="E84" s="50" t="b">
        <v>1</v>
      </c>
      <c r="F84" s="72" t="str">
        <f>HYPERLINK("http://nsgreg.nga.mil/genc/view?v=292339&amp;end_month=6&amp;end_day=30&amp;end_year=2019","Relizane")</f>
        <v>Relizane</v>
      </c>
      <c r="G84" s="72" t="str">
        <f>HYPERLINK("http://api.nsgreg.nga.mil/geo-division/GENC/6/3-11/DZ-48","as:GENC:6:3-11:DZ-48")</f>
        <v>as:GENC:6:3-11:DZ-48</v>
      </c>
    </row>
    <row r="85" spans="1:7" x14ac:dyDescent="0.25">
      <c r="A85" s="112"/>
      <c r="B85" s="21" t="s">
        <v>1830</v>
      </c>
      <c r="C85" s="21" t="s">
        <v>1831</v>
      </c>
      <c r="D85" s="21" t="s">
        <v>1668</v>
      </c>
      <c r="E85" s="50" t="b">
        <v>1</v>
      </c>
      <c r="F85" s="72" t="str">
        <f>HYPERLINK("http://nsgreg.nga.mil/genc/view?v=292311&amp;end_month=6&amp;end_day=30&amp;end_year=2019","Saïda")</f>
        <v>Saïda</v>
      </c>
      <c r="G85" s="72" t="str">
        <f>HYPERLINK("http://api.nsgreg.nga.mil/geo-division/GENC/6/3-11/DZ-20","as:GENC:6:3-11:DZ-20")</f>
        <v>as:GENC:6:3-11:DZ-20</v>
      </c>
    </row>
    <row r="86" spans="1:7" x14ac:dyDescent="0.25">
      <c r="A86" s="112"/>
      <c r="B86" s="21" t="s">
        <v>1832</v>
      </c>
      <c r="C86" s="21" t="s">
        <v>1833</v>
      </c>
      <c r="D86" s="21" t="s">
        <v>1668</v>
      </c>
      <c r="E86" s="50" t="b">
        <v>1</v>
      </c>
      <c r="F86" s="72" t="str">
        <f>HYPERLINK("http://nsgreg.nga.mil/genc/view?v=292310&amp;end_month=6&amp;end_day=30&amp;end_year=2019","Sétif")</f>
        <v>Sétif</v>
      </c>
      <c r="G86" s="72" t="str">
        <f>HYPERLINK("http://api.nsgreg.nga.mil/geo-division/GENC/6/3-11/DZ-19","as:GENC:6:3-11:DZ-19")</f>
        <v>as:GENC:6:3-11:DZ-19</v>
      </c>
    </row>
    <row r="87" spans="1:7" x14ac:dyDescent="0.25">
      <c r="A87" s="112"/>
      <c r="B87" s="21" t="s">
        <v>1834</v>
      </c>
      <c r="C87" s="21" t="s">
        <v>1835</v>
      </c>
      <c r="D87" s="21" t="s">
        <v>1668</v>
      </c>
      <c r="E87" s="50" t="b">
        <v>1</v>
      </c>
      <c r="F87" s="72" t="str">
        <f>HYPERLINK("http://nsgreg.nga.mil/genc/view?v=292313&amp;end_month=6&amp;end_day=30&amp;end_year=2019","Sidi Bel Abbès")</f>
        <v>Sidi Bel Abbès</v>
      </c>
      <c r="G87" s="72" t="str">
        <f>HYPERLINK("http://api.nsgreg.nga.mil/geo-division/GENC/6/3-11/DZ-22","as:GENC:6:3-11:DZ-22")</f>
        <v>as:GENC:6:3-11:DZ-22</v>
      </c>
    </row>
    <row r="88" spans="1:7" x14ac:dyDescent="0.25">
      <c r="A88" s="112"/>
      <c r="B88" s="21" t="s">
        <v>1836</v>
      </c>
      <c r="C88" s="21" t="s">
        <v>1837</v>
      </c>
      <c r="D88" s="21" t="s">
        <v>1668</v>
      </c>
      <c r="E88" s="50" t="b">
        <v>1</v>
      </c>
      <c r="F88" s="72" t="str">
        <f>HYPERLINK("http://nsgreg.nga.mil/genc/view?v=292312&amp;end_month=6&amp;end_day=30&amp;end_year=2019","Skikda")</f>
        <v>Skikda</v>
      </c>
      <c r="G88" s="72" t="str">
        <f>HYPERLINK("http://api.nsgreg.nga.mil/geo-division/GENC/6/3-11/DZ-21","as:GENC:6:3-11:DZ-21")</f>
        <v>as:GENC:6:3-11:DZ-21</v>
      </c>
    </row>
    <row r="89" spans="1:7" x14ac:dyDescent="0.25">
      <c r="A89" s="112"/>
      <c r="B89" s="21" t="s">
        <v>1838</v>
      </c>
      <c r="C89" s="21" t="s">
        <v>1839</v>
      </c>
      <c r="D89" s="21" t="s">
        <v>1668</v>
      </c>
      <c r="E89" s="50" t="b">
        <v>1</v>
      </c>
      <c r="F89" s="72" t="str">
        <f>HYPERLINK("http://nsgreg.nga.mil/genc/view?v=292332&amp;end_month=6&amp;end_day=30&amp;end_year=2019","Souk Ahras")</f>
        <v>Souk Ahras</v>
      </c>
      <c r="G89" s="72" t="str">
        <f>HYPERLINK("http://api.nsgreg.nga.mil/geo-division/GENC/6/3-11/DZ-41","as:GENC:6:3-11:DZ-41")</f>
        <v>as:GENC:6:3-11:DZ-41</v>
      </c>
    </row>
    <row r="90" spans="1:7" x14ac:dyDescent="0.25">
      <c r="A90" s="112"/>
      <c r="B90" s="21" t="s">
        <v>1840</v>
      </c>
      <c r="C90" s="21" t="s">
        <v>1841</v>
      </c>
      <c r="D90" s="21" t="s">
        <v>1668</v>
      </c>
      <c r="E90" s="50" t="b">
        <v>1</v>
      </c>
      <c r="F90" s="72" t="str">
        <f>HYPERLINK("http://nsgreg.nga.mil/genc/view?v=292302&amp;end_month=6&amp;end_day=30&amp;end_year=2019","Tamanrasset")</f>
        <v>Tamanrasset</v>
      </c>
      <c r="G90" s="72" t="str">
        <f>HYPERLINK("http://api.nsgreg.nga.mil/geo-division/GENC/6/3-11/DZ-11","as:GENC:6:3-11:DZ-11")</f>
        <v>as:GENC:6:3-11:DZ-11</v>
      </c>
    </row>
    <row r="91" spans="1:7" x14ac:dyDescent="0.25">
      <c r="A91" s="112"/>
      <c r="B91" s="21" t="s">
        <v>1842</v>
      </c>
      <c r="C91" s="21" t="s">
        <v>1843</v>
      </c>
      <c r="D91" s="21" t="s">
        <v>1668</v>
      </c>
      <c r="E91" s="50" t="b">
        <v>1</v>
      </c>
      <c r="F91" s="72" t="str">
        <f>HYPERLINK("http://nsgreg.nga.mil/genc/view?v=292303&amp;end_month=6&amp;end_day=30&amp;end_year=2019","Tébessa")</f>
        <v>Tébessa</v>
      </c>
      <c r="G91" s="72" t="str">
        <f>HYPERLINK("http://api.nsgreg.nga.mil/geo-division/GENC/6/3-11/DZ-12","as:GENC:6:3-11:DZ-12")</f>
        <v>as:GENC:6:3-11:DZ-12</v>
      </c>
    </row>
    <row r="92" spans="1:7" x14ac:dyDescent="0.25">
      <c r="A92" s="112"/>
      <c r="B92" s="21" t="s">
        <v>1844</v>
      </c>
      <c r="C92" s="21" t="s">
        <v>1845</v>
      </c>
      <c r="D92" s="21" t="s">
        <v>1668</v>
      </c>
      <c r="E92" s="50" t="b">
        <v>1</v>
      </c>
      <c r="F92" s="72" t="str">
        <f>HYPERLINK("http://nsgreg.nga.mil/genc/view?v=292305&amp;end_month=6&amp;end_day=30&amp;end_year=2019","Tiaret")</f>
        <v>Tiaret</v>
      </c>
      <c r="G92" s="72" t="str">
        <f>HYPERLINK("http://api.nsgreg.nga.mil/geo-division/GENC/6/3-11/DZ-14","as:GENC:6:3-11:DZ-14")</f>
        <v>as:GENC:6:3-11:DZ-14</v>
      </c>
    </row>
    <row r="93" spans="1:7" x14ac:dyDescent="0.25">
      <c r="A93" s="112"/>
      <c r="B93" s="21" t="s">
        <v>1846</v>
      </c>
      <c r="C93" s="21" t="s">
        <v>1847</v>
      </c>
      <c r="D93" s="21" t="s">
        <v>1668</v>
      </c>
      <c r="E93" s="50" t="b">
        <v>1</v>
      </c>
      <c r="F93" s="72" t="str">
        <f>HYPERLINK("http://nsgreg.nga.mil/genc/view?v=292328&amp;end_month=6&amp;end_day=30&amp;end_year=2019","Tindouf")</f>
        <v>Tindouf</v>
      </c>
      <c r="G93" s="72" t="str">
        <f>HYPERLINK("http://api.nsgreg.nga.mil/geo-division/GENC/6/3-11/DZ-37","as:GENC:6:3-11:DZ-37")</f>
        <v>as:GENC:6:3-11:DZ-37</v>
      </c>
    </row>
    <row r="94" spans="1:7" x14ac:dyDescent="0.25">
      <c r="A94" s="112"/>
      <c r="B94" s="21" t="s">
        <v>1848</v>
      </c>
      <c r="C94" s="21" t="s">
        <v>1849</v>
      </c>
      <c r="D94" s="21" t="s">
        <v>1668</v>
      </c>
      <c r="E94" s="50" t="b">
        <v>1</v>
      </c>
      <c r="F94" s="72" t="str">
        <f>HYPERLINK("http://nsgreg.nga.mil/genc/view?v=292333&amp;end_month=6&amp;end_day=30&amp;end_year=2019","Tipaza")</f>
        <v>Tipaza</v>
      </c>
      <c r="G94" s="72" t="str">
        <f>HYPERLINK("http://api.nsgreg.nga.mil/geo-division/GENC/6/3-11/DZ-42","as:GENC:6:3-11:DZ-42")</f>
        <v>as:GENC:6:3-11:DZ-42</v>
      </c>
    </row>
    <row r="95" spans="1:7" x14ac:dyDescent="0.25">
      <c r="A95" s="112"/>
      <c r="B95" s="21" t="s">
        <v>1850</v>
      </c>
      <c r="C95" s="21" t="s">
        <v>1851</v>
      </c>
      <c r="D95" s="21" t="s">
        <v>1668</v>
      </c>
      <c r="E95" s="50" t="b">
        <v>1</v>
      </c>
      <c r="F95" s="72" t="str">
        <f>HYPERLINK("http://nsgreg.nga.mil/genc/view?v=292329&amp;end_month=6&amp;end_day=30&amp;end_year=2019","Tissemsilt")</f>
        <v>Tissemsilt</v>
      </c>
      <c r="G95" s="72" t="str">
        <f>HYPERLINK("http://api.nsgreg.nga.mil/geo-division/GENC/6/3-11/DZ-38","as:GENC:6:3-11:DZ-38")</f>
        <v>as:GENC:6:3-11:DZ-38</v>
      </c>
    </row>
    <row r="96" spans="1:7" x14ac:dyDescent="0.25">
      <c r="A96" s="112"/>
      <c r="B96" s="21" t="s">
        <v>1852</v>
      </c>
      <c r="C96" s="21" t="s">
        <v>1853</v>
      </c>
      <c r="D96" s="21" t="s">
        <v>1668</v>
      </c>
      <c r="E96" s="50" t="b">
        <v>1</v>
      </c>
      <c r="F96" s="72" t="str">
        <f>HYPERLINK("http://nsgreg.nga.mil/genc/view?v=292306&amp;end_month=6&amp;end_day=30&amp;end_year=2019","Tizi Ouzou")</f>
        <v>Tizi Ouzou</v>
      </c>
      <c r="G96" s="72" t="str">
        <f>HYPERLINK("http://api.nsgreg.nga.mil/geo-division/GENC/6/3-11/DZ-15","as:GENC:6:3-11:DZ-15")</f>
        <v>as:GENC:6:3-11:DZ-15</v>
      </c>
    </row>
    <row r="97" spans="1:7" x14ac:dyDescent="0.25">
      <c r="A97" s="113"/>
      <c r="B97" s="47" t="s">
        <v>1854</v>
      </c>
      <c r="C97" s="47" t="s">
        <v>1855</v>
      </c>
      <c r="D97" s="47" t="s">
        <v>1668</v>
      </c>
      <c r="E97" s="51" t="b">
        <v>1</v>
      </c>
      <c r="F97" s="73" t="str">
        <f>HYPERLINK("http://nsgreg.nga.mil/genc/view?v=292304&amp;end_month=6&amp;end_day=30&amp;end_year=2019","Tlemcen")</f>
        <v>Tlemcen</v>
      </c>
      <c r="G97" s="73" t="str">
        <f>HYPERLINK("http://api.nsgreg.nga.mil/geo-division/GENC/6/3-11/DZ-13","as:GENC:6:3-11:DZ-13")</f>
        <v>as:GENC:6:3-11:DZ-13</v>
      </c>
    </row>
    <row r="98" spans="1:7" x14ac:dyDescent="0.25">
      <c r="A98" s="111" t="str">
        <f>HYPERLINK("[#]Codes_for_GE_Names!A9:I9","ANDORRA")</f>
        <v>ANDORRA</v>
      </c>
      <c r="B98" s="42" t="s">
        <v>1856</v>
      </c>
      <c r="C98" s="42" t="s">
        <v>1857</v>
      </c>
      <c r="D98" s="42" t="s">
        <v>1858</v>
      </c>
      <c r="E98" s="49" t="b">
        <v>1</v>
      </c>
      <c r="F98" s="74" t="str">
        <f>HYPERLINK("http://nsgreg.nga.mil/genc/view?v=291304&amp;end_month=6&amp;end_day=30&amp;end_year=2019","Andorra la Vella")</f>
        <v>Andorra la Vella</v>
      </c>
      <c r="G98" s="74" t="str">
        <f>HYPERLINK("http://api.nsgreg.nga.mil/geo-division/GENC/6/3-11/AD-07","as:GENC:6:3-11:AD-07")</f>
        <v>as:GENC:6:3-11:AD-07</v>
      </c>
    </row>
    <row r="99" spans="1:7" x14ac:dyDescent="0.25">
      <c r="A99" s="112"/>
      <c r="B99" s="21" t="s">
        <v>1859</v>
      </c>
      <c r="C99" s="21" t="s">
        <v>1860</v>
      </c>
      <c r="D99" s="21" t="s">
        <v>1858</v>
      </c>
      <c r="E99" s="50" t="b">
        <v>1</v>
      </c>
      <c r="F99" s="72" t="str">
        <f>HYPERLINK("http://nsgreg.nga.mil/genc/view?v=291299&amp;end_month=6&amp;end_day=30&amp;end_year=2019","Canillo")</f>
        <v>Canillo</v>
      </c>
      <c r="G99" s="72" t="str">
        <f>HYPERLINK("http://api.nsgreg.nga.mil/geo-division/GENC/6/3-11/AD-02","as:GENC:6:3-11:AD-02")</f>
        <v>as:GENC:6:3-11:AD-02</v>
      </c>
    </row>
    <row r="100" spans="1:7" x14ac:dyDescent="0.25">
      <c r="A100" s="112"/>
      <c r="B100" s="21" t="s">
        <v>1861</v>
      </c>
      <c r="C100" s="21" t="s">
        <v>1862</v>
      </c>
      <c r="D100" s="21" t="s">
        <v>1858</v>
      </c>
      <c r="E100" s="50" t="b">
        <v>1</v>
      </c>
      <c r="F100" s="72" t="str">
        <f>HYPERLINK("http://nsgreg.nga.mil/genc/view?v=291300&amp;end_month=6&amp;end_day=30&amp;end_year=2019","Encamp")</f>
        <v>Encamp</v>
      </c>
      <c r="G100" s="72" t="str">
        <f>HYPERLINK("http://api.nsgreg.nga.mil/geo-division/GENC/6/3-11/AD-03","as:GENC:6:3-11:AD-03")</f>
        <v>as:GENC:6:3-11:AD-03</v>
      </c>
    </row>
    <row r="101" spans="1:7" x14ac:dyDescent="0.25">
      <c r="A101" s="112"/>
      <c r="B101" s="21" t="s">
        <v>1863</v>
      </c>
      <c r="C101" s="21" t="s">
        <v>1864</v>
      </c>
      <c r="D101" s="21" t="s">
        <v>1858</v>
      </c>
      <c r="E101" s="50" t="b">
        <v>1</v>
      </c>
      <c r="F101" s="72" t="str">
        <f>HYPERLINK("http://nsgreg.nga.mil/genc/view?v=291305&amp;end_month=6&amp;end_day=30&amp;end_year=2019","Escaldes-Engordany")</f>
        <v>Escaldes-Engordany</v>
      </c>
      <c r="G101" s="72" t="str">
        <f>HYPERLINK("http://api.nsgreg.nga.mil/geo-division/GENC/6/3-11/AD-08","as:GENC:6:3-11:AD-08")</f>
        <v>as:GENC:6:3-11:AD-08</v>
      </c>
    </row>
    <row r="102" spans="1:7" x14ac:dyDescent="0.25">
      <c r="A102" s="112"/>
      <c r="B102" s="21" t="s">
        <v>1865</v>
      </c>
      <c r="C102" s="21" t="s">
        <v>1866</v>
      </c>
      <c r="D102" s="21" t="s">
        <v>1858</v>
      </c>
      <c r="E102" s="50" t="b">
        <v>1</v>
      </c>
      <c r="F102" s="72" t="str">
        <f>HYPERLINK("http://nsgreg.nga.mil/genc/view?v=291301&amp;end_month=6&amp;end_day=30&amp;end_year=2019","La Massana")</f>
        <v>La Massana</v>
      </c>
      <c r="G102" s="72" t="str">
        <f>HYPERLINK("http://api.nsgreg.nga.mil/geo-division/GENC/6/3-11/AD-04","as:GENC:6:3-11:AD-04")</f>
        <v>as:GENC:6:3-11:AD-04</v>
      </c>
    </row>
    <row r="103" spans="1:7" x14ac:dyDescent="0.25">
      <c r="A103" s="112"/>
      <c r="B103" s="21" t="s">
        <v>1867</v>
      </c>
      <c r="C103" s="21" t="s">
        <v>1868</v>
      </c>
      <c r="D103" s="21" t="s">
        <v>1858</v>
      </c>
      <c r="E103" s="50" t="b">
        <v>1</v>
      </c>
      <c r="F103" s="72" t="str">
        <f>HYPERLINK("http://nsgreg.nga.mil/genc/view?v=291302&amp;end_month=6&amp;end_day=30&amp;end_year=2019","Ordino")</f>
        <v>Ordino</v>
      </c>
      <c r="G103" s="72" t="str">
        <f>HYPERLINK("http://api.nsgreg.nga.mil/geo-division/GENC/6/3-11/AD-05","as:GENC:6:3-11:AD-05")</f>
        <v>as:GENC:6:3-11:AD-05</v>
      </c>
    </row>
    <row r="104" spans="1:7" x14ac:dyDescent="0.25">
      <c r="A104" s="113"/>
      <c r="B104" s="47" t="s">
        <v>1869</v>
      </c>
      <c r="C104" s="47" t="s">
        <v>1870</v>
      </c>
      <c r="D104" s="47" t="s">
        <v>1858</v>
      </c>
      <c r="E104" s="51" t="b">
        <v>1</v>
      </c>
      <c r="F104" s="73" t="str">
        <f>HYPERLINK("http://nsgreg.nga.mil/genc/view?v=291303&amp;end_month=6&amp;end_day=30&amp;end_year=2019","Sant Julià de Lòria")</f>
        <v>Sant Julià de Lòria</v>
      </c>
      <c r="G104" s="73" t="str">
        <f>HYPERLINK("http://api.nsgreg.nga.mil/geo-division/GENC/6/3-11/AD-06","as:GENC:6:3-11:AD-06")</f>
        <v>as:GENC:6:3-11:AD-06</v>
      </c>
    </row>
    <row r="105" spans="1:7" x14ac:dyDescent="0.25">
      <c r="A105" s="111" t="str">
        <f>HYPERLINK("[#]Codes_for_GE_Names!A10:I10","ANGOLA")</f>
        <v>ANGOLA</v>
      </c>
      <c r="B105" s="42" t="s">
        <v>1871</v>
      </c>
      <c r="C105" s="42" t="s">
        <v>1872</v>
      </c>
      <c r="D105" s="42" t="s">
        <v>1668</v>
      </c>
      <c r="E105" s="49" t="b">
        <v>1</v>
      </c>
      <c r="F105" s="74" t="str">
        <f>HYPERLINK("http://nsgreg.nga.mil/genc/view?v=291378&amp;end_month=6&amp;end_day=30&amp;end_year=2019","Bengo")</f>
        <v>Bengo</v>
      </c>
      <c r="G105" s="74" t="str">
        <f>HYPERLINK("http://api.nsgreg.nga.mil/geo-division/GENC/6/3-11/AO-BGO","as:GENC:6:3-11:AO-BGO")</f>
        <v>as:GENC:6:3-11:AO-BGO</v>
      </c>
    </row>
    <row r="106" spans="1:7" x14ac:dyDescent="0.25">
      <c r="A106" s="112"/>
      <c r="B106" s="21" t="s">
        <v>1873</v>
      </c>
      <c r="C106" s="21" t="s">
        <v>1874</v>
      </c>
      <c r="D106" s="21" t="s">
        <v>1668</v>
      </c>
      <c r="E106" s="50" t="b">
        <v>1</v>
      </c>
      <c r="F106" s="72" t="str">
        <f>HYPERLINK("http://nsgreg.nga.mil/genc/view?v=291379&amp;end_month=6&amp;end_day=30&amp;end_year=2019","Benguela")</f>
        <v>Benguela</v>
      </c>
      <c r="G106" s="72" t="str">
        <f>HYPERLINK("http://api.nsgreg.nga.mil/geo-division/GENC/6/3-11/AO-BGU","as:GENC:6:3-11:AO-BGU")</f>
        <v>as:GENC:6:3-11:AO-BGU</v>
      </c>
    </row>
    <row r="107" spans="1:7" x14ac:dyDescent="0.25">
      <c r="A107" s="112"/>
      <c r="B107" s="21" t="s">
        <v>1875</v>
      </c>
      <c r="C107" s="21" t="s">
        <v>1876</v>
      </c>
      <c r="D107" s="21" t="s">
        <v>1668</v>
      </c>
      <c r="E107" s="50" t="b">
        <v>1</v>
      </c>
      <c r="F107" s="72" t="str">
        <f>HYPERLINK("http://nsgreg.nga.mil/genc/view?v=291380&amp;end_month=6&amp;end_day=30&amp;end_year=2019","Bié")</f>
        <v>Bié</v>
      </c>
      <c r="G107" s="72" t="str">
        <f>HYPERLINK("http://api.nsgreg.nga.mil/geo-division/GENC/6/3-11/AO-BIE","as:GENC:6:3-11:AO-BIE")</f>
        <v>as:GENC:6:3-11:AO-BIE</v>
      </c>
    </row>
    <row r="108" spans="1:7" x14ac:dyDescent="0.25">
      <c r="A108" s="112"/>
      <c r="B108" s="21" t="s">
        <v>1877</v>
      </c>
      <c r="C108" s="21" t="s">
        <v>1878</v>
      </c>
      <c r="D108" s="21" t="s">
        <v>1668</v>
      </c>
      <c r="E108" s="50" t="b">
        <v>1</v>
      </c>
      <c r="F108" s="72" t="str">
        <f>HYPERLINK("http://nsgreg.nga.mil/genc/view?v=291381&amp;end_month=6&amp;end_day=30&amp;end_year=2019","Cabinda")</f>
        <v>Cabinda</v>
      </c>
      <c r="G108" s="72" t="str">
        <f>HYPERLINK("http://api.nsgreg.nga.mil/geo-division/GENC/6/3-11/AO-CAB","as:GENC:6:3-11:AO-CAB")</f>
        <v>as:GENC:6:3-11:AO-CAB</v>
      </c>
    </row>
    <row r="109" spans="1:7" x14ac:dyDescent="0.25">
      <c r="A109" s="112"/>
      <c r="B109" s="21" t="s">
        <v>1879</v>
      </c>
      <c r="C109" s="21" t="s">
        <v>1880</v>
      </c>
      <c r="D109" s="21" t="s">
        <v>1668</v>
      </c>
      <c r="E109" s="50" t="b">
        <v>1</v>
      </c>
      <c r="F109" s="72" t="str">
        <f>HYPERLINK("http://nsgreg.nga.mil/genc/view?v=291383&amp;end_month=6&amp;end_day=30&amp;end_year=2019","Cunene")</f>
        <v>Cunene</v>
      </c>
      <c r="G109" s="72" t="str">
        <f>HYPERLINK("http://api.nsgreg.nga.mil/geo-division/GENC/6/3-11/AO-CNN","as:GENC:6:3-11:AO-CNN")</f>
        <v>as:GENC:6:3-11:AO-CNN</v>
      </c>
    </row>
    <row r="110" spans="1:7" x14ac:dyDescent="0.25">
      <c r="A110" s="112"/>
      <c r="B110" s="21" t="s">
        <v>1881</v>
      </c>
      <c r="C110" s="21" t="s">
        <v>1882</v>
      </c>
      <c r="D110" s="21" t="s">
        <v>1668</v>
      </c>
      <c r="E110" s="50" t="b">
        <v>1</v>
      </c>
      <c r="F110" s="72" t="str">
        <f>HYPERLINK("http://nsgreg.nga.mil/genc/view?v=291386&amp;end_month=6&amp;end_day=30&amp;end_year=2019","Huambo")</f>
        <v>Huambo</v>
      </c>
      <c r="G110" s="72" t="str">
        <f>HYPERLINK("http://api.nsgreg.nga.mil/geo-division/GENC/6/3-11/AO-HUA","as:GENC:6:3-11:AO-HUA")</f>
        <v>as:GENC:6:3-11:AO-HUA</v>
      </c>
    </row>
    <row r="111" spans="1:7" x14ac:dyDescent="0.25">
      <c r="A111" s="112"/>
      <c r="B111" s="21" t="s">
        <v>1883</v>
      </c>
      <c r="C111" s="21" t="s">
        <v>1884</v>
      </c>
      <c r="D111" s="21" t="s">
        <v>1668</v>
      </c>
      <c r="E111" s="50" t="b">
        <v>1</v>
      </c>
      <c r="F111" s="72" t="str">
        <f>HYPERLINK("http://nsgreg.nga.mil/genc/view?v=291387&amp;end_month=6&amp;end_day=30&amp;end_year=2019","Huíla")</f>
        <v>Huíla</v>
      </c>
      <c r="G111" s="72" t="str">
        <f>HYPERLINK("http://api.nsgreg.nga.mil/geo-division/GENC/6/3-11/AO-HUI","as:GENC:6:3-11:AO-HUI")</f>
        <v>as:GENC:6:3-11:AO-HUI</v>
      </c>
    </row>
    <row r="112" spans="1:7" x14ac:dyDescent="0.25">
      <c r="A112" s="112"/>
      <c r="B112" s="21" t="s">
        <v>1885</v>
      </c>
      <c r="C112" s="21" t="s">
        <v>1886</v>
      </c>
      <c r="D112" s="21" t="s">
        <v>1668</v>
      </c>
      <c r="E112" s="50" t="b">
        <v>1</v>
      </c>
      <c r="F112" s="72" t="str">
        <f>HYPERLINK("http://nsgreg.nga.mil/genc/view?v=291382&amp;end_month=6&amp;end_day=30&amp;end_year=2019","Kuando Kubango")</f>
        <v>Kuando Kubango</v>
      </c>
      <c r="G112" s="72" t="str">
        <f>HYPERLINK("http://api.nsgreg.nga.mil/geo-division/GENC/6/3-11/AO-CCU","as:GENC:6:3-11:AO-CCU")</f>
        <v>as:GENC:6:3-11:AO-CCU</v>
      </c>
    </row>
    <row r="113" spans="1:7" x14ac:dyDescent="0.25">
      <c r="A113" s="112"/>
      <c r="B113" s="21" t="s">
        <v>1887</v>
      </c>
      <c r="C113" s="21" t="s">
        <v>1888</v>
      </c>
      <c r="D113" s="21" t="s">
        <v>1668</v>
      </c>
      <c r="E113" s="50" t="b">
        <v>1</v>
      </c>
      <c r="F113" s="72" t="str">
        <f>HYPERLINK("http://nsgreg.nga.mil/genc/view?v=291384&amp;end_month=6&amp;end_day=30&amp;end_year=2019","Kwanza Norte")</f>
        <v>Kwanza Norte</v>
      </c>
      <c r="G113" s="72" t="str">
        <f>HYPERLINK("http://api.nsgreg.nga.mil/geo-division/GENC/6/3-11/AO-CNO","as:GENC:6:3-11:AO-CNO")</f>
        <v>as:GENC:6:3-11:AO-CNO</v>
      </c>
    </row>
    <row r="114" spans="1:7" x14ac:dyDescent="0.25">
      <c r="A114" s="112"/>
      <c r="B114" s="21" t="s">
        <v>1889</v>
      </c>
      <c r="C114" s="21" t="s">
        <v>1890</v>
      </c>
      <c r="D114" s="21" t="s">
        <v>1668</v>
      </c>
      <c r="E114" s="50" t="b">
        <v>1</v>
      </c>
      <c r="F114" s="72" t="str">
        <f>HYPERLINK("http://nsgreg.nga.mil/genc/view?v=291385&amp;end_month=6&amp;end_day=30&amp;end_year=2019","Kwanza Sul")</f>
        <v>Kwanza Sul</v>
      </c>
      <c r="G114" s="72" t="str">
        <f>HYPERLINK("http://api.nsgreg.nga.mil/geo-division/GENC/6/3-11/AO-CUS","as:GENC:6:3-11:AO-CUS")</f>
        <v>as:GENC:6:3-11:AO-CUS</v>
      </c>
    </row>
    <row r="115" spans="1:7" x14ac:dyDescent="0.25">
      <c r="A115" s="112"/>
      <c r="B115" s="21" t="s">
        <v>1891</v>
      </c>
      <c r="C115" s="21" t="s">
        <v>1892</v>
      </c>
      <c r="D115" s="21" t="s">
        <v>1668</v>
      </c>
      <c r="E115" s="50" t="b">
        <v>1</v>
      </c>
      <c r="F115" s="72" t="str">
        <f>HYPERLINK("http://nsgreg.nga.mil/genc/view?v=291390&amp;end_month=6&amp;end_day=30&amp;end_year=2019","Luanda")</f>
        <v>Luanda</v>
      </c>
      <c r="G115" s="72" t="str">
        <f>HYPERLINK("http://api.nsgreg.nga.mil/geo-division/GENC/6/3-11/AO-LUA","as:GENC:6:3-11:AO-LUA")</f>
        <v>as:GENC:6:3-11:AO-LUA</v>
      </c>
    </row>
    <row r="116" spans="1:7" x14ac:dyDescent="0.25">
      <c r="A116" s="112"/>
      <c r="B116" s="21" t="s">
        <v>1893</v>
      </c>
      <c r="C116" s="21" t="s">
        <v>1894</v>
      </c>
      <c r="D116" s="21" t="s">
        <v>1668</v>
      </c>
      <c r="E116" s="50" t="b">
        <v>1</v>
      </c>
      <c r="F116" s="72" t="str">
        <f>HYPERLINK("http://nsgreg.nga.mil/genc/view?v=291388&amp;end_month=6&amp;end_day=30&amp;end_year=2019","Lunda Norte")</f>
        <v>Lunda Norte</v>
      </c>
      <c r="G116" s="72" t="str">
        <f>HYPERLINK("http://api.nsgreg.nga.mil/geo-division/GENC/6/3-11/AO-LNO","as:GENC:6:3-11:AO-LNO")</f>
        <v>as:GENC:6:3-11:AO-LNO</v>
      </c>
    </row>
    <row r="117" spans="1:7" x14ac:dyDescent="0.25">
      <c r="A117" s="112"/>
      <c r="B117" s="21" t="s">
        <v>1895</v>
      </c>
      <c r="C117" s="21" t="s">
        <v>1896</v>
      </c>
      <c r="D117" s="21" t="s">
        <v>1668</v>
      </c>
      <c r="E117" s="50" t="b">
        <v>1</v>
      </c>
      <c r="F117" s="72" t="str">
        <f>HYPERLINK("http://nsgreg.nga.mil/genc/view?v=291389&amp;end_month=6&amp;end_day=30&amp;end_year=2019","Lunda Sul")</f>
        <v>Lunda Sul</v>
      </c>
      <c r="G117" s="72" t="str">
        <f>HYPERLINK("http://api.nsgreg.nga.mil/geo-division/GENC/6/3-11/AO-LSU","as:GENC:6:3-11:AO-LSU")</f>
        <v>as:GENC:6:3-11:AO-LSU</v>
      </c>
    </row>
    <row r="118" spans="1:7" x14ac:dyDescent="0.25">
      <c r="A118" s="112"/>
      <c r="B118" s="21" t="s">
        <v>1897</v>
      </c>
      <c r="C118" s="21" t="s">
        <v>1898</v>
      </c>
      <c r="D118" s="21" t="s">
        <v>1668</v>
      </c>
      <c r="E118" s="50" t="b">
        <v>1</v>
      </c>
      <c r="F118" s="72" t="str">
        <f>HYPERLINK("http://nsgreg.nga.mil/genc/view?v=291391&amp;end_month=6&amp;end_day=30&amp;end_year=2019","Malanje")</f>
        <v>Malanje</v>
      </c>
      <c r="G118" s="72" t="str">
        <f>HYPERLINK("http://api.nsgreg.nga.mil/geo-division/GENC/6/3-11/AO-MAL","as:GENC:6:3-11:AO-MAL")</f>
        <v>as:GENC:6:3-11:AO-MAL</v>
      </c>
    </row>
    <row r="119" spans="1:7" x14ac:dyDescent="0.25">
      <c r="A119" s="112"/>
      <c r="B119" s="21" t="s">
        <v>1899</v>
      </c>
      <c r="C119" s="21" t="s">
        <v>1900</v>
      </c>
      <c r="D119" s="21" t="s">
        <v>1668</v>
      </c>
      <c r="E119" s="50" t="b">
        <v>1</v>
      </c>
      <c r="F119" s="72" t="str">
        <f>HYPERLINK("http://nsgreg.nga.mil/genc/view?v=291392&amp;end_month=6&amp;end_day=30&amp;end_year=2019","Moxico")</f>
        <v>Moxico</v>
      </c>
      <c r="G119" s="72" t="str">
        <f>HYPERLINK("http://api.nsgreg.nga.mil/geo-division/GENC/6/3-11/AO-MOX","as:GENC:6:3-11:AO-MOX")</f>
        <v>as:GENC:6:3-11:AO-MOX</v>
      </c>
    </row>
    <row r="120" spans="1:7" x14ac:dyDescent="0.25">
      <c r="A120" s="112"/>
      <c r="B120" s="21" t="s">
        <v>1901</v>
      </c>
      <c r="C120" s="21" t="s">
        <v>1902</v>
      </c>
      <c r="D120" s="21" t="s">
        <v>1668</v>
      </c>
      <c r="E120" s="50" t="b">
        <v>1</v>
      </c>
      <c r="F120" s="72" t="str">
        <f>HYPERLINK("http://nsgreg.nga.mil/genc/view?v=291393&amp;end_month=6&amp;end_day=30&amp;end_year=2019","Namibe")</f>
        <v>Namibe</v>
      </c>
      <c r="G120" s="72" t="str">
        <f>HYPERLINK("http://api.nsgreg.nga.mil/geo-division/GENC/6/3-11/AO-NAM","as:GENC:6:3-11:AO-NAM")</f>
        <v>as:GENC:6:3-11:AO-NAM</v>
      </c>
    </row>
    <row r="121" spans="1:7" x14ac:dyDescent="0.25">
      <c r="A121" s="112"/>
      <c r="B121" s="21" t="s">
        <v>1903</v>
      </c>
      <c r="C121" s="21" t="s">
        <v>1904</v>
      </c>
      <c r="D121" s="21" t="s">
        <v>1668</v>
      </c>
      <c r="E121" s="50" t="b">
        <v>1</v>
      </c>
      <c r="F121" s="72" t="str">
        <f>HYPERLINK("http://nsgreg.nga.mil/genc/view?v=291394&amp;end_month=6&amp;end_day=30&amp;end_year=2019","Uíge")</f>
        <v>Uíge</v>
      </c>
      <c r="G121" s="72" t="str">
        <f>HYPERLINK("http://api.nsgreg.nga.mil/geo-division/GENC/6/3-11/AO-UIG","as:GENC:6:3-11:AO-UIG")</f>
        <v>as:GENC:6:3-11:AO-UIG</v>
      </c>
    </row>
    <row r="122" spans="1:7" x14ac:dyDescent="0.25">
      <c r="A122" s="113"/>
      <c r="B122" s="47" t="s">
        <v>1905</v>
      </c>
      <c r="C122" s="47" t="s">
        <v>1906</v>
      </c>
      <c r="D122" s="47" t="s">
        <v>1668</v>
      </c>
      <c r="E122" s="51" t="b">
        <v>1</v>
      </c>
      <c r="F122" s="73" t="str">
        <f>HYPERLINK("http://nsgreg.nga.mil/genc/view?v=291395&amp;end_month=6&amp;end_day=30&amp;end_year=2019","Zaire")</f>
        <v>Zaire</v>
      </c>
      <c r="G122" s="73" t="str">
        <f>HYPERLINK("http://api.nsgreg.nga.mil/geo-division/GENC/6/3-11/AO-ZAI","as:GENC:6:3-11:AO-ZAI")</f>
        <v>as:GENC:6:3-11:AO-ZAI</v>
      </c>
    </row>
    <row r="123" spans="1:7" x14ac:dyDescent="0.25">
      <c r="A123" s="111" t="str">
        <f>HYPERLINK("[#]Codes_for_GE_Names!A13:I13","ANTIGUA AND BARBUDA")</f>
        <v>ANTIGUA AND BARBUDA</v>
      </c>
      <c r="B123" s="42" t="s">
        <v>1907</v>
      </c>
      <c r="C123" s="42" t="s">
        <v>1908</v>
      </c>
      <c r="D123" s="42" t="s">
        <v>1909</v>
      </c>
      <c r="E123" s="49" t="b">
        <v>1</v>
      </c>
      <c r="F123" s="74" t="str">
        <f>HYPERLINK("http://nsgreg.nga.mil/genc/view?v=291353&amp;end_month=6&amp;end_day=30&amp;end_year=2019","Barbuda")</f>
        <v>Barbuda</v>
      </c>
      <c r="G123" s="74" t="str">
        <f>HYPERLINK("http://api.nsgreg.nga.mil/geo-division/GENC/6/3-11/AG-10","as:GENC:6:3-11:AG-10")</f>
        <v>as:GENC:6:3-11:AG-10</v>
      </c>
    </row>
    <row r="124" spans="1:7" x14ac:dyDescent="0.25">
      <c r="A124" s="112"/>
      <c r="B124" s="21" t="s">
        <v>1910</v>
      </c>
      <c r="C124" s="21" t="s">
        <v>1911</v>
      </c>
      <c r="D124" s="21" t="s">
        <v>1909</v>
      </c>
      <c r="E124" s="50" t="b">
        <v>1</v>
      </c>
      <c r="F124" s="72" t="str">
        <f>HYPERLINK("http://nsgreg.nga.mil/genc/view?v=291354&amp;end_month=6&amp;end_day=30&amp;end_year=2019","Redonda")</f>
        <v>Redonda</v>
      </c>
      <c r="G124" s="72" t="str">
        <f>HYPERLINK("http://api.nsgreg.nga.mil/geo-division/GENC/6/3-11/AG-11","as:GENC:6:3-11:AG-11")</f>
        <v>as:GENC:6:3-11:AG-11</v>
      </c>
    </row>
    <row r="125" spans="1:7" x14ac:dyDescent="0.25">
      <c r="A125" s="112"/>
      <c r="B125" s="21" t="s">
        <v>1912</v>
      </c>
      <c r="C125" s="21" t="s">
        <v>1913</v>
      </c>
      <c r="D125" s="21" t="s">
        <v>1858</v>
      </c>
      <c r="E125" s="50" t="b">
        <v>1</v>
      </c>
      <c r="F125" s="72" t="str">
        <f>HYPERLINK("http://nsgreg.nga.mil/genc/view?v=291347&amp;end_month=6&amp;end_day=30&amp;end_year=2019","Saint George")</f>
        <v>Saint George</v>
      </c>
      <c r="G125" s="72" t="str">
        <f>HYPERLINK("http://api.nsgreg.nga.mil/geo-division/GENC/6/3-11/AG-03","as:GENC:6:3-11:AG-03")</f>
        <v>as:GENC:6:3-11:AG-03</v>
      </c>
    </row>
    <row r="126" spans="1:7" x14ac:dyDescent="0.25">
      <c r="A126" s="112"/>
      <c r="B126" s="21" t="s">
        <v>1914</v>
      </c>
      <c r="C126" s="21" t="s">
        <v>1915</v>
      </c>
      <c r="D126" s="21" t="s">
        <v>1858</v>
      </c>
      <c r="E126" s="50" t="b">
        <v>1</v>
      </c>
      <c r="F126" s="72" t="str">
        <f>HYPERLINK("http://nsgreg.nga.mil/genc/view?v=291348&amp;end_month=6&amp;end_day=30&amp;end_year=2019","Saint John")</f>
        <v>Saint John</v>
      </c>
      <c r="G126" s="72" t="str">
        <f>HYPERLINK("http://api.nsgreg.nga.mil/geo-division/GENC/6/3-11/AG-04","as:GENC:6:3-11:AG-04")</f>
        <v>as:GENC:6:3-11:AG-04</v>
      </c>
    </row>
    <row r="127" spans="1:7" x14ac:dyDescent="0.25">
      <c r="A127" s="112"/>
      <c r="B127" s="21" t="s">
        <v>1916</v>
      </c>
      <c r="C127" s="21" t="s">
        <v>1917</v>
      </c>
      <c r="D127" s="21" t="s">
        <v>1858</v>
      </c>
      <c r="E127" s="50" t="b">
        <v>1</v>
      </c>
      <c r="F127" s="72" t="str">
        <f>HYPERLINK("http://nsgreg.nga.mil/genc/view?v=291349&amp;end_month=6&amp;end_day=30&amp;end_year=2019","Saint Mary")</f>
        <v>Saint Mary</v>
      </c>
      <c r="G127" s="72" t="str">
        <f>HYPERLINK("http://api.nsgreg.nga.mil/geo-division/GENC/6/3-11/AG-05","as:GENC:6:3-11:AG-05")</f>
        <v>as:GENC:6:3-11:AG-05</v>
      </c>
    </row>
    <row r="128" spans="1:7" x14ac:dyDescent="0.25">
      <c r="A128" s="112"/>
      <c r="B128" s="21" t="s">
        <v>1918</v>
      </c>
      <c r="C128" s="21" t="s">
        <v>1919</v>
      </c>
      <c r="D128" s="21" t="s">
        <v>1858</v>
      </c>
      <c r="E128" s="50" t="b">
        <v>1</v>
      </c>
      <c r="F128" s="72" t="str">
        <f>HYPERLINK("http://nsgreg.nga.mil/genc/view?v=291350&amp;end_month=6&amp;end_day=30&amp;end_year=2019","Saint Paul")</f>
        <v>Saint Paul</v>
      </c>
      <c r="G128" s="72" t="str">
        <f>HYPERLINK("http://api.nsgreg.nga.mil/geo-division/GENC/6/3-11/AG-06","as:GENC:6:3-11:AG-06")</f>
        <v>as:GENC:6:3-11:AG-06</v>
      </c>
    </row>
    <row r="129" spans="1:7" x14ac:dyDescent="0.25">
      <c r="A129" s="112"/>
      <c r="B129" s="21" t="s">
        <v>1920</v>
      </c>
      <c r="C129" s="21" t="s">
        <v>1921</v>
      </c>
      <c r="D129" s="21" t="s">
        <v>1858</v>
      </c>
      <c r="E129" s="50" t="b">
        <v>1</v>
      </c>
      <c r="F129" s="72" t="str">
        <f>HYPERLINK("http://nsgreg.nga.mil/genc/view?v=291351&amp;end_month=6&amp;end_day=30&amp;end_year=2019","Saint Peter")</f>
        <v>Saint Peter</v>
      </c>
      <c r="G129" s="72" t="str">
        <f>HYPERLINK("http://api.nsgreg.nga.mil/geo-division/GENC/6/3-11/AG-07","as:GENC:6:3-11:AG-07")</f>
        <v>as:GENC:6:3-11:AG-07</v>
      </c>
    </row>
    <row r="130" spans="1:7" x14ac:dyDescent="0.25">
      <c r="A130" s="113"/>
      <c r="B130" s="47" t="s">
        <v>1922</v>
      </c>
      <c r="C130" s="47" t="s">
        <v>1923</v>
      </c>
      <c r="D130" s="47" t="s">
        <v>1858</v>
      </c>
      <c r="E130" s="51" t="b">
        <v>1</v>
      </c>
      <c r="F130" s="73" t="str">
        <f>HYPERLINK("http://nsgreg.nga.mil/genc/view?v=291352&amp;end_month=6&amp;end_day=30&amp;end_year=2019","Saint Philip")</f>
        <v>Saint Philip</v>
      </c>
      <c r="G130" s="73" t="str">
        <f>HYPERLINK("http://api.nsgreg.nga.mil/geo-division/GENC/6/3-11/AG-08","as:GENC:6:3-11:AG-08")</f>
        <v>as:GENC:6:3-11:AG-08</v>
      </c>
    </row>
    <row r="131" spans="1:7" x14ac:dyDescent="0.25">
      <c r="A131" s="111" t="str">
        <f>HYPERLINK("[#]Codes_for_GE_Names!A14:I14","ARGENTINA")</f>
        <v>ARGENTINA</v>
      </c>
      <c r="B131" s="42" t="s">
        <v>1924</v>
      </c>
      <c r="C131" s="42" t="s">
        <v>1925</v>
      </c>
      <c r="D131" s="42" t="s">
        <v>1668</v>
      </c>
      <c r="E131" s="49" t="b">
        <v>1</v>
      </c>
      <c r="F131" s="74" t="str">
        <f>HYPERLINK("http://nsgreg.nga.mil/genc/view?v=291397&amp;end_month=6&amp;end_day=30&amp;end_year=2019","Buenos Aires")</f>
        <v>Buenos Aires</v>
      </c>
      <c r="G131" s="74" t="str">
        <f>HYPERLINK("http://api.nsgreg.nga.mil/geo-division/GENC/6/3-11/AR-B","as:GENC:6:3-11:AR-B")</f>
        <v>as:GENC:6:3-11:AR-B</v>
      </c>
    </row>
    <row r="132" spans="1:7" x14ac:dyDescent="0.25">
      <c r="A132" s="112"/>
      <c r="B132" s="21" t="s">
        <v>1926</v>
      </c>
      <c r="C132" s="21" t="s">
        <v>1927</v>
      </c>
      <c r="D132" s="21" t="s">
        <v>1928</v>
      </c>
      <c r="E132" s="50" t="b">
        <v>1</v>
      </c>
      <c r="F132" s="72" t="str">
        <f>HYPERLINK("http://nsgreg.nga.mil/genc/view?v=291398&amp;end_month=6&amp;end_day=30&amp;end_year=2019","Buenos Aires, Ciudad Autónoma de")</f>
        <v>Buenos Aires, Ciudad Autónoma de</v>
      </c>
      <c r="G132" s="72" t="str">
        <f>HYPERLINK("http://api.nsgreg.nga.mil/geo-division/GENC/6/3-11/AR-C","as:GENC:6:3-11:AR-C")</f>
        <v>as:GENC:6:3-11:AR-C</v>
      </c>
    </row>
    <row r="133" spans="1:7" x14ac:dyDescent="0.25">
      <c r="A133" s="112"/>
      <c r="B133" s="21" t="s">
        <v>1929</v>
      </c>
      <c r="C133" s="21" t="s">
        <v>1930</v>
      </c>
      <c r="D133" s="21" t="s">
        <v>1668</v>
      </c>
      <c r="E133" s="50" t="b">
        <v>1</v>
      </c>
      <c r="F133" s="72" t="str">
        <f>HYPERLINK("http://nsgreg.nga.mil/genc/view?v=291405&amp;end_month=6&amp;end_day=30&amp;end_year=2019","Catamarca")</f>
        <v>Catamarca</v>
      </c>
      <c r="G133" s="72" t="str">
        <f>HYPERLINK("http://api.nsgreg.nga.mil/geo-division/GENC/6/3-11/AR-K","as:GENC:6:3-11:AR-K")</f>
        <v>as:GENC:6:3-11:AR-K</v>
      </c>
    </row>
    <row r="134" spans="1:7" x14ac:dyDescent="0.25">
      <c r="A134" s="112"/>
      <c r="B134" s="21" t="s">
        <v>1931</v>
      </c>
      <c r="C134" s="21" t="s">
        <v>1932</v>
      </c>
      <c r="D134" s="21" t="s">
        <v>1668</v>
      </c>
      <c r="E134" s="50" t="b">
        <v>1</v>
      </c>
      <c r="F134" s="72" t="str">
        <f>HYPERLINK("http://nsgreg.nga.mil/genc/view?v=291403&amp;end_month=6&amp;end_day=30&amp;end_year=2019","Chaco")</f>
        <v>Chaco</v>
      </c>
      <c r="G134" s="72" t="str">
        <f>HYPERLINK("http://api.nsgreg.nga.mil/geo-division/GENC/6/3-11/AR-H","as:GENC:6:3-11:AR-H")</f>
        <v>as:GENC:6:3-11:AR-H</v>
      </c>
    </row>
    <row r="135" spans="1:7" x14ac:dyDescent="0.25">
      <c r="A135" s="112"/>
      <c r="B135" s="21" t="s">
        <v>1933</v>
      </c>
      <c r="C135" s="21" t="s">
        <v>1934</v>
      </c>
      <c r="D135" s="21" t="s">
        <v>1668</v>
      </c>
      <c r="E135" s="50" t="b">
        <v>1</v>
      </c>
      <c r="F135" s="72" t="str">
        <f>HYPERLINK("http://nsgreg.nga.mil/genc/view?v=291414&amp;end_month=6&amp;end_day=30&amp;end_year=2019","Chubut")</f>
        <v>Chubut</v>
      </c>
      <c r="G135" s="72" t="str">
        <f>HYPERLINK("http://api.nsgreg.nga.mil/geo-division/GENC/6/3-11/AR-U","as:GENC:6:3-11:AR-U")</f>
        <v>as:GENC:6:3-11:AR-U</v>
      </c>
    </row>
    <row r="136" spans="1:7" x14ac:dyDescent="0.25">
      <c r="A136" s="112"/>
      <c r="B136" s="21" t="s">
        <v>1935</v>
      </c>
      <c r="C136" s="21" t="s">
        <v>1936</v>
      </c>
      <c r="D136" s="21" t="s">
        <v>1668</v>
      </c>
      <c r="E136" s="50" t="b">
        <v>1</v>
      </c>
      <c r="F136" s="72" t="str">
        <f>HYPERLINK("http://nsgreg.nga.mil/genc/view?v=291417&amp;end_month=6&amp;end_day=30&amp;end_year=2019","Córdoba")</f>
        <v>Córdoba</v>
      </c>
      <c r="G136" s="72" t="str">
        <f>HYPERLINK("http://api.nsgreg.nga.mil/geo-division/GENC/6/3-11/AR-X","as:GENC:6:3-11:AR-X")</f>
        <v>as:GENC:6:3-11:AR-X</v>
      </c>
    </row>
    <row r="137" spans="1:7" x14ac:dyDescent="0.25">
      <c r="A137" s="112"/>
      <c r="B137" s="21" t="s">
        <v>1937</v>
      </c>
      <c r="C137" s="21" t="s">
        <v>1938</v>
      </c>
      <c r="D137" s="21" t="s">
        <v>1668</v>
      </c>
      <c r="E137" s="50" t="b">
        <v>1</v>
      </c>
      <c r="F137" s="72" t="str">
        <f>HYPERLINK("http://nsgreg.nga.mil/genc/view?v=291416&amp;end_month=6&amp;end_day=30&amp;end_year=2019","Corrientes")</f>
        <v>Corrientes</v>
      </c>
      <c r="G137" s="72" t="str">
        <f>HYPERLINK("http://api.nsgreg.nga.mil/geo-division/GENC/6/3-11/AR-W","as:GENC:6:3-11:AR-W")</f>
        <v>as:GENC:6:3-11:AR-W</v>
      </c>
    </row>
    <row r="138" spans="1:7" x14ac:dyDescent="0.25">
      <c r="A138" s="112"/>
      <c r="B138" s="21" t="s">
        <v>1939</v>
      </c>
      <c r="C138" s="21" t="s">
        <v>1940</v>
      </c>
      <c r="D138" s="21" t="s">
        <v>1668</v>
      </c>
      <c r="E138" s="50" t="b">
        <v>1</v>
      </c>
      <c r="F138" s="72" t="str">
        <f>HYPERLINK("http://nsgreg.nga.mil/genc/view?v=291400&amp;end_month=6&amp;end_day=30&amp;end_year=2019","Entre Ríos")</f>
        <v>Entre Ríos</v>
      </c>
      <c r="G138" s="72" t="str">
        <f>HYPERLINK("http://api.nsgreg.nga.mil/geo-division/GENC/6/3-11/AR-E","as:GENC:6:3-11:AR-E")</f>
        <v>as:GENC:6:3-11:AR-E</v>
      </c>
    </row>
    <row r="139" spans="1:7" x14ac:dyDescent="0.25">
      <c r="A139" s="112"/>
      <c r="B139" s="21" t="s">
        <v>1941</v>
      </c>
      <c r="C139" s="21" t="s">
        <v>1942</v>
      </c>
      <c r="D139" s="21" t="s">
        <v>1668</v>
      </c>
      <c r="E139" s="50" t="b">
        <v>1</v>
      </c>
      <c r="F139" s="72" t="str">
        <f>HYPERLINK("http://nsgreg.nga.mil/genc/view?v=291409&amp;end_month=6&amp;end_day=30&amp;end_year=2019","Formosa")</f>
        <v>Formosa</v>
      </c>
      <c r="G139" s="72" t="str">
        <f>HYPERLINK("http://api.nsgreg.nga.mil/geo-division/GENC/6/3-11/AR-P","as:GENC:6:3-11:AR-P")</f>
        <v>as:GENC:6:3-11:AR-P</v>
      </c>
    </row>
    <row r="140" spans="1:7" x14ac:dyDescent="0.25">
      <c r="A140" s="112"/>
      <c r="B140" s="21" t="s">
        <v>1943</v>
      </c>
      <c r="C140" s="21" t="s">
        <v>1944</v>
      </c>
      <c r="D140" s="21" t="s">
        <v>1668</v>
      </c>
      <c r="E140" s="50" t="b">
        <v>1</v>
      </c>
      <c r="F140" s="72" t="str">
        <f>HYPERLINK("http://nsgreg.nga.mil/genc/view?v=291418&amp;end_month=6&amp;end_day=30&amp;end_year=2019","Jujuy")</f>
        <v>Jujuy</v>
      </c>
      <c r="G140" s="72" t="str">
        <f>HYPERLINK("http://api.nsgreg.nga.mil/geo-division/GENC/6/3-11/AR-Y","as:GENC:6:3-11:AR-Y")</f>
        <v>as:GENC:6:3-11:AR-Y</v>
      </c>
    </row>
    <row r="141" spans="1:7" x14ac:dyDescent="0.25">
      <c r="A141" s="112"/>
      <c r="B141" s="21" t="s">
        <v>1945</v>
      </c>
      <c r="C141" s="21" t="s">
        <v>1946</v>
      </c>
      <c r="D141" s="21" t="s">
        <v>1668</v>
      </c>
      <c r="E141" s="50" t="b">
        <v>1</v>
      </c>
      <c r="F141" s="72" t="str">
        <f>HYPERLINK("http://nsgreg.nga.mil/genc/view?v=291406&amp;end_month=6&amp;end_day=30&amp;end_year=2019","La Pampa")</f>
        <v>La Pampa</v>
      </c>
      <c r="G141" s="72" t="str">
        <f>HYPERLINK("http://api.nsgreg.nga.mil/geo-division/GENC/6/3-11/AR-L","as:GENC:6:3-11:AR-L")</f>
        <v>as:GENC:6:3-11:AR-L</v>
      </c>
    </row>
    <row r="142" spans="1:7" x14ac:dyDescent="0.25">
      <c r="A142" s="112"/>
      <c r="B142" s="21" t="s">
        <v>1947</v>
      </c>
      <c r="C142" s="21" t="s">
        <v>1948</v>
      </c>
      <c r="D142" s="21" t="s">
        <v>1668</v>
      </c>
      <c r="E142" s="50" t="b">
        <v>1</v>
      </c>
      <c r="F142" s="72" t="str">
        <f>HYPERLINK("http://nsgreg.nga.mil/genc/view?v=291401&amp;end_month=6&amp;end_day=30&amp;end_year=2019","La Rioja")</f>
        <v>La Rioja</v>
      </c>
      <c r="G142" s="72" t="str">
        <f>HYPERLINK("http://api.nsgreg.nga.mil/geo-division/GENC/6/3-11/AR-F","as:GENC:6:3-11:AR-F")</f>
        <v>as:GENC:6:3-11:AR-F</v>
      </c>
    </row>
    <row r="143" spans="1:7" x14ac:dyDescent="0.25">
      <c r="A143" s="112"/>
      <c r="B143" s="21" t="s">
        <v>1949</v>
      </c>
      <c r="C143" s="21" t="s">
        <v>1950</v>
      </c>
      <c r="D143" s="21" t="s">
        <v>1668</v>
      </c>
      <c r="E143" s="50" t="b">
        <v>1</v>
      </c>
      <c r="F143" s="72" t="str">
        <f>HYPERLINK("http://nsgreg.nga.mil/genc/view?v=291407&amp;end_month=6&amp;end_day=30&amp;end_year=2019","Mendoza")</f>
        <v>Mendoza</v>
      </c>
      <c r="G143" s="72" t="str">
        <f>HYPERLINK("http://api.nsgreg.nga.mil/geo-division/GENC/6/3-11/AR-M","as:GENC:6:3-11:AR-M")</f>
        <v>as:GENC:6:3-11:AR-M</v>
      </c>
    </row>
    <row r="144" spans="1:7" x14ac:dyDescent="0.25">
      <c r="A144" s="112"/>
      <c r="B144" s="21" t="s">
        <v>1951</v>
      </c>
      <c r="C144" s="21" t="s">
        <v>1952</v>
      </c>
      <c r="D144" s="21" t="s">
        <v>1668</v>
      </c>
      <c r="E144" s="50" t="b">
        <v>1</v>
      </c>
      <c r="F144" s="72" t="str">
        <f>HYPERLINK("http://nsgreg.nga.mil/genc/view?v=291408&amp;end_month=6&amp;end_day=30&amp;end_year=2019","Misiones")</f>
        <v>Misiones</v>
      </c>
      <c r="G144" s="72" t="str">
        <f>HYPERLINK("http://api.nsgreg.nga.mil/geo-division/GENC/6/3-11/AR-N","as:GENC:6:3-11:AR-N")</f>
        <v>as:GENC:6:3-11:AR-N</v>
      </c>
    </row>
    <row r="145" spans="1:7" x14ac:dyDescent="0.25">
      <c r="A145" s="112"/>
      <c r="B145" s="21" t="s">
        <v>1953</v>
      </c>
      <c r="C145" s="21" t="s">
        <v>1954</v>
      </c>
      <c r="D145" s="21" t="s">
        <v>1668</v>
      </c>
      <c r="E145" s="50" t="b">
        <v>1</v>
      </c>
      <c r="F145" s="72" t="str">
        <f>HYPERLINK("http://nsgreg.nga.mil/genc/view?v=291410&amp;end_month=6&amp;end_day=30&amp;end_year=2019","Neuquén")</f>
        <v>Neuquén</v>
      </c>
      <c r="G145" s="72" t="str">
        <f>HYPERLINK("http://api.nsgreg.nga.mil/geo-division/GENC/6/3-11/AR-Q","as:GENC:6:3-11:AR-Q")</f>
        <v>as:GENC:6:3-11:AR-Q</v>
      </c>
    </row>
    <row r="146" spans="1:7" x14ac:dyDescent="0.25">
      <c r="A146" s="112"/>
      <c r="B146" s="21" t="s">
        <v>1955</v>
      </c>
      <c r="C146" s="21" t="s">
        <v>1956</v>
      </c>
      <c r="D146" s="21" t="s">
        <v>1668</v>
      </c>
      <c r="E146" s="50" t="b">
        <v>1</v>
      </c>
      <c r="F146" s="72" t="str">
        <f>HYPERLINK("http://nsgreg.nga.mil/genc/view?v=291411&amp;end_month=6&amp;end_day=30&amp;end_year=2019","Río Negro")</f>
        <v>Río Negro</v>
      </c>
      <c r="G146" s="72" t="str">
        <f>HYPERLINK("http://api.nsgreg.nga.mil/geo-division/GENC/6/3-11/AR-R","as:GENC:6:3-11:AR-R")</f>
        <v>as:GENC:6:3-11:AR-R</v>
      </c>
    </row>
    <row r="147" spans="1:7" x14ac:dyDescent="0.25">
      <c r="A147" s="112"/>
      <c r="B147" s="21" t="s">
        <v>1957</v>
      </c>
      <c r="C147" s="21" t="s">
        <v>1958</v>
      </c>
      <c r="D147" s="21" t="s">
        <v>1668</v>
      </c>
      <c r="E147" s="50" t="b">
        <v>1</v>
      </c>
      <c r="F147" s="72" t="str">
        <f>HYPERLINK("http://nsgreg.nga.mil/genc/view?v=291396&amp;end_month=6&amp;end_day=30&amp;end_year=2019","Salta")</f>
        <v>Salta</v>
      </c>
      <c r="G147" s="72" t="str">
        <f>HYPERLINK("http://api.nsgreg.nga.mil/geo-division/GENC/6/3-11/AR-A","as:GENC:6:3-11:AR-A")</f>
        <v>as:GENC:6:3-11:AR-A</v>
      </c>
    </row>
    <row r="148" spans="1:7" x14ac:dyDescent="0.25">
      <c r="A148" s="112"/>
      <c r="B148" s="21" t="s">
        <v>1959</v>
      </c>
      <c r="C148" s="21" t="s">
        <v>1960</v>
      </c>
      <c r="D148" s="21" t="s">
        <v>1668</v>
      </c>
      <c r="E148" s="50" t="b">
        <v>1</v>
      </c>
      <c r="F148" s="72" t="str">
        <f>HYPERLINK("http://nsgreg.nga.mil/genc/view?v=291404&amp;end_month=6&amp;end_day=30&amp;end_year=2019","San Juan")</f>
        <v>San Juan</v>
      </c>
      <c r="G148" s="72" t="str">
        <f>HYPERLINK("http://api.nsgreg.nga.mil/geo-division/GENC/6/3-11/AR-J","as:GENC:6:3-11:AR-J")</f>
        <v>as:GENC:6:3-11:AR-J</v>
      </c>
    </row>
    <row r="149" spans="1:7" x14ac:dyDescent="0.25">
      <c r="A149" s="112"/>
      <c r="B149" s="21" t="s">
        <v>1961</v>
      </c>
      <c r="C149" s="21" t="s">
        <v>1962</v>
      </c>
      <c r="D149" s="21" t="s">
        <v>1668</v>
      </c>
      <c r="E149" s="50" t="b">
        <v>1</v>
      </c>
      <c r="F149" s="72" t="str">
        <f>HYPERLINK("http://nsgreg.nga.mil/genc/view?v=291399&amp;end_month=6&amp;end_day=30&amp;end_year=2019","San Luis")</f>
        <v>San Luis</v>
      </c>
      <c r="G149" s="72" t="str">
        <f>HYPERLINK("http://api.nsgreg.nga.mil/geo-division/GENC/6/3-11/AR-D","as:GENC:6:3-11:AR-D")</f>
        <v>as:GENC:6:3-11:AR-D</v>
      </c>
    </row>
    <row r="150" spans="1:7" x14ac:dyDescent="0.25">
      <c r="A150" s="112"/>
      <c r="B150" s="21" t="s">
        <v>1963</v>
      </c>
      <c r="C150" s="21" t="s">
        <v>1964</v>
      </c>
      <c r="D150" s="21" t="s">
        <v>1668</v>
      </c>
      <c r="E150" s="50" t="b">
        <v>1</v>
      </c>
      <c r="F150" s="72" t="str">
        <f>HYPERLINK("http://nsgreg.nga.mil/genc/view?v=291419&amp;end_month=6&amp;end_day=30&amp;end_year=2019","Santa Cruz")</f>
        <v>Santa Cruz</v>
      </c>
      <c r="G150" s="72" t="str">
        <f>HYPERLINK("http://api.nsgreg.nga.mil/geo-division/GENC/6/3-11/AR-Z","as:GENC:6:3-11:AR-Z")</f>
        <v>as:GENC:6:3-11:AR-Z</v>
      </c>
    </row>
    <row r="151" spans="1:7" x14ac:dyDescent="0.25">
      <c r="A151" s="112"/>
      <c r="B151" s="21" t="s">
        <v>1965</v>
      </c>
      <c r="C151" s="21" t="s">
        <v>1966</v>
      </c>
      <c r="D151" s="21" t="s">
        <v>1668</v>
      </c>
      <c r="E151" s="50" t="b">
        <v>1</v>
      </c>
      <c r="F151" s="72" t="str">
        <f>HYPERLINK("http://nsgreg.nga.mil/genc/view?v=291412&amp;end_month=6&amp;end_day=30&amp;end_year=2019","Santa Fe")</f>
        <v>Santa Fe</v>
      </c>
      <c r="G151" s="72" t="str">
        <f>HYPERLINK("http://api.nsgreg.nga.mil/geo-division/GENC/6/3-11/AR-S","as:GENC:6:3-11:AR-S")</f>
        <v>as:GENC:6:3-11:AR-S</v>
      </c>
    </row>
    <row r="152" spans="1:7" x14ac:dyDescent="0.25">
      <c r="A152" s="112"/>
      <c r="B152" s="21" t="s">
        <v>1967</v>
      </c>
      <c r="C152" s="21" t="s">
        <v>1968</v>
      </c>
      <c r="D152" s="21" t="s">
        <v>1668</v>
      </c>
      <c r="E152" s="50" t="b">
        <v>1</v>
      </c>
      <c r="F152" s="72" t="str">
        <f>HYPERLINK("http://nsgreg.nga.mil/genc/view?v=291402&amp;end_month=6&amp;end_day=30&amp;end_year=2019","Santiago del Estero")</f>
        <v>Santiago del Estero</v>
      </c>
      <c r="G152" s="72" t="str">
        <f>HYPERLINK("http://api.nsgreg.nga.mil/geo-division/GENC/6/3-11/AR-G","as:GENC:6:3-11:AR-G")</f>
        <v>as:GENC:6:3-11:AR-G</v>
      </c>
    </row>
    <row r="153" spans="1:7" x14ac:dyDescent="0.25">
      <c r="A153" s="112"/>
      <c r="B153" s="21" t="s">
        <v>1969</v>
      </c>
      <c r="C153" s="21" t="s">
        <v>1970</v>
      </c>
      <c r="D153" s="21" t="s">
        <v>1668</v>
      </c>
      <c r="E153" s="50" t="b">
        <v>1</v>
      </c>
      <c r="F153" s="72" t="str">
        <f>HYPERLINK("http://nsgreg.nga.mil/genc/view?v=291415&amp;end_month=6&amp;end_day=30&amp;end_year=2019","Tierra del Fuego, Antártida e Islas del Atlántico Sur")</f>
        <v>Tierra del Fuego, Antártida e Islas del Atlántico Sur</v>
      </c>
      <c r="G153" s="72" t="str">
        <f>HYPERLINK("http://api.nsgreg.nga.mil/geo-division/GENC/6/3-11/AR-V","as:GENC:6:3-11:AR-V")</f>
        <v>as:GENC:6:3-11:AR-V</v>
      </c>
    </row>
    <row r="154" spans="1:7" x14ac:dyDescent="0.25">
      <c r="A154" s="113"/>
      <c r="B154" s="47" t="s">
        <v>1971</v>
      </c>
      <c r="C154" s="47" t="s">
        <v>1972</v>
      </c>
      <c r="D154" s="47" t="s">
        <v>1668</v>
      </c>
      <c r="E154" s="51" t="b">
        <v>1</v>
      </c>
      <c r="F154" s="73" t="str">
        <f>HYPERLINK("http://nsgreg.nga.mil/genc/view?v=291413&amp;end_month=6&amp;end_day=30&amp;end_year=2019","Tucumán")</f>
        <v>Tucumán</v>
      </c>
      <c r="G154" s="73" t="str">
        <f>HYPERLINK("http://api.nsgreg.nga.mil/geo-division/GENC/6/3-11/AR-T","as:GENC:6:3-11:AR-T")</f>
        <v>as:GENC:6:3-11:AR-T</v>
      </c>
    </row>
    <row r="155" spans="1:7" x14ac:dyDescent="0.25">
      <c r="A155" s="111" t="str">
        <f>HYPERLINK("[#]Codes_for_GE_Names!A15:I15","ARMENIA")</f>
        <v>ARMENIA</v>
      </c>
      <c r="B155" s="42" t="s">
        <v>1973</v>
      </c>
      <c r="C155" s="42" t="s">
        <v>1974</v>
      </c>
      <c r="D155" s="42" t="s">
        <v>1975</v>
      </c>
      <c r="E155" s="49" t="b">
        <v>1</v>
      </c>
      <c r="F155" s="74" t="str">
        <f>HYPERLINK("http://nsgreg.nga.mil/genc/view?v=291367&amp;end_month=6&amp;end_day=30&amp;end_year=2019","Aragatsotn")</f>
        <v>Aragatsotn</v>
      </c>
      <c r="G155" s="74" t="str">
        <f>HYPERLINK("http://api.nsgreg.nga.mil/geo-division/GENC/6/3-11/AM-AG","as:GENC:6:3-11:AM-AG")</f>
        <v>as:GENC:6:3-11:AM-AG</v>
      </c>
    </row>
    <row r="156" spans="1:7" x14ac:dyDescent="0.25">
      <c r="A156" s="112"/>
      <c r="B156" s="21" t="s">
        <v>1976</v>
      </c>
      <c r="C156" s="21" t="s">
        <v>1977</v>
      </c>
      <c r="D156" s="21" t="s">
        <v>1975</v>
      </c>
      <c r="E156" s="50" t="b">
        <v>1</v>
      </c>
      <c r="F156" s="72" t="str">
        <f>HYPERLINK("http://nsgreg.nga.mil/genc/view?v=291368&amp;end_month=6&amp;end_day=30&amp;end_year=2019","Ararat")</f>
        <v>Ararat</v>
      </c>
      <c r="G156" s="72" t="str">
        <f>HYPERLINK("http://api.nsgreg.nga.mil/geo-division/GENC/6/3-11/AM-AR","as:GENC:6:3-11:AM-AR")</f>
        <v>as:GENC:6:3-11:AM-AR</v>
      </c>
    </row>
    <row r="157" spans="1:7" x14ac:dyDescent="0.25">
      <c r="A157" s="112"/>
      <c r="B157" s="21" t="s">
        <v>1978</v>
      </c>
      <c r="C157" s="21" t="s">
        <v>1979</v>
      </c>
      <c r="D157" s="21" t="s">
        <v>1975</v>
      </c>
      <c r="E157" s="50" t="b">
        <v>1</v>
      </c>
      <c r="F157" s="72" t="str">
        <f>HYPERLINK("http://nsgreg.nga.mil/genc/view?v=291369&amp;end_month=6&amp;end_day=30&amp;end_year=2019","Armavir")</f>
        <v>Armavir</v>
      </c>
      <c r="G157" s="72" t="str">
        <f>HYPERLINK("http://api.nsgreg.nga.mil/geo-division/GENC/6/3-11/AM-AV","as:GENC:6:3-11:AM-AV")</f>
        <v>as:GENC:6:3-11:AM-AV</v>
      </c>
    </row>
    <row r="158" spans="1:7" x14ac:dyDescent="0.25">
      <c r="A158" s="112"/>
      <c r="B158" s="21" t="s">
        <v>1980</v>
      </c>
      <c r="C158" s="21" t="s">
        <v>1981</v>
      </c>
      <c r="D158" s="21" t="s">
        <v>1975</v>
      </c>
      <c r="E158" s="50" t="b">
        <v>1</v>
      </c>
      <c r="F158" s="72" t="str">
        <f>HYPERLINK("http://nsgreg.nga.mil/genc/view?v=291371&amp;end_month=6&amp;end_day=30&amp;end_year=2019","Geghark’unik’")</f>
        <v>Geghark’unik’</v>
      </c>
      <c r="G158" s="72" t="str">
        <f>HYPERLINK("http://api.nsgreg.nga.mil/geo-division/GENC/6/3-11/AM-GR","as:GENC:6:3-11:AM-GR")</f>
        <v>as:GENC:6:3-11:AM-GR</v>
      </c>
    </row>
    <row r="159" spans="1:7" x14ac:dyDescent="0.25">
      <c r="A159" s="112"/>
      <c r="B159" s="21" t="s">
        <v>1982</v>
      </c>
      <c r="C159" s="21" t="s">
        <v>1983</v>
      </c>
      <c r="D159" s="21" t="s">
        <v>1975</v>
      </c>
      <c r="E159" s="50" t="b">
        <v>1</v>
      </c>
      <c r="F159" s="72" t="str">
        <f>HYPERLINK("http://nsgreg.nga.mil/genc/view?v=291372&amp;end_month=6&amp;end_day=30&amp;end_year=2019","Kotayk’")</f>
        <v>Kotayk’</v>
      </c>
      <c r="G159" s="72" t="str">
        <f>HYPERLINK("http://api.nsgreg.nga.mil/geo-division/GENC/6/3-11/AM-KT","as:GENC:6:3-11:AM-KT")</f>
        <v>as:GENC:6:3-11:AM-KT</v>
      </c>
    </row>
    <row r="160" spans="1:7" x14ac:dyDescent="0.25">
      <c r="A160" s="112"/>
      <c r="B160" s="21" t="s">
        <v>1984</v>
      </c>
      <c r="C160" s="21" t="s">
        <v>1985</v>
      </c>
      <c r="D160" s="21" t="s">
        <v>1975</v>
      </c>
      <c r="E160" s="50" t="b">
        <v>1</v>
      </c>
      <c r="F160" s="72" t="str">
        <f>HYPERLINK("http://nsgreg.nga.mil/genc/view?v=291373&amp;end_month=6&amp;end_day=30&amp;end_year=2019","Lorri")</f>
        <v>Lorri</v>
      </c>
      <c r="G160" s="72" t="str">
        <f>HYPERLINK("http://api.nsgreg.nga.mil/geo-division/GENC/6/3-11/AM-LO","as:GENC:6:3-11:AM-LO")</f>
        <v>as:GENC:6:3-11:AM-LO</v>
      </c>
    </row>
    <row r="161" spans="1:7" x14ac:dyDescent="0.25">
      <c r="A161" s="112"/>
      <c r="B161" s="21" t="s">
        <v>1986</v>
      </c>
      <c r="C161" s="21" t="s">
        <v>1987</v>
      </c>
      <c r="D161" s="21" t="s">
        <v>1975</v>
      </c>
      <c r="E161" s="50" t="b">
        <v>1</v>
      </c>
      <c r="F161" s="72" t="str">
        <f>HYPERLINK("http://nsgreg.nga.mil/genc/view?v=291374&amp;end_month=6&amp;end_day=30&amp;end_year=2019","Shirak")</f>
        <v>Shirak</v>
      </c>
      <c r="G161" s="72" t="str">
        <f>HYPERLINK("http://api.nsgreg.nga.mil/geo-division/GENC/6/3-11/AM-SH","as:GENC:6:3-11:AM-SH")</f>
        <v>as:GENC:6:3-11:AM-SH</v>
      </c>
    </row>
    <row r="162" spans="1:7" x14ac:dyDescent="0.25">
      <c r="A162" s="112"/>
      <c r="B162" s="21" t="s">
        <v>1988</v>
      </c>
      <c r="C162" s="21" t="s">
        <v>1989</v>
      </c>
      <c r="D162" s="21" t="s">
        <v>1975</v>
      </c>
      <c r="E162" s="50" t="b">
        <v>1</v>
      </c>
      <c r="F162" s="72" t="str">
        <f>HYPERLINK("http://nsgreg.nga.mil/genc/view?v=291375&amp;end_month=6&amp;end_day=30&amp;end_year=2019","Syunik’")</f>
        <v>Syunik’</v>
      </c>
      <c r="G162" s="72" t="str">
        <f>HYPERLINK("http://api.nsgreg.nga.mil/geo-division/GENC/6/3-11/AM-SU","as:GENC:6:3-11:AM-SU")</f>
        <v>as:GENC:6:3-11:AM-SU</v>
      </c>
    </row>
    <row r="163" spans="1:7" x14ac:dyDescent="0.25">
      <c r="A163" s="112"/>
      <c r="B163" s="21" t="s">
        <v>1990</v>
      </c>
      <c r="C163" s="21" t="s">
        <v>1991</v>
      </c>
      <c r="D163" s="21" t="s">
        <v>1975</v>
      </c>
      <c r="E163" s="50" t="b">
        <v>1</v>
      </c>
      <c r="F163" s="72" t="str">
        <f>HYPERLINK("http://nsgreg.nga.mil/genc/view?v=291376&amp;end_month=6&amp;end_day=30&amp;end_year=2019","Tavush")</f>
        <v>Tavush</v>
      </c>
      <c r="G163" s="72" t="str">
        <f>HYPERLINK("http://api.nsgreg.nga.mil/geo-division/GENC/6/3-11/AM-TV","as:GENC:6:3-11:AM-TV")</f>
        <v>as:GENC:6:3-11:AM-TV</v>
      </c>
    </row>
    <row r="164" spans="1:7" x14ac:dyDescent="0.25">
      <c r="A164" s="112"/>
      <c r="B164" s="21" t="s">
        <v>1992</v>
      </c>
      <c r="C164" s="21" t="s">
        <v>1993</v>
      </c>
      <c r="D164" s="21" t="s">
        <v>1975</v>
      </c>
      <c r="E164" s="50" t="b">
        <v>1</v>
      </c>
      <c r="F164" s="72" t="str">
        <f>HYPERLINK("http://nsgreg.nga.mil/genc/view?v=291377&amp;end_month=6&amp;end_day=30&amp;end_year=2019","Vayots’ Dzor")</f>
        <v>Vayots’ Dzor</v>
      </c>
      <c r="G164" s="72" t="str">
        <f>HYPERLINK("http://api.nsgreg.nga.mil/geo-division/GENC/6/3-11/AM-VD","as:GENC:6:3-11:AM-VD")</f>
        <v>as:GENC:6:3-11:AM-VD</v>
      </c>
    </row>
    <row r="165" spans="1:7" x14ac:dyDescent="0.25">
      <c r="A165" s="113"/>
      <c r="B165" s="47" t="s">
        <v>1994</v>
      </c>
      <c r="C165" s="47" t="s">
        <v>1995</v>
      </c>
      <c r="D165" s="47" t="s">
        <v>1996</v>
      </c>
      <c r="E165" s="51" t="b">
        <v>1</v>
      </c>
      <c r="F165" s="73" t="str">
        <f>HYPERLINK("http://nsgreg.nga.mil/genc/view?v=291370&amp;end_month=6&amp;end_day=30&amp;end_year=2019","Yerevan")</f>
        <v>Yerevan</v>
      </c>
      <c r="G165" s="73" t="str">
        <f>HYPERLINK("http://api.nsgreg.nga.mil/geo-division/GENC/6/3-11/AM-ER","as:GENC:6:3-11:AM-ER")</f>
        <v>as:GENC:6:3-11:AM-ER</v>
      </c>
    </row>
    <row r="166" spans="1:7" x14ac:dyDescent="0.25">
      <c r="A166" s="111" t="str">
        <f>HYPERLINK("[#]Codes_for_GE_Names!A18:I18","AUSTRALIA")</f>
        <v>AUSTRALIA</v>
      </c>
      <c r="B166" s="42" t="s">
        <v>1997</v>
      </c>
      <c r="C166" s="42" t="s">
        <v>1998</v>
      </c>
      <c r="D166" s="42" t="s">
        <v>1999</v>
      </c>
      <c r="E166" s="49" t="b">
        <v>1</v>
      </c>
      <c r="F166" s="74" t="str">
        <f>HYPERLINK("http://nsgreg.nga.mil/genc/view?v=291429&amp;end_month=6&amp;end_day=30&amp;end_year=2019","Australian Capital Territory")</f>
        <v>Australian Capital Territory</v>
      </c>
      <c r="G166" s="74" t="str">
        <f>HYPERLINK("http://api.nsgreg.nga.mil/geo-division/GENC/6/3-11/AU-ACT","as:GENC:6:3-11:AU-ACT")</f>
        <v>as:GENC:6:3-11:AU-ACT</v>
      </c>
    </row>
    <row r="167" spans="1:7" x14ac:dyDescent="0.25">
      <c r="A167" s="112"/>
      <c r="B167" s="21" t="s">
        <v>2000</v>
      </c>
      <c r="C167" s="21" t="s">
        <v>2001</v>
      </c>
      <c r="D167" s="21" t="s">
        <v>2002</v>
      </c>
      <c r="E167" s="50" t="b">
        <v>1</v>
      </c>
      <c r="F167" s="72" t="str">
        <f>HYPERLINK("http://nsgreg.nga.mil/genc/view?v=291430&amp;end_month=6&amp;end_day=30&amp;end_year=2019","New South Wales")</f>
        <v>New South Wales</v>
      </c>
      <c r="G167" s="72" t="str">
        <f>HYPERLINK("http://api.nsgreg.nga.mil/geo-division/GENC/6/3-11/AU-NSW","as:GENC:6:3-11:AU-NSW")</f>
        <v>as:GENC:6:3-11:AU-NSW</v>
      </c>
    </row>
    <row r="168" spans="1:7" x14ac:dyDescent="0.25">
      <c r="A168" s="112"/>
      <c r="B168" s="21" t="s">
        <v>2003</v>
      </c>
      <c r="C168" s="21" t="s">
        <v>2004</v>
      </c>
      <c r="D168" s="21" t="s">
        <v>1999</v>
      </c>
      <c r="E168" s="50" t="b">
        <v>1</v>
      </c>
      <c r="F168" s="72" t="str">
        <f>HYPERLINK("http://nsgreg.nga.mil/genc/view?v=291431&amp;end_month=6&amp;end_day=30&amp;end_year=2019","Northern Territory")</f>
        <v>Northern Territory</v>
      </c>
      <c r="G168" s="72" t="str">
        <f>HYPERLINK("http://api.nsgreg.nga.mil/geo-division/GENC/6/3-11/AU-NT","as:GENC:6:3-11:AU-NT")</f>
        <v>as:GENC:6:3-11:AU-NT</v>
      </c>
    </row>
    <row r="169" spans="1:7" x14ac:dyDescent="0.25">
      <c r="A169" s="112"/>
      <c r="B169" s="21" t="s">
        <v>2005</v>
      </c>
      <c r="C169" s="21" t="s">
        <v>2006</v>
      </c>
      <c r="D169" s="21" t="s">
        <v>2002</v>
      </c>
      <c r="E169" s="50" t="b">
        <v>1</v>
      </c>
      <c r="F169" s="72" t="str">
        <f>HYPERLINK("http://nsgreg.nga.mil/genc/view?v=291432&amp;end_month=6&amp;end_day=30&amp;end_year=2019","Queensland")</f>
        <v>Queensland</v>
      </c>
      <c r="G169" s="72" t="str">
        <f>HYPERLINK("http://api.nsgreg.nga.mil/geo-division/GENC/6/3-11/AU-QLD","as:GENC:6:3-11:AU-QLD")</f>
        <v>as:GENC:6:3-11:AU-QLD</v>
      </c>
    </row>
    <row r="170" spans="1:7" x14ac:dyDescent="0.25">
      <c r="A170" s="112"/>
      <c r="B170" s="21" t="s">
        <v>2007</v>
      </c>
      <c r="C170" s="21" t="s">
        <v>2008</v>
      </c>
      <c r="D170" s="21" t="s">
        <v>2002</v>
      </c>
      <c r="E170" s="50" t="b">
        <v>1</v>
      </c>
      <c r="F170" s="72" t="str">
        <f>HYPERLINK("http://nsgreg.nga.mil/genc/view?v=291433&amp;end_month=6&amp;end_day=30&amp;end_year=2019","South Australia")</f>
        <v>South Australia</v>
      </c>
      <c r="G170" s="72" t="str">
        <f>HYPERLINK("http://api.nsgreg.nga.mil/geo-division/GENC/6/3-11/AU-SA","as:GENC:6:3-11:AU-SA")</f>
        <v>as:GENC:6:3-11:AU-SA</v>
      </c>
    </row>
    <row r="171" spans="1:7" x14ac:dyDescent="0.25">
      <c r="A171" s="112"/>
      <c r="B171" s="21" t="s">
        <v>2009</v>
      </c>
      <c r="C171" s="21" t="s">
        <v>2010</v>
      </c>
      <c r="D171" s="21" t="s">
        <v>2002</v>
      </c>
      <c r="E171" s="50" t="b">
        <v>1</v>
      </c>
      <c r="F171" s="72" t="str">
        <f>HYPERLINK("http://nsgreg.nga.mil/genc/view?v=291434&amp;end_month=6&amp;end_day=30&amp;end_year=2019","Tasmania")</f>
        <v>Tasmania</v>
      </c>
      <c r="G171" s="72" t="str">
        <f>HYPERLINK("http://api.nsgreg.nga.mil/geo-division/GENC/6/3-11/AU-TAS","as:GENC:6:3-11:AU-TAS")</f>
        <v>as:GENC:6:3-11:AU-TAS</v>
      </c>
    </row>
    <row r="172" spans="1:7" x14ac:dyDescent="0.25">
      <c r="A172" s="112"/>
      <c r="B172" s="21" t="s">
        <v>2011</v>
      </c>
      <c r="C172" s="21" t="s">
        <v>2012</v>
      </c>
      <c r="D172" s="21" t="s">
        <v>2002</v>
      </c>
      <c r="E172" s="50" t="b">
        <v>1</v>
      </c>
      <c r="F172" s="72" t="str">
        <f>HYPERLINK("http://nsgreg.nga.mil/genc/view?v=291435&amp;end_month=6&amp;end_day=30&amp;end_year=2019","Victoria")</f>
        <v>Victoria</v>
      </c>
      <c r="G172" s="72" t="str">
        <f>HYPERLINK("http://api.nsgreg.nga.mil/geo-division/GENC/6/3-11/AU-VIC","as:GENC:6:3-11:AU-VIC")</f>
        <v>as:GENC:6:3-11:AU-VIC</v>
      </c>
    </row>
    <row r="173" spans="1:7" x14ac:dyDescent="0.25">
      <c r="A173" s="113"/>
      <c r="B173" s="47" t="s">
        <v>2013</v>
      </c>
      <c r="C173" s="47" t="s">
        <v>2014</v>
      </c>
      <c r="D173" s="47" t="s">
        <v>2002</v>
      </c>
      <c r="E173" s="51" t="b">
        <v>1</v>
      </c>
      <c r="F173" s="73" t="str">
        <f>HYPERLINK("http://nsgreg.nga.mil/genc/view?v=291436&amp;end_month=6&amp;end_day=30&amp;end_year=2019","Western Australia")</f>
        <v>Western Australia</v>
      </c>
      <c r="G173" s="73" t="str">
        <f>HYPERLINK("http://api.nsgreg.nga.mil/geo-division/GENC/6/3-11/AU-WA","as:GENC:6:3-11:AU-WA")</f>
        <v>as:GENC:6:3-11:AU-WA</v>
      </c>
    </row>
    <row r="174" spans="1:7" x14ac:dyDescent="0.25">
      <c r="A174" s="111" t="str">
        <f>HYPERLINK("[#]Codes_for_GE_Names!A19:I19","AUSTRIA")</f>
        <v>AUSTRIA</v>
      </c>
      <c r="B174" s="42" t="s">
        <v>2015</v>
      </c>
      <c r="C174" s="42" t="s">
        <v>2016</v>
      </c>
      <c r="D174" s="42" t="s">
        <v>2002</v>
      </c>
      <c r="E174" s="49" t="b">
        <v>1</v>
      </c>
      <c r="F174" s="74" t="str">
        <f>HYPERLINK("http://nsgreg.nga.mil/genc/view?v=291420&amp;end_month=6&amp;end_day=30&amp;end_year=2019","Burgenland")</f>
        <v>Burgenland</v>
      </c>
      <c r="G174" s="74" t="str">
        <f>HYPERLINK("http://api.nsgreg.nga.mil/geo-division/GENC/6/3-11/AT-1","as:GENC:6:3-11:AT-1")</f>
        <v>as:GENC:6:3-11:AT-1</v>
      </c>
    </row>
    <row r="175" spans="1:7" x14ac:dyDescent="0.25">
      <c r="A175" s="112"/>
      <c r="B175" s="21" t="s">
        <v>2017</v>
      </c>
      <c r="C175" s="21" t="s">
        <v>2018</v>
      </c>
      <c r="D175" s="21" t="s">
        <v>2002</v>
      </c>
      <c r="E175" s="50" t="b">
        <v>1</v>
      </c>
      <c r="F175" s="72" t="str">
        <f>HYPERLINK("http://nsgreg.nga.mil/genc/view?v=291421&amp;end_month=6&amp;end_day=30&amp;end_year=2019","Kärnten")</f>
        <v>Kärnten</v>
      </c>
      <c r="G175" s="72" t="str">
        <f>HYPERLINK("http://api.nsgreg.nga.mil/geo-division/GENC/6/3-11/AT-2","as:GENC:6:3-11:AT-2")</f>
        <v>as:GENC:6:3-11:AT-2</v>
      </c>
    </row>
    <row r="176" spans="1:7" x14ac:dyDescent="0.25">
      <c r="A176" s="112"/>
      <c r="B176" s="21" t="s">
        <v>2019</v>
      </c>
      <c r="C176" s="21" t="s">
        <v>2020</v>
      </c>
      <c r="D176" s="21" t="s">
        <v>2002</v>
      </c>
      <c r="E176" s="50" t="b">
        <v>1</v>
      </c>
      <c r="F176" s="72" t="str">
        <f>HYPERLINK("http://nsgreg.nga.mil/genc/view?v=291422&amp;end_month=6&amp;end_day=30&amp;end_year=2019","Niederösterreich")</f>
        <v>Niederösterreich</v>
      </c>
      <c r="G176" s="72" t="str">
        <f>HYPERLINK("http://api.nsgreg.nga.mil/geo-division/GENC/6/3-11/AT-3","as:GENC:6:3-11:AT-3")</f>
        <v>as:GENC:6:3-11:AT-3</v>
      </c>
    </row>
    <row r="177" spans="1:7" x14ac:dyDescent="0.25">
      <c r="A177" s="112"/>
      <c r="B177" s="21" t="s">
        <v>2021</v>
      </c>
      <c r="C177" s="21" t="s">
        <v>2022</v>
      </c>
      <c r="D177" s="21" t="s">
        <v>2002</v>
      </c>
      <c r="E177" s="50" t="b">
        <v>1</v>
      </c>
      <c r="F177" s="72" t="str">
        <f>HYPERLINK("http://nsgreg.nga.mil/genc/view?v=291423&amp;end_month=6&amp;end_day=30&amp;end_year=2019","Oberösterreich")</f>
        <v>Oberösterreich</v>
      </c>
      <c r="G177" s="72" t="str">
        <f>HYPERLINK("http://api.nsgreg.nga.mil/geo-division/GENC/6/3-11/AT-4","as:GENC:6:3-11:AT-4")</f>
        <v>as:GENC:6:3-11:AT-4</v>
      </c>
    </row>
    <row r="178" spans="1:7" x14ac:dyDescent="0.25">
      <c r="A178" s="112"/>
      <c r="B178" s="21" t="s">
        <v>2023</v>
      </c>
      <c r="C178" s="21" t="s">
        <v>2024</v>
      </c>
      <c r="D178" s="21" t="s">
        <v>2002</v>
      </c>
      <c r="E178" s="50" t="b">
        <v>1</v>
      </c>
      <c r="F178" s="72" t="str">
        <f>HYPERLINK("http://nsgreg.nga.mil/genc/view?v=291424&amp;end_month=6&amp;end_day=30&amp;end_year=2019","Salzburg")</f>
        <v>Salzburg</v>
      </c>
      <c r="G178" s="72" t="str">
        <f>HYPERLINK("http://api.nsgreg.nga.mil/geo-division/GENC/6/3-11/AT-5","as:GENC:6:3-11:AT-5")</f>
        <v>as:GENC:6:3-11:AT-5</v>
      </c>
    </row>
    <row r="179" spans="1:7" x14ac:dyDescent="0.25">
      <c r="A179" s="112"/>
      <c r="B179" s="21" t="s">
        <v>2025</v>
      </c>
      <c r="C179" s="21" t="s">
        <v>2026</v>
      </c>
      <c r="D179" s="21" t="s">
        <v>2002</v>
      </c>
      <c r="E179" s="50" t="b">
        <v>1</v>
      </c>
      <c r="F179" s="72" t="str">
        <f>HYPERLINK("http://nsgreg.nga.mil/genc/view?v=291425&amp;end_month=6&amp;end_day=30&amp;end_year=2019","Steiermark")</f>
        <v>Steiermark</v>
      </c>
      <c r="G179" s="72" t="str">
        <f>HYPERLINK("http://api.nsgreg.nga.mil/geo-division/GENC/6/3-11/AT-6","as:GENC:6:3-11:AT-6")</f>
        <v>as:GENC:6:3-11:AT-6</v>
      </c>
    </row>
    <row r="180" spans="1:7" x14ac:dyDescent="0.25">
      <c r="A180" s="112"/>
      <c r="B180" s="21" t="s">
        <v>2027</v>
      </c>
      <c r="C180" s="21" t="s">
        <v>2028</v>
      </c>
      <c r="D180" s="21" t="s">
        <v>2002</v>
      </c>
      <c r="E180" s="50" t="b">
        <v>1</v>
      </c>
      <c r="F180" s="72" t="str">
        <f>HYPERLINK("http://nsgreg.nga.mil/genc/view?v=291426&amp;end_month=6&amp;end_day=30&amp;end_year=2019","Tirol")</f>
        <v>Tirol</v>
      </c>
      <c r="G180" s="72" t="str">
        <f>HYPERLINK("http://api.nsgreg.nga.mil/geo-division/GENC/6/3-11/AT-7","as:GENC:6:3-11:AT-7")</f>
        <v>as:GENC:6:3-11:AT-7</v>
      </c>
    </row>
    <row r="181" spans="1:7" x14ac:dyDescent="0.25">
      <c r="A181" s="112"/>
      <c r="B181" s="21" t="s">
        <v>2029</v>
      </c>
      <c r="C181" s="21" t="s">
        <v>2030</v>
      </c>
      <c r="D181" s="21" t="s">
        <v>2002</v>
      </c>
      <c r="E181" s="50" t="b">
        <v>1</v>
      </c>
      <c r="F181" s="72" t="str">
        <f>HYPERLINK("http://nsgreg.nga.mil/genc/view?v=291427&amp;end_month=6&amp;end_day=30&amp;end_year=2019","Vorarlberg")</f>
        <v>Vorarlberg</v>
      </c>
      <c r="G181" s="72" t="str">
        <f>HYPERLINK("http://api.nsgreg.nga.mil/geo-division/GENC/6/3-11/AT-8","as:GENC:6:3-11:AT-8")</f>
        <v>as:GENC:6:3-11:AT-8</v>
      </c>
    </row>
    <row r="182" spans="1:7" x14ac:dyDescent="0.25">
      <c r="A182" s="113"/>
      <c r="B182" s="47" t="s">
        <v>2031</v>
      </c>
      <c r="C182" s="47" t="s">
        <v>2032</v>
      </c>
      <c r="D182" s="47" t="s">
        <v>2002</v>
      </c>
      <c r="E182" s="51" t="b">
        <v>1</v>
      </c>
      <c r="F182" s="73" t="str">
        <f>HYPERLINK("http://nsgreg.nga.mil/genc/view?v=291428&amp;end_month=6&amp;end_day=30&amp;end_year=2019","Wien")</f>
        <v>Wien</v>
      </c>
      <c r="G182" s="73" t="str">
        <f>HYPERLINK("http://api.nsgreg.nga.mil/geo-division/GENC/6/3-11/AT-9","as:GENC:6:3-11:AT-9")</f>
        <v>as:GENC:6:3-11:AT-9</v>
      </c>
    </row>
    <row r="183" spans="1:7" x14ac:dyDescent="0.25">
      <c r="A183" s="111" t="str">
        <f>HYPERLINK("[#]Codes_for_GE_Names!A20:I20","AZERBAIJAN")</f>
        <v>AZERBAIJAN</v>
      </c>
      <c r="B183" s="42" t="s">
        <v>2033</v>
      </c>
      <c r="C183" s="42" t="s">
        <v>2034</v>
      </c>
      <c r="D183" s="42" t="s">
        <v>2035</v>
      </c>
      <c r="E183" s="49" t="b">
        <v>1</v>
      </c>
      <c r="F183" s="74" t="str">
        <f>HYPERLINK("http://nsgreg.nga.mil/genc/view?v=291437&amp;end_month=6&amp;end_day=30&amp;end_year=2019","Abşeron")</f>
        <v>Abşeron</v>
      </c>
      <c r="G183" s="74" t="str">
        <f>HYPERLINK("http://api.nsgreg.nga.mil/geo-division/GENC/6/3-11/AZ-ABS","as:GENC:6:3-11:AZ-ABS")</f>
        <v>as:GENC:6:3-11:AZ-ABS</v>
      </c>
    </row>
    <row r="184" spans="1:7" x14ac:dyDescent="0.25">
      <c r="A184" s="112"/>
      <c r="B184" s="21" t="s">
        <v>2036</v>
      </c>
      <c r="C184" s="21" t="s">
        <v>2037</v>
      </c>
      <c r="D184" s="21" t="s">
        <v>2035</v>
      </c>
      <c r="E184" s="50" t="b">
        <v>1</v>
      </c>
      <c r="F184" s="72" t="str">
        <f>HYPERLINK("http://nsgreg.nga.mil/genc/view?v=291439&amp;end_month=6&amp;end_day=30&amp;end_year=2019","Ağcabədi")</f>
        <v>Ağcabədi</v>
      </c>
      <c r="G184" s="72" t="str">
        <f>HYPERLINK("http://api.nsgreg.nga.mil/geo-division/GENC/6/3-11/AZ-AGC","as:GENC:6:3-11:AZ-AGC")</f>
        <v>as:GENC:6:3-11:AZ-AGC</v>
      </c>
    </row>
    <row r="185" spans="1:7" x14ac:dyDescent="0.25">
      <c r="A185" s="112"/>
      <c r="B185" s="21" t="s">
        <v>2038</v>
      </c>
      <c r="C185" s="21" t="s">
        <v>2039</v>
      </c>
      <c r="D185" s="21" t="s">
        <v>2035</v>
      </c>
      <c r="E185" s="50" t="b">
        <v>1</v>
      </c>
      <c r="F185" s="72" t="str">
        <f>HYPERLINK("http://nsgreg.nga.mil/genc/view?v=291440&amp;end_month=6&amp;end_day=30&amp;end_year=2019","Ağdam")</f>
        <v>Ağdam</v>
      </c>
      <c r="G185" s="72" t="str">
        <f>HYPERLINK("http://api.nsgreg.nga.mil/geo-division/GENC/6/3-11/AZ-AGM","as:GENC:6:3-11:AZ-AGM")</f>
        <v>as:GENC:6:3-11:AZ-AGM</v>
      </c>
    </row>
    <row r="186" spans="1:7" x14ac:dyDescent="0.25">
      <c r="A186" s="112"/>
      <c r="B186" s="21" t="s">
        <v>2040</v>
      </c>
      <c r="C186" s="21" t="s">
        <v>2041</v>
      </c>
      <c r="D186" s="21" t="s">
        <v>2035</v>
      </c>
      <c r="E186" s="50" t="b">
        <v>1</v>
      </c>
      <c r="F186" s="72" t="str">
        <f>HYPERLINK("http://nsgreg.nga.mil/genc/view?v=291441&amp;end_month=6&amp;end_day=30&amp;end_year=2019","Ağdaş")</f>
        <v>Ağdaş</v>
      </c>
      <c r="G186" s="72" t="str">
        <f>HYPERLINK("http://api.nsgreg.nga.mil/geo-division/GENC/6/3-11/AZ-AGS","as:GENC:6:3-11:AZ-AGS")</f>
        <v>as:GENC:6:3-11:AZ-AGS</v>
      </c>
    </row>
    <row r="187" spans="1:7" x14ac:dyDescent="0.25">
      <c r="A187" s="112"/>
      <c r="B187" s="21" t="s">
        <v>2042</v>
      </c>
      <c r="C187" s="21" t="s">
        <v>2043</v>
      </c>
      <c r="D187" s="21" t="s">
        <v>2035</v>
      </c>
      <c r="E187" s="50" t="b">
        <v>1</v>
      </c>
      <c r="F187" s="72" t="str">
        <f>HYPERLINK("http://nsgreg.nga.mil/genc/view?v=291438&amp;end_month=6&amp;end_day=30&amp;end_year=2019","Ağstafa")</f>
        <v>Ağstafa</v>
      </c>
      <c r="G187" s="72" t="str">
        <f>HYPERLINK("http://api.nsgreg.nga.mil/geo-division/GENC/6/3-11/AZ-AGA","as:GENC:6:3-11:AZ-AGA")</f>
        <v>as:GENC:6:3-11:AZ-AGA</v>
      </c>
    </row>
    <row r="188" spans="1:7" x14ac:dyDescent="0.25">
      <c r="A188" s="112"/>
      <c r="B188" s="21" t="s">
        <v>2044</v>
      </c>
      <c r="C188" s="21" t="s">
        <v>2045</v>
      </c>
      <c r="D188" s="21" t="s">
        <v>2035</v>
      </c>
      <c r="E188" s="50" t="b">
        <v>1</v>
      </c>
      <c r="F188" s="72" t="str">
        <f>HYPERLINK("http://nsgreg.nga.mil/genc/view?v=291442&amp;end_month=6&amp;end_day=30&amp;end_year=2019","Ağsu")</f>
        <v>Ağsu</v>
      </c>
      <c r="G188" s="72" t="str">
        <f>HYPERLINK("http://api.nsgreg.nga.mil/geo-division/GENC/6/3-11/AZ-AGU","as:GENC:6:3-11:AZ-AGU")</f>
        <v>as:GENC:6:3-11:AZ-AGU</v>
      </c>
    </row>
    <row r="189" spans="1:7" x14ac:dyDescent="0.25">
      <c r="A189" s="112"/>
      <c r="B189" s="21" t="s">
        <v>2046</v>
      </c>
      <c r="C189" s="21" t="s">
        <v>2047</v>
      </c>
      <c r="D189" s="21" t="s">
        <v>2035</v>
      </c>
      <c r="E189" s="50" t="b">
        <v>1</v>
      </c>
      <c r="F189" s="72" t="str">
        <f>HYPERLINK("http://nsgreg.nga.mil/genc/view?v=291443&amp;end_month=6&amp;end_day=30&amp;end_year=2019","Astara")</f>
        <v>Astara</v>
      </c>
      <c r="G189" s="72" t="str">
        <f>HYPERLINK("http://api.nsgreg.nga.mil/geo-division/GENC/6/3-11/AZ-AST","as:GENC:6:3-11:AZ-AST")</f>
        <v>as:GENC:6:3-11:AZ-AST</v>
      </c>
    </row>
    <row r="190" spans="1:7" x14ac:dyDescent="0.25">
      <c r="A190" s="112"/>
      <c r="B190" s="21" t="s">
        <v>2048</v>
      </c>
      <c r="C190" s="21" t="s">
        <v>2049</v>
      </c>
      <c r="D190" s="21" t="s">
        <v>1996</v>
      </c>
      <c r="E190" s="50" t="b">
        <v>1</v>
      </c>
      <c r="F190" s="72" t="str">
        <f>HYPERLINK("http://nsgreg.nga.mil/genc/view?v=291444&amp;end_month=6&amp;end_day=30&amp;end_year=2019","Bakı")</f>
        <v>Bakı</v>
      </c>
      <c r="G190" s="72" t="str">
        <f>HYPERLINK("http://api.nsgreg.nga.mil/geo-division/GENC/6/3-11/AZ-BA","as:GENC:6:3-11:AZ-BA")</f>
        <v>as:GENC:6:3-11:AZ-BA</v>
      </c>
    </row>
    <row r="191" spans="1:7" x14ac:dyDescent="0.25">
      <c r="A191" s="112"/>
      <c r="B191" s="21" t="s">
        <v>2050</v>
      </c>
      <c r="C191" s="21" t="s">
        <v>2051</v>
      </c>
      <c r="D191" s="21" t="s">
        <v>2035</v>
      </c>
      <c r="E191" s="50" t="b">
        <v>1</v>
      </c>
      <c r="F191" s="72" t="str">
        <f>HYPERLINK("http://nsgreg.nga.mil/genc/view?v=291446&amp;end_month=6&amp;end_day=30&amp;end_year=2019","Balakən")</f>
        <v>Balakən</v>
      </c>
      <c r="G191" s="72" t="str">
        <f>HYPERLINK("http://api.nsgreg.nga.mil/geo-division/GENC/6/3-11/AZ-BAL","as:GENC:6:3-11:AZ-BAL")</f>
        <v>as:GENC:6:3-11:AZ-BAL</v>
      </c>
    </row>
    <row r="192" spans="1:7" x14ac:dyDescent="0.25">
      <c r="A192" s="112"/>
      <c r="B192" s="21" t="s">
        <v>2052</v>
      </c>
      <c r="C192" s="21" t="s">
        <v>2053</v>
      </c>
      <c r="D192" s="21" t="s">
        <v>2035</v>
      </c>
      <c r="E192" s="50" t="b">
        <v>1</v>
      </c>
      <c r="F192" s="72" t="str">
        <f>HYPERLINK("http://nsgreg.nga.mil/genc/view?v=291447&amp;end_month=6&amp;end_day=30&amp;end_year=2019","Bərdə")</f>
        <v>Bərdə</v>
      </c>
      <c r="G192" s="72" t="str">
        <f>HYPERLINK("http://api.nsgreg.nga.mil/geo-division/GENC/6/3-11/AZ-BAR","as:GENC:6:3-11:AZ-BAR")</f>
        <v>as:GENC:6:3-11:AZ-BAR</v>
      </c>
    </row>
    <row r="193" spans="1:7" x14ac:dyDescent="0.25">
      <c r="A193" s="112"/>
      <c r="B193" s="21" t="s">
        <v>2054</v>
      </c>
      <c r="C193" s="21" t="s">
        <v>2055</v>
      </c>
      <c r="D193" s="21" t="s">
        <v>2035</v>
      </c>
      <c r="E193" s="50" t="b">
        <v>1</v>
      </c>
      <c r="F193" s="72" t="str">
        <f>HYPERLINK("http://nsgreg.nga.mil/genc/view?v=291448&amp;end_month=6&amp;end_day=30&amp;end_year=2019","Beyləqan")</f>
        <v>Beyləqan</v>
      </c>
      <c r="G193" s="72" t="str">
        <f>HYPERLINK("http://api.nsgreg.nga.mil/geo-division/GENC/6/3-11/AZ-BEY","as:GENC:6:3-11:AZ-BEY")</f>
        <v>as:GENC:6:3-11:AZ-BEY</v>
      </c>
    </row>
    <row r="194" spans="1:7" x14ac:dyDescent="0.25">
      <c r="A194" s="112"/>
      <c r="B194" s="21" t="s">
        <v>2056</v>
      </c>
      <c r="C194" s="21" t="s">
        <v>2057</v>
      </c>
      <c r="D194" s="21" t="s">
        <v>2035</v>
      </c>
      <c r="E194" s="50" t="b">
        <v>1</v>
      </c>
      <c r="F194" s="72" t="str">
        <f>HYPERLINK("http://nsgreg.nga.mil/genc/view?v=291449&amp;end_month=6&amp;end_day=30&amp;end_year=2019","Biləsuvar")</f>
        <v>Biləsuvar</v>
      </c>
      <c r="G194" s="72" t="str">
        <f>HYPERLINK("http://api.nsgreg.nga.mil/geo-division/GENC/6/3-11/AZ-BIL","as:GENC:6:3-11:AZ-BIL")</f>
        <v>as:GENC:6:3-11:AZ-BIL</v>
      </c>
    </row>
    <row r="195" spans="1:7" x14ac:dyDescent="0.25">
      <c r="A195" s="112"/>
      <c r="B195" s="21" t="s">
        <v>2058</v>
      </c>
      <c r="C195" s="21" t="s">
        <v>2059</v>
      </c>
      <c r="D195" s="21" t="s">
        <v>2035</v>
      </c>
      <c r="E195" s="50" t="b">
        <v>1</v>
      </c>
      <c r="F195" s="72" t="str">
        <f>HYPERLINK("http://nsgreg.nga.mil/genc/view?v=291450&amp;end_month=6&amp;end_day=30&amp;end_year=2019","Cəbrayıl")</f>
        <v>Cəbrayıl</v>
      </c>
      <c r="G195" s="72" t="str">
        <f>HYPERLINK("http://api.nsgreg.nga.mil/geo-division/GENC/6/3-11/AZ-CAB","as:GENC:6:3-11:AZ-CAB")</f>
        <v>as:GENC:6:3-11:AZ-CAB</v>
      </c>
    </row>
    <row r="196" spans="1:7" x14ac:dyDescent="0.25">
      <c r="A196" s="112"/>
      <c r="B196" s="21" t="s">
        <v>2060</v>
      </c>
      <c r="C196" s="21" t="s">
        <v>2061</v>
      </c>
      <c r="D196" s="21" t="s">
        <v>2035</v>
      </c>
      <c r="E196" s="50" t="b">
        <v>1</v>
      </c>
      <c r="F196" s="72" t="str">
        <f>HYPERLINK("http://nsgreg.nga.mil/genc/view?v=291451&amp;end_month=6&amp;end_day=30&amp;end_year=2019","Cəlilabad")</f>
        <v>Cəlilabad</v>
      </c>
      <c r="G196" s="72" t="str">
        <f>HYPERLINK("http://api.nsgreg.nga.mil/geo-division/GENC/6/3-11/AZ-CAL","as:GENC:6:3-11:AZ-CAL")</f>
        <v>as:GENC:6:3-11:AZ-CAL</v>
      </c>
    </row>
    <row r="197" spans="1:7" x14ac:dyDescent="0.25">
      <c r="A197" s="112"/>
      <c r="B197" s="21" t="s">
        <v>2062</v>
      </c>
      <c r="C197" s="21" t="s">
        <v>2063</v>
      </c>
      <c r="D197" s="21" t="s">
        <v>2035</v>
      </c>
      <c r="E197" s="50" t="b">
        <v>1</v>
      </c>
      <c r="F197" s="72" t="str">
        <f>HYPERLINK("http://nsgreg.nga.mil/genc/view?v=291453&amp;end_month=6&amp;end_day=30&amp;end_year=2019","Daşkəsən")</f>
        <v>Daşkəsən</v>
      </c>
      <c r="G197" s="72" t="str">
        <f>HYPERLINK("http://api.nsgreg.nga.mil/geo-division/GENC/6/3-11/AZ-DAS","as:GENC:6:3-11:AZ-DAS")</f>
        <v>as:GENC:6:3-11:AZ-DAS</v>
      </c>
    </row>
    <row r="198" spans="1:7" x14ac:dyDescent="0.25">
      <c r="A198" s="112"/>
      <c r="B198" s="21" t="s">
        <v>2064</v>
      </c>
      <c r="C198" s="21" t="s">
        <v>2065</v>
      </c>
      <c r="D198" s="21" t="s">
        <v>2035</v>
      </c>
      <c r="E198" s="50" t="b">
        <v>1</v>
      </c>
      <c r="F198" s="72" t="str">
        <f>HYPERLINK("http://nsgreg.nga.mil/genc/view?v=291454&amp;end_month=6&amp;end_day=30&amp;end_year=2019","Füzuli")</f>
        <v>Füzuli</v>
      </c>
      <c r="G198" s="72" t="str">
        <f>HYPERLINK("http://api.nsgreg.nga.mil/geo-division/GENC/6/3-11/AZ-FUZ","as:GENC:6:3-11:AZ-FUZ")</f>
        <v>as:GENC:6:3-11:AZ-FUZ</v>
      </c>
    </row>
    <row r="199" spans="1:7" x14ac:dyDescent="0.25">
      <c r="A199" s="112"/>
      <c r="B199" s="21" t="s">
        <v>2066</v>
      </c>
      <c r="C199" s="21" t="s">
        <v>2067</v>
      </c>
      <c r="D199" s="21" t="s">
        <v>2035</v>
      </c>
      <c r="E199" s="50" t="b">
        <v>1</v>
      </c>
      <c r="F199" s="72" t="str">
        <f>HYPERLINK("http://nsgreg.nga.mil/genc/view?v=291456&amp;end_month=6&amp;end_day=30&amp;end_year=2019","Gədəbəy")</f>
        <v>Gədəbəy</v>
      </c>
      <c r="G199" s="72" t="str">
        <f>HYPERLINK("http://api.nsgreg.nga.mil/geo-division/GENC/6/3-11/AZ-GAD","as:GENC:6:3-11:AZ-GAD")</f>
        <v>as:GENC:6:3-11:AZ-GAD</v>
      </c>
    </row>
    <row r="200" spans="1:7" x14ac:dyDescent="0.25">
      <c r="A200" s="112"/>
      <c r="B200" s="21" t="s">
        <v>2068</v>
      </c>
      <c r="C200" s="21" t="s">
        <v>2069</v>
      </c>
      <c r="D200" s="21" t="s">
        <v>1996</v>
      </c>
      <c r="E200" s="50" t="b">
        <v>1</v>
      </c>
      <c r="F200" s="72" t="str">
        <f>HYPERLINK("http://nsgreg.nga.mil/genc/view?v=291455&amp;end_month=6&amp;end_day=30&amp;end_year=2019","Gəncə")</f>
        <v>Gəncə</v>
      </c>
      <c r="G200" s="72" t="str">
        <f>HYPERLINK("http://api.nsgreg.nga.mil/geo-division/GENC/6/3-11/AZ-GA","as:GENC:6:3-11:AZ-GA")</f>
        <v>as:GENC:6:3-11:AZ-GA</v>
      </c>
    </row>
    <row r="201" spans="1:7" x14ac:dyDescent="0.25">
      <c r="A201" s="112"/>
      <c r="B201" s="21" t="s">
        <v>2070</v>
      </c>
      <c r="C201" s="21" t="s">
        <v>2071</v>
      </c>
      <c r="D201" s="21" t="s">
        <v>2035</v>
      </c>
      <c r="E201" s="50" t="b">
        <v>1</v>
      </c>
      <c r="F201" s="72" t="str">
        <f>HYPERLINK("http://nsgreg.nga.mil/genc/view?v=291457&amp;end_month=6&amp;end_day=30&amp;end_year=2019","Goranboy")</f>
        <v>Goranboy</v>
      </c>
      <c r="G201" s="72" t="str">
        <f>HYPERLINK("http://api.nsgreg.nga.mil/geo-division/GENC/6/3-11/AZ-GOR","as:GENC:6:3-11:AZ-GOR")</f>
        <v>as:GENC:6:3-11:AZ-GOR</v>
      </c>
    </row>
    <row r="202" spans="1:7" x14ac:dyDescent="0.25">
      <c r="A202" s="112"/>
      <c r="B202" s="21" t="s">
        <v>2072</v>
      </c>
      <c r="C202" s="21" t="s">
        <v>2073</v>
      </c>
      <c r="D202" s="21" t="s">
        <v>2035</v>
      </c>
      <c r="E202" s="50" t="b">
        <v>1</v>
      </c>
      <c r="F202" s="72" t="str">
        <f>HYPERLINK("http://nsgreg.nga.mil/genc/view?v=291458&amp;end_month=6&amp;end_day=30&amp;end_year=2019","Göyçay")</f>
        <v>Göyçay</v>
      </c>
      <c r="G202" s="72" t="str">
        <f>HYPERLINK("http://api.nsgreg.nga.mil/geo-division/GENC/6/3-11/AZ-GOY","as:GENC:6:3-11:AZ-GOY")</f>
        <v>as:GENC:6:3-11:AZ-GOY</v>
      </c>
    </row>
    <row r="203" spans="1:7" x14ac:dyDescent="0.25">
      <c r="A203" s="112"/>
      <c r="B203" s="21" t="s">
        <v>2074</v>
      </c>
      <c r="C203" s="21" t="s">
        <v>2075</v>
      </c>
      <c r="D203" s="21" t="s">
        <v>2035</v>
      </c>
      <c r="E203" s="50" t="b">
        <v>1</v>
      </c>
      <c r="F203" s="72" t="str">
        <f>HYPERLINK("http://nsgreg.nga.mil/genc/view?v=291459&amp;end_month=6&amp;end_day=30&amp;end_year=2019","Göygöl")</f>
        <v>Göygöl</v>
      </c>
      <c r="G203" s="72" t="str">
        <f>HYPERLINK("http://api.nsgreg.nga.mil/geo-division/GENC/6/3-11/AZ-GYG","as:GENC:6:3-11:AZ-GYG")</f>
        <v>as:GENC:6:3-11:AZ-GYG</v>
      </c>
    </row>
    <row r="204" spans="1:7" x14ac:dyDescent="0.25">
      <c r="A204" s="112"/>
      <c r="B204" s="21" t="s">
        <v>2076</v>
      </c>
      <c r="C204" s="21" t="s">
        <v>2077</v>
      </c>
      <c r="D204" s="21" t="s">
        <v>2035</v>
      </c>
      <c r="E204" s="50" t="b">
        <v>1</v>
      </c>
      <c r="F204" s="72" t="str">
        <f>HYPERLINK("http://nsgreg.nga.mil/genc/view?v=291460&amp;end_month=6&amp;end_day=30&amp;end_year=2019","Hacıqabul")</f>
        <v>Hacıqabul</v>
      </c>
      <c r="G204" s="72" t="str">
        <f>HYPERLINK("http://api.nsgreg.nga.mil/geo-division/GENC/6/3-11/AZ-HAC","as:GENC:6:3-11:AZ-HAC")</f>
        <v>as:GENC:6:3-11:AZ-HAC</v>
      </c>
    </row>
    <row r="205" spans="1:7" x14ac:dyDescent="0.25">
      <c r="A205" s="112"/>
      <c r="B205" s="21" t="s">
        <v>2078</v>
      </c>
      <c r="C205" s="21" t="s">
        <v>2079</v>
      </c>
      <c r="D205" s="21" t="s">
        <v>2035</v>
      </c>
      <c r="E205" s="50" t="b">
        <v>1</v>
      </c>
      <c r="F205" s="72" t="str">
        <f>HYPERLINK("http://nsgreg.nga.mil/genc/view?v=291461&amp;end_month=6&amp;end_day=30&amp;end_year=2019","İmişli")</f>
        <v>İmişli</v>
      </c>
      <c r="G205" s="72" t="str">
        <f>HYPERLINK("http://api.nsgreg.nga.mil/geo-division/GENC/6/3-11/AZ-IMI","as:GENC:6:3-11:AZ-IMI")</f>
        <v>as:GENC:6:3-11:AZ-IMI</v>
      </c>
    </row>
    <row r="206" spans="1:7" x14ac:dyDescent="0.25">
      <c r="A206" s="112"/>
      <c r="B206" s="21" t="s">
        <v>2080</v>
      </c>
      <c r="C206" s="21" t="s">
        <v>2081</v>
      </c>
      <c r="D206" s="21" t="s">
        <v>2035</v>
      </c>
      <c r="E206" s="50" t="b">
        <v>1</v>
      </c>
      <c r="F206" s="72" t="str">
        <f>HYPERLINK("http://nsgreg.nga.mil/genc/view?v=291462&amp;end_month=6&amp;end_day=30&amp;end_year=2019","İsmayıllı")</f>
        <v>İsmayıllı</v>
      </c>
      <c r="G206" s="72" t="str">
        <f>HYPERLINK("http://api.nsgreg.nga.mil/geo-division/GENC/6/3-11/AZ-ISM","as:GENC:6:3-11:AZ-ISM")</f>
        <v>as:GENC:6:3-11:AZ-ISM</v>
      </c>
    </row>
    <row r="207" spans="1:7" x14ac:dyDescent="0.25">
      <c r="A207" s="112"/>
      <c r="B207" s="21" t="s">
        <v>2082</v>
      </c>
      <c r="C207" s="21" t="s">
        <v>2083</v>
      </c>
      <c r="D207" s="21" t="s">
        <v>2035</v>
      </c>
      <c r="E207" s="50" t="b">
        <v>1</v>
      </c>
      <c r="F207" s="72" t="str">
        <f>HYPERLINK("http://nsgreg.nga.mil/genc/view?v=291463&amp;end_month=6&amp;end_day=30&amp;end_year=2019","Kəlbəcər")</f>
        <v>Kəlbəcər</v>
      </c>
      <c r="G207" s="72" t="str">
        <f>HYPERLINK("http://api.nsgreg.nga.mil/geo-division/GENC/6/3-11/AZ-KAL","as:GENC:6:3-11:AZ-KAL")</f>
        <v>as:GENC:6:3-11:AZ-KAL</v>
      </c>
    </row>
    <row r="208" spans="1:7" x14ac:dyDescent="0.25">
      <c r="A208" s="112"/>
      <c r="B208" s="21" t="s">
        <v>2084</v>
      </c>
      <c r="C208" s="21" t="s">
        <v>2085</v>
      </c>
      <c r="D208" s="21" t="s">
        <v>2035</v>
      </c>
      <c r="E208" s="50" t="b">
        <v>1</v>
      </c>
      <c r="F208" s="72" t="str">
        <f>HYPERLINK("http://nsgreg.nga.mil/genc/view?v=291465&amp;end_month=6&amp;end_day=30&amp;end_year=2019","Kürdəmir")</f>
        <v>Kürdəmir</v>
      </c>
      <c r="G208" s="72" t="str">
        <f>HYPERLINK("http://api.nsgreg.nga.mil/geo-division/GENC/6/3-11/AZ-KUR","as:GENC:6:3-11:AZ-KUR")</f>
        <v>as:GENC:6:3-11:AZ-KUR</v>
      </c>
    </row>
    <row r="209" spans="1:7" x14ac:dyDescent="0.25">
      <c r="A209" s="112"/>
      <c r="B209" s="21" t="s">
        <v>2086</v>
      </c>
      <c r="C209" s="21" t="s">
        <v>2087</v>
      </c>
      <c r="D209" s="21" t="s">
        <v>2035</v>
      </c>
      <c r="E209" s="50" t="b">
        <v>1</v>
      </c>
      <c r="F209" s="72" t="str">
        <f>HYPERLINK("http://nsgreg.nga.mil/genc/view?v=291467&amp;end_month=6&amp;end_day=30&amp;end_year=2019","Laçın")</f>
        <v>Laçın</v>
      </c>
      <c r="G209" s="72" t="str">
        <f>HYPERLINK("http://api.nsgreg.nga.mil/geo-division/GENC/6/3-11/AZ-LAC","as:GENC:6:3-11:AZ-LAC")</f>
        <v>as:GENC:6:3-11:AZ-LAC</v>
      </c>
    </row>
    <row r="210" spans="1:7" x14ac:dyDescent="0.25">
      <c r="A210" s="112"/>
      <c r="B210" s="21" t="s">
        <v>2088</v>
      </c>
      <c r="C210" s="21" t="s">
        <v>2089</v>
      </c>
      <c r="D210" s="21" t="s">
        <v>1996</v>
      </c>
      <c r="E210" s="50" t="b">
        <v>1</v>
      </c>
      <c r="F210" s="72" t="str">
        <f>HYPERLINK("http://nsgreg.nga.mil/genc/view?v=291466&amp;end_month=6&amp;end_day=30&amp;end_year=2019","Lənkəran")</f>
        <v>Lənkəran</v>
      </c>
      <c r="G210" s="72" t="str">
        <f>HYPERLINK("http://api.nsgreg.nga.mil/geo-division/GENC/6/3-11/AZ-LA","as:GENC:6:3-11:AZ-LA")</f>
        <v>as:GENC:6:3-11:AZ-LA</v>
      </c>
    </row>
    <row r="211" spans="1:7" x14ac:dyDescent="0.25">
      <c r="A211" s="112"/>
      <c r="B211" s="21" t="s">
        <v>2090</v>
      </c>
      <c r="C211" s="21" t="s">
        <v>2089</v>
      </c>
      <c r="D211" s="21" t="s">
        <v>2035</v>
      </c>
      <c r="E211" s="50" t="b">
        <v>1</v>
      </c>
      <c r="F211" s="72" t="str">
        <f>HYPERLINK("http://nsgreg.nga.mil/genc/view?v=291468&amp;end_month=6&amp;end_day=30&amp;end_year=2019","Lənkəran")</f>
        <v>Lənkəran</v>
      </c>
      <c r="G211" s="72" t="str">
        <f>HYPERLINK("http://api.nsgreg.nga.mil/geo-division/GENC/6/3-11/AZ-LAN","as:GENC:6:3-11:AZ-LAN")</f>
        <v>as:GENC:6:3-11:AZ-LAN</v>
      </c>
    </row>
    <row r="212" spans="1:7" x14ac:dyDescent="0.25">
      <c r="A212" s="112"/>
      <c r="B212" s="21" t="s">
        <v>2091</v>
      </c>
      <c r="C212" s="21" t="s">
        <v>2092</v>
      </c>
      <c r="D212" s="21" t="s">
        <v>2035</v>
      </c>
      <c r="E212" s="50" t="b">
        <v>1</v>
      </c>
      <c r="F212" s="72" t="str">
        <f>HYPERLINK("http://nsgreg.nga.mil/genc/view?v=291469&amp;end_month=6&amp;end_day=30&amp;end_year=2019","Lerik")</f>
        <v>Lerik</v>
      </c>
      <c r="G212" s="72" t="str">
        <f>HYPERLINK("http://api.nsgreg.nga.mil/geo-division/GENC/6/3-11/AZ-LER","as:GENC:6:3-11:AZ-LER")</f>
        <v>as:GENC:6:3-11:AZ-LER</v>
      </c>
    </row>
    <row r="213" spans="1:7" x14ac:dyDescent="0.25">
      <c r="A213" s="112"/>
      <c r="B213" s="21" t="s">
        <v>2093</v>
      </c>
      <c r="C213" s="21" t="s">
        <v>2094</v>
      </c>
      <c r="D213" s="21" t="s">
        <v>2035</v>
      </c>
      <c r="E213" s="50" t="b">
        <v>1</v>
      </c>
      <c r="F213" s="72" t="str">
        <f>HYPERLINK("http://nsgreg.nga.mil/genc/view?v=291470&amp;end_month=6&amp;end_day=30&amp;end_year=2019","Masallı")</f>
        <v>Masallı</v>
      </c>
      <c r="G213" s="72" t="str">
        <f>HYPERLINK("http://api.nsgreg.nga.mil/geo-division/GENC/6/3-11/AZ-MAS","as:GENC:6:3-11:AZ-MAS")</f>
        <v>as:GENC:6:3-11:AZ-MAS</v>
      </c>
    </row>
    <row r="214" spans="1:7" x14ac:dyDescent="0.25">
      <c r="A214" s="112"/>
      <c r="B214" s="21" t="s">
        <v>2095</v>
      </c>
      <c r="C214" s="21" t="s">
        <v>2096</v>
      </c>
      <c r="D214" s="21" t="s">
        <v>1996</v>
      </c>
      <c r="E214" s="50" t="b">
        <v>1</v>
      </c>
      <c r="F214" s="72" t="str">
        <f>HYPERLINK("http://nsgreg.nga.mil/genc/view?v=291471&amp;end_month=6&amp;end_day=30&amp;end_year=2019","Mingəçevir")</f>
        <v>Mingəçevir</v>
      </c>
      <c r="G214" s="72" t="str">
        <f>HYPERLINK("http://api.nsgreg.nga.mil/geo-division/GENC/6/3-11/AZ-MI","as:GENC:6:3-11:AZ-MI")</f>
        <v>as:GENC:6:3-11:AZ-MI</v>
      </c>
    </row>
    <row r="215" spans="1:7" x14ac:dyDescent="0.25">
      <c r="A215" s="112"/>
      <c r="B215" s="21" t="s">
        <v>2097</v>
      </c>
      <c r="C215" s="21" t="s">
        <v>2098</v>
      </c>
      <c r="D215" s="21" t="s">
        <v>1996</v>
      </c>
      <c r="E215" s="50" t="b">
        <v>1</v>
      </c>
      <c r="F215" s="72" t="str">
        <f>HYPERLINK("http://nsgreg.nga.mil/genc/view?v=291472&amp;end_month=6&amp;end_day=30&amp;end_year=2019","Naftalan")</f>
        <v>Naftalan</v>
      </c>
      <c r="G215" s="72" t="str">
        <f>HYPERLINK("http://api.nsgreg.nga.mil/geo-division/GENC/6/3-11/AZ-NA","as:GENC:6:3-11:AZ-NA")</f>
        <v>as:GENC:6:3-11:AZ-NA</v>
      </c>
    </row>
    <row r="216" spans="1:7" x14ac:dyDescent="0.25">
      <c r="A216" s="112"/>
      <c r="B216" s="21" t="s">
        <v>2099</v>
      </c>
      <c r="C216" s="21" t="s">
        <v>2100</v>
      </c>
      <c r="D216" s="76" t="s">
        <v>2101</v>
      </c>
      <c r="E216" s="77" t="b">
        <v>0</v>
      </c>
      <c r="F216" s="72" t="str">
        <f>HYPERLINK("http://nsgreg.nga.mil/genc/view?v=291475&amp;end_month=6&amp;end_day=30&amp;end_year=2019","Naxçıvan")</f>
        <v>Naxçıvan</v>
      </c>
      <c r="G216" s="72" t="str">
        <f>HYPERLINK("http://api.nsgreg.nga.mil/geo-division/GENC/6/3-11/AZ-NX","as:GENC:6:3-11:AZ-NX")</f>
        <v>as:GENC:6:3-11:AZ-NX</v>
      </c>
    </row>
    <row r="217" spans="1:7" x14ac:dyDescent="0.25">
      <c r="A217" s="112"/>
      <c r="B217" s="21" t="s">
        <v>2102</v>
      </c>
      <c r="C217" s="21" t="s">
        <v>2103</v>
      </c>
      <c r="D217" s="21" t="s">
        <v>2035</v>
      </c>
      <c r="E217" s="50" t="b">
        <v>1</v>
      </c>
      <c r="F217" s="72" t="str">
        <f>HYPERLINK("http://nsgreg.nga.mil/genc/view?v=291445&amp;end_month=6&amp;end_day=30&amp;end_year=2019","Babək")</f>
        <v>Babək</v>
      </c>
      <c r="G217" s="72" t="str">
        <f>HYPERLINK("http://api.nsgreg.nga.mil/geo-division/GENC/6/3-11/AZ-BAB","as:GENC:6:3-11:AZ-BAB")</f>
        <v>as:GENC:6:3-11:AZ-BAB</v>
      </c>
    </row>
    <row r="218" spans="1:7" x14ac:dyDescent="0.25">
      <c r="A218" s="112"/>
      <c r="B218" s="21" t="s">
        <v>2104</v>
      </c>
      <c r="C218" s="21" t="s">
        <v>2105</v>
      </c>
      <c r="D218" s="21" t="s">
        <v>2035</v>
      </c>
      <c r="E218" s="50" t="b">
        <v>1</v>
      </c>
      <c r="F218" s="72" t="str">
        <f>HYPERLINK("http://nsgreg.nga.mil/genc/view?v=291452&amp;end_month=6&amp;end_day=30&amp;end_year=2019","Culfa")</f>
        <v>Culfa</v>
      </c>
      <c r="G218" s="72" t="str">
        <f>HYPERLINK("http://api.nsgreg.nga.mil/geo-division/GENC/6/3-11/AZ-CUL","as:GENC:6:3-11:AZ-CUL")</f>
        <v>as:GENC:6:3-11:AZ-CUL</v>
      </c>
    </row>
    <row r="219" spans="1:7" x14ac:dyDescent="0.25">
      <c r="A219" s="112"/>
      <c r="B219" s="21" t="s">
        <v>2106</v>
      </c>
      <c r="C219" s="21" t="s">
        <v>2107</v>
      </c>
      <c r="D219" s="21" t="s">
        <v>2035</v>
      </c>
      <c r="E219" s="50" t="b">
        <v>1</v>
      </c>
      <c r="F219" s="72" t="str">
        <f>HYPERLINK("http://nsgreg.nga.mil/genc/view?v=291464&amp;end_month=6&amp;end_day=30&amp;end_year=2019","Kəngərli")</f>
        <v>Kəngərli</v>
      </c>
      <c r="G219" s="72" t="str">
        <f>HYPERLINK("http://api.nsgreg.nga.mil/geo-division/GENC/6/3-11/AZ-KAN","as:GENC:6:3-11:AZ-KAN")</f>
        <v>as:GENC:6:3-11:AZ-KAN</v>
      </c>
    </row>
    <row r="220" spans="1:7" x14ac:dyDescent="0.25">
      <c r="A220" s="112"/>
      <c r="B220" s="21" t="s">
        <v>2108</v>
      </c>
      <c r="C220" s="21" t="s">
        <v>2109</v>
      </c>
      <c r="D220" s="21" t="s">
        <v>1996</v>
      </c>
      <c r="E220" s="50" t="b">
        <v>1</v>
      </c>
      <c r="F220" s="72" t="str">
        <f>HYPERLINK("http://nsgreg.nga.mil/genc/view?v=291474&amp;end_month=6&amp;end_day=30&amp;end_year=2019","Naxçıvan")</f>
        <v>Naxçıvan</v>
      </c>
      <c r="G220" s="72" t="str">
        <f>HYPERLINK("http://api.nsgreg.nga.mil/geo-division/GENC/6/3-11/AZ-NV","as:GENC:6:3-11:AZ-NV")</f>
        <v>as:GENC:6:3-11:AZ-NV</v>
      </c>
    </row>
    <row r="221" spans="1:7" x14ac:dyDescent="0.25">
      <c r="A221" s="112"/>
      <c r="B221" s="21" t="s">
        <v>2110</v>
      </c>
      <c r="C221" s="21" t="s">
        <v>2111</v>
      </c>
      <c r="D221" s="21" t="s">
        <v>2035</v>
      </c>
      <c r="E221" s="50" t="b">
        <v>1</v>
      </c>
      <c r="F221" s="72" t="str">
        <f>HYPERLINK("http://nsgreg.nga.mil/genc/view?v=291477&amp;end_month=6&amp;end_day=30&amp;end_year=2019","Ordubad")</f>
        <v>Ordubad</v>
      </c>
      <c r="G221" s="72" t="str">
        <f>HYPERLINK("http://api.nsgreg.nga.mil/geo-division/GENC/6/3-11/AZ-ORD","as:GENC:6:3-11:AZ-ORD")</f>
        <v>as:GENC:6:3-11:AZ-ORD</v>
      </c>
    </row>
    <row r="222" spans="1:7" x14ac:dyDescent="0.25">
      <c r="A222" s="112"/>
      <c r="B222" s="21" t="s">
        <v>2112</v>
      </c>
      <c r="C222" s="21" t="s">
        <v>2113</v>
      </c>
      <c r="D222" s="21" t="s">
        <v>2035</v>
      </c>
      <c r="E222" s="50" t="b">
        <v>1</v>
      </c>
      <c r="F222" s="72" t="str">
        <f>HYPERLINK("http://nsgreg.nga.mil/genc/view?v=291488&amp;end_month=6&amp;end_day=30&amp;end_year=2019","Şahbuz")</f>
        <v>Şahbuz</v>
      </c>
      <c r="G222" s="72" t="str">
        <f>HYPERLINK("http://api.nsgreg.nga.mil/geo-division/GENC/6/3-11/AZ-SAH","as:GENC:6:3-11:AZ-SAH")</f>
        <v>as:GENC:6:3-11:AZ-SAH</v>
      </c>
    </row>
    <row r="223" spans="1:7" x14ac:dyDescent="0.25">
      <c r="A223" s="112"/>
      <c r="B223" s="21" t="s">
        <v>2114</v>
      </c>
      <c r="C223" s="21" t="s">
        <v>2115</v>
      </c>
      <c r="D223" s="21" t="s">
        <v>2035</v>
      </c>
      <c r="E223" s="50" t="b">
        <v>1</v>
      </c>
      <c r="F223" s="72" t="str">
        <f>HYPERLINK("http://nsgreg.nga.mil/genc/view?v=291487&amp;end_month=6&amp;end_day=30&amp;end_year=2019","Sədərək")</f>
        <v>Sədərək</v>
      </c>
      <c r="G223" s="72" t="str">
        <f>HYPERLINK("http://api.nsgreg.nga.mil/geo-division/GENC/6/3-11/AZ-SAD","as:GENC:6:3-11:AZ-SAD")</f>
        <v>as:GENC:6:3-11:AZ-SAD</v>
      </c>
    </row>
    <row r="224" spans="1:7" x14ac:dyDescent="0.25">
      <c r="A224" s="112"/>
      <c r="B224" s="21" t="s">
        <v>2116</v>
      </c>
      <c r="C224" s="21" t="s">
        <v>2117</v>
      </c>
      <c r="D224" s="21" t="s">
        <v>2035</v>
      </c>
      <c r="E224" s="50" t="b">
        <v>1</v>
      </c>
      <c r="F224" s="72" t="str">
        <f>HYPERLINK("http://nsgreg.nga.mil/genc/view?v=291491&amp;end_month=6&amp;end_day=30&amp;end_year=2019","Şərur")</f>
        <v>Şərur</v>
      </c>
      <c r="G224" s="72" t="str">
        <f>HYPERLINK("http://api.nsgreg.nga.mil/geo-division/GENC/6/3-11/AZ-SAR","as:GENC:6:3-11:AZ-SAR")</f>
        <v>as:GENC:6:3-11:AZ-SAR</v>
      </c>
    </row>
    <row r="225" spans="1:7" x14ac:dyDescent="0.25">
      <c r="A225" s="112"/>
      <c r="B225" s="21" t="s">
        <v>2118</v>
      </c>
      <c r="C225" s="21" t="s">
        <v>2119</v>
      </c>
      <c r="D225" s="21" t="s">
        <v>2035</v>
      </c>
      <c r="E225" s="50" t="b">
        <v>1</v>
      </c>
      <c r="F225" s="72" t="str">
        <f>HYPERLINK("http://nsgreg.nga.mil/genc/view?v=291473&amp;end_month=6&amp;end_day=30&amp;end_year=2019","Neftçala")</f>
        <v>Neftçala</v>
      </c>
      <c r="G225" s="72" t="str">
        <f>HYPERLINK("http://api.nsgreg.nga.mil/geo-division/GENC/6/3-11/AZ-NEF","as:GENC:6:3-11:AZ-NEF")</f>
        <v>as:GENC:6:3-11:AZ-NEF</v>
      </c>
    </row>
    <row r="226" spans="1:7" x14ac:dyDescent="0.25">
      <c r="A226" s="112"/>
      <c r="B226" s="21" t="s">
        <v>2120</v>
      </c>
      <c r="C226" s="21" t="s">
        <v>2121</v>
      </c>
      <c r="D226" s="21" t="s">
        <v>2035</v>
      </c>
      <c r="E226" s="50" t="b">
        <v>1</v>
      </c>
      <c r="F226" s="72" t="str">
        <f>HYPERLINK("http://nsgreg.nga.mil/genc/view?v=291476&amp;end_month=6&amp;end_day=30&amp;end_year=2019","Oğuz")</f>
        <v>Oğuz</v>
      </c>
      <c r="G226" s="72" t="str">
        <f>HYPERLINK("http://api.nsgreg.nga.mil/geo-division/GENC/6/3-11/AZ-OGU","as:GENC:6:3-11:AZ-OGU")</f>
        <v>as:GENC:6:3-11:AZ-OGU</v>
      </c>
    </row>
    <row r="227" spans="1:7" x14ac:dyDescent="0.25">
      <c r="A227" s="112"/>
      <c r="B227" s="21" t="s">
        <v>2122</v>
      </c>
      <c r="C227" s="21" t="s">
        <v>2123</v>
      </c>
      <c r="D227" s="21" t="s">
        <v>2035</v>
      </c>
      <c r="E227" s="50" t="b">
        <v>1</v>
      </c>
      <c r="F227" s="72" t="str">
        <f>HYPERLINK("http://nsgreg.nga.mil/genc/view?v=291478&amp;end_month=6&amp;end_day=30&amp;end_year=2019","Qəbələ")</f>
        <v>Qəbələ</v>
      </c>
      <c r="G227" s="72" t="str">
        <f>HYPERLINK("http://api.nsgreg.nga.mil/geo-division/GENC/6/3-11/AZ-QAB","as:GENC:6:3-11:AZ-QAB")</f>
        <v>as:GENC:6:3-11:AZ-QAB</v>
      </c>
    </row>
    <row r="228" spans="1:7" x14ac:dyDescent="0.25">
      <c r="A228" s="112"/>
      <c r="B228" s="21" t="s">
        <v>2124</v>
      </c>
      <c r="C228" s="21" t="s">
        <v>2125</v>
      </c>
      <c r="D228" s="21" t="s">
        <v>2035</v>
      </c>
      <c r="E228" s="50" t="b">
        <v>1</v>
      </c>
      <c r="F228" s="72" t="str">
        <f>HYPERLINK("http://nsgreg.nga.mil/genc/view?v=291479&amp;end_month=6&amp;end_day=30&amp;end_year=2019","Qax")</f>
        <v>Qax</v>
      </c>
      <c r="G228" s="72" t="str">
        <f>HYPERLINK("http://api.nsgreg.nga.mil/geo-division/GENC/6/3-11/AZ-QAX","as:GENC:6:3-11:AZ-QAX")</f>
        <v>as:GENC:6:3-11:AZ-QAX</v>
      </c>
    </row>
    <row r="229" spans="1:7" x14ac:dyDescent="0.25">
      <c r="A229" s="112"/>
      <c r="B229" s="21" t="s">
        <v>2126</v>
      </c>
      <c r="C229" s="21" t="s">
        <v>2127</v>
      </c>
      <c r="D229" s="21" t="s">
        <v>2035</v>
      </c>
      <c r="E229" s="50" t="b">
        <v>1</v>
      </c>
      <c r="F229" s="72" t="str">
        <f>HYPERLINK("http://nsgreg.nga.mil/genc/view?v=291480&amp;end_month=6&amp;end_day=30&amp;end_year=2019","Qazax")</f>
        <v>Qazax</v>
      </c>
      <c r="G229" s="72" t="str">
        <f>HYPERLINK("http://api.nsgreg.nga.mil/geo-division/GENC/6/3-11/AZ-QAZ","as:GENC:6:3-11:AZ-QAZ")</f>
        <v>as:GENC:6:3-11:AZ-QAZ</v>
      </c>
    </row>
    <row r="230" spans="1:7" x14ac:dyDescent="0.25">
      <c r="A230" s="112"/>
      <c r="B230" s="21" t="s">
        <v>2128</v>
      </c>
      <c r="C230" s="21" t="s">
        <v>2129</v>
      </c>
      <c r="D230" s="21" t="s">
        <v>2035</v>
      </c>
      <c r="E230" s="50" t="b">
        <v>1</v>
      </c>
      <c r="F230" s="72" t="str">
        <f>HYPERLINK("http://nsgreg.nga.mil/genc/view?v=291483&amp;end_month=6&amp;end_day=30&amp;end_year=2019","Qobustan")</f>
        <v>Qobustan</v>
      </c>
      <c r="G230" s="72" t="str">
        <f>HYPERLINK("http://api.nsgreg.nga.mil/geo-division/GENC/6/3-11/AZ-QOB","as:GENC:6:3-11:AZ-QOB")</f>
        <v>as:GENC:6:3-11:AZ-QOB</v>
      </c>
    </row>
    <row r="231" spans="1:7" x14ac:dyDescent="0.25">
      <c r="A231" s="112"/>
      <c r="B231" s="21" t="s">
        <v>2130</v>
      </c>
      <c r="C231" s="21" t="s">
        <v>2131</v>
      </c>
      <c r="D231" s="21" t="s">
        <v>2035</v>
      </c>
      <c r="E231" s="50" t="b">
        <v>1</v>
      </c>
      <c r="F231" s="72" t="str">
        <f>HYPERLINK("http://nsgreg.nga.mil/genc/view?v=291481&amp;end_month=6&amp;end_day=30&amp;end_year=2019","Quba")</f>
        <v>Quba</v>
      </c>
      <c r="G231" s="72" t="str">
        <f>HYPERLINK("http://api.nsgreg.nga.mil/geo-division/GENC/6/3-11/AZ-QBA","as:GENC:6:3-11:AZ-QBA")</f>
        <v>as:GENC:6:3-11:AZ-QBA</v>
      </c>
    </row>
    <row r="232" spans="1:7" x14ac:dyDescent="0.25">
      <c r="A232" s="112"/>
      <c r="B232" s="21" t="s">
        <v>2132</v>
      </c>
      <c r="C232" s="21" t="s">
        <v>2133</v>
      </c>
      <c r="D232" s="21" t="s">
        <v>2035</v>
      </c>
      <c r="E232" s="50" t="b">
        <v>1</v>
      </c>
      <c r="F232" s="72" t="str">
        <f>HYPERLINK("http://nsgreg.nga.mil/genc/view?v=291482&amp;end_month=6&amp;end_day=30&amp;end_year=2019","Qubadlı")</f>
        <v>Qubadlı</v>
      </c>
      <c r="G232" s="72" t="str">
        <f>HYPERLINK("http://api.nsgreg.nga.mil/geo-division/GENC/6/3-11/AZ-QBI","as:GENC:6:3-11:AZ-QBI")</f>
        <v>as:GENC:6:3-11:AZ-QBI</v>
      </c>
    </row>
    <row r="233" spans="1:7" x14ac:dyDescent="0.25">
      <c r="A233" s="112"/>
      <c r="B233" s="21" t="s">
        <v>2134</v>
      </c>
      <c r="C233" s="21" t="s">
        <v>2135</v>
      </c>
      <c r="D233" s="21" t="s">
        <v>2035</v>
      </c>
      <c r="E233" s="50" t="b">
        <v>1</v>
      </c>
      <c r="F233" s="72" t="str">
        <f>HYPERLINK("http://nsgreg.nga.mil/genc/view?v=291484&amp;end_month=6&amp;end_day=30&amp;end_year=2019","Qusar")</f>
        <v>Qusar</v>
      </c>
      <c r="G233" s="72" t="str">
        <f>HYPERLINK("http://api.nsgreg.nga.mil/geo-division/GENC/6/3-11/AZ-QUS","as:GENC:6:3-11:AZ-QUS")</f>
        <v>as:GENC:6:3-11:AZ-QUS</v>
      </c>
    </row>
    <row r="234" spans="1:7" x14ac:dyDescent="0.25">
      <c r="A234" s="112"/>
      <c r="B234" s="21" t="s">
        <v>2136</v>
      </c>
      <c r="C234" s="21" t="s">
        <v>2137</v>
      </c>
      <c r="D234" s="21" t="s">
        <v>2035</v>
      </c>
      <c r="E234" s="50" t="b">
        <v>1</v>
      </c>
      <c r="F234" s="72" t="str">
        <f>HYPERLINK("http://nsgreg.nga.mil/genc/view?v=291492&amp;end_month=6&amp;end_day=30&amp;end_year=2019","Saatlı")</f>
        <v>Saatlı</v>
      </c>
      <c r="G234" s="72" t="str">
        <f>HYPERLINK("http://api.nsgreg.nga.mil/geo-division/GENC/6/3-11/AZ-SAT","as:GENC:6:3-11:AZ-SAT")</f>
        <v>as:GENC:6:3-11:AZ-SAT</v>
      </c>
    </row>
    <row r="235" spans="1:7" x14ac:dyDescent="0.25">
      <c r="A235" s="112"/>
      <c r="B235" s="21" t="s">
        <v>2138</v>
      </c>
      <c r="C235" s="21" t="s">
        <v>2139</v>
      </c>
      <c r="D235" s="21" t="s">
        <v>2035</v>
      </c>
      <c r="E235" s="50" t="b">
        <v>1</v>
      </c>
      <c r="F235" s="72" t="str">
        <f>HYPERLINK("http://nsgreg.nga.mil/genc/view?v=291486&amp;end_month=6&amp;end_day=30&amp;end_year=2019","Sabirabad")</f>
        <v>Sabirabad</v>
      </c>
      <c r="G235" s="72" t="str">
        <f>HYPERLINK("http://api.nsgreg.nga.mil/geo-division/GENC/6/3-11/AZ-SAB","as:GENC:6:3-11:AZ-SAB")</f>
        <v>as:GENC:6:3-11:AZ-SAB</v>
      </c>
    </row>
    <row r="236" spans="1:7" x14ac:dyDescent="0.25">
      <c r="A236" s="112"/>
      <c r="B236" s="21" t="s">
        <v>2140</v>
      </c>
      <c r="C236" s="21" t="s">
        <v>2141</v>
      </c>
      <c r="D236" s="21" t="s">
        <v>2035</v>
      </c>
      <c r="E236" s="50" t="b">
        <v>1</v>
      </c>
      <c r="F236" s="72" t="str">
        <f>HYPERLINK("http://nsgreg.nga.mil/genc/view?v=291493&amp;end_month=6&amp;end_day=30&amp;end_year=2019","Şabran")</f>
        <v>Şabran</v>
      </c>
      <c r="G236" s="72" t="str">
        <f>HYPERLINK("http://api.nsgreg.nga.mil/geo-division/GENC/6/3-11/AZ-SBN","as:GENC:6:3-11:AZ-SBN")</f>
        <v>as:GENC:6:3-11:AZ-SBN</v>
      </c>
    </row>
    <row r="237" spans="1:7" x14ac:dyDescent="0.25">
      <c r="A237" s="112"/>
      <c r="B237" s="21" t="s">
        <v>2142</v>
      </c>
      <c r="C237" s="21" t="s">
        <v>2143</v>
      </c>
      <c r="D237" s="21" t="s">
        <v>1996</v>
      </c>
      <c r="E237" s="50" t="b">
        <v>1</v>
      </c>
      <c r="F237" s="72" t="str">
        <f>HYPERLINK("http://nsgreg.nga.mil/genc/view?v=291485&amp;end_month=6&amp;end_day=30&amp;end_year=2019","Şəki")</f>
        <v>Şəki</v>
      </c>
      <c r="G237" s="72" t="str">
        <f>HYPERLINK("http://api.nsgreg.nga.mil/geo-division/GENC/6/3-11/AZ-SA","as:GENC:6:3-11:AZ-SA")</f>
        <v>as:GENC:6:3-11:AZ-SA</v>
      </c>
    </row>
    <row r="238" spans="1:7" x14ac:dyDescent="0.25">
      <c r="A238" s="112"/>
      <c r="B238" s="21" t="s">
        <v>2144</v>
      </c>
      <c r="C238" s="21" t="s">
        <v>2143</v>
      </c>
      <c r="D238" s="21" t="s">
        <v>2035</v>
      </c>
      <c r="E238" s="50" t="b">
        <v>1</v>
      </c>
      <c r="F238" s="72" t="str">
        <f>HYPERLINK("http://nsgreg.nga.mil/genc/view?v=291489&amp;end_month=6&amp;end_day=30&amp;end_year=2019","Şəki")</f>
        <v>Şəki</v>
      </c>
      <c r="G238" s="72" t="str">
        <f>HYPERLINK("http://api.nsgreg.nga.mil/geo-division/GENC/6/3-11/AZ-SAK","as:GENC:6:3-11:AZ-SAK")</f>
        <v>as:GENC:6:3-11:AZ-SAK</v>
      </c>
    </row>
    <row r="239" spans="1:7" x14ac:dyDescent="0.25">
      <c r="A239" s="112"/>
      <c r="B239" s="21" t="s">
        <v>2145</v>
      </c>
      <c r="C239" s="21" t="s">
        <v>2146</v>
      </c>
      <c r="D239" s="21" t="s">
        <v>2035</v>
      </c>
      <c r="E239" s="50" t="b">
        <v>1</v>
      </c>
      <c r="F239" s="72" t="str">
        <f>HYPERLINK("http://nsgreg.nga.mil/genc/view?v=291490&amp;end_month=6&amp;end_day=30&amp;end_year=2019","Salyan")</f>
        <v>Salyan</v>
      </c>
      <c r="G239" s="72" t="str">
        <f>HYPERLINK("http://api.nsgreg.nga.mil/geo-division/GENC/6/3-11/AZ-SAL","as:GENC:6:3-11:AZ-SAL")</f>
        <v>as:GENC:6:3-11:AZ-SAL</v>
      </c>
    </row>
    <row r="240" spans="1:7" x14ac:dyDescent="0.25">
      <c r="A240" s="112"/>
      <c r="B240" s="21" t="s">
        <v>2147</v>
      </c>
      <c r="C240" s="21" t="s">
        <v>2148</v>
      </c>
      <c r="D240" s="21" t="s">
        <v>2035</v>
      </c>
      <c r="E240" s="50" t="b">
        <v>1</v>
      </c>
      <c r="F240" s="72" t="str">
        <f>HYPERLINK("http://nsgreg.nga.mil/genc/view?v=291497&amp;end_month=6&amp;end_day=30&amp;end_year=2019","Şamaxı")</f>
        <v>Şamaxı</v>
      </c>
      <c r="G240" s="72" t="str">
        <f>HYPERLINK("http://api.nsgreg.nga.mil/geo-division/GENC/6/3-11/AZ-SMI","as:GENC:6:3-11:AZ-SMI")</f>
        <v>as:GENC:6:3-11:AZ-SMI</v>
      </c>
    </row>
    <row r="241" spans="1:7" x14ac:dyDescent="0.25">
      <c r="A241" s="112"/>
      <c r="B241" s="21" t="s">
        <v>2149</v>
      </c>
      <c r="C241" s="21" t="s">
        <v>2150</v>
      </c>
      <c r="D241" s="21" t="s">
        <v>2035</v>
      </c>
      <c r="E241" s="50" t="b">
        <v>1</v>
      </c>
      <c r="F241" s="72" t="str">
        <f>HYPERLINK("http://nsgreg.nga.mil/genc/view?v=291495&amp;end_month=6&amp;end_day=30&amp;end_year=2019","Şəmkir")</f>
        <v>Şəmkir</v>
      </c>
      <c r="G241" s="72" t="str">
        <f>HYPERLINK("http://api.nsgreg.nga.mil/geo-division/GENC/6/3-11/AZ-SKR","as:GENC:6:3-11:AZ-SKR")</f>
        <v>as:GENC:6:3-11:AZ-SKR</v>
      </c>
    </row>
    <row r="242" spans="1:7" x14ac:dyDescent="0.25">
      <c r="A242" s="112"/>
      <c r="B242" s="21" t="s">
        <v>2151</v>
      </c>
      <c r="C242" s="21" t="s">
        <v>2152</v>
      </c>
      <c r="D242" s="21" t="s">
        <v>2035</v>
      </c>
      <c r="E242" s="50" t="b">
        <v>1</v>
      </c>
      <c r="F242" s="72" t="str">
        <f>HYPERLINK("http://nsgreg.nga.mil/genc/view?v=291498&amp;end_month=6&amp;end_day=30&amp;end_year=2019","Samux")</f>
        <v>Samux</v>
      </c>
      <c r="G242" s="72" t="str">
        <f>HYPERLINK("http://api.nsgreg.nga.mil/geo-division/GENC/6/3-11/AZ-SMX","as:GENC:6:3-11:AZ-SMX")</f>
        <v>as:GENC:6:3-11:AZ-SMX</v>
      </c>
    </row>
    <row r="243" spans="1:7" x14ac:dyDescent="0.25">
      <c r="A243" s="112"/>
      <c r="B243" s="21" t="s">
        <v>2153</v>
      </c>
      <c r="C243" s="21" t="s">
        <v>2154</v>
      </c>
      <c r="D243" s="21" t="s">
        <v>1996</v>
      </c>
      <c r="E243" s="50" t="b">
        <v>1</v>
      </c>
      <c r="F243" s="72" t="str">
        <f>HYPERLINK("http://nsgreg.nga.mil/genc/view?v=291499&amp;end_month=6&amp;end_day=30&amp;end_year=2019","Şirvan")</f>
        <v>Şirvan</v>
      </c>
      <c r="G243" s="72" t="str">
        <f>HYPERLINK("http://api.nsgreg.nga.mil/geo-division/GENC/6/3-11/AZ-SR","as:GENC:6:3-11:AZ-SR")</f>
        <v>as:GENC:6:3-11:AZ-SR</v>
      </c>
    </row>
    <row r="244" spans="1:7" x14ac:dyDescent="0.25">
      <c r="A244" s="112"/>
      <c r="B244" s="21" t="s">
        <v>2155</v>
      </c>
      <c r="C244" s="21" t="s">
        <v>2156</v>
      </c>
      <c r="D244" s="21" t="s">
        <v>2035</v>
      </c>
      <c r="E244" s="50" t="b">
        <v>1</v>
      </c>
      <c r="F244" s="72" t="str">
        <f>HYPERLINK("http://nsgreg.nga.mil/genc/view?v=291494&amp;end_month=6&amp;end_day=30&amp;end_year=2019","Siyəzən")</f>
        <v>Siyəzən</v>
      </c>
      <c r="G244" s="72" t="str">
        <f>HYPERLINK("http://api.nsgreg.nga.mil/geo-division/GENC/6/3-11/AZ-SIY","as:GENC:6:3-11:AZ-SIY")</f>
        <v>as:GENC:6:3-11:AZ-SIY</v>
      </c>
    </row>
    <row r="245" spans="1:7" x14ac:dyDescent="0.25">
      <c r="A245" s="112"/>
      <c r="B245" s="21" t="s">
        <v>2157</v>
      </c>
      <c r="C245" s="21" t="s">
        <v>2158</v>
      </c>
      <c r="D245" s="21" t="s">
        <v>1996</v>
      </c>
      <c r="E245" s="50" t="b">
        <v>1</v>
      </c>
      <c r="F245" s="72" t="str">
        <f>HYPERLINK("http://nsgreg.nga.mil/genc/view?v=291496&amp;end_month=6&amp;end_day=30&amp;end_year=2019","Sumqayıt")</f>
        <v>Sumqayıt</v>
      </c>
      <c r="G245" s="72" t="str">
        <f>HYPERLINK("http://api.nsgreg.nga.mil/geo-division/GENC/6/3-11/AZ-SM","as:GENC:6:3-11:AZ-SM")</f>
        <v>as:GENC:6:3-11:AZ-SM</v>
      </c>
    </row>
    <row r="246" spans="1:7" x14ac:dyDescent="0.25">
      <c r="A246" s="112"/>
      <c r="B246" s="21" t="s">
        <v>2159</v>
      </c>
      <c r="C246" s="21" t="s">
        <v>2160</v>
      </c>
      <c r="D246" s="21" t="s">
        <v>2035</v>
      </c>
      <c r="E246" s="50" t="b">
        <v>1</v>
      </c>
      <c r="F246" s="72" t="str">
        <f>HYPERLINK("http://nsgreg.nga.mil/genc/view?v=291500&amp;end_month=6&amp;end_day=30&amp;end_year=2019","Şuşa")</f>
        <v>Şuşa</v>
      </c>
      <c r="G246" s="72" t="str">
        <f>HYPERLINK("http://api.nsgreg.nga.mil/geo-division/GENC/6/3-11/AZ-SUS","as:GENC:6:3-11:AZ-SUS")</f>
        <v>as:GENC:6:3-11:AZ-SUS</v>
      </c>
    </row>
    <row r="247" spans="1:7" x14ac:dyDescent="0.25">
      <c r="A247" s="112"/>
      <c r="B247" s="21" t="s">
        <v>2161</v>
      </c>
      <c r="C247" s="21" t="s">
        <v>2162</v>
      </c>
      <c r="D247" s="21" t="s">
        <v>2035</v>
      </c>
      <c r="E247" s="50" t="b">
        <v>1</v>
      </c>
      <c r="F247" s="72" t="str">
        <f>HYPERLINK("http://nsgreg.nga.mil/genc/view?v=291501&amp;end_month=6&amp;end_day=30&amp;end_year=2019","Tərtər")</f>
        <v>Tərtər</v>
      </c>
      <c r="G247" s="72" t="str">
        <f>HYPERLINK("http://api.nsgreg.nga.mil/geo-division/GENC/6/3-11/AZ-TAR","as:GENC:6:3-11:AZ-TAR")</f>
        <v>as:GENC:6:3-11:AZ-TAR</v>
      </c>
    </row>
    <row r="248" spans="1:7" x14ac:dyDescent="0.25">
      <c r="A248" s="112"/>
      <c r="B248" s="21" t="s">
        <v>2163</v>
      </c>
      <c r="C248" s="21" t="s">
        <v>2164</v>
      </c>
      <c r="D248" s="21" t="s">
        <v>2035</v>
      </c>
      <c r="E248" s="50" t="b">
        <v>1</v>
      </c>
      <c r="F248" s="72" t="str">
        <f>HYPERLINK("http://nsgreg.nga.mil/genc/view?v=291502&amp;end_month=6&amp;end_day=30&amp;end_year=2019","Tovuz")</f>
        <v>Tovuz</v>
      </c>
      <c r="G248" s="72" t="str">
        <f>HYPERLINK("http://api.nsgreg.nga.mil/geo-division/GENC/6/3-11/AZ-TOV","as:GENC:6:3-11:AZ-TOV")</f>
        <v>as:GENC:6:3-11:AZ-TOV</v>
      </c>
    </row>
    <row r="249" spans="1:7" x14ac:dyDescent="0.25">
      <c r="A249" s="112"/>
      <c r="B249" s="21" t="s">
        <v>2165</v>
      </c>
      <c r="C249" s="21" t="s">
        <v>2166</v>
      </c>
      <c r="D249" s="21" t="s">
        <v>2035</v>
      </c>
      <c r="E249" s="50" t="b">
        <v>1</v>
      </c>
      <c r="F249" s="72" t="str">
        <f>HYPERLINK("http://nsgreg.nga.mil/genc/view?v=291503&amp;end_month=6&amp;end_day=30&amp;end_year=2019","Ucar")</f>
        <v>Ucar</v>
      </c>
      <c r="G249" s="72" t="str">
        <f>HYPERLINK("http://api.nsgreg.nga.mil/geo-division/GENC/6/3-11/AZ-UCA","as:GENC:6:3-11:AZ-UCA")</f>
        <v>as:GENC:6:3-11:AZ-UCA</v>
      </c>
    </row>
    <row r="250" spans="1:7" x14ac:dyDescent="0.25">
      <c r="A250" s="112"/>
      <c r="B250" s="21" t="s">
        <v>2167</v>
      </c>
      <c r="C250" s="21" t="s">
        <v>2168</v>
      </c>
      <c r="D250" s="21" t="s">
        <v>2035</v>
      </c>
      <c r="E250" s="50" t="b">
        <v>1</v>
      </c>
      <c r="F250" s="72" t="str">
        <f>HYPERLINK("http://nsgreg.nga.mil/genc/view?v=291505&amp;end_month=6&amp;end_day=30&amp;end_year=2019","Xaçmaz")</f>
        <v>Xaçmaz</v>
      </c>
      <c r="G250" s="72" t="str">
        <f>HYPERLINK("http://api.nsgreg.nga.mil/geo-division/GENC/6/3-11/AZ-XAC","as:GENC:6:3-11:AZ-XAC")</f>
        <v>as:GENC:6:3-11:AZ-XAC</v>
      </c>
    </row>
    <row r="251" spans="1:7" x14ac:dyDescent="0.25">
      <c r="A251" s="112"/>
      <c r="B251" s="21" t="s">
        <v>2169</v>
      </c>
      <c r="C251" s="21" t="s">
        <v>2170</v>
      </c>
      <c r="D251" s="21" t="s">
        <v>1996</v>
      </c>
      <c r="E251" s="50" t="b">
        <v>1</v>
      </c>
      <c r="F251" s="72" t="str">
        <f>HYPERLINK("http://nsgreg.nga.mil/genc/view?v=291504&amp;end_month=6&amp;end_day=30&amp;end_year=2019","Xankəndi")</f>
        <v>Xankəndi</v>
      </c>
      <c r="G251" s="72" t="str">
        <f>HYPERLINK("http://api.nsgreg.nga.mil/geo-division/GENC/6/3-11/AZ-XA","as:GENC:6:3-11:AZ-XA")</f>
        <v>as:GENC:6:3-11:AZ-XA</v>
      </c>
    </row>
    <row r="252" spans="1:7" x14ac:dyDescent="0.25">
      <c r="A252" s="112"/>
      <c r="B252" s="21" t="s">
        <v>2171</v>
      </c>
      <c r="C252" s="21" t="s">
        <v>2172</v>
      </c>
      <c r="D252" s="21" t="s">
        <v>2035</v>
      </c>
      <c r="E252" s="50" t="b">
        <v>1</v>
      </c>
      <c r="F252" s="72" t="str">
        <f>HYPERLINK("http://nsgreg.nga.mil/genc/view?v=291507&amp;end_month=6&amp;end_day=30&amp;end_year=2019","Xızı")</f>
        <v>Xızı</v>
      </c>
      <c r="G252" s="72" t="str">
        <f>HYPERLINK("http://api.nsgreg.nga.mil/geo-division/GENC/6/3-11/AZ-XIZ","as:GENC:6:3-11:AZ-XIZ")</f>
        <v>as:GENC:6:3-11:AZ-XIZ</v>
      </c>
    </row>
    <row r="253" spans="1:7" x14ac:dyDescent="0.25">
      <c r="A253" s="112"/>
      <c r="B253" s="21" t="s">
        <v>2173</v>
      </c>
      <c r="C253" s="21" t="s">
        <v>2174</v>
      </c>
      <c r="D253" s="21" t="s">
        <v>2035</v>
      </c>
      <c r="E253" s="50" t="b">
        <v>1</v>
      </c>
      <c r="F253" s="72" t="str">
        <f>HYPERLINK("http://nsgreg.nga.mil/genc/view?v=291506&amp;end_month=6&amp;end_day=30&amp;end_year=2019","Xocalı")</f>
        <v>Xocalı</v>
      </c>
      <c r="G253" s="72" t="str">
        <f>HYPERLINK("http://api.nsgreg.nga.mil/geo-division/GENC/6/3-11/AZ-XCI","as:GENC:6:3-11:AZ-XCI")</f>
        <v>as:GENC:6:3-11:AZ-XCI</v>
      </c>
    </row>
    <row r="254" spans="1:7" x14ac:dyDescent="0.25">
      <c r="A254" s="112"/>
      <c r="B254" s="21" t="s">
        <v>2175</v>
      </c>
      <c r="C254" s="21" t="s">
        <v>2176</v>
      </c>
      <c r="D254" s="21" t="s">
        <v>2035</v>
      </c>
      <c r="E254" s="50" t="b">
        <v>1</v>
      </c>
      <c r="F254" s="72" t="str">
        <f>HYPERLINK("http://nsgreg.nga.mil/genc/view?v=291508&amp;end_month=6&amp;end_day=30&amp;end_year=2019","Xocavənd")</f>
        <v>Xocavənd</v>
      </c>
      <c r="G254" s="72" t="str">
        <f>HYPERLINK("http://api.nsgreg.nga.mil/geo-division/GENC/6/3-11/AZ-XVD","as:GENC:6:3-11:AZ-XVD")</f>
        <v>as:GENC:6:3-11:AZ-XVD</v>
      </c>
    </row>
    <row r="255" spans="1:7" x14ac:dyDescent="0.25">
      <c r="A255" s="112"/>
      <c r="B255" s="21" t="s">
        <v>2177</v>
      </c>
      <c r="C255" s="21" t="s">
        <v>2178</v>
      </c>
      <c r="D255" s="21" t="s">
        <v>2035</v>
      </c>
      <c r="E255" s="50" t="b">
        <v>1</v>
      </c>
      <c r="F255" s="72" t="str">
        <f>HYPERLINK("http://nsgreg.nga.mil/genc/view?v=291509&amp;end_month=6&amp;end_day=30&amp;end_year=2019","Yardımlı")</f>
        <v>Yardımlı</v>
      </c>
      <c r="G255" s="72" t="str">
        <f>HYPERLINK("http://api.nsgreg.nga.mil/geo-division/GENC/6/3-11/AZ-YAR","as:GENC:6:3-11:AZ-YAR")</f>
        <v>as:GENC:6:3-11:AZ-YAR</v>
      </c>
    </row>
    <row r="256" spans="1:7" x14ac:dyDescent="0.25">
      <c r="A256" s="112"/>
      <c r="B256" s="21" t="s">
        <v>2179</v>
      </c>
      <c r="C256" s="21" t="s">
        <v>2180</v>
      </c>
      <c r="D256" s="21" t="s">
        <v>1996</v>
      </c>
      <c r="E256" s="50" t="b">
        <v>1</v>
      </c>
      <c r="F256" s="72" t="str">
        <f>HYPERLINK("http://nsgreg.nga.mil/genc/view?v=291510&amp;end_month=6&amp;end_day=30&amp;end_year=2019","Yevlax")</f>
        <v>Yevlax</v>
      </c>
      <c r="G256" s="72" t="str">
        <f>HYPERLINK("http://api.nsgreg.nga.mil/geo-division/GENC/6/3-11/AZ-YE","as:GENC:6:3-11:AZ-YE")</f>
        <v>as:GENC:6:3-11:AZ-YE</v>
      </c>
    </row>
    <row r="257" spans="1:7" x14ac:dyDescent="0.25">
      <c r="A257" s="112"/>
      <c r="B257" s="21" t="s">
        <v>2181</v>
      </c>
      <c r="C257" s="21" t="s">
        <v>2180</v>
      </c>
      <c r="D257" s="21" t="s">
        <v>2035</v>
      </c>
      <c r="E257" s="50" t="b">
        <v>1</v>
      </c>
      <c r="F257" s="72" t="str">
        <f>HYPERLINK("http://nsgreg.nga.mil/genc/view?v=291511&amp;end_month=6&amp;end_day=30&amp;end_year=2019","Yevlax")</f>
        <v>Yevlax</v>
      </c>
      <c r="G257" s="72" t="str">
        <f>HYPERLINK("http://api.nsgreg.nga.mil/geo-division/GENC/6/3-11/AZ-YEV","as:GENC:6:3-11:AZ-YEV")</f>
        <v>as:GENC:6:3-11:AZ-YEV</v>
      </c>
    </row>
    <row r="258" spans="1:7" x14ac:dyDescent="0.25">
      <c r="A258" s="112"/>
      <c r="B258" s="21" t="s">
        <v>2182</v>
      </c>
      <c r="C258" s="21" t="s">
        <v>2183</v>
      </c>
      <c r="D258" s="21" t="s">
        <v>2035</v>
      </c>
      <c r="E258" s="50" t="b">
        <v>1</v>
      </c>
      <c r="F258" s="72" t="str">
        <f>HYPERLINK("http://nsgreg.nga.mil/genc/view?v=291512&amp;end_month=6&amp;end_day=30&amp;end_year=2019","Zəngilan")</f>
        <v>Zəngilan</v>
      </c>
      <c r="G258" s="72" t="str">
        <f>HYPERLINK("http://api.nsgreg.nga.mil/geo-division/GENC/6/3-11/AZ-ZAN","as:GENC:6:3-11:AZ-ZAN")</f>
        <v>as:GENC:6:3-11:AZ-ZAN</v>
      </c>
    </row>
    <row r="259" spans="1:7" x14ac:dyDescent="0.25">
      <c r="A259" s="112"/>
      <c r="B259" s="21" t="s">
        <v>2184</v>
      </c>
      <c r="C259" s="21" t="s">
        <v>2185</v>
      </c>
      <c r="D259" s="21" t="s">
        <v>2035</v>
      </c>
      <c r="E259" s="50" t="b">
        <v>1</v>
      </c>
      <c r="F259" s="72" t="str">
        <f>HYPERLINK("http://nsgreg.nga.mil/genc/view?v=291513&amp;end_month=6&amp;end_day=30&amp;end_year=2019","Zaqatala")</f>
        <v>Zaqatala</v>
      </c>
      <c r="G259" s="72" t="str">
        <f>HYPERLINK("http://api.nsgreg.nga.mil/geo-division/GENC/6/3-11/AZ-ZAQ","as:GENC:6:3-11:AZ-ZAQ")</f>
        <v>as:GENC:6:3-11:AZ-ZAQ</v>
      </c>
    </row>
    <row r="260" spans="1:7" x14ac:dyDescent="0.25">
      <c r="A260" s="113"/>
      <c r="B260" s="47" t="s">
        <v>2186</v>
      </c>
      <c r="C260" s="47" t="s">
        <v>2187</v>
      </c>
      <c r="D260" s="47" t="s">
        <v>2035</v>
      </c>
      <c r="E260" s="51" t="b">
        <v>1</v>
      </c>
      <c r="F260" s="73" t="str">
        <f>HYPERLINK("http://nsgreg.nga.mil/genc/view?v=291514&amp;end_month=6&amp;end_day=30&amp;end_year=2019","Zərdab")</f>
        <v>Zərdab</v>
      </c>
      <c r="G260" s="73" t="str">
        <f>HYPERLINK("http://api.nsgreg.nga.mil/geo-division/GENC/6/3-11/AZ-ZAR","as:GENC:6:3-11:AZ-ZAR")</f>
        <v>as:GENC:6:3-11:AZ-ZAR</v>
      </c>
    </row>
    <row r="261" spans="1:7" x14ac:dyDescent="0.25">
      <c r="A261" s="111" t="str">
        <f>HYPERLINK("[#]Codes_for_GE_Names!A21:I21","BAHAMAS, THE")</f>
        <v>BAHAMAS, THE</v>
      </c>
      <c r="B261" s="42" t="s">
        <v>2188</v>
      </c>
      <c r="C261" s="42" t="s">
        <v>2189</v>
      </c>
      <c r="D261" s="42" t="s">
        <v>2035</v>
      </c>
      <c r="E261" s="49" t="b">
        <v>1</v>
      </c>
      <c r="F261" s="74" t="str">
        <f>HYPERLINK("http://nsgreg.nga.mil/genc/view?v=291788&amp;end_month=6&amp;end_day=30&amp;end_year=2019","Acklins")</f>
        <v>Acklins</v>
      </c>
      <c r="G261" s="74" t="str">
        <f>HYPERLINK("http://api.nsgreg.nga.mil/geo-division/GENC/6/3-11/BS-AK","as:GENC:6:3-11:BS-AK")</f>
        <v>as:GENC:6:3-11:BS-AK</v>
      </c>
    </row>
    <row r="262" spans="1:7" x14ac:dyDescent="0.25">
      <c r="A262" s="112"/>
      <c r="B262" s="21" t="s">
        <v>2190</v>
      </c>
      <c r="C262" s="21" t="s">
        <v>2191</v>
      </c>
      <c r="D262" s="21" t="s">
        <v>2035</v>
      </c>
      <c r="E262" s="50" t="b">
        <v>1</v>
      </c>
      <c r="F262" s="72" t="str">
        <f>HYPERLINK("http://nsgreg.nga.mil/genc/view?v=291791&amp;end_month=6&amp;end_day=30&amp;end_year=2019","Berry Islands")</f>
        <v>Berry Islands</v>
      </c>
      <c r="G262" s="72" t="str">
        <f>HYPERLINK("http://api.nsgreg.nga.mil/geo-division/GENC/6/3-11/BS-BY","as:GENC:6:3-11:BS-BY")</f>
        <v>as:GENC:6:3-11:BS-BY</v>
      </c>
    </row>
    <row r="263" spans="1:7" x14ac:dyDescent="0.25">
      <c r="A263" s="112"/>
      <c r="B263" s="21" t="s">
        <v>2192</v>
      </c>
      <c r="C263" s="21" t="s">
        <v>2193</v>
      </c>
      <c r="D263" s="21" t="s">
        <v>2035</v>
      </c>
      <c r="E263" s="50" t="b">
        <v>1</v>
      </c>
      <c r="F263" s="72" t="str">
        <f>HYPERLINK("http://nsgreg.nga.mil/genc/view?v=291789&amp;end_month=6&amp;end_day=30&amp;end_year=2019","Bimini")</f>
        <v>Bimini</v>
      </c>
      <c r="G263" s="72" t="str">
        <f>HYPERLINK("http://api.nsgreg.nga.mil/geo-division/GENC/6/3-11/BS-BI","as:GENC:6:3-11:BS-BI")</f>
        <v>as:GENC:6:3-11:BS-BI</v>
      </c>
    </row>
    <row r="264" spans="1:7" x14ac:dyDescent="0.25">
      <c r="A264" s="112"/>
      <c r="B264" s="21" t="s">
        <v>2194</v>
      </c>
      <c r="C264" s="21" t="s">
        <v>2195</v>
      </c>
      <c r="D264" s="21" t="s">
        <v>2035</v>
      </c>
      <c r="E264" s="50" t="b">
        <v>1</v>
      </c>
      <c r="F264" s="72" t="str">
        <f>HYPERLINK("http://nsgreg.nga.mil/genc/view?v=291790&amp;end_month=6&amp;end_day=30&amp;end_year=2019","Black Point")</f>
        <v>Black Point</v>
      </c>
      <c r="G264" s="72" t="str">
        <f>HYPERLINK("http://api.nsgreg.nga.mil/geo-division/GENC/6/3-11/BS-BP","as:GENC:6:3-11:BS-BP")</f>
        <v>as:GENC:6:3-11:BS-BP</v>
      </c>
    </row>
    <row r="265" spans="1:7" x14ac:dyDescent="0.25">
      <c r="A265" s="112"/>
      <c r="B265" s="21" t="s">
        <v>2196</v>
      </c>
      <c r="C265" s="21" t="s">
        <v>2197</v>
      </c>
      <c r="D265" s="21" t="s">
        <v>2035</v>
      </c>
      <c r="E265" s="50" t="b">
        <v>1</v>
      </c>
      <c r="F265" s="72" t="str">
        <f>HYPERLINK("http://nsgreg.nga.mil/genc/view?v=291793&amp;end_month=6&amp;end_day=30&amp;end_year=2019","Cat Island")</f>
        <v>Cat Island</v>
      </c>
      <c r="G265" s="72" t="str">
        <f>HYPERLINK("http://api.nsgreg.nga.mil/geo-division/GENC/6/3-11/BS-CI","as:GENC:6:3-11:BS-CI")</f>
        <v>as:GENC:6:3-11:BS-CI</v>
      </c>
    </row>
    <row r="266" spans="1:7" x14ac:dyDescent="0.25">
      <c r="A266" s="112"/>
      <c r="B266" s="21" t="s">
        <v>2198</v>
      </c>
      <c r="C266" s="21" t="s">
        <v>2199</v>
      </c>
      <c r="D266" s="21" t="s">
        <v>2035</v>
      </c>
      <c r="E266" s="50" t="b">
        <v>1</v>
      </c>
      <c r="F266" s="72" t="str">
        <f>HYPERLINK("http://nsgreg.nga.mil/genc/view?v=291795&amp;end_month=6&amp;end_day=30&amp;end_year=2019","Central Abaco")</f>
        <v>Central Abaco</v>
      </c>
      <c r="G266" s="72" t="str">
        <f>HYPERLINK("http://api.nsgreg.nga.mil/geo-division/GENC/6/3-11/BS-CO","as:GENC:6:3-11:BS-CO")</f>
        <v>as:GENC:6:3-11:BS-CO</v>
      </c>
    </row>
    <row r="267" spans="1:7" x14ac:dyDescent="0.25">
      <c r="A267" s="112"/>
      <c r="B267" s="21" t="s">
        <v>2200</v>
      </c>
      <c r="C267" s="21" t="s">
        <v>2201</v>
      </c>
      <c r="D267" s="21" t="s">
        <v>2035</v>
      </c>
      <c r="E267" s="50" t="b">
        <v>1</v>
      </c>
      <c r="F267" s="72" t="str">
        <f>HYPERLINK("http://nsgreg.nga.mil/genc/view?v=291796&amp;end_month=6&amp;end_day=30&amp;end_year=2019","Central Andros")</f>
        <v>Central Andros</v>
      </c>
      <c r="G267" s="72" t="str">
        <f>HYPERLINK("http://api.nsgreg.nga.mil/geo-division/GENC/6/3-11/BS-CS","as:GENC:6:3-11:BS-CS")</f>
        <v>as:GENC:6:3-11:BS-CS</v>
      </c>
    </row>
    <row r="268" spans="1:7" x14ac:dyDescent="0.25">
      <c r="A268" s="112"/>
      <c r="B268" s="21" t="s">
        <v>2202</v>
      </c>
      <c r="C268" s="21" t="s">
        <v>2203</v>
      </c>
      <c r="D268" s="21" t="s">
        <v>2035</v>
      </c>
      <c r="E268" s="50" t="b">
        <v>1</v>
      </c>
      <c r="F268" s="72" t="str">
        <f>HYPERLINK("http://nsgreg.nga.mil/genc/view?v=291792&amp;end_month=6&amp;end_day=30&amp;end_year=2019","Central Eleuthera")</f>
        <v>Central Eleuthera</v>
      </c>
      <c r="G268" s="72" t="str">
        <f>HYPERLINK("http://api.nsgreg.nga.mil/geo-division/GENC/6/3-11/BS-CE","as:GENC:6:3-11:BS-CE")</f>
        <v>as:GENC:6:3-11:BS-CE</v>
      </c>
    </row>
    <row r="269" spans="1:7" x14ac:dyDescent="0.25">
      <c r="A269" s="112"/>
      <c r="B269" s="21" t="s">
        <v>2204</v>
      </c>
      <c r="C269" s="21" t="s">
        <v>2205</v>
      </c>
      <c r="D269" s="21" t="s">
        <v>2035</v>
      </c>
      <c r="E269" s="50" t="b">
        <v>1</v>
      </c>
      <c r="F269" s="72" t="str">
        <f>HYPERLINK("http://nsgreg.nga.mil/genc/view?v=291799&amp;end_month=6&amp;end_day=30&amp;end_year=2019","City of Freeport")</f>
        <v>City of Freeport</v>
      </c>
      <c r="G269" s="72" t="str">
        <f>HYPERLINK("http://api.nsgreg.nga.mil/geo-division/GENC/6/3-11/BS-FP","as:GENC:6:3-11:BS-FP")</f>
        <v>as:GENC:6:3-11:BS-FP</v>
      </c>
    </row>
    <row r="270" spans="1:7" x14ac:dyDescent="0.25">
      <c r="A270" s="112"/>
      <c r="B270" s="21" t="s">
        <v>2206</v>
      </c>
      <c r="C270" s="21" t="s">
        <v>2207</v>
      </c>
      <c r="D270" s="21" t="s">
        <v>2035</v>
      </c>
      <c r="E270" s="50" t="b">
        <v>1</v>
      </c>
      <c r="F270" s="72" t="str">
        <f>HYPERLINK("http://nsgreg.nga.mil/genc/view?v=291794&amp;end_month=6&amp;end_day=30&amp;end_year=2019","Crooked Island and Long Cay")</f>
        <v>Crooked Island and Long Cay</v>
      </c>
      <c r="G270" s="72" t="str">
        <f>HYPERLINK("http://api.nsgreg.nga.mil/geo-division/GENC/6/3-11/BS-CK","as:GENC:6:3-11:BS-CK")</f>
        <v>as:GENC:6:3-11:BS-CK</v>
      </c>
    </row>
    <row r="271" spans="1:7" x14ac:dyDescent="0.25">
      <c r="A271" s="112"/>
      <c r="B271" s="21" t="s">
        <v>2208</v>
      </c>
      <c r="C271" s="21" t="s">
        <v>2209</v>
      </c>
      <c r="D271" s="21" t="s">
        <v>2035</v>
      </c>
      <c r="E271" s="50" t="b">
        <v>1</v>
      </c>
      <c r="F271" s="72" t="str">
        <f>HYPERLINK("http://nsgreg.nga.mil/genc/view?v=291797&amp;end_month=6&amp;end_day=30&amp;end_year=2019","East Grand Bahama")</f>
        <v>East Grand Bahama</v>
      </c>
      <c r="G271" s="72" t="str">
        <f>HYPERLINK("http://api.nsgreg.nga.mil/geo-division/GENC/6/3-11/BS-EG","as:GENC:6:3-11:BS-EG")</f>
        <v>as:GENC:6:3-11:BS-EG</v>
      </c>
    </row>
    <row r="272" spans="1:7" x14ac:dyDescent="0.25">
      <c r="A272" s="112"/>
      <c r="B272" s="21" t="s">
        <v>2210</v>
      </c>
      <c r="C272" s="21" t="s">
        <v>2211</v>
      </c>
      <c r="D272" s="21" t="s">
        <v>2035</v>
      </c>
      <c r="E272" s="50" t="b">
        <v>1</v>
      </c>
      <c r="F272" s="72" t="str">
        <f>HYPERLINK("http://nsgreg.nga.mil/genc/view?v=291798&amp;end_month=6&amp;end_day=30&amp;end_year=2019","Exuma")</f>
        <v>Exuma</v>
      </c>
      <c r="G272" s="72" t="str">
        <f>HYPERLINK("http://api.nsgreg.nga.mil/geo-division/GENC/6/3-11/BS-EX","as:GENC:6:3-11:BS-EX")</f>
        <v>as:GENC:6:3-11:BS-EX</v>
      </c>
    </row>
    <row r="273" spans="1:7" x14ac:dyDescent="0.25">
      <c r="A273" s="112"/>
      <c r="B273" s="21" t="s">
        <v>2212</v>
      </c>
      <c r="C273" s="21" t="s">
        <v>2213</v>
      </c>
      <c r="D273" s="21" t="s">
        <v>2035</v>
      </c>
      <c r="E273" s="50" t="b">
        <v>1</v>
      </c>
      <c r="F273" s="72" t="str">
        <f>HYPERLINK("http://nsgreg.nga.mil/genc/view?v=291800&amp;end_month=6&amp;end_day=30&amp;end_year=2019","Grand Cay")</f>
        <v>Grand Cay</v>
      </c>
      <c r="G273" s="72" t="str">
        <f>HYPERLINK("http://api.nsgreg.nga.mil/geo-division/GENC/6/3-11/BS-GC","as:GENC:6:3-11:BS-GC")</f>
        <v>as:GENC:6:3-11:BS-GC</v>
      </c>
    </row>
    <row r="274" spans="1:7" x14ac:dyDescent="0.25">
      <c r="A274" s="112"/>
      <c r="B274" s="21" t="s">
        <v>2214</v>
      </c>
      <c r="C274" s="21" t="s">
        <v>2215</v>
      </c>
      <c r="D274" s="21" t="s">
        <v>2035</v>
      </c>
      <c r="E274" s="50" t="b">
        <v>1</v>
      </c>
      <c r="F274" s="72" t="str">
        <f>HYPERLINK("http://nsgreg.nga.mil/genc/view?v=291801&amp;end_month=6&amp;end_day=30&amp;end_year=2019","Harbour Island")</f>
        <v>Harbour Island</v>
      </c>
      <c r="G274" s="72" t="str">
        <f>HYPERLINK("http://api.nsgreg.nga.mil/geo-division/GENC/6/3-11/BS-HI","as:GENC:6:3-11:BS-HI")</f>
        <v>as:GENC:6:3-11:BS-HI</v>
      </c>
    </row>
    <row r="275" spans="1:7" x14ac:dyDescent="0.25">
      <c r="A275" s="112"/>
      <c r="B275" s="21" t="s">
        <v>2216</v>
      </c>
      <c r="C275" s="21" t="s">
        <v>2217</v>
      </c>
      <c r="D275" s="21" t="s">
        <v>2035</v>
      </c>
      <c r="E275" s="50" t="b">
        <v>1</v>
      </c>
      <c r="F275" s="72" t="str">
        <f>HYPERLINK("http://nsgreg.nga.mil/genc/view?v=291802&amp;end_month=6&amp;end_day=30&amp;end_year=2019","Hope Town")</f>
        <v>Hope Town</v>
      </c>
      <c r="G275" s="72" t="str">
        <f>HYPERLINK("http://api.nsgreg.nga.mil/geo-division/GENC/6/3-11/BS-HT","as:GENC:6:3-11:BS-HT")</f>
        <v>as:GENC:6:3-11:BS-HT</v>
      </c>
    </row>
    <row r="276" spans="1:7" x14ac:dyDescent="0.25">
      <c r="A276" s="112"/>
      <c r="B276" s="21" t="s">
        <v>2218</v>
      </c>
      <c r="C276" s="21" t="s">
        <v>2219</v>
      </c>
      <c r="D276" s="21" t="s">
        <v>2035</v>
      </c>
      <c r="E276" s="50" t="b">
        <v>1</v>
      </c>
      <c r="F276" s="72" t="str">
        <f>HYPERLINK("http://nsgreg.nga.mil/genc/view?v=291803&amp;end_month=6&amp;end_day=30&amp;end_year=2019","Inagua")</f>
        <v>Inagua</v>
      </c>
      <c r="G276" s="72" t="str">
        <f>HYPERLINK("http://api.nsgreg.nga.mil/geo-division/GENC/6/3-11/BS-IN","as:GENC:6:3-11:BS-IN")</f>
        <v>as:GENC:6:3-11:BS-IN</v>
      </c>
    </row>
    <row r="277" spans="1:7" x14ac:dyDescent="0.25">
      <c r="A277" s="112"/>
      <c r="B277" s="21" t="s">
        <v>2220</v>
      </c>
      <c r="C277" s="21" t="s">
        <v>2221</v>
      </c>
      <c r="D277" s="21" t="s">
        <v>2035</v>
      </c>
      <c r="E277" s="50" t="b">
        <v>1</v>
      </c>
      <c r="F277" s="72" t="str">
        <f>HYPERLINK("http://nsgreg.nga.mil/genc/view?v=291804&amp;end_month=6&amp;end_day=30&amp;end_year=2019","Long Island")</f>
        <v>Long Island</v>
      </c>
      <c r="G277" s="72" t="str">
        <f>HYPERLINK("http://api.nsgreg.nga.mil/geo-division/GENC/6/3-11/BS-LI","as:GENC:6:3-11:BS-LI")</f>
        <v>as:GENC:6:3-11:BS-LI</v>
      </c>
    </row>
    <row r="278" spans="1:7" x14ac:dyDescent="0.25">
      <c r="A278" s="112"/>
      <c r="B278" s="21" t="s">
        <v>2222</v>
      </c>
      <c r="C278" s="21" t="s">
        <v>2223</v>
      </c>
      <c r="D278" s="21" t="s">
        <v>2035</v>
      </c>
      <c r="E278" s="50" t="b">
        <v>1</v>
      </c>
      <c r="F278" s="72" t="str">
        <f>HYPERLINK("http://nsgreg.nga.mil/genc/view?v=291805&amp;end_month=6&amp;end_day=30&amp;end_year=2019","Mangrove Cay")</f>
        <v>Mangrove Cay</v>
      </c>
      <c r="G278" s="72" t="str">
        <f>HYPERLINK("http://api.nsgreg.nga.mil/geo-division/GENC/6/3-11/BS-MC","as:GENC:6:3-11:BS-MC")</f>
        <v>as:GENC:6:3-11:BS-MC</v>
      </c>
    </row>
    <row r="279" spans="1:7" x14ac:dyDescent="0.25">
      <c r="A279" s="112"/>
      <c r="B279" s="21" t="s">
        <v>2224</v>
      </c>
      <c r="C279" s="21" t="s">
        <v>2225</v>
      </c>
      <c r="D279" s="21" t="s">
        <v>2035</v>
      </c>
      <c r="E279" s="50" t="b">
        <v>1</v>
      </c>
      <c r="F279" s="72" t="str">
        <f>HYPERLINK("http://nsgreg.nga.mil/genc/view?v=291806&amp;end_month=6&amp;end_day=30&amp;end_year=2019","Mayaguana")</f>
        <v>Mayaguana</v>
      </c>
      <c r="G279" s="72" t="str">
        <f>HYPERLINK("http://api.nsgreg.nga.mil/geo-division/GENC/6/3-11/BS-MG","as:GENC:6:3-11:BS-MG")</f>
        <v>as:GENC:6:3-11:BS-MG</v>
      </c>
    </row>
    <row r="280" spans="1:7" x14ac:dyDescent="0.25">
      <c r="A280" s="112"/>
      <c r="B280" s="21" t="s">
        <v>2226</v>
      </c>
      <c r="C280" s="21" t="s">
        <v>2227</v>
      </c>
      <c r="D280" s="21" t="s">
        <v>2035</v>
      </c>
      <c r="E280" s="50" t="b">
        <v>1</v>
      </c>
      <c r="F280" s="72" t="str">
        <f>HYPERLINK("http://nsgreg.nga.mil/genc/view?v=291807&amp;end_month=6&amp;end_day=30&amp;end_year=2019","Moore’s Island")</f>
        <v>Moore’s Island</v>
      </c>
      <c r="G280" s="72" t="str">
        <f>HYPERLINK("http://api.nsgreg.nga.mil/geo-division/GENC/6/3-11/BS-MI","as:GENC:6:3-11:BS-MI")</f>
        <v>as:GENC:6:3-11:BS-MI</v>
      </c>
    </row>
    <row r="281" spans="1:7" x14ac:dyDescent="0.25">
      <c r="A281" s="112"/>
      <c r="B281" s="21" t="s">
        <v>2228</v>
      </c>
      <c r="C281" s="21" t="s">
        <v>2229</v>
      </c>
      <c r="D281" s="76" t="s">
        <v>2230</v>
      </c>
      <c r="E281" s="77" t="b">
        <v>0</v>
      </c>
      <c r="F281" s="72" t="str">
        <f>HYPERLINK("http://nsgreg.nga.mil/genc/view?v=291810&amp;end_month=6&amp;end_day=30&amp;end_year=2019","New Providence")</f>
        <v>New Providence</v>
      </c>
      <c r="G281" s="72" t="str">
        <f>HYPERLINK("http://api.nsgreg.nga.mil/geo-division/GENC/6/3-11/BS-NP","as:GENC:6:3-11:BS-NP")</f>
        <v>as:GENC:6:3-11:BS-NP</v>
      </c>
    </row>
    <row r="282" spans="1:7" x14ac:dyDescent="0.25">
      <c r="A282" s="112"/>
      <c r="B282" s="21" t="s">
        <v>2231</v>
      </c>
      <c r="C282" s="21" t="s">
        <v>2232</v>
      </c>
      <c r="D282" s="21" t="s">
        <v>2035</v>
      </c>
      <c r="E282" s="50" t="b">
        <v>1</v>
      </c>
      <c r="F282" s="72" t="str">
        <f>HYPERLINK("http://nsgreg.nga.mil/genc/view?v=291809&amp;end_month=6&amp;end_day=30&amp;end_year=2019","North Abaco")</f>
        <v>North Abaco</v>
      </c>
      <c r="G282" s="72" t="str">
        <f>HYPERLINK("http://api.nsgreg.nga.mil/geo-division/GENC/6/3-11/BS-NO","as:GENC:6:3-11:BS-NO")</f>
        <v>as:GENC:6:3-11:BS-NO</v>
      </c>
    </row>
    <row r="283" spans="1:7" x14ac:dyDescent="0.25">
      <c r="A283" s="112"/>
      <c r="B283" s="21" t="s">
        <v>2233</v>
      </c>
      <c r="C283" s="21" t="s">
        <v>2234</v>
      </c>
      <c r="D283" s="21" t="s">
        <v>2035</v>
      </c>
      <c r="E283" s="50" t="b">
        <v>1</v>
      </c>
      <c r="F283" s="72" t="str">
        <f>HYPERLINK("http://nsgreg.nga.mil/genc/view?v=291811&amp;end_month=6&amp;end_day=30&amp;end_year=2019","North Andros")</f>
        <v>North Andros</v>
      </c>
      <c r="G283" s="72" t="str">
        <f>HYPERLINK("http://api.nsgreg.nga.mil/geo-division/GENC/6/3-11/BS-NS","as:GENC:6:3-11:BS-NS")</f>
        <v>as:GENC:6:3-11:BS-NS</v>
      </c>
    </row>
    <row r="284" spans="1:7" x14ac:dyDescent="0.25">
      <c r="A284" s="112"/>
      <c r="B284" s="21" t="s">
        <v>2235</v>
      </c>
      <c r="C284" s="21" t="s">
        <v>2236</v>
      </c>
      <c r="D284" s="21" t="s">
        <v>2035</v>
      </c>
      <c r="E284" s="50" t="b">
        <v>1</v>
      </c>
      <c r="F284" s="72" t="str">
        <f>HYPERLINK("http://nsgreg.nga.mil/genc/view?v=291808&amp;end_month=6&amp;end_day=30&amp;end_year=2019","North Eleuthera")</f>
        <v>North Eleuthera</v>
      </c>
      <c r="G284" s="72" t="str">
        <f>HYPERLINK("http://api.nsgreg.nga.mil/geo-division/GENC/6/3-11/BS-NE","as:GENC:6:3-11:BS-NE")</f>
        <v>as:GENC:6:3-11:BS-NE</v>
      </c>
    </row>
    <row r="285" spans="1:7" x14ac:dyDescent="0.25">
      <c r="A285" s="112"/>
      <c r="B285" s="21" t="s">
        <v>2237</v>
      </c>
      <c r="C285" s="21" t="s">
        <v>2238</v>
      </c>
      <c r="D285" s="21" t="s">
        <v>2035</v>
      </c>
      <c r="E285" s="50" t="b">
        <v>1</v>
      </c>
      <c r="F285" s="72" t="str">
        <f>HYPERLINK("http://nsgreg.nga.mil/genc/view?v=291813&amp;end_month=6&amp;end_day=30&amp;end_year=2019","Ragged Island")</f>
        <v>Ragged Island</v>
      </c>
      <c r="G285" s="72" t="str">
        <f>HYPERLINK("http://api.nsgreg.nga.mil/geo-division/GENC/6/3-11/BS-RI","as:GENC:6:3-11:BS-RI")</f>
        <v>as:GENC:6:3-11:BS-RI</v>
      </c>
    </row>
    <row r="286" spans="1:7" x14ac:dyDescent="0.25">
      <c r="A286" s="112"/>
      <c r="B286" s="21" t="s">
        <v>2239</v>
      </c>
      <c r="C286" s="21" t="s">
        <v>2240</v>
      </c>
      <c r="D286" s="21" t="s">
        <v>2035</v>
      </c>
      <c r="E286" s="50" t="b">
        <v>1</v>
      </c>
      <c r="F286" s="72" t="str">
        <f>HYPERLINK("http://nsgreg.nga.mil/genc/view?v=291812&amp;end_month=6&amp;end_day=30&amp;end_year=2019","Rum Cay")</f>
        <v>Rum Cay</v>
      </c>
      <c r="G286" s="72" t="str">
        <f>HYPERLINK("http://api.nsgreg.nga.mil/geo-division/GENC/6/3-11/BS-RC","as:GENC:6:3-11:BS-RC")</f>
        <v>as:GENC:6:3-11:BS-RC</v>
      </c>
    </row>
    <row r="287" spans="1:7" x14ac:dyDescent="0.25">
      <c r="A287" s="112"/>
      <c r="B287" s="21" t="s">
        <v>2241</v>
      </c>
      <c r="C287" s="21" t="s">
        <v>2242</v>
      </c>
      <c r="D287" s="21" t="s">
        <v>2035</v>
      </c>
      <c r="E287" s="50" t="b">
        <v>1</v>
      </c>
      <c r="F287" s="72" t="str">
        <f>HYPERLINK("http://nsgreg.nga.mil/genc/view?v=291817&amp;end_month=6&amp;end_day=30&amp;end_year=2019","San Salvador")</f>
        <v>San Salvador</v>
      </c>
      <c r="G287" s="72" t="str">
        <f>HYPERLINK("http://api.nsgreg.nga.mil/geo-division/GENC/6/3-11/BS-SS","as:GENC:6:3-11:BS-SS")</f>
        <v>as:GENC:6:3-11:BS-SS</v>
      </c>
    </row>
    <row r="288" spans="1:7" x14ac:dyDescent="0.25">
      <c r="A288" s="112"/>
      <c r="B288" s="21" t="s">
        <v>2243</v>
      </c>
      <c r="C288" s="21" t="s">
        <v>2244</v>
      </c>
      <c r="D288" s="21" t="s">
        <v>2035</v>
      </c>
      <c r="E288" s="50" t="b">
        <v>1</v>
      </c>
      <c r="F288" s="72" t="str">
        <f>HYPERLINK("http://nsgreg.nga.mil/genc/view?v=291816&amp;end_month=6&amp;end_day=30&amp;end_year=2019","South Abaco")</f>
        <v>South Abaco</v>
      </c>
      <c r="G288" s="72" t="str">
        <f>HYPERLINK("http://api.nsgreg.nga.mil/geo-division/GENC/6/3-11/BS-SO","as:GENC:6:3-11:BS-SO")</f>
        <v>as:GENC:6:3-11:BS-SO</v>
      </c>
    </row>
    <row r="289" spans="1:7" x14ac:dyDescent="0.25">
      <c r="A289" s="112"/>
      <c r="B289" s="21" t="s">
        <v>2245</v>
      </c>
      <c r="C289" s="21" t="s">
        <v>2246</v>
      </c>
      <c r="D289" s="21" t="s">
        <v>2035</v>
      </c>
      <c r="E289" s="50" t="b">
        <v>1</v>
      </c>
      <c r="F289" s="72" t="str">
        <f>HYPERLINK("http://nsgreg.nga.mil/genc/view?v=291814&amp;end_month=6&amp;end_day=30&amp;end_year=2019","South Andros")</f>
        <v>South Andros</v>
      </c>
      <c r="G289" s="72" t="str">
        <f>HYPERLINK("http://api.nsgreg.nga.mil/geo-division/GENC/6/3-11/BS-SA","as:GENC:6:3-11:BS-SA")</f>
        <v>as:GENC:6:3-11:BS-SA</v>
      </c>
    </row>
    <row r="290" spans="1:7" x14ac:dyDescent="0.25">
      <c r="A290" s="112"/>
      <c r="B290" s="21" t="s">
        <v>2247</v>
      </c>
      <c r="C290" s="21" t="s">
        <v>2248</v>
      </c>
      <c r="D290" s="21" t="s">
        <v>2035</v>
      </c>
      <c r="E290" s="50" t="b">
        <v>1</v>
      </c>
      <c r="F290" s="72" t="str">
        <f>HYPERLINK("http://nsgreg.nga.mil/genc/view?v=291815&amp;end_month=6&amp;end_day=30&amp;end_year=2019","South Eleuthera")</f>
        <v>South Eleuthera</v>
      </c>
      <c r="G290" s="72" t="str">
        <f>HYPERLINK("http://api.nsgreg.nga.mil/geo-division/GENC/6/3-11/BS-SE","as:GENC:6:3-11:BS-SE")</f>
        <v>as:GENC:6:3-11:BS-SE</v>
      </c>
    </row>
    <row r="291" spans="1:7" x14ac:dyDescent="0.25">
      <c r="A291" s="112"/>
      <c r="B291" s="21" t="s">
        <v>2249</v>
      </c>
      <c r="C291" s="21" t="s">
        <v>2250</v>
      </c>
      <c r="D291" s="21" t="s">
        <v>2035</v>
      </c>
      <c r="E291" s="50" t="b">
        <v>1</v>
      </c>
      <c r="F291" s="72" t="str">
        <f>HYPERLINK("http://nsgreg.nga.mil/genc/view?v=291818&amp;end_month=6&amp;end_day=30&amp;end_year=2019","Spanish Wells")</f>
        <v>Spanish Wells</v>
      </c>
      <c r="G291" s="72" t="str">
        <f>HYPERLINK("http://api.nsgreg.nga.mil/geo-division/GENC/6/3-11/BS-SW","as:GENC:6:3-11:BS-SW")</f>
        <v>as:GENC:6:3-11:BS-SW</v>
      </c>
    </row>
    <row r="292" spans="1:7" x14ac:dyDescent="0.25">
      <c r="A292" s="113"/>
      <c r="B292" s="47" t="s">
        <v>2251</v>
      </c>
      <c r="C292" s="47" t="s">
        <v>2252</v>
      </c>
      <c r="D292" s="47" t="s">
        <v>2035</v>
      </c>
      <c r="E292" s="51" t="b">
        <v>1</v>
      </c>
      <c r="F292" s="73" t="str">
        <f>HYPERLINK("http://nsgreg.nga.mil/genc/view?v=291819&amp;end_month=6&amp;end_day=30&amp;end_year=2019","West Grand Bahama")</f>
        <v>West Grand Bahama</v>
      </c>
      <c r="G292" s="73" t="str">
        <f>HYPERLINK("http://api.nsgreg.nga.mil/geo-division/GENC/6/3-11/BS-WG","as:GENC:6:3-11:BS-WG")</f>
        <v>as:GENC:6:3-11:BS-WG</v>
      </c>
    </row>
    <row r="293" spans="1:7" x14ac:dyDescent="0.25">
      <c r="A293" s="111" t="str">
        <f>HYPERLINK("[#]Codes_for_GE_Names!A22:I22","BAHRAIN")</f>
        <v>BAHRAIN</v>
      </c>
      <c r="B293" s="42" t="s">
        <v>2253</v>
      </c>
      <c r="C293" s="42" t="s">
        <v>2254</v>
      </c>
      <c r="D293" s="42" t="s">
        <v>2255</v>
      </c>
      <c r="E293" s="49" t="b">
        <v>1</v>
      </c>
      <c r="F293" s="74" t="str">
        <f>HYPERLINK("http://nsgreg.nga.mil/genc/view?v=291700&amp;end_month=6&amp;end_day=30&amp;end_year=2019","Al ‘Āşimah")</f>
        <v>Al ‘Āşimah</v>
      </c>
      <c r="G293" s="74" t="str">
        <f>HYPERLINK("http://api.nsgreg.nga.mil/geo-division/GENC/6/3-11/BH-13","as:GENC:6:3-11:BH-13")</f>
        <v>as:GENC:6:3-11:BH-13</v>
      </c>
    </row>
    <row r="294" spans="1:7" x14ac:dyDescent="0.25">
      <c r="A294" s="112"/>
      <c r="B294" s="21" t="s">
        <v>2256</v>
      </c>
      <c r="C294" s="21" t="s">
        <v>2257</v>
      </c>
      <c r="D294" s="21" t="s">
        <v>2255</v>
      </c>
      <c r="E294" s="50" t="b">
        <v>1</v>
      </c>
      <c r="F294" s="72" t="str">
        <f>HYPERLINK("http://nsgreg.nga.mil/genc/view?v=291701&amp;end_month=6&amp;end_day=30&amp;end_year=2019","Al Janūbīyah")</f>
        <v>Al Janūbīyah</v>
      </c>
      <c r="G294" s="72" t="str">
        <f>HYPERLINK("http://api.nsgreg.nga.mil/geo-division/GENC/6/3-11/BH-14","as:GENC:6:3-11:BH-14")</f>
        <v>as:GENC:6:3-11:BH-14</v>
      </c>
    </row>
    <row r="295" spans="1:7" x14ac:dyDescent="0.25">
      <c r="A295" s="112"/>
      <c r="B295" s="21" t="s">
        <v>2258</v>
      </c>
      <c r="C295" s="21" t="s">
        <v>2259</v>
      </c>
      <c r="D295" s="21" t="s">
        <v>2255</v>
      </c>
      <c r="E295" s="50" t="b">
        <v>1</v>
      </c>
      <c r="F295" s="72" t="str">
        <f>HYPERLINK("http://nsgreg.nga.mil/genc/view?v=291702&amp;end_month=6&amp;end_day=30&amp;end_year=2019","Al Muḩarraq")</f>
        <v>Al Muḩarraq</v>
      </c>
      <c r="G295" s="72" t="str">
        <f>HYPERLINK("http://api.nsgreg.nga.mil/geo-division/GENC/6/3-11/BH-15","as:GENC:6:3-11:BH-15")</f>
        <v>as:GENC:6:3-11:BH-15</v>
      </c>
    </row>
    <row r="296" spans="1:7" x14ac:dyDescent="0.25">
      <c r="A296" s="113"/>
      <c r="B296" s="47" t="s">
        <v>2260</v>
      </c>
      <c r="C296" s="47" t="s">
        <v>2261</v>
      </c>
      <c r="D296" s="47" t="s">
        <v>2255</v>
      </c>
      <c r="E296" s="51" t="b">
        <v>1</v>
      </c>
      <c r="F296" s="73" t="str">
        <f>HYPERLINK("http://nsgreg.nga.mil/genc/view?v=291703&amp;end_month=6&amp;end_day=30&amp;end_year=2019","Ash Shamālīyah")</f>
        <v>Ash Shamālīyah</v>
      </c>
      <c r="G296" s="73" t="str">
        <f>HYPERLINK("http://api.nsgreg.nga.mil/geo-division/GENC/6/3-11/BH-17","as:GENC:6:3-11:BH-17")</f>
        <v>as:GENC:6:3-11:BH-17</v>
      </c>
    </row>
    <row r="297" spans="1:7" x14ac:dyDescent="0.25">
      <c r="A297" s="111" t="str">
        <f>HYPERLINK("[#]Codes_for_GE_Names!A24:I24","BANGLADESH")</f>
        <v>BANGLADESH</v>
      </c>
      <c r="B297" s="42" t="s">
        <v>2262</v>
      </c>
      <c r="C297" s="42" t="s">
        <v>2263</v>
      </c>
      <c r="D297" s="42" t="s">
        <v>2264</v>
      </c>
      <c r="E297" s="49" t="b">
        <v>1</v>
      </c>
      <c r="F297" s="74" t="str">
        <f>HYPERLINK("http://nsgreg.nga.mil/genc/view?v=291593&amp;end_month=6&amp;end_day=30&amp;end_year=2019","Barisāl")</f>
        <v>Barisāl</v>
      </c>
      <c r="G297" s="74" t="str">
        <f>HYPERLINK("http://api.nsgreg.nga.mil/geo-division/GENC/6/3-11/BD-A","as:GENC:6:3-11:BD-A")</f>
        <v>as:GENC:6:3-11:BD-A</v>
      </c>
    </row>
    <row r="298" spans="1:7" x14ac:dyDescent="0.25">
      <c r="A298" s="112"/>
      <c r="B298" s="21" t="s">
        <v>2265</v>
      </c>
      <c r="C298" s="21" t="s">
        <v>2266</v>
      </c>
      <c r="D298" s="76" t="s">
        <v>2035</v>
      </c>
      <c r="E298" s="77" t="b">
        <v>0</v>
      </c>
      <c r="F298" s="72" t="str">
        <f>HYPERLINK("http://nsgreg.nga.mil/genc/view?v=291530&amp;end_month=6&amp;end_day=30&amp;end_year=2019","Barguna")</f>
        <v>Barguna</v>
      </c>
      <c r="G298" s="72" t="str">
        <f>HYPERLINK("http://api.nsgreg.nga.mil/geo-division/GENC/6/3-11/BD-02","as:GENC:6:3-11:BD-02")</f>
        <v>as:GENC:6:3-11:BD-02</v>
      </c>
    </row>
    <row r="299" spans="1:7" x14ac:dyDescent="0.25">
      <c r="A299" s="112"/>
      <c r="B299" s="21" t="s">
        <v>2267</v>
      </c>
      <c r="C299" s="21" t="s">
        <v>2268</v>
      </c>
      <c r="D299" s="76" t="s">
        <v>2035</v>
      </c>
      <c r="E299" s="77" t="b">
        <v>0</v>
      </c>
      <c r="F299" s="72" t="str">
        <f>HYPERLINK("http://nsgreg.nga.mil/genc/view?v=291534&amp;end_month=6&amp;end_day=30&amp;end_year=2019","Barisāl")</f>
        <v>Barisāl</v>
      </c>
      <c r="G299" s="72" t="str">
        <f>HYPERLINK("http://api.nsgreg.nga.mil/geo-division/GENC/6/3-11/BD-06","as:GENC:6:3-11:BD-06")</f>
        <v>as:GENC:6:3-11:BD-06</v>
      </c>
    </row>
    <row r="300" spans="1:7" x14ac:dyDescent="0.25">
      <c r="A300" s="112"/>
      <c r="B300" s="21" t="s">
        <v>2269</v>
      </c>
      <c r="C300" s="21" t="s">
        <v>2270</v>
      </c>
      <c r="D300" s="76" t="s">
        <v>2035</v>
      </c>
      <c r="E300" s="77" t="b">
        <v>0</v>
      </c>
      <c r="F300" s="72" t="str">
        <f>HYPERLINK("http://nsgreg.nga.mil/genc/view?v=291535&amp;end_month=6&amp;end_day=30&amp;end_year=2019","Bhola")</f>
        <v>Bhola</v>
      </c>
      <c r="G300" s="72" t="str">
        <f>HYPERLINK("http://api.nsgreg.nga.mil/geo-division/GENC/6/3-11/BD-07","as:GENC:6:3-11:BD-07")</f>
        <v>as:GENC:6:3-11:BD-07</v>
      </c>
    </row>
    <row r="301" spans="1:7" x14ac:dyDescent="0.25">
      <c r="A301" s="112"/>
      <c r="B301" s="21" t="s">
        <v>2271</v>
      </c>
      <c r="C301" s="21" t="s">
        <v>2272</v>
      </c>
      <c r="D301" s="76" t="s">
        <v>2035</v>
      </c>
      <c r="E301" s="77" t="b">
        <v>0</v>
      </c>
      <c r="F301" s="72" t="str">
        <f>HYPERLINK("http://nsgreg.nga.mil/genc/view?v=291553&amp;end_month=6&amp;end_day=30&amp;end_year=2019","Jhālakāti")</f>
        <v>Jhālakāti</v>
      </c>
      <c r="G301" s="72" t="str">
        <f>HYPERLINK("http://api.nsgreg.nga.mil/geo-division/GENC/6/3-11/BD-25","as:GENC:6:3-11:BD-25")</f>
        <v>as:GENC:6:3-11:BD-25</v>
      </c>
    </row>
    <row r="302" spans="1:7" x14ac:dyDescent="0.25">
      <c r="A302" s="112"/>
      <c r="B302" s="21" t="s">
        <v>2273</v>
      </c>
      <c r="C302" s="21" t="s">
        <v>2274</v>
      </c>
      <c r="D302" s="76" t="s">
        <v>2035</v>
      </c>
      <c r="E302" s="77" t="b">
        <v>0</v>
      </c>
      <c r="F302" s="72" t="str">
        <f>HYPERLINK("http://nsgreg.nga.mil/genc/view?v=291579&amp;end_month=6&amp;end_day=30&amp;end_year=2019","Patuākhāli")</f>
        <v>Patuākhāli</v>
      </c>
      <c r="G302" s="72" t="str">
        <f>HYPERLINK("http://api.nsgreg.nga.mil/geo-division/GENC/6/3-11/BD-51","as:GENC:6:3-11:BD-51")</f>
        <v>as:GENC:6:3-11:BD-51</v>
      </c>
    </row>
    <row r="303" spans="1:7" x14ac:dyDescent="0.25">
      <c r="A303" s="112"/>
      <c r="B303" s="21" t="s">
        <v>2275</v>
      </c>
      <c r="C303" s="21" t="s">
        <v>2276</v>
      </c>
      <c r="D303" s="76" t="s">
        <v>2035</v>
      </c>
      <c r="E303" s="77" t="b">
        <v>0</v>
      </c>
      <c r="F303" s="72" t="str">
        <f>HYPERLINK("http://nsgreg.nga.mil/genc/view?v=291578&amp;end_month=6&amp;end_day=30&amp;end_year=2019","Pirojpur")</f>
        <v>Pirojpur</v>
      </c>
      <c r="G303" s="72" t="str">
        <f>HYPERLINK("http://api.nsgreg.nga.mil/geo-division/GENC/6/3-11/BD-50","as:GENC:6:3-11:BD-50")</f>
        <v>as:GENC:6:3-11:BD-50</v>
      </c>
    </row>
    <row r="304" spans="1:7" x14ac:dyDescent="0.25">
      <c r="A304" s="112"/>
      <c r="B304" s="21" t="s">
        <v>2277</v>
      </c>
      <c r="C304" s="21" t="s">
        <v>2278</v>
      </c>
      <c r="D304" s="21" t="s">
        <v>2264</v>
      </c>
      <c r="E304" s="50" t="b">
        <v>1</v>
      </c>
      <c r="F304" s="72" t="str">
        <f>HYPERLINK("http://nsgreg.nga.mil/genc/view?v=291594&amp;end_month=6&amp;end_day=30&amp;end_year=2019","Chittagong")</f>
        <v>Chittagong</v>
      </c>
      <c r="G304" s="72" t="str">
        <f>HYPERLINK("http://api.nsgreg.nga.mil/geo-division/GENC/6/3-11/BD-B","as:GENC:6:3-11:BD-B")</f>
        <v>as:GENC:6:3-11:BD-B</v>
      </c>
    </row>
    <row r="305" spans="1:7" x14ac:dyDescent="0.25">
      <c r="A305" s="112"/>
      <c r="B305" s="21" t="s">
        <v>2279</v>
      </c>
      <c r="C305" s="21" t="s">
        <v>2280</v>
      </c>
      <c r="D305" s="76" t="s">
        <v>2035</v>
      </c>
      <c r="E305" s="77" t="b">
        <v>0</v>
      </c>
      <c r="F305" s="72" t="str">
        <f>HYPERLINK("http://nsgreg.nga.mil/genc/view?v=291529&amp;end_month=6&amp;end_day=30&amp;end_year=2019","Bandarban")</f>
        <v>Bandarban</v>
      </c>
      <c r="G305" s="72" t="str">
        <f>HYPERLINK("http://api.nsgreg.nga.mil/geo-division/GENC/6/3-11/BD-01","as:GENC:6:3-11:BD-01")</f>
        <v>as:GENC:6:3-11:BD-01</v>
      </c>
    </row>
    <row r="306" spans="1:7" x14ac:dyDescent="0.25">
      <c r="A306" s="112"/>
      <c r="B306" s="21" t="s">
        <v>2281</v>
      </c>
      <c r="C306" s="21" t="s">
        <v>2282</v>
      </c>
      <c r="D306" s="76" t="s">
        <v>2035</v>
      </c>
      <c r="E306" s="77" t="b">
        <v>0</v>
      </c>
      <c r="F306" s="72" t="str">
        <f>HYPERLINK("http://nsgreg.nga.mil/genc/view?v=291532&amp;end_month=6&amp;end_day=30&amp;end_year=2019","Brāhmanbāria")</f>
        <v>Brāhmanbāria</v>
      </c>
      <c r="G306" s="72" t="str">
        <f>HYPERLINK("http://api.nsgreg.nga.mil/geo-division/GENC/6/3-11/BD-04","as:GENC:6:3-11:BD-04")</f>
        <v>as:GENC:6:3-11:BD-04</v>
      </c>
    </row>
    <row r="307" spans="1:7" x14ac:dyDescent="0.25">
      <c r="A307" s="112"/>
      <c r="B307" s="21" t="s">
        <v>2283</v>
      </c>
      <c r="C307" s="21" t="s">
        <v>2284</v>
      </c>
      <c r="D307" s="76" t="s">
        <v>2035</v>
      </c>
      <c r="E307" s="77" t="b">
        <v>0</v>
      </c>
      <c r="F307" s="72" t="str">
        <f>HYPERLINK("http://nsgreg.nga.mil/genc/view?v=291537&amp;end_month=6&amp;end_day=30&amp;end_year=2019","Chāndpur")</f>
        <v>Chāndpur</v>
      </c>
      <c r="G307" s="72" t="str">
        <f>HYPERLINK("http://api.nsgreg.nga.mil/geo-division/GENC/6/3-11/BD-09","as:GENC:6:3-11:BD-09")</f>
        <v>as:GENC:6:3-11:BD-09</v>
      </c>
    </row>
    <row r="308" spans="1:7" x14ac:dyDescent="0.25">
      <c r="A308" s="112"/>
      <c r="B308" s="21" t="s">
        <v>2285</v>
      </c>
      <c r="C308" s="21" t="s">
        <v>2286</v>
      </c>
      <c r="D308" s="76" t="s">
        <v>2035</v>
      </c>
      <c r="E308" s="77" t="b">
        <v>0</v>
      </c>
      <c r="F308" s="72" t="str">
        <f>HYPERLINK("http://nsgreg.nga.mil/genc/view?v=291538&amp;end_month=6&amp;end_day=30&amp;end_year=2019","Chittagong")</f>
        <v>Chittagong</v>
      </c>
      <c r="G308" s="72" t="str">
        <f>HYPERLINK("http://api.nsgreg.nga.mil/geo-division/GENC/6/3-11/BD-10","as:GENC:6:3-11:BD-10")</f>
        <v>as:GENC:6:3-11:BD-10</v>
      </c>
    </row>
    <row r="309" spans="1:7" x14ac:dyDescent="0.25">
      <c r="A309" s="112"/>
      <c r="B309" s="21" t="s">
        <v>2287</v>
      </c>
      <c r="C309" s="21" t="s">
        <v>2288</v>
      </c>
      <c r="D309" s="76" t="s">
        <v>2035</v>
      </c>
      <c r="E309" s="77" t="b">
        <v>0</v>
      </c>
      <c r="F309" s="72" t="str">
        <f>HYPERLINK("http://nsgreg.nga.mil/genc/view?v=291536&amp;end_month=6&amp;end_day=30&amp;end_year=2019","Comilla")</f>
        <v>Comilla</v>
      </c>
      <c r="G309" s="72" t="str">
        <f>HYPERLINK("http://api.nsgreg.nga.mil/geo-division/GENC/6/3-11/BD-08","as:GENC:6:3-11:BD-08")</f>
        <v>as:GENC:6:3-11:BD-08</v>
      </c>
    </row>
    <row r="310" spans="1:7" x14ac:dyDescent="0.25">
      <c r="A310" s="112"/>
      <c r="B310" s="21" t="s">
        <v>2289</v>
      </c>
      <c r="C310" s="21" t="s">
        <v>2290</v>
      </c>
      <c r="D310" s="76" t="s">
        <v>2035</v>
      </c>
      <c r="E310" s="77" t="b">
        <v>0</v>
      </c>
      <c r="F310" s="72" t="str">
        <f>HYPERLINK("http://nsgreg.nga.mil/genc/view?v=291539&amp;end_month=6&amp;end_day=30&amp;end_year=2019","Cox’s Bāzār")</f>
        <v>Cox’s Bāzār</v>
      </c>
      <c r="G310" s="72" t="str">
        <f>HYPERLINK("http://api.nsgreg.nga.mil/geo-division/GENC/6/3-11/BD-11","as:GENC:6:3-11:BD-11")</f>
        <v>as:GENC:6:3-11:BD-11</v>
      </c>
    </row>
    <row r="311" spans="1:7" x14ac:dyDescent="0.25">
      <c r="A311" s="112"/>
      <c r="B311" s="21" t="s">
        <v>2291</v>
      </c>
      <c r="C311" s="21" t="s">
        <v>2292</v>
      </c>
      <c r="D311" s="76" t="s">
        <v>2035</v>
      </c>
      <c r="E311" s="77" t="b">
        <v>0</v>
      </c>
      <c r="F311" s="72" t="str">
        <f>HYPERLINK("http://nsgreg.nga.mil/genc/view?v=291544&amp;end_month=6&amp;end_day=30&amp;end_year=2019","Feni")</f>
        <v>Feni</v>
      </c>
      <c r="G311" s="72" t="str">
        <f>HYPERLINK("http://api.nsgreg.nga.mil/geo-division/GENC/6/3-11/BD-16","as:GENC:6:3-11:BD-16")</f>
        <v>as:GENC:6:3-11:BD-16</v>
      </c>
    </row>
    <row r="312" spans="1:7" x14ac:dyDescent="0.25">
      <c r="A312" s="112"/>
      <c r="B312" s="21" t="s">
        <v>2293</v>
      </c>
      <c r="C312" s="21" t="s">
        <v>2294</v>
      </c>
      <c r="D312" s="76" t="s">
        <v>2035</v>
      </c>
      <c r="E312" s="77" t="b">
        <v>0</v>
      </c>
      <c r="F312" s="72" t="str">
        <f>HYPERLINK("http://nsgreg.nga.mil/genc/view?v=291557&amp;end_month=6&amp;end_day=30&amp;end_year=2019","Khagrāchari")</f>
        <v>Khagrāchari</v>
      </c>
      <c r="G312" s="72" t="str">
        <f>HYPERLINK("http://api.nsgreg.nga.mil/geo-division/GENC/6/3-11/BD-29","as:GENC:6:3-11:BD-29")</f>
        <v>as:GENC:6:3-11:BD-29</v>
      </c>
    </row>
    <row r="313" spans="1:7" x14ac:dyDescent="0.25">
      <c r="A313" s="112"/>
      <c r="B313" s="21" t="s">
        <v>2295</v>
      </c>
      <c r="C313" s="21" t="s">
        <v>2296</v>
      </c>
      <c r="D313" s="76" t="s">
        <v>2035</v>
      </c>
      <c r="E313" s="77" t="b">
        <v>0</v>
      </c>
      <c r="F313" s="72" t="str">
        <f>HYPERLINK("http://nsgreg.nga.mil/genc/view?v=291559&amp;end_month=6&amp;end_day=30&amp;end_year=2019","Lakshmipur")</f>
        <v>Lakshmipur</v>
      </c>
      <c r="G313" s="72" t="str">
        <f>HYPERLINK("http://api.nsgreg.nga.mil/geo-division/GENC/6/3-11/BD-31","as:GENC:6:3-11:BD-31")</f>
        <v>as:GENC:6:3-11:BD-31</v>
      </c>
    </row>
    <row r="314" spans="1:7" x14ac:dyDescent="0.25">
      <c r="A314" s="112"/>
      <c r="B314" s="21" t="s">
        <v>2297</v>
      </c>
      <c r="C314" s="21" t="s">
        <v>2298</v>
      </c>
      <c r="D314" s="76" t="s">
        <v>2035</v>
      </c>
      <c r="E314" s="77" t="b">
        <v>0</v>
      </c>
      <c r="F314" s="72" t="str">
        <f>HYPERLINK("http://nsgreg.nga.mil/genc/view?v=291575&amp;end_month=6&amp;end_day=30&amp;end_year=2019","Noākhāli")</f>
        <v>Noākhāli</v>
      </c>
      <c r="G314" s="72" t="str">
        <f>HYPERLINK("http://api.nsgreg.nga.mil/geo-division/GENC/6/3-11/BD-47","as:GENC:6:3-11:BD-47")</f>
        <v>as:GENC:6:3-11:BD-47</v>
      </c>
    </row>
    <row r="315" spans="1:7" x14ac:dyDescent="0.25">
      <c r="A315" s="112"/>
      <c r="B315" s="21" t="s">
        <v>2299</v>
      </c>
      <c r="C315" s="21" t="s">
        <v>2300</v>
      </c>
      <c r="D315" s="76" t="s">
        <v>2035</v>
      </c>
      <c r="E315" s="77" t="b">
        <v>0</v>
      </c>
      <c r="F315" s="72" t="str">
        <f>HYPERLINK("http://nsgreg.nga.mil/genc/view?v=291584&amp;end_month=6&amp;end_day=30&amp;end_year=2019","Rangamati")</f>
        <v>Rangamati</v>
      </c>
      <c r="G315" s="72" t="str">
        <f>HYPERLINK("http://api.nsgreg.nga.mil/geo-division/GENC/6/3-11/BD-56","as:GENC:6:3-11:BD-56")</f>
        <v>as:GENC:6:3-11:BD-56</v>
      </c>
    </row>
    <row r="316" spans="1:7" x14ac:dyDescent="0.25">
      <c r="A316" s="112"/>
      <c r="B316" s="21" t="s">
        <v>2301</v>
      </c>
      <c r="C316" s="21" t="s">
        <v>2302</v>
      </c>
      <c r="D316" s="21" t="s">
        <v>2264</v>
      </c>
      <c r="E316" s="50" t="b">
        <v>1</v>
      </c>
      <c r="F316" s="72" t="str">
        <f>HYPERLINK("http://nsgreg.nga.mil/genc/view?v=291595&amp;end_month=6&amp;end_day=30&amp;end_year=2019","Dhaka")</f>
        <v>Dhaka</v>
      </c>
      <c r="G316" s="72" t="str">
        <f>HYPERLINK("http://api.nsgreg.nga.mil/geo-division/GENC/6/3-11/BD-C","as:GENC:6:3-11:BD-C")</f>
        <v>as:GENC:6:3-11:BD-C</v>
      </c>
    </row>
    <row r="317" spans="1:7" x14ac:dyDescent="0.25">
      <c r="A317" s="112"/>
      <c r="B317" s="21" t="s">
        <v>2303</v>
      </c>
      <c r="C317" s="21" t="s">
        <v>2304</v>
      </c>
      <c r="D317" s="76" t="s">
        <v>2035</v>
      </c>
      <c r="E317" s="77" t="b">
        <v>0</v>
      </c>
      <c r="F317" s="72" t="str">
        <f>HYPERLINK("http://nsgreg.nga.mil/genc/view?v=291541&amp;end_month=6&amp;end_day=30&amp;end_year=2019","Dhaka")</f>
        <v>Dhaka</v>
      </c>
      <c r="G317" s="72" t="str">
        <f>HYPERLINK("http://api.nsgreg.nga.mil/geo-division/GENC/6/3-11/BD-13","as:GENC:6:3-11:BD-13")</f>
        <v>as:GENC:6:3-11:BD-13</v>
      </c>
    </row>
    <row r="318" spans="1:7" x14ac:dyDescent="0.25">
      <c r="A318" s="112"/>
      <c r="B318" s="21" t="s">
        <v>2305</v>
      </c>
      <c r="C318" s="21" t="s">
        <v>2306</v>
      </c>
      <c r="D318" s="76" t="s">
        <v>2035</v>
      </c>
      <c r="E318" s="77" t="b">
        <v>0</v>
      </c>
      <c r="F318" s="72" t="str">
        <f>HYPERLINK("http://nsgreg.nga.mil/genc/view?v=291543&amp;end_month=6&amp;end_day=30&amp;end_year=2019","Farīdpur")</f>
        <v>Farīdpur</v>
      </c>
      <c r="G318" s="72" t="str">
        <f>HYPERLINK("http://api.nsgreg.nga.mil/geo-division/GENC/6/3-11/BD-15","as:GENC:6:3-11:BD-15")</f>
        <v>as:GENC:6:3-11:BD-15</v>
      </c>
    </row>
    <row r="319" spans="1:7" x14ac:dyDescent="0.25">
      <c r="A319" s="112"/>
      <c r="B319" s="21" t="s">
        <v>2307</v>
      </c>
      <c r="C319" s="21" t="s">
        <v>2308</v>
      </c>
      <c r="D319" s="76" t="s">
        <v>2035</v>
      </c>
      <c r="E319" s="77" t="b">
        <v>0</v>
      </c>
      <c r="F319" s="72" t="str">
        <f>HYPERLINK("http://nsgreg.nga.mil/genc/view?v=291546&amp;end_month=6&amp;end_day=30&amp;end_year=2019","Gāzipur")</f>
        <v>Gāzipur</v>
      </c>
      <c r="G319" s="72" t="str">
        <f>HYPERLINK("http://api.nsgreg.nga.mil/geo-division/GENC/6/3-11/BD-18","as:GENC:6:3-11:BD-18")</f>
        <v>as:GENC:6:3-11:BD-18</v>
      </c>
    </row>
    <row r="320" spans="1:7" x14ac:dyDescent="0.25">
      <c r="A320" s="112"/>
      <c r="B320" s="21" t="s">
        <v>2309</v>
      </c>
      <c r="C320" s="21" t="s">
        <v>2310</v>
      </c>
      <c r="D320" s="76" t="s">
        <v>2035</v>
      </c>
      <c r="E320" s="77" t="b">
        <v>0</v>
      </c>
      <c r="F320" s="72" t="str">
        <f>HYPERLINK("http://nsgreg.nga.mil/genc/view?v=291545&amp;end_month=6&amp;end_day=30&amp;end_year=2019","Gopālganj")</f>
        <v>Gopālganj</v>
      </c>
      <c r="G320" s="72" t="str">
        <f>HYPERLINK("http://api.nsgreg.nga.mil/geo-division/GENC/6/3-11/BD-17","as:GENC:6:3-11:BD-17")</f>
        <v>as:GENC:6:3-11:BD-17</v>
      </c>
    </row>
    <row r="321" spans="1:7" x14ac:dyDescent="0.25">
      <c r="A321" s="112"/>
      <c r="B321" s="21" t="s">
        <v>2311</v>
      </c>
      <c r="C321" s="21" t="s">
        <v>2312</v>
      </c>
      <c r="D321" s="76" t="s">
        <v>2035</v>
      </c>
      <c r="E321" s="77" t="b">
        <v>0</v>
      </c>
      <c r="F321" s="72" t="str">
        <f>HYPERLINK("http://nsgreg.nga.mil/genc/view?v=291554&amp;end_month=6&amp;end_day=30&amp;end_year=2019","Kishorganj")</f>
        <v>Kishorganj</v>
      </c>
      <c r="G321" s="72" t="str">
        <f>HYPERLINK("http://api.nsgreg.nga.mil/geo-division/GENC/6/3-11/BD-26","as:GENC:6:3-11:BD-26")</f>
        <v>as:GENC:6:3-11:BD-26</v>
      </c>
    </row>
    <row r="322" spans="1:7" x14ac:dyDescent="0.25">
      <c r="A322" s="112"/>
      <c r="B322" s="21" t="s">
        <v>2313</v>
      </c>
      <c r="C322" s="21" t="s">
        <v>2314</v>
      </c>
      <c r="D322" s="76" t="s">
        <v>2035</v>
      </c>
      <c r="E322" s="77" t="b">
        <v>0</v>
      </c>
      <c r="F322" s="72" t="str">
        <f>HYPERLINK("http://nsgreg.nga.mil/genc/view?v=291564&amp;end_month=6&amp;end_day=30&amp;end_year=2019","Mādārīpur")</f>
        <v>Mādārīpur</v>
      </c>
      <c r="G322" s="72" t="str">
        <f>HYPERLINK("http://api.nsgreg.nga.mil/geo-division/GENC/6/3-11/BD-36","as:GENC:6:3-11:BD-36")</f>
        <v>as:GENC:6:3-11:BD-36</v>
      </c>
    </row>
    <row r="323" spans="1:7" x14ac:dyDescent="0.25">
      <c r="A323" s="112"/>
      <c r="B323" s="21" t="s">
        <v>2315</v>
      </c>
      <c r="C323" s="21" t="s">
        <v>2316</v>
      </c>
      <c r="D323" s="76" t="s">
        <v>2035</v>
      </c>
      <c r="E323" s="77" t="b">
        <v>0</v>
      </c>
      <c r="F323" s="72" t="str">
        <f>HYPERLINK("http://nsgreg.nga.mil/genc/view?v=291561&amp;end_month=6&amp;end_day=30&amp;end_year=2019","Mānikganj")</f>
        <v>Mānikganj</v>
      </c>
      <c r="G323" s="72" t="str">
        <f>HYPERLINK("http://api.nsgreg.nga.mil/geo-division/GENC/6/3-11/BD-33","as:GENC:6:3-11:BD-33")</f>
        <v>as:GENC:6:3-11:BD-33</v>
      </c>
    </row>
    <row r="324" spans="1:7" x14ac:dyDescent="0.25">
      <c r="A324" s="112"/>
      <c r="B324" s="21" t="s">
        <v>2317</v>
      </c>
      <c r="C324" s="21" t="s">
        <v>2318</v>
      </c>
      <c r="D324" s="76" t="s">
        <v>2035</v>
      </c>
      <c r="E324" s="77" t="b">
        <v>0</v>
      </c>
      <c r="F324" s="72" t="str">
        <f>HYPERLINK("http://nsgreg.nga.mil/genc/view?v=291563&amp;end_month=6&amp;end_day=30&amp;end_year=2019","Munshiganj")</f>
        <v>Munshiganj</v>
      </c>
      <c r="G324" s="72" t="str">
        <f>HYPERLINK("http://api.nsgreg.nga.mil/geo-division/GENC/6/3-11/BD-35","as:GENC:6:3-11:BD-35")</f>
        <v>as:GENC:6:3-11:BD-35</v>
      </c>
    </row>
    <row r="325" spans="1:7" x14ac:dyDescent="0.25">
      <c r="A325" s="112"/>
      <c r="B325" s="21" t="s">
        <v>2319</v>
      </c>
      <c r="C325" s="21" t="s">
        <v>2320</v>
      </c>
      <c r="D325" s="76" t="s">
        <v>2035</v>
      </c>
      <c r="E325" s="77" t="b">
        <v>0</v>
      </c>
      <c r="F325" s="72" t="str">
        <f>HYPERLINK("http://nsgreg.nga.mil/genc/view?v=291568&amp;end_month=6&amp;end_day=30&amp;end_year=2019","Nārāyanganj")</f>
        <v>Nārāyanganj</v>
      </c>
      <c r="G325" s="72" t="str">
        <f>HYPERLINK("http://api.nsgreg.nga.mil/geo-division/GENC/6/3-11/BD-40","as:GENC:6:3-11:BD-40")</f>
        <v>as:GENC:6:3-11:BD-40</v>
      </c>
    </row>
    <row r="326" spans="1:7" x14ac:dyDescent="0.25">
      <c r="A326" s="112"/>
      <c r="B326" s="21" t="s">
        <v>2321</v>
      </c>
      <c r="C326" s="21" t="s">
        <v>2322</v>
      </c>
      <c r="D326" s="76" t="s">
        <v>2035</v>
      </c>
      <c r="E326" s="77" t="b">
        <v>0</v>
      </c>
      <c r="F326" s="72" t="str">
        <f>HYPERLINK("http://nsgreg.nga.mil/genc/view?v=291570&amp;end_month=6&amp;end_day=30&amp;end_year=2019","Narsingdi")</f>
        <v>Narsingdi</v>
      </c>
      <c r="G326" s="72" t="str">
        <f>HYPERLINK("http://api.nsgreg.nga.mil/geo-division/GENC/6/3-11/BD-42","as:GENC:6:3-11:BD-42")</f>
        <v>as:GENC:6:3-11:BD-42</v>
      </c>
    </row>
    <row r="327" spans="1:7" x14ac:dyDescent="0.25">
      <c r="A327" s="112"/>
      <c r="B327" s="21" t="s">
        <v>2323</v>
      </c>
      <c r="C327" s="21" t="s">
        <v>2324</v>
      </c>
      <c r="D327" s="76" t="s">
        <v>2035</v>
      </c>
      <c r="E327" s="77" t="b">
        <v>0</v>
      </c>
      <c r="F327" s="72" t="str">
        <f>HYPERLINK("http://nsgreg.nga.mil/genc/view?v=291581&amp;end_month=6&amp;end_day=30&amp;end_year=2019","Rājbāri")</f>
        <v>Rājbāri</v>
      </c>
      <c r="G327" s="72" t="str">
        <f>HYPERLINK("http://api.nsgreg.nga.mil/geo-division/GENC/6/3-11/BD-53","as:GENC:6:3-11:BD-53")</f>
        <v>as:GENC:6:3-11:BD-53</v>
      </c>
    </row>
    <row r="328" spans="1:7" x14ac:dyDescent="0.25">
      <c r="A328" s="112"/>
      <c r="B328" s="21" t="s">
        <v>2325</v>
      </c>
      <c r="C328" s="21" t="s">
        <v>2326</v>
      </c>
      <c r="D328" s="76" t="s">
        <v>2035</v>
      </c>
      <c r="E328" s="77" t="b">
        <v>0</v>
      </c>
      <c r="F328" s="72" t="str">
        <f>HYPERLINK("http://nsgreg.nga.mil/genc/view?v=291590&amp;end_month=6&amp;end_day=30&amp;end_year=2019","Shariyatpur")</f>
        <v>Shariyatpur</v>
      </c>
      <c r="G328" s="72" t="str">
        <f>HYPERLINK("http://api.nsgreg.nga.mil/geo-division/GENC/6/3-11/BD-62","as:GENC:6:3-11:BD-62")</f>
        <v>as:GENC:6:3-11:BD-62</v>
      </c>
    </row>
    <row r="329" spans="1:7" x14ac:dyDescent="0.25">
      <c r="A329" s="112"/>
      <c r="B329" s="21" t="s">
        <v>2327</v>
      </c>
      <c r="C329" s="21" t="s">
        <v>2328</v>
      </c>
      <c r="D329" s="76" t="s">
        <v>2035</v>
      </c>
      <c r="E329" s="77" t="b">
        <v>0</v>
      </c>
      <c r="F329" s="72" t="str">
        <f>HYPERLINK("http://nsgreg.nga.mil/genc/view?v=291591&amp;end_month=6&amp;end_day=30&amp;end_year=2019","Tangail")</f>
        <v>Tangail</v>
      </c>
      <c r="G329" s="72" t="str">
        <f>HYPERLINK("http://api.nsgreg.nga.mil/geo-division/GENC/6/3-11/BD-63","as:GENC:6:3-11:BD-63")</f>
        <v>as:GENC:6:3-11:BD-63</v>
      </c>
    </row>
    <row r="330" spans="1:7" x14ac:dyDescent="0.25">
      <c r="A330" s="112"/>
      <c r="B330" s="21" t="s">
        <v>2329</v>
      </c>
      <c r="C330" s="21" t="s">
        <v>2330</v>
      </c>
      <c r="D330" s="21" t="s">
        <v>2264</v>
      </c>
      <c r="E330" s="50" t="b">
        <v>1</v>
      </c>
      <c r="F330" s="72" t="str">
        <f>HYPERLINK("http://nsgreg.nga.mil/genc/view?v=291596&amp;end_month=6&amp;end_day=30&amp;end_year=2019","Khulna")</f>
        <v>Khulna</v>
      </c>
      <c r="G330" s="72" t="str">
        <f>HYPERLINK("http://api.nsgreg.nga.mil/geo-division/GENC/6/3-11/BD-D","as:GENC:6:3-11:BD-D")</f>
        <v>as:GENC:6:3-11:BD-D</v>
      </c>
    </row>
    <row r="331" spans="1:7" x14ac:dyDescent="0.25">
      <c r="A331" s="112"/>
      <c r="B331" s="21" t="s">
        <v>2331</v>
      </c>
      <c r="C331" s="21" t="s">
        <v>2332</v>
      </c>
      <c r="D331" s="76" t="s">
        <v>2035</v>
      </c>
      <c r="E331" s="77" t="b">
        <v>0</v>
      </c>
      <c r="F331" s="72" t="str">
        <f>HYPERLINK("http://nsgreg.nga.mil/genc/view?v=291533&amp;end_month=6&amp;end_day=30&amp;end_year=2019","Bāgerhāt")</f>
        <v>Bāgerhāt</v>
      </c>
      <c r="G331" s="72" t="str">
        <f>HYPERLINK("http://api.nsgreg.nga.mil/geo-division/GENC/6/3-11/BD-05","as:GENC:6:3-11:BD-05")</f>
        <v>as:GENC:6:3-11:BD-05</v>
      </c>
    </row>
    <row r="332" spans="1:7" x14ac:dyDescent="0.25">
      <c r="A332" s="112"/>
      <c r="B332" s="21" t="s">
        <v>2333</v>
      </c>
      <c r="C332" s="21" t="s">
        <v>2334</v>
      </c>
      <c r="D332" s="76" t="s">
        <v>2035</v>
      </c>
      <c r="E332" s="77" t="b">
        <v>0</v>
      </c>
      <c r="F332" s="72" t="str">
        <f>HYPERLINK("http://nsgreg.nga.mil/genc/view?v=291540&amp;end_month=6&amp;end_day=30&amp;end_year=2019","Chuādānga")</f>
        <v>Chuādānga</v>
      </c>
      <c r="G332" s="72" t="str">
        <f>HYPERLINK("http://api.nsgreg.nga.mil/geo-division/GENC/6/3-11/BD-12","as:GENC:6:3-11:BD-12")</f>
        <v>as:GENC:6:3-11:BD-12</v>
      </c>
    </row>
    <row r="333" spans="1:7" x14ac:dyDescent="0.25">
      <c r="A333" s="112"/>
      <c r="B333" s="21" t="s">
        <v>2335</v>
      </c>
      <c r="C333" s="21" t="s">
        <v>2336</v>
      </c>
      <c r="D333" s="76" t="s">
        <v>2035</v>
      </c>
      <c r="E333" s="77" t="b">
        <v>0</v>
      </c>
      <c r="F333" s="72" t="str">
        <f>HYPERLINK("http://nsgreg.nga.mil/genc/view?v=291550&amp;end_month=6&amp;end_day=30&amp;end_year=2019","Jessore")</f>
        <v>Jessore</v>
      </c>
      <c r="G333" s="72" t="str">
        <f>HYPERLINK("http://api.nsgreg.nga.mil/geo-division/GENC/6/3-11/BD-22","as:GENC:6:3-11:BD-22")</f>
        <v>as:GENC:6:3-11:BD-22</v>
      </c>
    </row>
    <row r="334" spans="1:7" x14ac:dyDescent="0.25">
      <c r="A334" s="112"/>
      <c r="B334" s="21" t="s">
        <v>2337</v>
      </c>
      <c r="C334" s="21" t="s">
        <v>2338</v>
      </c>
      <c r="D334" s="76" t="s">
        <v>2035</v>
      </c>
      <c r="E334" s="77" t="b">
        <v>0</v>
      </c>
      <c r="F334" s="72" t="str">
        <f>HYPERLINK("http://nsgreg.nga.mil/genc/view?v=291551&amp;end_month=6&amp;end_day=30&amp;end_year=2019","Jhenaidah")</f>
        <v>Jhenaidah</v>
      </c>
      <c r="G334" s="72" t="str">
        <f>HYPERLINK("http://api.nsgreg.nga.mil/geo-division/GENC/6/3-11/BD-23","as:GENC:6:3-11:BD-23")</f>
        <v>as:GENC:6:3-11:BD-23</v>
      </c>
    </row>
    <row r="335" spans="1:7" x14ac:dyDescent="0.25">
      <c r="A335" s="112"/>
      <c r="B335" s="21" t="s">
        <v>2339</v>
      </c>
      <c r="C335" s="21" t="s">
        <v>2340</v>
      </c>
      <c r="D335" s="76" t="s">
        <v>2035</v>
      </c>
      <c r="E335" s="77" t="b">
        <v>0</v>
      </c>
      <c r="F335" s="72" t="str">
        <f>HYPERLINK("http://nsgreg.nga.mil/genc/view?v=291555&amp;end_month=6&amp;end_day=30&amp;end_year=2019","Khulna")</f>
        <v>Khulna</v>
      </c>
      <c r="G335" s="72" t="str">
        <f>HYPERLINK("http://api.nsgreg.nga.mil/geo-division/GENC/6/3-11/BD-27","as:GENC:6:3-11:BD-27")</f>
        <v>as:GENC:6:3-11:BD-27</v>
      </c>
    </row>
    <row r="336" spans="1:7" x14ac:dyDescent="0.25">
      <c r="A336" s="112"/>
      <c r="B336" s="21" t="s">
        <v>2341</v>
      </c>
      <c r="C336" s="21" t="s">
        <v>2342</v>
      </c>
      <c r="D336" s="76" t="s">
        <v>2035</v>
      </c>
      <c r="E336" s="77" t="b">
        <v>0</v>
      </c>
      <c r="F336" s="72" t="str">
        <f>HYPERLINK("http://nsgreg.nga.mil/genc/view?v=291558&amp;end_month=6&amp;end_day=30&amp;end_year=2019","Kushtia")</f>
        <v>Kushtia</v>
      </c>
      <c r="G336" s="72" t="str">
        <f>HYPERLINK("http://api.nsgreg.nga.mil/geo-division/GENC/6/3-11/BD-30","as:GENC:6:3-11:BD-30")</f>
        <v>as:GENC:6:3-11:BD-30</v>
      </c>
    </row>
    <row r="337" spans="1:7" x14ac:dyDescent="0.25">
      <c r="A337" s="112"/>
      <c r="B337" s="21" t="s">
        <v>2343</v>
      </c>
      <c r="C337" s="21" t="s">
        <v>2344</v>
      </c>
      <c r="D337" s="76" t="s">
        <v>2035</v>
      </c>
      <c r="E337" s="77" t="b">
        <v>0</v>
      </c>
      <c r="F337" s="72" t="str">
        <f>HYPERLINK("http://nsgreg.nga.mil/genc/view?v=291565&amp;end_month=6&amp;end_day=30&amp;end_year=2019","Māgura")</f>
        <v>Māgura</v>
      </c>
      <c r="G337" s="72" t="str">
        <f>HYPERLINK("http://api.nsgreg.nga.mil/geo-division/GENC/6/3-11/BD-37","as:GENC:6:3-11:BD-37")</f>
        <v>as:GENC:6:3-11:BD-37</v>
      </c>
    </row>
    <row r="338" spans="1:7" x14ac:dyDescent="0.25">
      <c r="A338" s="112"/>
      <c r="B338" s="21" t="s">
        <v>2345</v>
      </c>
      <c r="C338" s="21" t="s">
        <v>2346</v>
      </c>
      <c r="D338" s="76" t="s">
        <v>2035</v>
      </c>
      <c r="E338" s="77" t="b">
        <v>0</v>
      </c>
      <c r="F338" s="72" t="str">
        <f>HYPERLINK("http://nsgreg.nga.mil/genc/view?v=291567&amp;end_month=6&amp;end_day=30&amp;end_year=2019","Meherpur")</f>
        <v>Meherpur</v>
      </c>
      <c r="G338" s="72" t="str">
        <f>HYPERLINK("http://api.nsgreg.nga.mil/geo-division/GENC/6/3-11/BD-39","as:GENC:6:3-11:BD-39")</f>
        <v>as:GENC:6:3-11:BD-39</v>
      </c>
    </row>
    <row r="339" spans="1:7" x14ac:dyDescent="0.25">
      <c r="A339" s="112"/>
      <c r="B339" s="21" t="s">
        <v>2347</v>
      </c>
      <c r="C339" s="21" t="s">
        <v>2348</v>
      </c>
      <c r="D339" s="76" t="s">
        <v>2035</v>
      </c>
      <c r="E339" s="77" t="b">
        <v>0</v>
      </c>
      <c r="F339" s="72" t="str">
        <f>HYPERLINK("http://nsgreg.nga.mil/genc/view?v=291571&amp;end_month=6&amp;end_day=30&amp;end_year=2019","Narail")</f>
        <v>Narail</v>
      </c>
      <c r="G339" s="72" t="str">
        <f>HYPERLINK("http://api.nsgreg.nga.mil/geo-division/GENC/6/3-11/BD-43","as:GENC:6:3-11:BD-43")</f>
        <v>as:GENC:6:3-11:BD-43</v>
      </c>
    </row>
    <row r="340" spans="1:7" x14ac:dyDescent="0.25">
      <c r="A340" s="112"/>
      <c r="B340" s="21" t="s">
        <v>2349</v>
      </c>
      <c r="C340" s="21" t="s">
        <v>2350</v>
      </c>
      <c r="D340" s="76" t="s">
        <v>2035</v>
      </c>
      <c r="E340" s="77" t="b">
        <v>0</v>
      </c>
      <c r="F340" s="72" t="str">
        <f>HYPERLINK("http://nsgreg.nga.mil/genc/view?v=291586&amp;end_month=6&amp;end_day=30&amp;end_year=2019","Sātkhira")</f>
        <v>Sātkhira</v>
      </c>
      <c r="G340" s="72" t="str">
        <f>HYPERLINK("http://api.nsgreg.nga.mil/geo-division/GENC/6/3-11/BD-58","as:GENC:6:3-11:BD-58")</f>
        <v>as:GENC:6:3-11:BD-58</v>
      </c>
    </row>
    <row r="341" spans="1:7" x14ac:dyDescent="0.25">
      <c r="A341" s="112"/>
      <c r="B341" s="21" t="s">
        <v>2351</v>
      </c>
      <c r="C341" s="21" t="s">
        <v>2352</v>
      </c>
      <c r="D341" s="21" t="s">
        <v>2264</v>
      </c>
      <c r="E341" s="50" t="b">
        <v>1</v>
      </c>
      <c r="F341" s="72" t="str">
        <f>HYPERLINK("http://nsgreg.nga.mil/genc/view?v=291600&amp;end_month=6&amp;end_day=30&amp;end_year=2019","Mymensingh")</f>
        <v>Mymensingh</v>
      </c>
      <c r="G341" s="72" t="str">
        <f>HYPERLINK("http://api.nsgreg.nga.mil/geo-division/GENC/6/3-11/BD-H","as:GENC:6:3-11:BD-H")</f>
        <v>as:GENC:6:3-11:BD-H</v>
      </c>
    </row>
    <row r="342" spans="1:7" x14ac:dyDescent="0.25">
      <c r="A342" s="112"/>
      <c r="B342" s="21" t="s">
        <v>2353</v>
      </c>
      <c r="C342" s="21" t="s">
        <v>2354</v>
      </c>
      <c r="D342" s="76" t="s">
        <v>2035</v>
      </c>
      <c r="E342" s="77" t="b">
        <v>0</v>
      </c>
      <c r="F342" s="72" t="str">
        <f>HYPERLINK("http://nsgreg.nga.mil/genc/view?v=291549&amp;end_month=6&amp;end_day=30&amp;end_year=2019","Jamālpur")</f>
        <v>Jamālpur</v>
      </c>
      <c r="G342" s="72" t="str">
        <f>HYPERLINK("http://api.nsgreg.nga.mil/geo-division/GENC/6/3-11/BD-21","as:GENC:6:3-11:BD-21")</f>
        <v>as:GENC:6:3-11:BD-21</v>
      </c>
    </row>
    <row r="343" spans="1:7" x14ac:dyDescent="0.25">
      <c r="A343" s="112"/>
      <c r="B343" s="21" t="s">
        <v>2355</v>
      </c>
      <c r="C343" s="21" t="s">
        <v>2356</v>
      </c>
      <c r="D343" s="76" t="s">
        <v>2035</v>
      </c>
      <c r="E343" s="77" t="b">
        <v>0</v>
      </c>
      <c r="F343" s="72" t="str">
        <f>HYPERLINK("http://nsgreg.nga.mil/genc/view?v=291562&amp;end_month=6&amp;end_day=30&amp;end_year=2019","Mymensingh")</f>
        <v>Mymensingh</v>
      </c>
      <c r="G343" s="72" t="str">
        <f>HYPERLINK("http://api.nsgreg.nga.mil/geo-division/GENC/6/3-11/BD-34","as:GENC:6:3-11:BD-34")</f>
        <v>as:GENC:6:3-11:BD-34</v>
      </c>
    </row>
    <row r="344" spans="1:7" x14ac:dyDescent="0.25">
      <c r="A344" s="112"/>
      <c r="B344" s="21" t="s">
        <v>2357</v>
      </c>
      <c r="C344" s="21" t="s">
        <v>2358</v>
      </c>
      <c r="D344" s="76" t="s">
        <v>2035</v>
      </c>
      <c r="E344" s="77" t="b">
        <v>0</v>
      </c>
      <c r="F344" s="72" t="str">
        <f>HYPERLINK("http://nsgreg.nga.mil/genc/view?v=291569&amp;end_month=6&amp;end_day=30&amp;end_year=2019","Netrakona")</f>
        <v>Netrakona</v>
      </c>
      <c r="G344" s="72" t="str">
        <f>HYPERLINK("http://api.nsgreg.nga.mil/geo-division/GENC/6/3-11/BD-41","as:GENC:6:3-11:BD-41")</f>
        <v>as:GENC:6:3-11:BD-41</v>
      </c>
    </row>
    <row r="345" spans="1:7" x14ac:dyDescent="0.25">
      <c r="A345" s="112"/>
      <c r="B345" s="21" t="s">
        <v>2359</v>
      </c>
      <c r="C345" s="21" t="s">
        <v>2360</v>
      </c>
      <c r="D345" s="76" t="s">
        <v>2035</v>
      </c>
      <c r="E345" s="77" t="b">
        <v>0</v>
      </c>
      <c r="F345" s="72" t="str">
        <f>HYPERLINK("http://nsgreg.nga.mil/genc/view?v=291585&amp;end_month=6&amp;end_day=30&amp;end_year=2019","Sherpur")</f>
        <v>Sherpur</v>
      </c>
      <c r="G345" s="72" t="str">
        <f>HYPERLINK("http://api.nsgreg.nga.mil/geo-division/GENC/6/3-11/BD-57","as:GENC:6:3-11:BD-57")</f>
        <v>as:GENC:6:3-11:BD-57</v>
      </c>
    </row>
    <row r="346" spans="1:7" x14ac:dyDescent="0.25">
      <c r="A346" s="112"/>
      <c r="B346" s="21" t="s">
        <v>2361</v>
      </c>
      <c r="C346" s="21" t="s">
        <v>2362</v>
      </c>
      <c r="D346" s="21" t="s">
        <v>2264</v>
      </c>
      <c r="E346" s="50" t="b">
        <v>1</v>
      </c>
      <c r="F346" s="72" t="str">
        <f>HYPERLINK("http://nsgreg.nga.mil/genc/view?v=291597&amp;end_month=6&amp;end_day=30&amp;end_year=2019","Rājshāhi")</f>
        <v>Rājshāhi</v>
      </c>
      <c r="G346" s="72" t="str">
        <f>HYPERLINK("http://api.nsgreg.nga.mil/geo-division/GENC/6/3-11/BD-E","as:GENC:6:3-11:BD-E")</f>
        <v>as:GENC:6:3-11:BD-E</v>
      </c>
    </row>
    <row r="347" spans="1:7" x14ac:dyDescent="0.25">
      <c r="A347" s="112"/>
      <c r="B347" s="21" t="s">
        <v>2363</v>
      </c>
      <c r="C347" s="21" t="s">
        <v>2364</v>
      </c>
      <c r="D347" s="76" t="s">
        <v>2035</v>
      </c>
      <c r="E347" s="77" t="b">
        <v>0</v>
      </c>
      <c r="F347" s="72" t="str">
        <f>HYPERLINK("http://nsgreg.nga.mil/genc/view?v=291531&amp;end_month=6&amp;end_day=30&amp;end_year=2019","Bogra")</f>
        <v>Bogra</v>
      </c>
      <c r="G347" s="72" t="str">
        <f>HYPERLINK("http://api.nsgreg.nga.mil/geo-division/GENC/6/3-11/BD-03","as:GENC:6:3-11:BD-03")</f>
        <v>as:GENC:6:3-11:BD-03</v>
      </c>
    </row>
    <row r="348" spans="1:7" x14ac:dyDescent="0.25">
      <c r="A348" s="112"/>
      <c r="B348" s="21" t="s">
        <v>2365</v>
      </c>
      <c r="C348" s="21" t="s">
        <v>2366</v>
      </c>
      <c r="D348" s="76" t="s">
        <v>2035</v>
      </c>
      <c r="E348" s="77" t="b">
        <v>0</v>
      </c>
      <c r="F348" s="72" t="str">
        <f>HYPERLINK("http://nsgreg.nga.mil/genc/view?v=291573&amp;end_month=6&amp;end_day=30&amp;end_year=2019","Chapai Nawābganj")</f>
        <v>Chapai Nawābganj</v>
      </c>
      <c r="G348" s="72" t="str">
        <f>HYPERLINK("http://api.nsgreg.nga.mil/geo-division/GENC/6/3-11/BD-45","as:GENC:6:3-11:BD-45")</f>
        <v>as:GENC:6:3-11:BD-45</v>
      </c>
    </row>
    <row r="349" spans="1:7" x14ac:dyDescent="0.25">
      <c r="A349" s="112"/>
      <c r="B349" s="21" t="s">
        <v>2367</v>
      </c>
      <c r="C349" s="21" t="s">
        <v>2368</v>
      </c>
      <c r="D349" s="76" t="s">
        <v>2035</v>
      </c>
      <c r="E349" s="77" t="b">
        <v>0</v>
      </c>
      <c r="F349" s="72" t="str">
        <f>HYPERLINK("http://nsgreg.nga.mil/genc/view?v=291552&amp;end_month=6&amp;end_day=30&amp;end_year=2019","Jaipurhāt")</f>
        <v>Jaipurhāt</v>
      </c>
      <c r="G349" s="72" t="str">
        <f>HYPERLINK("http://api.nsgreg.nga.mil/geo-division/GENC/6/3-11/BD-24","as:GENC:6:3-11:BD-24")</f>
        <v>as:GENC:6:3-11:BD-24</v>
      </c>
    </row>
    <row r="350" spans="1:7" x14ac:dyDescent="0.25">
      <c r="A350" s="112"/>
      <c r="B350" s="21" t="s">
        <v>2369</v>
      </c>
      <c r="C350" s="21" t="s">
        <v>2370</v>
      </c>
      <c r="D350" s="76" t="s">
        <v>2035</v>
      </c>
      <c r="E350" s="77" t="b">
        <v>0</v>
      </c>
      <c r="F350" s="72" t="str">
        <f>HYPERLINK("http://nsgreg.nga.mil/genc/view?v=291576&amp;end_month=6&amp;end_day=30&amp;end_year=2019","Naogaon")</f>
        <v>Naogaon</v>
      </c>
      <c r="G350" s="72" t="str">
        <f>HYPERLINK("http://api.nsgreg.nga.mil/geo-division/GENC/6/3-11/BD-48","as:GENC:6:3-11:BD-48")</f>
        <v>as:GENC:6:3-11:BD-48</v>
      </c>
    </row>
    <row r="351" spans="1:7" x14ac:dyDescent="0.25">
      <c r="A351" s="112"/>
      <c r="B351" s="21" t="s">
        <v>2371</v>
      </c>
      <c r="C351" s="21" t="s">
        <v>2372</v>
      </c>
      <c r="D351" s="76" t="s">
        <v>2035</v>
      </c>
      <c r="E351" s="77" t="b">
        <v>0</v>
      </c>
      <c r="F351" s="72" t="str">
        <f>HYPERLINK("http://nsgreg.nga.mil/genc/view?v=291572&amp;end_month=6&amp;end_day=30&amp;end_year=2019","Nator")</f>
        <v>Nator</v>
      </c>
      <c r="G351" s="72" t="str">
        <f>HYPERLINK("http://api.nsgreg.nga.mil/geo-division/GENC/6/3-11/BD-44","as:GENC:6:3-11:BD-44")</f>
        <v>as:GENC:6:3-11:BD-44</v>
      </c>
    </row>
    <row r="352" spans="1:7" x14ac:dyDescent="0.25">
      <c r="A352" s="112"/>
      <c r="B352" s="21" t="s">
        <v>2373</v>
      </c>
      <c r="C352" s="21" t="s">
        <v>2374</v>
      </c>
      <c r="D352" s="76" t="s">
        <v>2035</v>
      </c>
      <c r="E352" s="77" t="b">
        <v>0</v>
      </c>
      <c r="F352" s="72" t="str">
        <f>HYPERLINK("http://nsgreg.nga.mil/genc/view?v=291577&amp;end_month=6&amp;end_day=30&amp;end_year=2019","Pābna")</f>
        <v>Pābna</v>
      </c>
      <c r="G352" s="72" t="str">
        <f>HYPERLINK("http://api.nsgreg.nga.mil/geo-division/GENC/6/3-11/BD-49","as:GENC:6:3-11:BD-49")</f>
        <v>as:GENC:6:3-11:BD-49</v>
      </c>
    </row>
    <row r="353" spans="1:7" x14ac:dyDescent="0.25">
      <c r="A353" s="112"/>
      <c r="B353" s="21" t="s">
        <v>2375</v>
      </c>
      <c r="C353" s="21" t="s">
        <v>2376</v>
      </c>
      <c r="D353" s="76" t="s">
        <v>2035</v>
      </c>
      <c r="E353" s="77" t="b">
        <v>0</v>
      </c>
      <c r="F353" s="72" t="str">
        <f>HYPERLINK("http://nsgreg.nga.mil/genc/view?v=291582&amp;end_month=6&amp;end_day=30&amp;end_year=2019","Rājshāhi")</f>
        <v>Rājshāhi</v>
      </c>
      <c r="G353" s="72" t="str">
        <f>HYPERLINK("http://api.nsgreg.nga.mil/geo-division/GENC/6/3-11/BD-54","as:GENC:6:3-11:BD-54")</f>
        <v>as:GENC:6:3-11:BD-54</v>
      </c>
    </row>
    <row r="354" spans="1:7" x14ac:dyDescent="0.25">
      <c r="A354" s="112"/>
      <c r="B354" s="21" t="s">
        <v>2377</v>
      </c>
      <c r="C354" s="21" t="s">
        <v>2378</v>
      </c>
      <c r="D354" s="76" t="s">
        <v>2035</v>
      </c>
      <c r="E354" s="77" t="b">
        <v>0</v>
      </c>
      <c r="F354" s="72" t="str">
        <f>HYPERLINK("http://nsgreg.nga.mil/genc/view?v=291587&amp;end_month=6&amp;end_day=30&amp;end_year=2019","Sirājganj")</f>
        <v>Sirājganj</v>
      </c>
      <c r="G354" s="72" t="str">
        <f>HYPERLINK("http://api.nsgreg.nga.mil/geo-division/GENC/6/3-11/BD-59","as:GENC:6:3-11:BD-59")</f>
        <v>as:GENC:6:3-11:BD-59</v>
      </c>
    </row>
    <row r="355" spans="1:7" x14ac:dyDescent="0.25">
      <c r="A355" s="112"/>
      <c r="B355" s="21" t="s">
        <v>2379</v>
      </c>
      <c r="C355" s="21" t="s">
        <v>2380</v>
      </c>
      <c r="D355" s="21" t="s">
        <v>2264</v>
      </c>
      <c r="E355" s="50" t="b">
        <v>1</v>
      </c>
      <c r="F355" s="72" t="str">
        <f>HYPERLINK("http://nsgreg.nga.mil/genc/view?v=291598&amp;end_month=6&amp;end_day=30&amp;end_year=2019","Rangpur")</f>
        <v>Rangpur</v>
      </c>
      <c r="G355" s="72" t="str">
        <f>HYPERLINK("http://api.nsgreg.nga.mil/geo-division/GENC/6/3-11/BD-F","as:GENC:6:3-11:BD-F")</f>
        <v>as:GENC:6:3-11:BD-F</v>
      </c>
    </row>
    <row r="356" spans="1:7" x14ac:dyDescent="0.25">
      <c r="A356" s="112"/>
      <c r="B356" s="21" t="s">
        <v>2381</v>
      </c>
      <c r="C356" s="21" t="s">
        <v>2382</v>
      </c>
      <c r="D356" s="76" t="s">
        <v>2035</v>
      </c>
      <c r="E356" s="77" t="b">
        <v>0</v>
      </c>
      <c r="F356" s="72" t="str">
        <f>HYPERLINK("http://nsgreg.nga.mil/genc/view?v=291542&amp;end_month=6&amp;end_day=30&amp;end_year=2019","Dinājpur")</f>
        <v>Dinājpur</v>
      </c>
      <c r="G356" s="72" t="str">
        <f>HYPERLINK("http://api.nsgreg.nga.mil/geo-division/GENC/6/3-11/BD-14","as:GENC:6:3-11:BD-14")</f>
        <v>as:GENC:6:3-11:BD-14</v>
      </c>
    </row>
    <row r="357" spans="1:7" x14ac:dyDescent="0.25">
      <c r="A357" s="112"/>
      <c r="B357" s="21" t="s">
        <v>2383</v>
      </c>
      <c r="C357" s="21" t="s">
        <v>2384</v>
      </c>
      <c r="D357" s="76" t="s">
        <v>2035</v>
      </c>
      <c r="E357" s="77" t="b">
        <v>0</v>
      </c>
      <c r="F357" s="72" t="str">
        <f>HYPERLINK("http://nsgreg.nga.mil/genc/view?v=291547&amp;end_month=6&amp;end_day=30&amp;end_year=2019","Gaibandha")</f>
        <v>Gaibandha</v>
      </c>
      <c r="G357" s="72" t="str">
        <f>HYPERLINK("http://api.nsgreg.nga.mil/geo-division/GENC/6/3-11/BD-19","as:GENC:6:3-11:BD-19")</f>
        <v>as:GENC:6:3-11:BD-19</v>
      </c>
    </row>
    <row r="358" spans="1:7" x14ac:dyDescent="0.25">
      <c r="A358" s="112"/>
      <c r="B358" s="21" t="s">
        <v>2385</v>
      </c>
      <c r="C358" s="21" t="s">
        <v>2386</v>
      </c>
      <c r="D358" s="76" t="s">
        <v>2035</v>
      </c>
      <c r="E358" s="77" t="b">
        <v>0</v>
      </c>
      <c r="F358" s="72" t="str">
        <f>HYPERLINK("http://nsgreg.nga.mil/genc/view?v=291556&amp;end_month=6&amp;end_day=30&amp;end_year=2019","Kurīgrām")</f>
        <v>Kurīgrām</v>
      </c>
      <c r="G358" s="72" t="str">
        <f>HYPERLINK("http://api.nsgreg.nga.mil/geo-division/GENC/6/3-11/BD-28","as:GENC:6:3-11:BD-28")</f>
        <v>as:GENC:6:3-11:BD-28</v>
      </c>
    </row>
    <row r="359" spans="1:7" x14ac:dyDescent="0.25">
      <c r="A359" s="112"/>
      <c r="B359" s="21" t="s">
        <v>2387</v>
      </c>
      <c r="C359" s="21" t="s">
        <v>2388</v>
      </c>
      <c r="D359" s="76" t="s">
        <v>2035</v>
      </c>
      <c r="E359" s="77" t="b">
        <v>0</v>
      </c>
      <c r="F359" s="72" t="str">
        <f>HYPERLINK("http://nsgreg.nga.mil/genc/view?v=291560&amp;end_month=6&amp;end_day=30&amp;end_year=2019","Lālmonirhāt")</f>
        <v>Lālmonirhāt</v>
      </c>
      <c r="G359" s="72" t="str">
        <f>HYPERLINK("http://api.nsgreg.nga.mil/geo-division/GENC/6/3-11/BD-32","as:GENC:6:3-11:BD-32")</f>
        <v>as:GENC:6:3-11:BD-32</v>
      </c>
    </row>
    <row r="360" spans="1:7" x14ac:dyDescent="0.25">
      <c r="A360" s="112"/>
      <c r="B360" s="21" t="s">
        <v>2389</v>
      </c>
      <c r="C360" s="21" t="s">
        <v>2390</v>
      </c>
      <c r="D360" s="76" t="s">
        <v>2035</v>
      </c>
      <c r="E360" s="77" t="b">
        <v>0</v>
      </c>
      <c r="F360" s="72" t="str">
        <f>HYPERLINK("http://nsgreg.nga.mil/genc/view?v=291574&amp;end_month=6&amp;end_day=30&amp;end_year=2019","Nilphāmāri")</f>
        <v>Nilphāmāri</v>
      </c>
      <c r="G360" s="72" t="str">
        <f>HYPERLINK("http://api.nsgreg.nga.mil/geo-division/GENC/6/3-11/BD-46","as:GENC:6:3-11:BD-46")</f>
        <v>as:GENC:6:3-11:BD-46</v>
      </c>
    </row>
    <row r="361" spans="1:7" x14ac:dyDescent="0.25">
      <c r="A361" s="112"/>
      <c r="B361" s="21" t="s">
        <v>2391</v>
      </c>
      <c r="C361" s="21" t="s">
        <v>2392</v>
      </c>
      <c r="D361" s="76" t="s">
        <v>2035</v>
      </c>
      <c r="E361" s="77" t="b">
        <v>0</v>
      </c>
      <c r="F361" s="72" t="str">
        <f>HYPERLINK("http://nsgreg.nga.mil/genc/view?v=291580&amp;end_month=6&amp;end_day=30&amp;end_year=2019","Panchāgarh")</f>
        <v>Panchāgarh</v>
      </c>
      <c r="G361" s="72" t="str">
        <f>HYPERLINK("http://api.nsgreg.nga.mil/geo-division/GENC/6/3-11/BD-52","as:GENC:6:3-11:BD-52")</f>
        <v>as:GENC:6:3-11:BD-52</v>
      </c>
    </row>
    <row r="362" spans="1:7" x14ac:dyDescent="0.25">
      <c r="A362" s="112"/>
      <c r="B362" s="21" t="s">
        <v>2393</v>
      </c>
      <c r="C362" s="21" t="s">
        <v>2394</v>
      </c>
      <c r="D362" s="76" t="s">
        <v>2035</v>
      </c>
      <c r="E362" s="77" t="b">
        <v>0</v>
      </c>
      <c r="F362" s="72" t="str">
        <f>HYPERLINK("http://nsgreg.nga.mil/genc/view?v=291583&amp;end_month=6&amp;end_day=30&amp;end_year=2019","Rangpur")</f>
        <v>Rangpur</v>
      </c>
      <c r="G362" s="72" t="str">
        <f>HYPERLINK("http://api.nsgreg.nga.mil/geo-division/GENC/6/3-11/BD-55","as:GENC:6:3-11:BD-55")</f>
        <v>as:GENC:6:3-11:BD-55</v>
      </c>
    </row>
    <row r="363" spans="1:7" x14ac:dyDescent="0.25">
      <c r="A363" s="112"/>
      <c r="B363" s="21" t="s">
        <v>2395</v>
      </c>
      <c r="C363" s="21" t="s">
        <v>2396</v>
      </c>
      <c r="D363" s="76" t="s">
        <v>2035</v>
      </c>
      <c r="E363" s="77" t="b">
        <v>0</v>
      </c>
      <c r="F363" s="72" t="str">
        <f>HYPERLINK("http://nsgreg.nga.mil/genc/view?v=291592&amp;end_month=6&amp;end_day=30&amp;end_year=2019","Thākurgaon")</f>
        <v>Thākurgaon</v>
      </c>
      <c r="G363" s="72" t="str">
        <f>HYPERLINK("http://api.nsgreg.nga.mil/geo-division/GENC/6/3-11/BD-64","as:GENC:6:3-11:BD-64")</f>
        <v>as:GENC:6:3-11:BD-64</v>
      </c>
    </row>
    <row r="364" spans="1:7" x14ac:dyDescent="0.25">
      <c r="A364" s="112"/>
      <c r="B364" s="21" t="s">
        <v>2397</v>
      </c>
      <c r="C364" s="21" t="s">
        <v>2398</v>
      </c>
      <c r="D364" s="21" t="s">
        <v>2264</v>
      </c>
      <c r="E364" s="50" t="b">
        <v>1</v>
      </c>
      <c r="F364" s="72" t="str">
        <f>HYPERLINK("http://nsgreg.nga.mil/genc/view?v=291599&amp;end_month=6&amp;end_day=30&amp;end_year=2019","Sylhet")</f>
        <v>Sylhet</v>
      </c>
      <c r="G364" s="72" t="str">
        <f>HYPERLINK("http://api.nsgreg.nga.mil/geo-division/GENC/6/3-11/BD-G","as:GENC:6:3-11:BD-G")</f>
        <v>as:GENC:6:3-11:BD-G</v>
      </c>
    </row>
    <row r="365" spans="1:7" x14ac:dyDescent="0.25">
      <c r="A365" s="112"/>
      <c r="B365" s="21" t="s">
        <v>2399</v>
      </c>
      <c r="C365" s="21" t="s">
        <v>2400</v>
      </c>
      <c r="D365" s="76" t="s">
        <v>2035</v>
      </c>
      <c r="E365" s="77" t="b">
        <v>0</v>
      </c>
      <c r="F365" s="72" t="str">
        <f>HYPERLINK("http://nsgreg.nga.mil/genc/view?v=291548&amp;end_month=6&amp;end_day=30&amp;end_year=2019","Habiganj")</f>
        <v>Habiganj</v>
      </c>
      <c r="G365" s="72" t="str">
        <f>HYPERLINK("http://api.nsgreg.nga.mil/geo-division/GENC/6/3-11/BD-20","as:GENC:6:3-11:BD-20")</f>
        <v>as:GENC:6:3-11:BD-20</v>
      </c>
    </row>
    <row r="366" spans="1:7" x14ac:dyDescent="0.25">
      <c r="A366" s="112"/>
      <c r="B366" s="21" t="s">
        <v>2401</v>
      </c>
      <c r="C366" s="21" t="s">
        <v>2402</v>
      </c>
      <c r="D366" s="76" t="s">
        <v>2035</v>
      </c>
      <c r="E366" s="77" t="b">
        <v>0</v>
      </c>
      <c r="F366" s="72" t="str">
        <f>HYPERLINK("http://nsgreg.nga.mil/genc/view?v=291566&amp;end_month=6&amp;end_day=30&amp;end_year=2019","Moulvibāzār")</f>
        <v>Moulvibāzār</v>
      </c>
      <c r="G366" s="72" t="str">
        <f>HYPERLINK("http://api.nsgreg.nga.mil/geo-division/GENC/6/3-11/BD-38","as:GENC:6:3-11:BD-38")</f>
        <v>as:GENC:6:3-11:BD-38</v>
      </c>
    </row>
    <row r="367" spans="1:7" x14ac:dyDescent="0.25">
      <c r="A367" s="112"/>
      <c r="B367" s="21" t="s">
        <v>2403</v>
      </c>
      <c r="C367" s="21" t="s">
        <v>2404</v>
      </c>
      <c r="D367" s="76" t="s">
        <v>2035</v>
      </c>
      <c r="E367" s="77" t="b">
        <v>0</v>
      </c>
      <c r="F367" s="72" t="str">
        <f>HYPERLINK("http://nsgreg.nga.mil/genc/view?v=291589&amp;end_month=6&amp;end_day=30&amp;end_year=2019","Sunāmganj")</f>
        <v>Sunāmganj</v>
      </c>
      <c r="G367" s="72" t="str">
        <f>HYPERLINK("http://api.nsgreg.nga.mil/geo-division/GENC/6/3-11/BD-61","as:GENC:6:3-11:BD-61")</f>
        <v>as:GENC:6:3-11:BD-61</v>
      </c>
    </row>
    <row r="368" spans="1:7" x14ac:dyDescent="0.25">
      <c r="A368" s="113"/>
      <c r="B368" s="47" t="s">
        <v>2405</v>
      </c>
      <c r="C368" s="47" t="s">
        <v>2406</v>
      </c>
      <c r="D368" s="78" t="s">
        <v>2035</v>
      </c>
      <c r="E368" s="79" t="b">
        <v>0</v>
      </c>
      <c r="F368" s="73" t="str">
        <f>HYPERLINK("http://nsgreg.nga.mil/genc/view?v=291588&amp;end_month=6&amp;end_day=30&amp;end_year=2019","Sylhet")</f>
        <v>Sylhet</v>
      </c>
      <c r="G368" s="73" t="str">
        <f>HYPERLINK("http://api.nsgreg.nga.mil/geo-division/GENC/6/3-11/BD-60","as:GENC:6:3-11:BD-60")</f>
        <v>as:GENC:6:3-11:BD-60</v>
      </c>
    </row>
    <row r="369" spans="1:7" x14ac:dyDescent="0.25">
      <c r="A369" s="111" t="str">
        <f>HYPERLINK("[#]Codes_for_GE_Names!A25:I25","BARBADOS")</f>
        <v>BARBADOS</v>
      </c>
      <c r="B369" s="42" t="s">
        <v>2407</v>
      </c>
      <c r="C369" s="42" t="s">
        <v>2408</v>
      </c>
      <c r="D369" s="42" t="s">
        <v>1858</v>
      </c>
      <c r="E369" s="49" t="b">
        <v>1</v>
      </c>
      <c r="F369" s="74" t="str">
        <f>HYPERLINK("http://nsgreg.nga.mil/genc/view?v=291518&amp;end_month=6&amp;end_day=30&amp;end_year=2019","Christ Church")</f>
        <v>Christ Church</v>
      </c>
      <c r="G369" s="74" t="str">
        <f>HYPERLINK("http://api.nsgreg.nga.mil/geo-division/GENC/6/3-11/BB-01","as:GENC:6:3-11:BB-01")</f>
        <v>as:GENC:6:3-11:BB-01</v>
      </c>
    </row>
    <row r="370" spans="1:7" x14ac:dyDescent="0.25">
      <c r="A370" s="112"/>
      <c r="B370" s="21" t="s">
        <v>2409</v>
      </c>
      <c r="C370" s="21" t="s">
        <v>2410</v>
      </c>
      <c r="D370" s="21" t="s">
        <v>1858</v>
      </c>
      <c r="E370" s="50" t="b">
        <v>1</v>
      </c>
      <c r="F370" s="72" t="str">
        <f>HYPERLINK("http://nsgreg.nga.mil/genc/view?v=291519&amp;end_month=6&amp;end_day=30&amp;end_year=2019","Saint Andrew")</f>
        <v>Saint Andrew</v>
      </c>
      <c r="G370" s="72" t="str">
        <f>HYPERLINK("http://api.nsgreg.nga.mil/geo-division/GENC/6/3-11/BB-02","as:GENC:6:3-11:BB-02")</f>
        <v>as:GENC:6:3-11:BB-02</v>
      </c>
    </row>
    <row r="371" spans="1:7" x14ac:dyDescent="0.25">
      <c r="A371" s="112"/>
      <c r="B371" s="21" t="s">
        <v>2411</v>
      </c>
      <c r="C371" s="21" t="s">
        <v>1913</v>
      </c>
      <c r="D371" s="21" t="s">
        <v>1858</v>
      </c>
      <c r="E371" s="50" t="b">
        <v>1</v>
      </c>
      <c r="F371" s="72" t="str">
        <f>HYPERLINK("http://nsgreg.nga.mil/genc/view?v=291520&amp;end_month=6&amp;end_day=30&amp;end_year=2019","Saint George")</f>
        <v>Saint George</v>
      </c>
      <c r="G371" s="72" t="str">
        <f>HYPERLINK("http://api.nsgreg.nga.mil/geo-division/GENC/6/3-11/BB-03","as:GENC:6:3-11:BB-03")</f>
        <v>as:GENC:6:3-11:BB-03</v>
      </c>
    </row>
    <row r="372" spans="1:7" x14ac:dyDescent="0.25">
      <c r="A372" s="112"/>
      <c r="B372" s="21" t="s">
        <v>2412</v>
      </c>
      <c r="C372" s="21" t="s">
        <v>2413</v>
      </c>
      <c r="D372" s="21" t="s">
        <v>1858</v>
      </c>
      <c r="E372" s="50" t="b">
        <v>1</v>
      </c>
      <c r="F372" s="72" t="str">
        <f>HYPERLINK("http://nsgreg.nga.mil/genc/view?v=291521&amp;end_month=6&amp;end_day=30&amp;end_year=2019","Saint James")</f>
        <v>Saint James</v>
      </c>
      <c r="G372" s="72" t="str">
        <f>HYPERLINK("http://api.nsgreg.nga.mil/geo-division/GENC/6/3-11/BB-04","as:GENC:6:3-11:BB-04")</f>
        <v>as:GENC:6:3-11:BB-04</v>
      </c>
    </row>
    <row r="373" spans="1:7" x14ac:dyDescent="0.25">
      <c r="A373" s="112"/>
      <c r="B373" s="21" t="s">
        <v>2414</v>
      </c>
      <c r="C373" s="21" t="s">
        <v>1915</v>
      </c>
      <c r="D373" s="21" t="s">
        <v>1858</v>
      </c>
      <c r="E373" s="50" t="b">
        <v>1</v>
      </c>
      <c r="F373" s="72" t="str">
        <f>HYPERLINK("http://nsgreg.nga.mil/genc/view?v=291522&amp;end_month=6&amp;end_day=30&amp;end_year=2019","Saint John")</f>
        <v>Saint John</v>
      </c>
      <c r="G373" s="72" t="str">
        <f>HYPERLINK("http://api.nsgreg.nga.mil/geo-division/GENC/6/3-11/BB-05","as:GENC:6:3-11:BB-05")</f>
        <v>as:GENC:6:3-11:BB-05</v>
      </c>
    </row>
    <row r="374" spans="1:7" x14ac:dyDescent="0.25">
      <c r="A374" s="112"/>
      <c r="B374" s="21" t="s">
        <v>2415</v>
      </c>
      <c r="C374" s="21" t="s">
        <v>2416</v>
      </c>
      <c r="D374" s="21" t="s">
        <v>1858</v>
      </c>
      <c r="E374" s="50" t="b">
        <v>1</v>
      </c>
      <c r="F374" s="72" t="str">
        <f>HYPERLINK("http://nsgreg.nga.mil/genc/view?v=291523&amp;end_month=6&amp;end_day=30&amp;end_year=2019","Saint Joseph")</f>
        <v>Saint Joseph</v>
      </c>
      <c r="G374" s="72" t="str">
        <f>HYPERLINK("http://api.nsgreg.nga.mil/geo-division/GENC/6/3-11/BB-06","as:GENC:6:3-11:BB-06")</f>
        <v>as:GENC:6:3-11:BB-06</v>
      </c>
    </row>
    <row r="375" spans="1:7" x14ac:dyDescent="0.25">
      <c r="A375" s="112"/>
      <c r="B375" s="21" t="s">
        <v>2417</v>
      </c>
      <c r="C375" s="21" t="s">
        <v>2418</v>
      </c>
      <c r="D375" s="21" t="s">
        <v>1858</v>
      </c>
      <c r="E375" s="50" t="b">
        <v>1</v>
      </c>
      <c r="F375" s="72" t="str">
        <f>HYPERLINK("http://nsgreg.nga.mil/genc/view?v=291524&amp;end_month=6&amp;end_day=30&amp;end_year=2019","Saint Lucy")</f>
        <v>Saint Lucy</v>
      </c>
      <c r="G375" s="72" t="str">
        <f>HYPERLINK("http://api.nsgreg.nga.mil/geo-division/GENC/6/3-11/BB-07","as:GENC:6:3-11:BB-07")</f>
        <v>as:GENC:6:3-11:BB-07</v>
      </c>
    </row>
    <row r="376" spans="1:7" x14ac:dyDescent="0.25">
      <c r="A376" s="112"/>
      <c r="B376" s="21" t="s">
        <v>2419</v>
      </c>
      <c r="C376" s="21" t="s">
        <v>2420</v>
      </c>
      <c r="D376" s="21" t="s">
        <v>1858</v>
      </c>
      <c r="E376" s="50" t="b">
        <v>1</v>
      </c>
      <c r="F376" s="72" t="str">
        <f>HYPERLINK("http://nsgreg.nga.mil/genc/view?v=291525&amp;end_month=6&amp;end_day=30&amp;end_year=2019","Saint Michael")</f>
        <v>Saint Michael</v>
      </c>
      <c r="G376" s="72" t="str">
        <f>HYPERLINK("http://api.nsgreg.nga.mil/geo-division/GENC/6/3-11/BB-08","as:GENC:6:3-11:BB-08")</f>
        <v>as:GENC:6:3-11:BB-08</v>
      </c>
    </row>
    <row r="377" spans="1:7" x14ac:dyDescent="0.25">
      <c r="A377" s="112"/>
      <c r="B377" s="21" t="s">
        <v>2421</v>
      </c>
      <c r="C377" s="21" t="s">
        <v>1921</v>
      </c>
      <c r="D377" s="21" t="s">
        <v>1858</v>
      </c>
      <c r="E377" s="50" t="b">
        <v>1</v>
      </c>
      <c r="F377" s="72" t="str">
        <f>HYPERLINK("http://nsgreg.nga.mil/genc/view?v=291526&amp;end_month=6&amp;end_day=30&amp;end_year=2019","Saint Peter")</f>
        <v>Saint Peter</v>
      </c>
      <c r="G377" s="72" t="str">
        <f>HYPERLINK("http://api.nsgreg.nga.mil/geo-division/GENC/6/3-11/BB-09","as:GENC:6:3-11:BB-09")</f>
        <v>as:GENC:6:3-11:BB-09</v>
      </c>
    </row>
    <row r="378" spans="1:7" x14ac:dyDescent="0.25">
      <c r="A378" s="112"/>
      <c r="B378" s="21" t="s">
        <v>2422</v>
      </c>
      <c r="C378" s="21" t="s">
        <v>1923</v>
      </c>
      <c r="D378" s="21" t="s">
        <v>1858</v>
      </c>
      <c r="E378" s="50" t="b">
        <v>1</v>
      </c>
      <c r="F378" s="72" t="str">
        <f>HYPERLINK("http://nsgreg.nga.mil/genc/view?v=291527&amp;end_month=6&amp;end_day=30&amp;end_year=2019","Saint Philip")</f>
        <v>Saint Philip</v>
      </c>
      <c r="G378" s="72" t="str">
        <f>HYPERLINK("http://api.nsgreg.nga.mil/geo-division/GENC/6/3-11/BB-10","as:GENC:6:3-11:BB-10")</f>
        <v>as:GENC:6:3-11:BB-10</v>
      </c>
    </row>
    <row r="379" spans="1:7" x14ac:dyDescent="0.25">
      <c r="A379" s="113"/>
      <c r="B379" s="47" t="s">
        <v>2423</v>
      </c>
      <c r="C379" s="47" t="s">
        <v>2424</v>
      </c>
      <c r="D379" s="47" t="s">
        <v>1858</v>
      </c>
      <c r="E379" s="51" t="b">
        <v>1</v>
      </c>
      <c r="F379" s="73" t="str">
        <f>HYPERLINK("http://nsgreg.nga.mil/genc/view?v=291528&amp;end_month=6&amp;end_day=30&amp;end_year=2019","Saint Thomas")</f>
        <v>Saint Thomas</v>
      </c>
      <c r="G379" s="73" t="str">
        <f>HYPERLINK("http://api.nsgreg.nga.mil/geo-division/GENC/6/3-11/BB-11","as:GENC:6:3-11:BB-11")</f>
        <v>as:GENC:6:3-11:BB-11</v>
      </c>
    </row>
    <row r="380" spans="1:7" x14ac:dyDescent="0.25">
      <c r="A380" s="111" t="str">
        <f>HYPERLINK("[#]Codes_for_GE_Names!A27:I27","BELARUS")</f>
        <v>BELARUS</v>
      </c>
      <c r="B380" s="42" t="s">
        <v>2425</v>
      </c>
      <c r="C380" s="42" t="s">
        <v>2426</v>
      </c>
      <c r="D380" s="42" t="s">
        <v>1975</v>
      </c>
      <c r="E380" s="49" t="b">
        <v>1</v>
      </c>
      <c r="F380" s="74" t="str">
        <f>HYPERLINK("http://nsgreg.nga.mil/genc/view?v=291856&amp;end_month=6&amp;end_day=30&amp;end_year=2019","Brestskaya Voblasts’")</f>
        <v>Brestskaya Voblasts’</v>
      </c>
      <c r="G380" s="74" t="str">
        <f>HYPERLINK("http://api.nsgreg.nga.mil/geo-division/GENC/6/3-11/BY-BR","as:GENC:6:3-11:BY-BR")</f>
        <v>as:GENC:6:3-11:BY-BR</v>
      </c>
    </row>
    <row r="381" spans="1:7" x14ac:dyDescent="0.25">
      <c r="A381" s="112"/>
      <c r="B381" s="21" t="s">
        <v>2427</v>
      </c>
      <c r="C381" s="21" t="s">
        <v>2428</v>
      </c>
      <c r="D381" s="21" t="s">
        <v>1975</v>
      </c>
      <c r="E381" s="50" t="b">
        <v>1</v>
      </c>
      <c r="F381" s="72" t="str">
        <f>HYPERLINK("http://nsgreg.nga.mil/genc/view?v=291858&amp;end_month=6&amp;end_day=30&amp;end_year=2019","Homyel’skaya Voblasts’")</f>
        <v>Homyel’skaya Voblasts’</v>
      </c>
      <c r="G381" s="72" t="str">
        <f>HYPERLINK("http://api.nsgreg.nga.mil/geo-division/GENC/6/3-11/BY-HO","as:GENC:6:3-11:BY-HO")</f>
        <v>as:GENC:6:3-11:BY-HO</v>
      </c>
    </row>
    <row r="382" spans="1:7" x14ac:dyDescent="0.25">
      <c r="A382" s="112"/>
      <c r="B382" s="21" t="s">
        <v>2429</v>
      </c>
      <c r="C382" s="21" t="s">
        <v>2430</v>
      </c>
      <c r="D382" s="21" t="s">
        <v>1975</v>
      </c>
      <c r="E382" s="50" t="b">
        <v>1</v>
      </c>
      <c r="F382" s="72" t="str">
        <f>HYPERLINK("http://nsgreg.nga.mil/genc/view?v=291859&amp;end_month=6&amp;end_day=30&amp;end_year=2019","Hrodzyenskaya Voblasts’")</f>
        <v>Hrodzyenskaya Voblasts’</v>
      </c>
      <c r="G382" s="72" t="str">
        <f>HYPERLINK("http://api.nsgreg.nga.mil/geo-division/GENC/6/3-11/BY-HR","as:GENC:6:3-11:BY-HR")</f>
        <v>as:GENC:6:3-11:BY-HR</v>
      </c>
    </row>
    <row r="383" spans="1:7" x14ac:dyDescent="0.25">
      <c r="A383" s="112"/>
      <c r="B383" s="21" t="s">
        <v>2431</v>
      </c>
      <c r="C383" s="21" t="s">
        <v>2432</v>
      </c>
      <c r="D383" s="21" t="s">
        <v>1975</v>
      </c>
      <c r="E383" s="50" t="b">
        <v>1</v>
      </c>
      <c r="F383" s="72" t="str">
        <f>HYPERLINK("http://nsgreg.nga.mil/genc/view?v=291860&amp;end_month=6&amp;end_day=30&amp;end_year=2019","Mahilyowskaya Voblasts’")</f>
        <v>Mahilyowskaya Voblasts’</v>
      </c>
      <c r="G383" s="72" t="str">
        <f>HYPERLINK("http://api.nsgreg.nga.mil/geo-division/GENC/6/3-11/BY-MA","as:GENC:6:3-11:BY-MA")</f>
        <v>as:GENC:6:3-11:BY-MA</v>
      </c>
    </row>
    <row r="384" spans="1:7" x14ac:dyDescent="0.25">
      <c r="A384" s="112"/>
      <c r="B384" s="21" t="s">
        <v>2433</v>
      </c>
      <c r="C384" s="21" t="s">
        <v>2434</v>
      </c>
      <c r="D384" s="21" t="s">
        <v>1996</v>
      </c>
      <c r="E384" s="50" t="b">
        <v>1</v>
      </c>
      <c r="F384" s="72" t="str">
        <f>HYPERLINK("http://nsgreg.nga.mil/genc/view?v=291857&amp;end_month=6&amp;end_day=30&amp;end_year=2019","Minsk")</f>
        <v>Minsk</v>
      </c>
      <c r="G384" s="72" t="str">
        <f>HYPERLINK("http://api.nsgreg.nga.mil/geo-division/GENC/6/3-11/BY-HM","as:GENC:6:3-11:BY-HM")</f>
        <v>as:GENC:6:3-11:BY-HM</v>
      </c>
    </row>
    <row r="385" spans="1:7" x14ac:dyDescent="0.25">
      <c r="A385" s="112"/>
      <c r="B385" s="21" t="s">
        <v>2435</v>
      </c>
      <c r="C385" s="21" t="s">
        <v>2436</v>
      </c>
      <c r="D385" s="21" t="s">
        <v>1975</v>
      </c>
      <c r="E385" s="50" t="b">
        <v>1</v>
      </c>
      <c r="F385" s="72" t="str">
        <f>HYPERLINK("http://nsgreg.nga.mil/genc/view?v=291861&amp;end_month=6&amp;end_day=30&amp;end_year=2019","Minskaya Voblasts’")</f>
        <v>Minskaya Voblasts’</v>
      </c>
      <c r="G385" s="72" t="str">
        <f>HYPERLINK("http://api.nsgreg.nga.mil/geo-division/GENC/6/3-11/BY-MI","as:GENC:6:3-11:BY-MI")</f>
        <v>as:GENC:6:3-11:BY-MI</v>
      </c>
    </row>
    <row r="386" spans="1:7" x14ac:dyDescent="0.25">
      <c r="A386" s="113"/>
      <c r="B386" s="47" t="s">
        <v>2437</v>
      </c>
      <c r="C386" s="47" t="s">
        <v>2438</v>
      </c>
      <c r="D386" s="47" t="s">
        <v>1975</v>
      </c>
      <c r="E386" s="51" t="b">
        <v>1</v>
      </c>
      <c r="F386" s="73" t="str">
        <f>HYPERLINK("http://nsgreg.nga.mil/genc/view?v=291862&amp;end_month=6&amp;end_day=30&amp;end_year=2019","Vitsyebskaya Voblasts’")</f>
        <v>Vitsyebskaya Voblasts’</v>
      </c>
      <c r="G386" s="73" t="str">
        <f>HYPERLINK("http://api.nsgreg.nga.mil/geo-division/GENC/6/3-11/BY-VI","as:GENC:6:3-11:BY-VI")</f>
        <v>as:GENC:6:3-11:BY-VI</v>
      </c>
    </row>
    <row r="387" spans="1:7" x14ac:dyDescent="0.25">
      <c r="A387" s="111" t="str">
        <f>HYPERLINK("[#]Codes_for_GE_Names!A28:I28","BELGIUM")</f>
        <v>BELGIUM</v>
      </c>
      <c r="B387" s="42" t="s">
        <v>2439</v>
      </c>
      <c r="C387" s="42" t="s">
        <v>2440</v>
      </c>
      <c r="D387" s="42" t="s">
        <v>1975</v>
      </c>
      <c r="E387" s="49" t="b">
        <v>1</v>
      </c>
      <c r="F387" s="74" t="str">
        <f>HYPERLINK("http://nsgreg.nga.mil/genc/view?v=291601&amp;end_month=6&amp;end_day=30&amp;end_year=2019","Brussels-Capital Region")</f>
        <v>Brussels-Capital Region</v>
      </c>
      <c r="G387" s="74" t="str">
        <f>HYPERLINK("http://api.nsgreg.nga.mil/geo-division/GENC/6/3-11/BE-BRU","as:GENC:6:3-11:BE-BRU")</f>
        <v>as:GENC:6:3-11:BE-BRU</v>
      </c>
    </row>
    <row r="388" spans="1:7" x14ac:dyDescent="0.25">
      <c r="A388" s="112"/>
      <c r="B388" s="21" t="s">
        <v>2441</v>
      </c>
      <c r="C388" s="21" t="s">
        <v>2442</v>
      </c>
      <c r="D388" s="21" t="s">
        <v>1975</v>
      </c>
      <c r="E388" s="50" t="b">
        <v>1</v>
      </c>
      <c r="F388" s="72" t="str">
        <f>HYPERLINK("http://nsgreg.nga.mil/genc/view?v=291604&amp;end_month=6&amp;end_day=30&amp;end_year=2019","Flanders")</f>
        <v>Flanders</v>
      </c>
      <c r="G388" s="72" t="str">
        <f>HYPERLINK("http://api.nsgreg.nga.mil/geo-division/GENC/6/3-11/BE-VLG","as:GENC:6:3-11:BE-VLG")</f>
        <v>as:GENC:6:3-11:BE-VLG</v>
      </c>
    </row>
    <row r="389" spans="1:7" x14ac:dyDescent="0.25">
      <c r="A389" s="112"/>
      <c r="B389" s="21" t="s">
        <v>2443</v>
      </c>
      <c r="C389" s="21" t="s">
        <v>2444</v>
      </c>
      <c r="D389" s="76" t="s">
        <v>1668</v>
      </c>
      <c r="E389" s="77" t="b">
        <v>0</v>
      </c>
      <c r="F389" s="72" t="str">
        <f>HYPERLINK("http://nsgreg.nga.mil/genc/view?v=291602&amp;end_month=6&amp;end_day=30&amp;end_year=2019","Antwerpen")</f>
        <v>Antwerpen</v>
      </c>
      <c r="G389" s="72" t="str">
        <f>HYPERLINK("http://api.nsgreg.nga.mil/geo-division/GENC/6/3-11/BE-VAN","as:GENC:6:3-11:BE-VAN")</f>
        <v>as:GENC:6:3-11:BE-VAN</v>
      </c>
    </row>
    <row r="390" spans="1:7" x14ac:dyDescent="0.25">
      <c r="A390" s="112"/>
      <c r="B390" s="21" t="s">
        <v>2445</v>
      </c>
      <c r="C390" s="21" t="s">
        <v>2446</v>
      </c>
      <c r="D390" s="76" t="s">
        <v>1668</v>
      </c>
      <c r="E390" s="77" t="b">
        <v>0</v>
      </c>
      <c r="F390" s="72" t="str">
        <f>HYPERLINK("http://nsgreg.nga.mil/genc/view?v=291605&amp;end_month=6&amp;end_day=30&amp;end_year=2019","Limburg")</f>
        <v>Limburg</v>
      </c>
      <c r="G390" s="72" t="str">
        <f>HYPERLINK("http://api.nsgreg.nga.mil/geo-division/GENC/6/3-11/BE-VLI","as:GENC:6:3-11:BE-VLI")</f>
        <v>as:GENC:6:3-11:BE-VLI</v>
      </c>
    </row>
    <row r="391" spans="1:7" x14ac:dyDescent="0.25">
      <c r="A391" s="112"/>
      <c r="B391" s="21" t="s">
        <v>2447</v>
      </c>
      <c r="C391" s="21" t="s">
        <v>2448</v>
      </c>
      <c r="D391" s="76" t="s">
        <v>1668</v>
      </c>
      <c r="E391" s="77" t="b">
        <v>0</v>
      </c>
      <c r="F391" s="72" t="str">
        <f>HYPERLINK("http://nsgreg.nga.mil/genc/view?v=291606&amp;end_month=6&amp;end_day=30&amp;end_year=2019","Oost-Vlaanderen")</f>
        <v>Oost-Vlaanderen</v>
      </c>
      <c r="G391" s="72" t="str">
        <f>HYPERLINK("http://api.nsgreg.nga.mil/geo-division/GENC/6/3-11/BE-VOV","as:GENC:6:3-11:BE-VOV")</f>
        <v>as:GENC:6:3-11:BE-VOV</v>
      </c>
    </row>
    <row r="392" spans="1:7" x14ac:dyDescent="0.25">
      <c r="A392" s="112"/>
      <c r="B392" s="21" t="s">
        <v>2449</v>
      </c>
      <c r="C392" s="21" t="s">
        <v>2450</v>
      </c>
      <c r="D392" s="76" t="s">
        <v>1668</v>
      </c>
      <c r="E392" s="77" t="b">
        <v>0</v>
      </c>
      <c r="F392" s="72" t="str">
        <f>HYPERLINK("http://nsgreg.nga.mil/genc/view?v=291603&amp;end_month=6&amp;end_day=30&amp;end_year=2019","Vlaams Brabant")</f>
        <v>Vlaams Brabant</v>
      </c>
      <c r="G392" s="72" t="str">
        <f>HYPERLINK("http://api.nsgreg.nga.mil/geo-division/GENC/6/3-11/BE-VBR","as:GENC:6:3-11:BE-VBR")</f>
        <v>as:GENC:6:3-11:BE-VBR</v>
      </c>
    </row>
    <row r="393" spans="1:7" x14ac:dyDescent="0.25">
      <c r="A393" s="112"/>
      <c r="B393" s="21" t="s">
        <v>2451</v>
      </c>
      <c r="C393" s="21" t="s">
        <v>2452</v>
      </c>
      <c r="D393" s="76" t="s">
        <v>1668</v>
      </c>
      <c r="E393" s="77" t="b">
        <v>0</v>
      </c>
      <c r="F393" s="72" t="str">
        <f>HYPERLINK("http://nsgreg.nga.mil/genc/view?v=291607&amp;end_month=6&amp;end_day=30&amp;end_year=2019","West-Vlaanderen")</f>
        <v>West-Vlaanderen</v>
      </c>
      <c r="G393" s="72" t="str">
        <f>HYPERLINK("http://api.nsgreg.nga.mil/geo-division/GENC/6/3-11/BE-VWV","as:GENC:6:3-11:BE-VWV")</f>
        <v>as:GENC:6:3-11:BE-VWV</v>
      </c>
    </row>
    <row r="394" spans="1:7" x14ac:dyDescent="0.25">
      <c r="A394" s="112"/>
      <c r="B394" s="21" t="s">
        <v>2453</v>
      </c>
      <c r="C394" s="21" t="s">
        <v>2454</v>
      </c>
      <c r="D394" s="21" t="s">
        <v>1975</v>
      </c>
      <c r="E394" s="50" t="b">
        <v>1</v>
      </c>
      <c r="F394" s="72" t="str">
        <f>HYPERLINK("http://nsgreg.nga.mil/genc/view?v=291608&amp;end_month=6&amp;end_day=30&amp;end_year=2019","Wallonia")</f>
        <v>Wallonia</v>
      </c>
      <c r="G394" s="72" t="str">
        <f>HYPERLINK("http://api.nsgreg.nga.mil/geo-division/GENC/6/3-11/BE-WAL","as:GENC:6:3-11:BE-WAL")</f>
        <v>as:GENC:6:3-11:BE-WAL</v>
      </c>
    </row>
    <row r="395" spans="1:7" x14ac:dyDescent="0.25">
      <c r="A395" s="112"/>
      <c r="B395" s="21" t="s">
        <v>2455</v>
      </c>
      <c r="C395" s="21" t="s">
        <v>2456</v>
      </c>
      <c r="D395" s="76" t="s">
        <v>1668</v>
      </c>
      <c r="E395" s="77" t="b">
        <v>0</v>
      </c>
      <c r="F395" s="72" t="str">
        <f>HYPERLINK("http://nsgreg.nga.mil/genc/view?v=291609&amp;end_month=6&amp;end_day=30&amp;end_year=2019","Brabant Wallon")</f>
        <v>Brabant Wallon</v>
      </c>
      <c r="G395" s="72" t="str">
        <f>HYPERLINK("http://api.nsgreg.nga.mil/geo-division/GENC/6/3-11/BE-WBR","as:GENC:6:3-11:BE-WBR")</f>
        <v>as:GENC:6:3-11:BE-WBR</v>
      </c>
    </row>
    <row r="396" spans="1:7" x14ac:dyDescent="0.25">
      <c r="A396" s="112"/>
      <c r="B396" s="21" t="s">
        <v>2457</v>
      </c>
      <c r="C396" s="21" t="s">
        <v>2458</v>
      </c>
      <c r="D396" s="76" t="s">
        <v>1668</v>
      </c>
      <c r="E396" s="77" t="b">
        <v>0</v>
      </c>
      <c r="F396" s="72" t="str">
        <f>HYPERLINK("http://nsgreg.nga.mil/genc/view?v=291610&amp;end_month=6&amp;end_day=30&amp;end_year=2019","Hainaut")</f>
        <v>Hainaut</v>
      </c>
      <c r="G396" s="72" t="str">
        <f>HYPERLINK("http://api.nsgreg.nga.mil/geo-division/GENC/6/3-11/BE-WHT","as:GENC:6:3-11:BE-WHT")</f>
        <v>as:GENC:6:3-11:BE-WHT</v>
      </c>
    </row>
    <row r="397" spans="1:7" x14ac:dyDescent="0.25">
      <c r="A397" s="112"/>
      <c r="B397" s="21" t="s">
        <v>2459</v>
      </c>
      <c r="C397" s="21" t="s">
        <v>2460</v>
      </c>
      <c r="D397" s="76" t="s">
        <v>1668</v>
      </c>
      <c r="E397" s="77" t="b">
        <v>0</v>
      </c>
      <c r="F397" s="72" t="str">
        <f>HYPERLINK("http://nsgreg.nga.mil/genc/view?v=291611&amp;end_month=6&amp;end_day=30&amp;end_year=2019","Liège")</f>
        <v>Liège</v>
      </c>
      <c r="G397" s="72" t="str">
        <f>HYPERLINK("http://api.nsgreg.nga.mil/geo-division/GENC/6/3-11/BE-WLG","as:GENC:6:3-11:BE-WLG")</f>
        <v>as:GENC:6:3-11:BE-WLG</v>
      </c>
    </row>
    <row r="398" spans="1:7" x14ac:dyDescent="0.25">
      <c r="A398" s="112"/>
      <c r="B398" s="21" t="s">
        <v>2461</v>
      </c>
      <c r="C398" s="21" t="s">
        <v>2462</v>
      </c>
      <c r="D398" s="76" t="s">
        <v>1668</v>
      </c>
      <c r="E398" s="77" t="b">
        <v>0</v>
      </c>
      <c r="F398" s="72" t="str">
        <f>HYPERLINK("http://nsgreg.nga.mil/genc/view?v=291612&amp;end_month=6&amp;end_day=30&amp;end_year=2019","Luxembourg")</f>
        <v>Luxembourg</v>
      </c>
      <c r="G398" s="72" t="str">
        <f>HYPERLINK("http://api.nsgreg.nga.mil/geo-division/GENC/6/3-11/BE-WLX","as:GENC:6:3-11:BE-WLX")</f>
        <v>as:GENC:6:3-11:BE-WLX</v>
      </c>
    </row>
    <row r="399" spans="1:7" x14ac:dyDescent="0.25">
      <c r="A399" s="113"/>
      <c r="B399" s="47" t="s">
        <v>2463</v>
      </c>
      <c r="C399" s="47" t="s">
        <v>2464</v>
      </c>
      <c r="D399" s="78" t="s">
        <v>1668</v>
      </c>
      <c r="E399" s="79" t="b">
        <v>0</v>
      </c>
      <c r="F399" s="73" t="str">
        <f>HYPERLINK("http://nsgreg.nga.mil/genc/view?v=291613&amp;end_month=6&amp;end_day=30&amp;end_year=2019","Namur")</f>
        <v>Namur</v>
      </c>
      <c r="G399" s="73" t="str">
        <f>HYPERLINK("http://api.nsgreg.nga.mil/geo-division/GENC/6/3-11/BE-WNA","as:GENC:6:3-11:BE-WNA")</f>
        <v>as:GENC:6:3-11:BE-WNA</v>
      </c>
    </row>
    <row r="400" spans="1:7" x14ac:dyDescent="0.25">
      <c r="A400" s="111" t="str">
        <f>HYPERLINK("[#]Codes_for_GE_Names!A29:I29","BELIZE")</f>
        <v>BELIZE</v>
      </c>
      <c r="B400" s="42" t="s">
        <v>2465</v>
      </c>
      <c r="C400" s="42" t="s">
        <v>224</v>
      </c>
      <c r="D400" s="42" t="s">
        <v>2035</v>
      </c>
      <c r="E400" s="49" t="b">
        <v>1</v>
      </c>
      <c r="F400" s="74" t="str">
        <f>HYPERLINK("http://nsgreg.nga.mil/genc/view?v=291863&amp;end_month=6&amp;end_day=30&amp;end_year=2019","Belize")</f>
        <v>Belize</v>
      </c>
      <c r="G400" s="74" t="str">
        <f>HYPERLINK("http://api.nsgreg.nga.mil/geo-division/GENC/6/3-11/BZ-BZ","as:GENC:6:3-11:BZ-BZ")</f>
        <v>as:GENC:6:3-11:BZ-BZ</v>
      </c>
    </row>
    <row r="401" spans="1:7" x14ac:dyDescent="0.25">
      <c r="A401" s="112"/>
      <c r="B401" s="21" t="s">
        <v>2466</v>
      </c>
      <c r="C401" s="21" t="s">
        <v>2467</v>
      </c>
      <c r="D401" s="21" t="s">
        <v>2035</v>
      </c>
      <c r="E401" s="50" t="b">
        <v>1</v>
      </c>
      <c r="F401" s="72" t="str">
        <f>HYPERLINK("http://nsgreg.nga.mil/genc/view?v=291864&amp;end_month=6&amp;end_day=30&amp;end_year=2019","Cayo")</f>
        <v>Cayo</v>
      </c>
      <c r="G401" s="72" t="str">
        <f>HYPERLINK("http://api.nsgreg.nga.mil/geo-division/GENC/6/3-11/BZ-CY","as:GENC:6:3-11:BZ-CY")</f>
        <v>as:GENC:6:3-11:BZ-CY</v>
      </c>
    </row>
    <row r="402" spans="1:7" x14ac:dyDescent="0.25">
      <c r="A402" s="112"/>
      <c r="B402" s="21" t="s">
        <v>2468</v>
      </c>
      <c r="C402" s="21" t="s">
        <v>2469</v>
      </c>
      <c r="D402" s="21" t="s">
        <v>2035</v>
      </c>
      <c r="E402" s="50" t="b">
        <v>1</v>
      </c>
      <c r="F402" s="72" t="str">
        <f>HYPERLINK("http://nsgreg.nga.mil/genc/view?v=291865&amp;end_month=6&amp;end_day=30&amp;end_year=2019","Corozal")</f>
        <v>Corozal</v>
      </c>
      <c r="G402" s="72" t="str">
        <f>HYPERLINK("http://api.nsgreg.nga.mil/geo-division/GENC/6/3-11/BZ-CZL","as:GENC:6:3-11:BZ-CZL")</f>
        <v>as:GENC:6:3-11:BZ-CZL</v>
      </c>
    </row>
    <row r="403" spans="1:7" x14ac:dyDescent="0.25">
      <c r="A403" s="112"/>
      <c r="B403" s="21" t="s">
        <v>2470</v>
      </c>
      <c r="C403" s="21" t="s">
        <v>2471</v>
      </c>
      <c r="D403" s="21" t="s">
        <v>2035</v>
      </c>
      <c r="E403" s="50" t="b">
        <v>1</v>
      </c>
      <c r="F403" s="72" t="str">
        <f>HYPERLINK("http://nsgreg.nga.mil/genc/view?v=291866&amp;end_month=6&amp;end_day=30&amp;end_year=2019","Orange Walk")</f>
        <v>Orange Walk</v>
      </c>
      <c r="G403" s="72" t="str">
        <f>HYPERLINK("http://api.nsgreg.nga.mil/geo-division/GENC/6/3-11/BZ-OW","as:GENC:6:3-11:BZ-OW")</f>
        <v>as:GENC:6:3-11:BZ-OW</v>
      </c>
    </row>
    <row r="404" spans="1:7" x14ac:dyDescent="0.25">
      <c r="A404" s="112"/>
      <c r="B404" s="21" t="s">
        <v>2472</v>
      </c>
      <c r="C404" s="21" t="s">
        <v>2473</v>
      </c>
      <c r="D404" s="21" t="s">
        <v>2035</v>
      </c>
      <c r="E404" s="50" t="b">
        <v>1</v>
      </c>
      <c r="F404" s="72" t="str">
        <f>HYPERLINK("http://nsgreg.nga.mil/genc/view?v=291867&amp;end_month=6&amp;end_day=30&amp;end_year=2019","Stann Creek")</f>
        <v>Stann Creek</v>
      </c>
      <c r="G404" s="72" t="str">
        <f>HYPERLINK("http://api.nsgreg.nga.mil/geo-division/GENC/6/3-11/BZ-SC","as:GENC:6:3-11:BZ-SC")</f>
        <v>as:GENC:6:3-11:BZ-SC</v>
      </c>
    </row>
    <row r="405" spans="1:7" x14ac:dyDescent="0.25">
      <c r="A405" s="113"/>
      <c r="B405" s="47" t="s">
        <v>2474</v>
      </c>
      <c r="C405" s="47" t="s">
        <v>2475</v>
      </c>
      <c r="D405" s="47" t="s">
        <v>2035</v>
      </c>
      <c r="E405" s="51" t="b">
        <v>1</v>
      </c>
      <c r="F405" s="73" t="str">
        <f>HYPERLINK("http://nsgreg.nga.mil/genc/view?v=291868&amp;end_month=6&amp;end_day=30&amp;end_year=2019","Toledo")</f>
        <v>Toledo</v>
      </c>
      <c r="G405" s="73" t="str">
        <f>HYPERLINK("http://api.nsgreg.nga.mil/geo-division/GENC/6/3-11/BZ-TOL","as:GENC:6:3-11:BZ-TOL")</f>
        <v>as:GENC:6:3-11:BZ-TOL</v>
      </c>
    </row>
    <row r="406" spans="1:7" x14ac:dyDescent="0.25">
      <c r="A406" s="111" t="str">
        <f>HYPERLINK("[#]Codes_for_GE_Names!A30:I30","BENIN")</f>
        <v>BENIN</v>
      </c>
      <c r="B406" s="42" t="s">
        <v>2476</v>
      </c>
      <c r="C406" s="42" t="s">
        <v>2477</v>
      </c>
      <c r="D406" s="42" t="s">
        <v>2478</v>
      </c>
      <c r="E406" s="49" t="b">
        <v>1</v>
      </c>
      <c r="F406" s="74" t="str">
        <f>HYPERLINK("http://nsgreg.nga.mil/genc/view?v=291723&amp;end_month=6&amp;end_day=30&amp;end_year=2019","Alibori")</f>
        <v>Alibori</v>
      </c>
      <c r="G406" s="74" t="str">
        <f>HYPERLINK("http://api.nsgreg.nga.mil/geo-division/GENC/6/3-11/BJ-AL","as:GENC:6:3-11:BJ-AL")</f>
        <v>as:GENC:6:3-11:BJ-AL</v>
      </c>
    </row>
    <row r="407" spans="1:7" x14ac:dyDescent="0.25">
      <c r="A407" s="112"/>
      <c r="B407" s="21" t="s">
        <v>2479</v>
      </c>
      <c r="C407" s="21" t="s">
        <v>2480</v>
      </c>
      <c r="D407" s="21" t="s">
        <v>2478</v>
      </c>
      <c r="E407" s="50" t="b">
        <v>1</v>
      </c>
      <c r="F407" s="72" t="str">
        <f>HYPERLINK("http://nsgreg.nga.mil/genc/view?v=291722&amp;end_month=6&amp;end_day=30&amp;end_year=2019","Atacora")</f>
        <v>Atacora</v>
      </c>
      <c r="G407" s="72" t="str">
        <f>HYPERLINK("http://api.nsgreg.nga.mil/geo-division/GENC/6/3-11/BJ-AK","as:GENC:6:3-11:BJ-AK")</f>
        <v>as:GENC:6:3-11:BJ-AK</v>
      </c>
    </row>
    <row r="408" spans="1:7" x14ac:dyDescent="0.25">
      <c r="A408" s="112"/>
      <c r="B408" s="21" t="s">
        <v>2481</v>
      </c>
      <c r="C408" s="21" t="s">
        <v>2482</v>
      </c>
      <c r="D408" s="21" t="s">
        <v>2478</v>
      </c>
      <c r="E408" s="50" t="b">
        <v>1</v>
      </c>
      <c r="F408" s="72" t="str">
        <f>HYPERLINK("http://nsgreg.nga.mil/genc/view?v=291724&amp;end_month=6&amp;end_day=30&amp;end_year=2019","Atlantique")</f>
        <v>Atlantique</v>
      </c>
      <c r="G408" s="72" t="str">
        <f>HYPERLINK("http://api.nsgreg.nga.mil/geo-division/GENC/6/3-11/BJ-AQ","as:GENC:6:3-11:BJ-AQ")</f>
        <v>as:GENC:6:3-11:BJ-AQ</v>
      </c>
    </row>
    <row r="409" spans="1:7" x14ac:dyDescent="0.25">
      <c r="A409" s="112"/>
      <c r="B409" s="21" t="s">
        <v>2483</v>
      </c>
      <c r="C409" s="21" t="s">
        <v>2484</v>
      </c>
      <c r="D409" s="21" t="s">
        <v>2478</v>
      </c>
      <c r="E409" s="50" t="b">
        <v>1</v>
      </c>
      <c r="F409" s="72" t="str">
        <f>HYPERLINK("http://nsgreg.nga.mil/genc/view?v=291725&amp;end_month=6&amp;end_day=30&amp;end_year=2019","Borgou")</f>
        <v>Borgou</v>
      </c>
      <c r="G409" s="72" t="str">
        <f>HYPERLINK("http://api.nsgreg.nga.mil/geo-division/GENC/6/3-11/BJ-BO","as:GENC:6:3-11:BJ-BO")</f>
        <v>as:GENC:6:3-11:BJ-BO</v>
      </c>
    </row>
    <row r="410" spans="1:7" x14ac:dyDescent="0.25">
      <c r="A410" s="112"/>
      <c r="B410" s="21" t="s">
        <v>2485</v>
      </c>
      <c r="C410" s="21" t="s">
        <v>2486</v>
      </c>
      <c r="D410" s="21" t="s">
        <v>2478</v>
      </c>
      <c r="E410" s="50" t="b">
        <v>1</v>
      </c>
      <c r="F410" s="72" t="str">
        <f>HYPERLINK("http://nsgreg.nga.mil/genc/view?v=291726&amp;end_month=6&amp;end_day=30&amp;end_year=2019","Collines")</f>
        <v>Collines</v>
      </c>
      <c r="G410" s="72" t="str">
        <f>HYPERLINK("http://api.nsgreg.nga.mil/geo-division/GENC/6/3-11/BJ-CO","as:GENC:6:3-11:BJ-CO")</f>
        <v>as:GENC:6:3-11:BJ-CO</v>
      </c>
    </row>
    <row r="411" spans="1:7" x14ac:dyDescent="0.25">
      <c r="A411" s="112"/>
      <c r="B411" s="21" t="s">
        <v>2487</v>
      </c>
      <c r="C411" s="21" t="s">
        <v>2488</v>
      </c>
      <c r="D411" s="21" t="s">
        <v>2478</v>
      </c>
      <c r="E411" s="50" t="b">
        <v>1</v>
      </c>
      <c r="F411" s="72" t="str">
        <f>HYPERLINK("http://nsgreg.nga.mil/genc/view?v=291728&amp;end_month=6&amp;end_day=30&amp;end_year=2019","Couffo")</f>
        <v>Couffo</v>
      </c>
      <c r="G411" s="72" t="str">
        <f>HYPERLINK("http://api.nsgreg.nga.mil/geo-division/GENC/6/3-11/BJ-KO","as:GENC:6:3-11:BJ-KO")</f>
        <v>as:GENC:6:3-11:BJ-KO</v>
      </c>
    </row>
    <row r="412" spans="1:7" x14ac:dyDescent="0.25">
      <c r="A412" s="112"/>
      <c r="B412" s="21" t="s">
        <v>2489</v>
      </c>
      <c r="C412" s="21" t="s">
        <v>2490</v>
      </c>
      <c r="D412" s="21" t="s">
        <v>2478</v>
      </c>
      <c r="E412" s="50" t="b">
        <v>1</v>
      </c>
      <c r="F412" s="72" t="str">
        <f>HYPERLINK("http://nsgreg.nga.mil/genc/view?v=291727&amp;end_month=6&amp;end_day=30&amp;end_year=2019","Donga")</f>
        <v>Donga</v>
      </c>
      <c r="G412" s="72" t="str">
        <f>HYPERLINK("http://api.nsgreg.nga.mil/geo-division/GENC/6/3-11/BJ-DO","as:GENC:6:3-11:BJ-DO")</f>
        <v>as:GENC:6:3-11:BJ-DO</v>
      </c>
    </row>
    <row r="413" spans="1:7" x14ac:dyDescent="0.25">
      <c r="A413" s="112"/>
      <c r="B413" s="21" t="s">
        <v>2491</v>
      </c>
      <c r="C413" s="21" t="s">
        <v>2492</v>
      </c>
      <c r="D413" s="21" t="s">
        <v>2478</v>
      </c>
      <c r="E413" s="50" t="b">
        <v>1</v>
      </c>
      <c r="F413" s="72" t="str">
        <f>HYPERLINK("http://nsgreg.nga.mil/genc/view?v=291729&amp;end_month=6&amp;end_day=30&amp;end_year=2019","Littoral")</f>
        <v>Littoral</v>
      </c>
      <c r="G413" s="72" t="str">
        <f>HYPERLINK("http://api.nsgreg.nga.mil/geo-division/GENC/6/3-11/BJ-LI","as:GENC:6:3-11:BJ-LI")</f>
        <v>as:GENC:6:3-11:BJ-LI</v>
      </c>
    </row>
    <row r="414" spans="1:7" x14ac:dyDescent="0.25">
      <c r="A414" s="112"/>
      <c r="B414" s="21" t="s">
        <v>2493</v>
      </c>
      <c r="C414" s="21" t="s">
        <v>2494</v>
      </c>
      <c r="D414" s="21" t="s">
        <v>2478</v>
      </c>
      <c r="E414" s="50" t="b">
        <v>1</v>
      </c>
      <c r="F414" s="72" t="str">
        <f>HYPERLINK("http://nsgreg.nga.mil/genc/view?v=291730&amp;end_month=6&amp;end_day=30&amp;end_year=2019","Mono")</f>
        <v>Mono</v>
      </c>
      <c r="G414" s="72" t="str">
        <f>HYPERLINK("http://api.nsgreg.nga.mil/geo-division/GENC/6/3-11/BJ-MO","as:GENC:6:3-11:BJ-MO")</f>
        <v>as:GENC:6:3-11:BJ-MO</v>
      </c>
    </row>
    <row r="415" spans="1:7" x14ac:dyDescent="0.25">
      <c r="A415" s="112"/>
      <c r="B415" s="21" t="s">
        <v>2495</v>
      </c>
      <c r="C415" s="21" t="s">
        <v>2496</v>
      </c>
      <c r="D415" s="21" t="s">
        <v>2478</v>
      </c>
      <c r="E415" s="50" t="b">
        <v>1</v>
      </c>
      <c r="F415" s="72" t="str">
        <f>HYPERLINK("http://nsgreg.nga.mil/genc/view?v=291731&amp;end_month=6&amp;end_day=30&amp;end_year=2019","Ouémé")</f>
        <v>Ouémé</v>
      </c>
      <c r="G415" s="72" t="str">
        <f>HYPERLINK("http://api.nsgreg.nga.mil/geo-division/GENC/6/3-11/BJ-OU","as:GENC:6:3-11:BJ-OU")</f>
        <v>as:GENC:6:3-11:BJ-OU</v>
      </c>
    </row>
    <row r="416" spans="1:7" x14ac:dyDescent="0.25">
      <c r="A416" s="112"/>
      <c r="B416" s="21" t="s">
        <v>2497</v>
      </c>
      <c r="C416" s="21" t="s">
        <v>2498</v>
      </c>
      <c r="D416" s="21" t="s">
        <v>2478</v>
      </c>
      <c r="E416" s="50" t="b">
        <v>1</v>
      </c>
      <c r="F416" s="72" t="str">
        <f>HYPERLINK("http://nsgreg.nga.mil/genc/view?v=291732&amp;end_month=6&amp;end_day=30&amp;end_year=2019","Plateau")</f>
        <v>Plateau</v>
      </c>
      <c r="G416" s="72" t="str">
        <f>HYPERLINK("http://api.nsgreg.nga.mil/geo-division/GENC/6/3-11/BJ-PL","as:GENC:6:3-11:BJ-PL")</f>
        <v>as:GENC:6:3-11:BJ-PL</v>
      </c>
    </row>
    <row r="417" spans="1:7" x14ac:dyDescent="0.25">
      <c r="A417" s="113"/>
      <c r="B417" s="47" t="s">
        <v>2499</v>
      </c>
      <c r="C417" s="47" t="s">
        <v>2500</v>
      </c>
      <c r="D417" s="47" t="s">
        <v>2478</v>
      </c>
      <c r="E417" s="51" t="b">
        <v>1</v>
      </c>
      <c r="F417" s="73" t="str">
        <f>HYPERLINK("http://nsgreg.nga.mil/genc/view?v=291733&amp;end_month=6&amp;end_day=30&amp;end_year=2019","Zou")</f>
        <v>Zou</v>
      </c>
      <c r="G417" s="73" t="str">
        <f>HYPERLINK("http://api.nsgreg.nga.mil/geo-division/GENC/6/3-11/BJ-ZO","as:GENC:6:3-11:BJ-ZO")</f>
        <v>as:GENC:6:3-11:BJ-ZO</v>
      </c>
    </row>
    <row r="418" spans="1:7" x14ac:dyDescent="0.25">
      <c r="A418" s="111" t="str">
        <f>HYPERLINK("[#]Codes_for_GE_Names!A31:I31","BERMUDA")</f>
        <v>BERMUDA</v>
      </c>
      <c r="B418" s="42" t="s">
        <v>2501</v>
      </c>
      <c r="C418" s="42" t="s">
        <v>2502</v>
      </c>
      <c r="D418" s="42" t="s">
        <v>1858</v>
      </c>
      <c r="E418" s="49" t="b">
        <v>1</v>
      </c>
      <c r="F418" s="74" t="str">
        <f>HYPERLINK("http://nsgreg.nga.mil/genc/view?v=291734&amp;end_month=6&amp;end_day=30&amp;end_year=2019","Devonshire")</f>
        <v>Devonshire</v>
      </c>
      <c r="G418" s="74" t="str">
        <f>HYPERLINK("http://api.nsgreg.nga.mil/geo-division/GENC/6/3-11/BM-01","as:GENC:6:3-11:BM-01")</f>
        <v>as:GENC:6:3-11:BM-01</v>
      </c>
    </row>
    <row r="419" spans="1:7" x14ac:dyDescent="0.25">
      <c r="A419" s="112"/>
      <c r="B419" s="21" t="s">
        <v>2503</v>
      </c>
      <c r="C419" s="21" t="s">
        <v>2504</v>
      </c>
      <c r="D419" s="21" t="s">
        <v>2505</v>
      </c>
      <c r="E419" s="50" t="b">
        <v>1</v>
      </c>
      <c r="F419" s="72" t="str">
        <f>HYPERLINK("http://nsgreg.nga.mil/genc/view?v=291736&amp;end_month=6&amp;end_day=30&amp;end_year=2019","Hamilton")</f>
        <v>Hamilton</v>
      </c>
      <c r="G419" s="72" t="str">
        <f>HYPERLINK("http://api.nsgreg.nga.mil/geo-division/GENC/6/3-11/BM-03","as:GENC:6:3-11:BM-03")</f>
        <v>as:GENC:6:3-11:BM-03</v>
      </c>
    </row>
    <row r="420" spans="1:7" x14ac:dyDescent="0.25">
      <c r="A420" s="112"/>
      <c r="B420" s="21" t="s">
        <v>2506</v>
      </c>
      <c r="C420" s="21" t="s">
        <v>2504</v>
      </c>
      <c r="D420" s="21" t="s">
        <v>1858</v>
      </c>
      <c r="E420" s="50" t="b">
        <v>1</v>
      </c>
      <c r="F420" s="72" t="str">
        <f>HYPERLINK("http://nsgreg.nga.mil/genc/view?v=291735&amp;end_month=6&amp;end_day=30&amp;end_year=2019","Hamilton")</f>
        <v>Hamilton</v>
      </c>
      <c r="G420" s="72" t="str">
        <f>HYPERLINK("http://api.nsgreg.nga.mil/geo-division/GENC/6/3-11/BM-02","as:GENC:6:3-11:BM-02")</f>
        <v>as:GENC:6:3-11:BM-02</v>
      </c>
    </row>
    <row r="421" spans="1:7" x14ac:dyDescent="0.25">
      <c r="A421" s="112"/>
      <c r="B421" s="21" t="s">
        <v>2507</v>
      </c>
      <c r="C421" s="21" t="s">
        <v>2508</v>
      </c>
      <c r="D421" s="21" t="s">
        <v>1858</v>
      </c>
      <c r="E421" s="50" t="b">
        <v>1</v>
      </c>
      <c r="F421" s="72" t="str">
        <f>HYPERLINK("http://nsgreg.nga.mil/genc/view?v=291737&amp;end_month=6&amp;end_day=30&amp;end_year=2019","Paget")</f>
        <v>Paget</v>
      </c>
      <c r="G421" s="72" t="str">
        <f>HYPERLINK("http://api.nsgreg.nga.mil/geo-division/GENC/6/3-11/BM-04","as:GENC:6:3-11:BM-04")</f>
        <v>as:GENC:6:3-11:BM-04</v>
      </c>
    </row>
    <row r="422" spans="1:7" x14ac:dyDescent="0.25">
      <c r="A422" s="112"/>
      <c r="B422" s="21" t="s">
        <v>2509</v>
      </c>
      <c r="C422" s="21" t="s">
        <v>2510</v>
      </c>
      <c r="D422" s="21" t="s">
        <v>1858</v>
      </c>
      <c r="E422" s="50" t="b">
        <v>1</v>
      </c>
      <c r="F422" s="72" t="str">
        <f>HYPERLINK("http://nsgreg.nga.mil/genc/view?v=291738&amp;end_month=6&amp;end_day=30&amp;end_year=2019","Pembroke")</f>
        <v>Pembroke</v>
      </c>
      <c r="G422" s="72" t="str">
        <f>HYPERLINK("http://api.nsgreg.nga.mil/geo-division/GENC/6/3-11/BM-05","as:GENC:6:3-11:BM-05")</f>
        <v>as:GENC:6:3-11:BM-05</v>
      </c>
    </row>
    <row r="423" spans="1:7" x14ac:dyDescent="0.25">
      <c r="A423" s="112"/>
      <c r="B423" s="21" t="s">
        <v>2511</v>
      </c>
      <c r="C423" s="21" t="s">
        <v>1913</v>
      </c>
      <c r="D423" s="21" t="s">
        <v>2505</v>
      </c>
      <c r="E423" s="50" t="b">
        <v>1</v>
      </c>
      <c r="F423" s="72" t="str">
        <f>HYPERLINK("http://nsgreg.nga.mil/genc/view?v=291739&amp;end_month=6&amp;end_day=30&amp;end_year=2019","Saint George")</f>
        <v>Saint George</v>
      </c>
      <c r="G423" s="72" t="str">
        <f>HYPERLINK("http://api.nsgreg.nga.mil/geo-division/GENC/6/3-11/BM-06","as:GENC:6:3-11:BM-06")</f>
        <v>as:GENC:6:3-11:BM-06</v>
      </c>
    </row>
    <row r="424" spans="1:7" x14ac:dyDescent="0.25">
      <c r="A424" s="112"/>
      <c r="B424" s="21" t="s">
        <v>2512</v>
      </c>
      <c r="C424" s="21" t="s">
        <v>2513</v>
      </c>
      <c r="D424" s="21" t="s">
        <v>1858</v>
      </c>
      <c r="E424" s="50" t="b">
        <v>1</v>
      </c>
      <c r="F424" s="72" t="str">
        <f>HYPERLINK("http://nsgreg.nga.mil/genc/view?v=291740&amp;end_month=6&amp;end_day=30&amp;end_year=2019","Saint George’s")</f>
        <v>Saint George’s</v>
      </c>
      <c r="G424" s="72" t="str">
        <f>HYPERLINK("http://api.nsgreg.nga.mil/geo-division/GENC/6/3-11/BM-07","as:GENC:6:3-11:BM-07")</f>
        <v>as:GENC:6:3-11:BM-07</v>
      </c>
    </row>
    <row r="425" spans="1:7" x14ac:dyDescent="0.25">
      <c r="A425" s="112"/>
      <c r="B425" s="21" t="s">
        <v>2514</v>
      </c>
      <c r="C425" s="21" t="s">
        <v>2515</v>
      </c>
      <c r="D425" s="21" t="s">
        <v>1858</v>
      </c>
      <c r="E425" s="50" t="b">
        <v>1</v>
      </c>
      <c r="F425" s="72" t="str">
        <f>HYPERLINK("http://nsgreg.nga.mil/genc/view?v=291741&amp;end_month=6&amp;end_day=30&amp;end_year=2019","Sandys")</f>
        <v>Sandys</v>
      </c>
      <c r="G425" s="72" t="str">
        <f>HYPERLINK("http://api.nsgreg.nga.mil/geo-division/GENC/6/3-11/BM-08","as:GENC:6:3-11:BM-08")</f>
        <v>as:GENC:6:3-11:BM-08</v>
      </c>
    </row>
    <row r="426" spans="1:7" x14ac:dyDescent="0.25">
      <c r="A426" s="112"/>
      <c r="B426" s="21" t="s">
        <v>2516</v>
      </c>
      <c r="C426" s="21" t="s">
        <v>2517</v>
      </c>
      <c r="D426" s="21" t="s">
        <v>1858</v>
      </c>
      <c r="E426" s="50" t="b">
        <v>1</v>
      </c>
      <c r="F426" s="72" t="str">
        <f>HYPERLINK("http://nsgreg.nga.mil/genc/view?v=291742&amp;end_month=6&amp;end_day=30&amp;end_year=2019","Smith’s")</f>
        <v>Smith’s</v>
      </c>
      <c r="G426" s="72" t="str">
        <f>HYPERLINK("http://api.nsgreg.nga.mil/geo-division/GENC/6/3-11/BM-09","as:GENC:6:3-11:BM-09")</f>
        <v>as:GENC:6:3-11:BM-09</v>
      </c>
    </row>
    <row r="427" spans="1:7" x14ac:dyDescent="0.25">
      <c r="A427" s="112"/>
      <c r="B427" s="21" t="s">
        <v>2518</v>
      </c>
      <c r="C427" s="21" t="s">
        <v>2519</v>
      </c>
      <c r="D427" s="21" t="s">
        <v>1858</v>
      </c>
      <c r="E427" s="50" t="b">
        <v>1</v>
      </c>
      <c r="F427" s="72" t="str">
        <f>HYPERLINK("http://nsgreg.nga.mil/genc/view?v=291743&amp;end_month=6&amp;end_day=30&amp;end_year=2019","Southampton")</f>
        <v>Southampton</v>
      </c>
      <c r="G427" s="72" t="str">
        <f>HYPERLINK("http://api.nsgreg.nga.mil/geo-division/GENC/6/3-11/BM-10","as:GENC:6:3-11:BM-10")</f>
        <v>as:GENC:6:3-11:BM-10</v>
      </c>
    </row>
    <row r="428" spans="1:7" x14ac:dyDescent="0.25">
      <c r="A428" s="113"/>
      <c r="B428" s="47" t="s">
        <v>2520</v>
      </c>
      <c r="C428" s="47" t="s">
        <v>2521</v>
      </c>
      <c r="D428" s="47" t="s">
        <v>1858</v>
      </c>
      <c r="E428" s="51" t="b">
        <v>1</v>
      </c>
      <c r="F428" s="73" t="str">
        <f>HYPERLINK("http://nsgreg.nga.mil/genc/view?v=291744&amp;end_month=6&amp;end_day=30&amp;end_year=2019","Warwick")</f>
        <v>Warwick</v>
      </c>
      <c r="G428" s="73" t="str">
        <f>HYPERLINK("http://api.nsgreg.nga.mil/geo-division/GENC/6/3-11/BM-11","as:GENC:6:3-11:BM-11")</f>
        <v>as:GENC:6:3-11:BM-11</v>
      </c>
    </row>
    <row r="429" spans="1:7" x14ac:dyDescent="0.25">
      <c r="A429" s="111" t="str">
        <f>HYPERLINK("[#]Codes_for_GE_Names!A32:I32","BHUTAN")</f>
        <v>BHUTAN</v>
      </c>
      <c r="B429" s="42" t="s">
        <v>2522</v>
      </c>
      <c r="C429" s="42" t="s">
        <v>2523</v>
      </c>
      <c r="D429" s="42" t="s">
        <v>2035</v>
      </c>
      <c r="E429" s="49" t="b">
        <v>1</v>
      </c>
      <c r="F429" s="74" t="str">
        <f>HYPERLINK("http://nsgreg.nga.mil/genc/view?v=291831&amp;end_month=6&amp;end_day=30&amp;end_year=2019","Bumthang")</f>
        <v>Bumthang</v>
      </c>
      <c r="G429" s="74" t="str">
        <f>HYPERLINK("http://api.nsgreg.nga.mil/geo-division/GENC/6/3-11/BT-33","as:GENC:6:3-11:BT-33")</f>
        <v>as:GENC:6:3-11:BT-33</v>
      </c>
    </row>
    <row r="430" spans="1:7" x14ac:dyDescent="0.25">
      <c r="A430" s="112"/>
      <c r="B430" s="21" t="s">
        <v>2524</v>
      </c>
      <c r="C430" s="21" t="s">
        <v>2525</v>
      </c>
      <c r="D430" s="21" t="s">
        <v>2035</v>
      </c>
      <c r="E430" s="50" t="b">
        <v>1</v>
      </c>
      <c r="F430" s="72" t="str">
        <f>HYPERLINK("http://nsgreg.nga.mil/genc/view?v=291821&amp;end_month=6&amp;end_day=30&amp;end_year=2019","Chhukha")</f>
        <v>Chhukha</v>
      </c>
      <c r="G430" s="72" t="str">
        <f>HYPERLINK("http://api.nsgreg.nga.mil/geo-division/GENC/6/3-11/BT-12","as:GENC:6:3-11:BT-12")</f>
        <v>as:GENC:6:3-11:BT-12</v>
      </c>
    </row>
    <row r="431" spans="1:7" x14ac:dyDescent="0.25">
      <c r="A431" s="112"/>
      <c r="B431" s="21" t="s">
        <v>2526</v>
      </c>
      <c r="C431" s="21" t="s">
        <v>2527</v>
      </c>
      <c r="D431" s="21" t="s">
        <v>2035</v>
      </c>
      <c r="E431" s="50" t="b">
        <v>1</v>
      </c>
      <c r="F431" s="72" t="str">
        <f>HYPERLINK("http://nsgreg.nga.mil/genc/view?v=291826&amp;end_month=6&amp;end_day=30&amp;end_year=2019","Dagana")</f>
        <v>Dagana</v>
      </c>
      <c r="G431" s="72" t="str">
        <f>HYPERLINK("http://api.nsgreg.nga.mil/geo-division/GENC/6/3-11/BT-22","as:GENC:6:3-11:BT-22")</f>
        <v>as:GENC:6:3-11:BT-22</v>
      </c>
    </row>
    <row r="432" spans="1:7" x14ac:dyDescent="0.25">
      <c r="A432" s="112"/>
      <c r="B432" s="21" t="s">
        <v>2528</v>
      </c>
      <c r="C432" s="21" t="s">
        <v>2529</v>
      </c>
      <c r="D432" s="21" t="s">
        <v>2035</v>
      </c>
      <c r="E432" s="50" t="b">
        <v>1</v>
      </c>
      <c r="F432" s="72" t="str">
        <f>HYPERLINK("http://nsgreg.nga.mil/genc/view?v=291838&amp;end_month=6&amp;end_day=30&amp;end_year=2019","Gasa")</f>
        <v>Gasa</v>
      </c>
      <c r="G432" s="72" t="str">
        <f>HYPERLINK("http://api.nsgreg.nga.mil/geo-division/GENC/6/3-11/BT-GA","as:GENC:6:3-11:BT-GA")</f>
        <v>as:GENC:6:3-11:BT-GA</v>
      </c>
    </row>
    <row r="433" spans="1:7" x14ac:dyDescent="0.25">
      <c r="A433" s="112"/>
      <c r="B433" s="21" t="s">
        <v>2530</v>
      </c>
      <c r="C433" s="21" t="s">
        <v>2531</v>
      </c>
      <c r="D433" s="21" t="s">
        <v>2035</v>
      </c>
      <c r="E433" s="50" t="b">
        <v>1</v>
      </c>
      <c r="F433" s="72" t="str">
        <f>HYPERLINK("http://nsgreg.nga.mil/genc/view?v=291822&amp;end_month=6&amp;end_day=30&amp;end_year=2019","Haa")</f>
        <v>Haa</v>
      </c>
      <c r="G433" s="72" t="str">
        <f>HYPERLINK("http://api.nsgreg.nga.mil/geo-division/GENC/6/3-11/BT-13","as:GENC:6:3-11:BT-13")</f>
        <v>as:GENC:6:3-11:BT-13</v>
      </c>
    </row>
    <row r="434" spans="1:7" x14ac:dyDescent="0.25">
      <c r="A434" s="112"/>
      <c r="B434" s="21" t="s">
        <v>2532</v>
      </c>
      <c r="C434" s="21" t="s">
        <v>2533</v>
      </c>
      <c r="D434" s="21" t="s">
        <v>2035</v>
      </c>
      <c r="E434" s="50" t="b">
        <v>1</v>
      </c>
      <c r="F434" s="72" t="str">
        <f>HYPERLINK("http://nsgreg.nga.mil/genc/view?v=291836&amp;end_month=6&amp;end_day=30&amp;end_year=2019","Lhuentse")</f>
        <v>Lhuentse</v>
      </c>
      <c r="G434" s="72" t="str">
        <f>HYPERLINK("http://api.nsgreg.nga.mil/geo-division/GENC/6/3-11/BT-44","as:GENC:6:3-11:BT-44")</f>
        <v>as:GENC:6:3-11:BT-44</v>
      </c>
    </row>
    <row r="435" spans="1:7" x14ac:dyDescent="0.25">
      <c r="A435" s="112"/>
      <c r="B435" s="21" t="s">
        <v>2534</v>
      </c>
      <c r="C435" s="21" t="s">
        <v>2535</v>
      </c>
      <c r="D435" s="21" t="s">
        <v>2035</v>
      </c>
      <c r="E435" s="50" t="b">
        <v>1</v>
      </c>
      <c r="F435" s="72" t="str">
        <f>HYPERLINK("http://nsgreg.nga.mil/genc/view?v=291834&amp;end_month=6&amp;end_day=30&amp;end_year=2019","Mongar")</f>
        <v>Mongar</v>
      </c>
      <c r="G435" s="72" t="str">
        <f>HYPERLINK("http://api.nsgreg.nga.mil/geo-division/GENC/6/3-11/BT-42","as:GENC:6:3-11:BT-42")</f>
        <v>as:GENC:6:3-11:BT-42</v>
      </c>
    </row>
    <row r="436" spans="1:7" x14ac:dyDescent="0.25">
      <c r="A436" s="112"/>
      <c r="B436" s="21" t="s">
        <v>2536</v>
      </c>
      <c r="C436" s="21" t="s">
        <v>2537</v>
      </c>
      <c r="D436" s="21" t="s">
        <v>2035</v>
      </c>
      <c r="E436" s="50" t="b">
        <v>1</v>
      </c>
      <c r="F436" s="72" t="str">
        <f>HYPERLINK("http://nsgreg.nga.mil/genc/view?v=291820&amp;end_month=6&amp;end_day=30&amp;end_year=2019","Paro")</f>
        <v>Paro</v>
      </c>
      <c r="G436" s="72" t="str">
        <f>HYPERLINK("http://api.nsgreg.nga.mil/geo-division/GENC/6/3-11/BT-11","as:GENC:6:3-11:BT-11")</f>
        <v>as:GENC:6:3-11:BT-11</v>
      </c>
    </row>
    <row r="437" spans="1:7" x14ac:dyDescent="0.25">
      <c r="A437" s="112"/>
      <c r="B437" s="21" t="s">
        <v>2538</v>
      </c>
      <c r="C437" s="21" t="s">
        <v>2539</v>
      </c>
      <c r="D437" s="21" t="s">
        <v>2035</v>
      </c>
      <c r="E437" s="50" t="b">
        <v>1</v>
      </c>
      <c r="F437" s="72" t="str">
        <f>HYPERLINK("http://nsgreg.nga.mil/genc/view?v=291835&amp;end_month=6&amp;end_day=30&amp;end_year=2019","Pemagatshel")</f>
        <v>Pemagatshel</v>
      </c>
      <c r="G437" s="72" t="str">
        <f>HYPERLINK("http://api.nsgreg.nga.mil/geo-division/GENC/6/3-11/BT-43","as:GENC:6:3-11:BT-43")</f>
        <v>as:GENC:6:3-11:BT-43</v>
      </c>
    </row>
    <row r="438" spans="1:7" x14ac:dyDescent="0.25">
      <c r="A438" s="112"/>
      <c r="B438" s="21" t="s">
        <v>2540</v>
      </c>
      <c r="C438" s="21" t="s">
        <v>2541</v>
      </c>
      <c r="D438" s="21" t="s">
        <v>2035</v>
      </c>
      <c r="E438" s="50" t="b">
        <v>1</v>
      </c>
      <c r="F438" s="72" t="str">
        <f>HYPERLINK("http://nsgreg.nga.mil/genc/view?v=291827&amp;end_month=6&amp;end_day=30&amp;end_year=2019","Punakha")</f>
        <v>Punakha</v>
      </c>
      <c r="G438" s="72" t="str">
        <f>HYPERLINK("http://api.nsgreg.nga.mil/geo-division/GENC/6/3-11/BT-23","as:GENC:6:3-11:BT-23")</f>
        <v>as:GENC:6:3-11:BT-23</v>
      </c>
    </row>
    <row r="439" spans="1:7" x14ac:dyDescent="0.25">
      <c r="A439" s="112"/>
      <c r="B439" s="21" t="s">
        <v>2542</v>
      </c>
      <c r="C439" s="21" t="s">
        <v>2543</v>
      </c>
      <c r="D439" s="21" t="s">
        <v>2035</v>
      </c>
      <c r="E439" s="50" t="b">
        <v>1</v>
      </c>
      <c r="F439" s="72" t="str">
        <f>HYPERLINK("http://nsgreg.nga.mil/genc/view?v=291837&amp;end_month=6&amp;end_day=30&amp;end_year=2019","Samdrup Jongkhar")</f>
        <v>Samdrup Jongkhar</v>
      </c>
      <c r="G439" s="72" t="str">
        <f>HYPERLINK("http://api.nsgreg.nga.mil/geo-division/GENC/6/3-11/BT-45","as:GENC:6:3-11:BT-45")</f>
        <v>as:GENC:6:3-11:BT-45</v>
      </c>
    </row>
    <row r="440" spans="1:7" x14ac:dyDescent="0.25">
      <c r="A440" s="112"/>
      <c r="B440" s="21" t="s">
        <v>2544</v>
      </c>
      <c r="C440" s="21" t="s">
        <v>2545</v>
      </c>
      <c r="D440" s="21" t="s">
        <v>2035</v>
      </c>
      <c r="E440" s="50" t="b">
        <v>1</v>
      </c>
      <c r="F440" s="72" t="str">
        <f>HYPERLINK("http://nsgreg.nga.mil/genc/view?v=291823&amp;end_month=6&amp;end_day=30&amp;end_year=2019","Samtse")</f>
        <v>Samtse</v>
      </c>
      <c r="G440" s="72" t="str">
        <f>HYPERLINK("http://api.nsgreg.nga.mil/geo-division/GENC/6/3-11/BT-14","as:GENC:6:3-11:BT-14")</f>
        <v>as:GENC:6:3-11:BT-14</v>
      </c>
    </row>
    <row r="441" spans="1:7" x14ac:dyDescent="0.25">
      <c r="A441" s="112"/>
      <c r="B441" s="21" t="s">
        <v>2546</v>
      </c>
      <c r="C441" s="21" t="s">
        <v>2547</v>
      </c>
      <c r="D441" s="21" t="s">
        <v>2035</v>
      </c>
      <c r="E441" s="50" t="b">
        <v>1</v>
      </c>
      <c r="F441" s="72" t="str">
        <f>HYPERLINK("http://nsgreg.nga.mil/genc/view?v=291829&amp;end_month=6&amp;end_day=30&amp;end_year=2019","Sarpang")</f>
        <v>Sarpang</v>
      </c>
      <c r="G441" s="72" t="str">
        <f>HYPERLINK("http://api.nsgreg.nga.mil/geo-division/GENC/6/3-11/BT-31","as:GENC:6:3-11:BT-31")</f>
        <v>as:GENC:6:3-11:BT-31</v>
      </c>
    </row>
    <row r="442" spans="1:7" x14ac:dyDescent="0.25">
      <c r="A442" s="112"/>
      <c r="B442" s="21" t="s">
        <v>2548</v>
      </c>
      <c r="C442" s="21" t="s">
        <v>2549</v>
      </c>
      <c r="D442" s="21" t="s">
        <v>2035</v>
      </c>
      <c r="E442" s="50" t="b">
        <v>1</v>
      </c>
      <c r="F442" s="72" t="str">
        <f>HYPERLINK("http://nsgreg.nga.mil/genc/view?v=291824&amp;end_month=6&amp;end_day=30&amp;end_year=2019","Thimphu")</f>
        <v>Thimphu</v>
      </c>
      <c r="G442" s="72" t="str">
        <f>HYPERLINK("http://api.nsgreg.nga.mil/geo-division/GENC/6/3-11/BT-15","as:GENC:6:3-11:BT-15")</f>
        <v>as:GENC:6:3-11:BT-15</v>
      </c>
    </row>
    <row r="443" spans="1:7" x14ac:dyDescent="0.25">
      <c r="A443" s="112"/>
      <c r="B443" s="21" t="s">
        <v>2550</v>
      </c>
      <c r="C443" s="21" t="s">
        <v>2551</v>
      </c>
      <c r="D443" s="21" t="s">
        <v>2035</v>
      </c>
      <c r="E443" s="50" t="b">
        <v>1</v>
      </c>
      <c r="F443" s="72" t="str">
        <f>HYPERLINK("http://nsgreg.nga.mil/genc/view?v=291833&amp;end_month=6&amp;end_day=30&amp;end_year=2019","Trashigang")</f>
        <v>Trashigang</v>
      </c>
      <c r="G443" s="72" t="str">
        <f>HYPERLINK("http://api.nsgreg.nga.mil/geo-division/GENC/6/3-11/BT-41","as:GENC:6:3-11:BT-41")</f>
        <v>as:GENC:6:3-11:BT-41</v>
      </c>
    </row>
    <row r="444" spans="1:7" x14ac:dyDescent="0.25">
      <c r="A444" s="112"/>
      <c r="B444" s="21" t="s">
        <v>2552</v>
      </c>
      <c r="C444" s="21" t="s">
        <v>2553</v>
      </c>
      <c r="D444" s="21" t="s">
        <v>2035</v>
      </c>
      <c r="E444" s="50" t="b">
        <v>1</v>
      </c>
      <c r="F444" s="72" t="str">
        <f>HYPERLINK("http://nsgreg.nga.mil/genc/view?v=291839&amp;end_month=6&amp;end_day=30&amp;end_year=2019","Trashi Yangtse")</f>
        <v>Trashi Yangtse</v>
      </c>
      <c r="G444" s="72" t="str">
        <f>HYPERLINK("http://api.nsgreg.nga.mil/geo-division/GENC/6/3-11/BT-TY","as:GENC:6:3-11:BT-TY")</f>
        <v>as:GENC:6:3-11:BT-TY</v>
      </c>
    </row>
    <row r="445" spans="1:7" x14ac:dyDescent="0.25">
      <c r="A445" s="112"/>
      <c r="B445" s="21" t="s">
        <v>2554</v>
      </c>
      <c r="C445" s="21" t="s">
        <v>2555</v>
      </c>
      <c r="D445" s="21" t="s">
        <v>2035</v>
      </c>
      <c r="E445" s="50" t="b">
        <v>1</v>
      </c>
      <c r="F445" s="72" t="str">
        <f>HYPERLINK("http://nsgreg.nga.mil/genc/view?v=291830&amp;end_month=6&amp;end_day=30&amp;end_year=2019","Trongsa")</f>
        <v>Trongsa</v>
      </c>
      <c r="G445" s="72" t="str">
        <f>HYPERLINK("http://api.nsgreg.nga.mil/geo-division/GENC/6/3-11/BT-32","as:GENC:6:3-11:BT-32")</f>
        <v>as:GENC:6:3-11:BT-32</v>
      </c>
    </row>
    <row r="446" spans="1:7" x14ac:dyDescent="0.25">
      <c r="A446" s="112"/>
      <c r="B446" s="21" t="s">
        <v>2556</v>
      </c>
      <c r="C446" s="21" t="s">
        <v>2557</v>
      </c>
      <c r="D446" s="21" t="s">
        <v>2035</v>
      </c>
      <c r="E446" s="50" t="b">
        <v>1</v>
      </c>
      <c r="F446" s="72" t="str">
        <f>HYPERLINK("http://nsgreg.nga.mil/genc/view?v=291825&amp;end_month=6&amp;end_day=30&amp;end_year=2019","Tsirang")</f>
        <v>Tsirang</v>
      </c>
      <c r="G446" s="72" t="str">
        <f>HYPERLINK("http://api.nsgreg.nga.mil/geo-division/GENC/6/3-11/BT-21","as:GENC:6:3-11:BT-21")</f>
        <v>as:GENC:6:3-11:BT-21</v>
      </c>
    </row>
    <row r="447" spans="1:7" x14ac:dyDescent="0.25">
      <c r="A447" s="112"/>
      <c r="B447" s="21" t="s">
        <v>2558</v>
      </c>
      <c r="C447" s="21" t="s">
        <v>2559</v>
      </c>
      <c r="D447" s="21" t="s">
        <v>2035</v>
      </c>
      <c r="E447" s="50" t="b">
        <v>1</v>
      </c>
      <c r="F447" s="72" t="str">
        <f>HYPERLINK("http://nsgreg.nga.mil/genc/view?v=291828&amp;end_month=6&amp;end_day=30&amp;end_year=2019","Wangdue Phodrang")</f>
        <v>Wangdue Phodrang</v>
      </c>
      <c r="G447" s="72" t="str">
        <f>HYPERLINK("http://api.nsgreg.nga.mil/geo-division/GENC/6/3-11/BT-24","as:GENC:6:3-11:BT-24")</f>
        <v>as:GENC:6:3-11:BT-24</v>
      </c>
    </row>
    <row r="448" spans="1:7" x14ac:dyDescent="0.25">
      <c r="A448" s="113"/>
      <c r="B448" s="47" t="s">
        <v>2560</v>
      </c>
      <c r="C448" s="47" t="s">
        <v>2561</v>
      </c>
      <c r="D448" s="47" t="s">
        <v>2035</v>
      </c>
      <c r="E448" s="51" t="b">
        <v>1</v>
      </c>
      <c r="F448" s="73" t="str">
        <f>HYPERLINK("http://nsgreg.nga.mil/genc/view?v=291832&amp;end_month=6&amp;end_day=30&amp;end_year=2019","Zhemgang")</f>
        <v>Zhemgang</v>
      </c>
      <c r="G448" s="73" t="str">
        <f>HYPERLINK("http://api.nsgreg.nga.mil/geo-division/GENC/6/3-11/BT-34","as:GENC:6:3-11:BT-34")</f>
        <v>as:GENC:6:3-11:BT-34</v>
      </c>
    </row>
    <row r="449" spans="1:7" x14ac:dyDescent="0.25">
      <c r="A449" s="111" t="str">
        <f>HYPERLINK("[#]Codes_for_GE_Names!A33:I33","BOLIVIA")</f>
        <v>BOLIVIA</v>
      </c>
      <c r="B449" s="42" t="s">
        <v>2562</v>
      </c>
      <c r="C449" s="42" t="s">
        <v>2563</v>
      </c>
      <c r="D449" s="42" t="s">
        <v>2478</v>
      </c>
      <c r="E449" s="49" t="b">
        <v>1</v>
      </c>
      <c r="F449" s="74" t="str">
        <f>HYPERLINK("http://nsgreg.nga.mil/genc/view?v=291751&amp;end_month=6&amp;end_day=30&amp;end_year=2019","Chuquisaca")</f>
        <v>Chuquisaca</v>
      </c>
      <c r="G449" s="74" t="str">
        <f>HYPERLINK("http://api.nsgreg.nga.mil/geo-division/GENC/6/3-11/BO-H","as:GENC:6:3-11:BO-H")</f>
        <v>as:GENC:6:3-11:BO-H</v>
      </c>
    </row>
    <row r="450" spans="1:7" x14ac:dyDescent="0.25">
      <c r="A450" s="112"/>
      <c r="B450" s="21" t="s">
        <v>2564</v>
      </c>
      <c r="C450" s="21" t="s">
        <v>2565</v>
      </c>
      <c r="D450" s="21" t="s">
        <v>2478</v>
      </c>
      <c r="E450" s="50" t="b">
        <v>1</v>
      </c>
      <c r="F450" s="72" t="str">
        <f>HYPERLINK("http://nsgreg.nga.mil/genc/view?v=291750&amp;end_month=6&amp;end_day=30&amp;end_year=2019","Cochabamba")</f>
        <v>Cochabamba</v>
      </c>
      <c r="G450" s="72" t="str">
        <f>HYPERLINK("http://api.nsgreg.nga.mil/geo-division/GENC/6/3-11/BO-C","as:GENC:6:3-11:BO-C")</f>
        <v>as:GENC:6:3-11:BO-C</v>
      </c>
    </row>
    <row r="451" spans="1:7" x14ac:dyDescent="0.25">
      <c r="A451" s="112"/>
      <c r="B451" s="21" t="s">
        <v>2566</v>
      </c>
      <c r="C451" s="21" t="s">
        <v>2567</v>
      </c>
      <c r="D451" s="21" t="s">
        <v>2478</v>
      </c>
      <c r="E451" s="50" t="b">
        <v>1</v>
      </c>
      <c r="F451" s="72" t="str">
        <f>HYPERLINK("http://nsgreg.nga.mil/genc/view?v=291749&amp;end_month=6&amp;end_day=30&amp;end_year=2019","El Beni")</f>
        <v>El Beni</v>
      </c>
      <c r="G451" s="72" t="str">
        <f>HYPERLINK("http://api.nsgreg.nga.mil/geo-division/GENC/6/3-11/BO-B","as:GENC:6:3-11:BO-B")</f>
        <v>as:GENC:6:3-11:BO-B</v>
      </c>
    </row>
    <row r="452" spans="1:7" x14ac:dyDescent="0.25">
      <c r="A452" s="112"/>
      <c r="B452" s="21" t="s">
        <v>2568</v>
      </c>
      <c r="C452" s="21" t="s">
        <v>2569</v>
      </c>
      <c r="D452" s="21" t="s">
        <v>2478</v>
      </c>
      <c r="E452" s="50" t="b">
        <v>1</v>
      </c>
      <c r="F452" s="72" t="str">
        <f>HYPERLINK("http://nsgreg.nga.mil/genc/view?v=291752&amp;end_month=6&amp;end_day=30&amp;end_year=2019","La Paz")</f>
        <v>La Paz</v>
      </c>
      <c r="G452" s="72" t="str">
        <f>HYPERLINK("http://api.nsgreg.nga.mil/geo-division/GENC/6/3-11/BO-L","as:GENC:6:3-11:BO-L")</f>
        <v>as:GENC:6:3-11:BO-L</v>
      </c>
    </row>
    <row r="453" spans="1:7" x14ac:dyDescent="0.25">
      <c r="A453" s="112"/>
      <c r="B453" s="21" t="s">
        <v>2570</v>
      </c>
      <c r="C453" s="21" t="s">
        <v>2571</v>
      </c>
      <c r="D453" s="21" t="s">
        <v>2478</v>
      </c>
      <c r="E453" s="50" t="b">
        <v>1</v>
      </c>
      <c r="F453" s="72" t="str">
        <f>HYPERLINK("http://nsgreg.nga.mil/genc/view?v=291754&amp;end_month=6&amp;end_day=30&amp;end_year=2019","Oruro")</f>
        <v>Oruro</v>
      </c>
      <c r="G453" s="72" t="str">
        <f>HYPERLINK("http://api.nsgreg.nga.mil/geo-division/GENC/6/3-11/BO-O","as:GENC:6:3-11:BO-O")</f>
        <v>as:GENC:6:3-11:BO-O</v>
      </c>
    </row>
    <row r="454" spans="1:7" x14ac:dyDescent="0.25">
      <c r="A454" s="112"/>
      <c r="B454" s="21" t="s">
        <v>2572</v>
      </c>
      <c r="C454" s="21" t="s">
        <v>2573</v>
      </c>
      <c r="D454" s="21" t="s">
        <v>2478</v>
      </c>
      <c r="E454" s="50" t="b">
        <v>1</v>
      </c>
      <c r="F454" s="72" t="str">
        <f>HYPERLINK("http://nsgreg.nga.mil/genc/view?v=291753&amp;end_month=6&amp;end_day=30&amp;end_year=2019","Pando")</f>
        <v>Pando</v>
      </c>
      <c r="G454" s="72" t="str">
        <f>HYPERLINK("http://api.nsgreg.nga.mil/geo-division/GENC/6/3-11/BO-N","as:GENC:6:3-11:BO-N")</f>
        <v>as:GENC:6:3-11:BO-N</v>
      </c>
    </row>
    <row r="455" spans="1:7" x14ac:dyDescent="0.25">
      <c r="A455" s="112"/>
      <c r="B455" s="21" t="s">
        <v>2574</v>
      </c>
      <c r="C455" s="21" t="s">
        <v>2575</v>
      </c>
      <c r="D455" s="21" t="s">
        <v>2478</v>
      </c>
      <c r="E455" s="50" t="b">
        <v>1</v>
      </c>
      <c r="F455" s="72" t="str">
        <f>HYPERLINK("http://nsgreg.nga.mil/genc/view?v=291755&amp;end_month=6&amp;end_day=30&amp;end_year=2019","Potosí")</f>
        <v>Potosí</v>
      </c>
      <c r="G455" s="72" t="str">
        <f>HYPERLINK("http://api.nsgreg.nga.mil/geo-division/GENC/6/3-11/BO-P","as:GENC:6:3-11:BO-P")</f>
        <v>as:GENC:6:3-11:BO-P</v>
      </c>
    </row>
    <row r="456" spans="1:7" x14ac:dyDescent="0.25">
      <c r="A456" s="112"/>
      <c r="B456" s="21" t="s">
        <v>2576</v>
      </c>
      <c r="C456" s="21" t="s">
        <v>1964</v>
      </c>
      <c r="D456" s="21" t="s">
        <v>2478</v>
      </c>
      <c r="E456" s="50" t="b">
        <v>1</v>
      </c>
      <c r="F456" s="72" t="str">
        <f>HYPERLINK("http://nsgreg.nga.mil/genc/view?v=291756&amp;end_month=6&amp;end_day=30&amp;end_year=2019","Santa Cruz")</f>
        <v>Santa Cruz</v>
      </c>
      <c r="G456" s="72" t="str">
        <f>HYPERLINK("http://api.nsgreg.nga.mil/geo-division/GENC/6/3-11/BO-S","as:GENC:6:3-11:BO-S")</f>
        <v>as:GENC:6:3-11:BO-S</v>
      </c>
    </row>
    <row r="457" spans="1:7" x14ac:dyDescent="0.25">
      <c r="A457" s="113"/>
      <c r="B457" s="47" t="s">
        <v>2577</v>
      </c>
      <c r="C457" s="47" t="s">
        <v>2578</v>
      </c>
      <c r="D457" s="47" t="s">
        <v>2478</v>
      </c>
      <c r="E457" s="51" t="b">
        <v>1</v>
      </c>
      <c r="F457" s="73" t="str">
        <f>HYPERLINK("http://nsgreg.nga.mil/genc/view?v=291757&amp;end_month=6&amp;end_day=30&amp;end_year=2019","Tarija")</f>
        <v>Tarija</v>
      </c>
      <c r="G457" s="73" t="str">
        <f>HYPERLINK("http://api.nsgreg.nga.mil/geo-division/GENC/6/3-11/BO-T","as:GENC:6:3-11:BO-T")</f>
        <v>as:GENC:6:3-11:BO-T</v>
      </c>
    </row>
    <row r="458" spans="1:7" x14ac:dyDescent="0.25">
      <c r="A458" s="111" t="str">
        <f>HYPERLINK("[#]Codes_for_GE_Names!A34:I34","BONAIRE, SINT EUSTATIUS, AND SABA")</f>
        <v>BONAIRE, SINT EUSTATIUS, AND SABA</v>
      </c>
      <c r="B458" s="42" t="s">
        <v>2579</v>
      </c>
      <c r="C458" s="42" t="s">
        <v>2580</v>
      </c>
      <c r="D458" s="80" t="s">
        <v>2581</v>
      </c>
      <c r="E458" s="81" t="b">
        <v>0</v>
      </c>
      <c r="F458" s="74" t="str">
        <f>HYPERLINK("http://nsgreg.nga.mil/genc/view?v=291758&amp;end_month=6&amp;end_day=30&amp;end_year=2019","Bonaire")</f>
        <v>Bonaire</v>
      </c>
      <c r="G458" s="74" t="str">
        <f>HYPERLINK("http://api.nsgreg.nga.mil/geo-division/GENC/6/3-11/BQ-BO","as:GENC:6:3-11:BQ-BO")</f>
        <v>as:GENC:6:3-11:BQ-BO</v>
      </c>
    </row>
    <row r="459" spans="1:7" x14ac:dyDescent="0.25">
      <c r="A459" s="112"/>
      <c r="B459" s="21" t="s">
        <v>2582</v>
      </c>
      <c r="C459" s="21" t="s">
        <v>2583</v>
      </c>
      <c r="D459" s="76" t="s">
        <v>2581</v>
      </c>
      <c r="E459" s="77" t="b">
        <v>0</v>
      </c>
      <c r="F459" s="72" t="str">
        <f>HYPERLINK("http://nsgreg.nga.mil/genc/view?v=291759&amp;end_month=6&amp;end_day=30&amp;end_year=2019","Saba")</f>
        <v>Saba</v>
      </c>
      <c r="G459" s="72" t="str">
        <f>HYPERLINK("http://api.nsgreg.nga.mil/geo-division/GENC/6/3-11/BQ-SA","as:GENC:6:3-11:BQ-SA")</f>
        <v>as:GENC:6:3-11:BQ-SA</v>
      </c>
    </row>
    <row r="460" spans="1:7" x14ac:dyDescent="0.25">
      <c r="A460" s="113"/>
      <c r="B460" s="47" t="s">
        <v>2584</v>
      </c>
      <c r="C460" s="47" t="s">
        <v>2585</v>
      </c>
      <c r="D460" s="78" t="s">
        <v>2581</v>
      </c>
      <c r="E460" s="79" t="b">
        <v>0</v>
      </c>
      <c r="F460" s="73" t="str">
        <f>HYPERLINK("http://nsgreg.nga.mil/genc/view?v=291760&amp;end_month=6&amp;end_day=30&amp;end_year=2019","Sint Eustatius")</f>
        <v>Sint Eustatius</v>
      </c>
      <c r="G460" s="73" t="str">
        <f>HYPERLINK("http://api.nsgreg.nga.mil/geo-division/GENC/6/3-11/BQ-SE","as:GENC:6:3-11:BQ-SE")</f>
        <v>as:GENC:6:3-11:BQ-SE</v>
      </c>
    </row>
    <row r="461" spans="1:7" x14ac:dyDescent="0.25">
      <c r="A461" s="111" t="str">
        <f>HYPERLINK("[#]Codes_for_GE_Names!A35:I35","BOSNIA AND HERZEGOVINA")</f>
        <v>BOSNIA AND HERZEGOVINA</v>
      </c>
      <c r="B461" s="42" t="s">
        <v>2586</v>
      </c>
      <c r="C461" s="42" t="s">
        <v>2587</v>
      </c>
      <c r="D461" s="42" t="s">
        <v>2588</v>
      </c>
      <c r="E461" s="49" t="b">
        <v>1</v>
      </c>
      <c r="F461" s="74" t="str">
        <f>HYPERLINK("http://nsgreg.nga.mil/genc/view?v=291515&amp;end_month=6&amp;end_day=30&amp;end_year=2019","Bosnia and Herzegovina, Federation of")</f>
        <v>Bosnia and Herzegovina, Federation of</v>
      </c>
      <c r="G461" s="74" t="str">
        <f>HYPERLINK("http://api.nsgreg.nga.mil/geo-division/GENC/6/3-11/BA-BIH","as:GENC:6:3-11:BA-BIH")</f>
        <v>as:GENC:6:3-11:BA-BIH</v>
      </c>
    </row>
    <row r="462" spans="1:7" x14ac:dyDescent="0.25">
      <c r="A462" s="112"/>
      <c r="B462" s="21" t="s">
        <v>2589</v>
      </c>
      <c r="C462" s="21" t="s">
        <v>2590</v>
      </c>
      <c r="D462" s="21" t="s">
        <v>2035</v>
      </c>
      <c r="E462" s="50" t="b">
        <v>1</v>
      </c>
      <c r="F462" s="72" t="str">
        <f>HYPERLINK("http://nsgreg.nga.mil/genc/view?v=291516&amp;end_month=6&amp;end_day=30&amp;end_year=2019","Brcko District")</f>
        <v>Brcko District</v>
      </c>
      <c r="G462" s="72" t="str">
        <f>HYPERLINK("http://api.nsgreg.nga.mil/geo-division/GENC/6/3-11/BA-BRC","as:GENC:6:3-11:BA-BRC")</f>
        <v>as:GENC:6:3-11:BA-BRC</v>
      </c>
    </row>
    <row r="463" spans="1:7" x14ac:dyDescent="0.25">
      <c r="A463" s="113"/>
      <c r="B463" s="47" t="s">
        <v>2591</v>
      </c>
      <c r="C463" s="47" t="s">
        <v>2592</v>
      </c>
      <c r="D463" s="47" t="s">
        <v>2593</v>
      </c>
      <c r="E463" s="51" t="b">
        <v>1</v>
      </c>
      <c r="F463" s="73" t="str">
        <f>HYPERLINK("http://nsgreg.nga.mil/genc/view?v=291517&amp;end_month=6&amp;end_day=30&amp;end_year=2019","Srpska, Republika")</f>
        <v>Srpska, Republika</v>
      </c>
      <c r="G463" s="73" t="str">
        <f>HYPERLINK("http://api.nsgreg.nga.mil/geo-division/GENC/6/3-11/BA-SRP","as:GENC:6:3-11:BA-SRP")</f>
        <v>as:GENC:6:3-11:BA-SRP</v>
      </c>
    </row>
    <row r="464" spans="1:7" x14ac:dyDescent="0.25">
      <c r="A464" s="111" t="str">
        <f>HYPERLINK("[#]Codes_for_GE_Names!A36:I36","BOTSWANA")</f>
        <v>BOTSWANA</v>
      </c>
      <c r="B464" s="42" t="s">
        <v>2594</v>
      </c>
      <c r="C464" s="42" t="s">
        <v>2595</v>
      </c>
      <c r="D464" s="42" t="s">
        <v>2035</v>
      </c>
      <c r="E464" s="49" t="b">
        <v>1</v>
      </c>
      <c r="F464" s="74" t="str">
        <f>HYPERLINK("http://nsgreg.nga.mil/genc/view?v=291840&amp;end_month=6&amp;end_day=30&amp;end_year=2019","Central")</f>
        <v>Central</v>
      </c>
      <c r="G464" s="74" t="str">
        <f>HYPERLINK("http://api.nsgreg.nga.mil/geo-division/GENC/6/3-11/BW-CE","as:GENC:6:3-11:BW-CE")</f>
        <v>as:GENC:6:3-11:BW-CE</v>
      </c>
    </row>
    <row r="465" spans="1:7" x14ac:dyDescent="0.25">
      <c r="A465" s="112"/>
      <c r="B465" s="21" t="s">
        <v>2596</v>
      </c>
      <c r="C465" s="21" t="s">
        <v>2597</v>
      </c>
      <c r="D465" s="21" t="s">
        <v>2035</v>
      </c>
      <c r="E465" s="50" t="b">
        <v>1</v>
      </c>
      <c r="F465" s="72" t="str">
        <f>HYPERLINK("http://nsgreg.nga.mil/genc/view?v=291841&amp;end_month=6&amp;end_day=30&amp;end_year=2019","Chobe")</f>
        <v>Chobe</v>
      </c>
      <c r="G465" s="72" t="str">
        <f>HYPERLINK("http://api.nsgreg.nga.mil/geo-division/GENC/6/3-11/BW-CH","as:GENC:6:3-11:BW-CH")</f>
        <v>as:GENC:6:3-11:BW-CH</v>
      </c>
    </row>
    <row r="466" spans="1:7" x14ac:dyDescent="0.25">
      <c r="A466" s="112"/>
      <c r="B466" s="21" t="s">
        <v>2598</v>
      </c>
      <c r="C466" s="21" t="s">
        <v>2599</v>
      </c>
      <c r="D466" s="21" t="s">
        <v>1996</v>
      </c>
      <c r="E466" s="50" t="b">
        <v>1</v>
      </c>
      <c r="F466" s="72" t="str">
        <f>HYPERLINK("http://nsgreg.nga.mil/genc/view?v=291842&amp;end_month=6&amp;end_day=30&amp;end_year=2019","Francistown")</f>
        <v>Francistown</v>
      </c>
      <c r="G466" s="72" t="str">
        <f>HYPERLINK("http://api.nsgreg.nga.mil/geo-division/GENC/6/3-11/BW-FR","as:GENC:6:3-11:BW-FR")</f>
        <v>as:GENC:6:3-11:BW-FR</v>
      </c>
    </row>
    <row r="467" spans="1:7" x14ac:dyDescent="0.25">
      <c r="A467" s="112"/>
      <c r="B467" s="21" t="s">
        <v>2600</v>
      </c>
      <c r="C467" s="21" t="s">
        <v>2601</v>
      </c>
      <c r="D467" s="21" t="s">
        <v>1996</v>
      </c>
      <c r="E467" s="50" t="b">
        <v>1</v>
      </c>
      <c r="F467" s="72" t="str">
        <f>HYPERLINK("http://nsgreg.nga.mil/genc/view?v=291843&amp;end_month=6&amp;end_day=30&amp;end_year=2019","Gaborone")</f>
        <v>Gaborone</v>
      </c>
      <c r="G467" s="72" t="str">
        <f>HYPERLINK("http://api.nsgreg.nga.mil/geo-division/GENC/6/3-11/BW-GA","as:GENC:6:3-11:BW-GA")</f>
        <v>as:GENC:6:3-11:BW-GA</v>
      </c>
    </row>
    <row r="468" spans="1:7" x14ac:dyDescent="0.25">
      <c r="A468" s="112"/>
      <c r="B468" s="21" t="s">
        <v>2602</v>
      </c>
      <c r="C468" s="21" t="s">
        <v>2603</v>
      </c>
      <c r="D468" s="21" t="s">
        <v>2035</v>
      </c>
      <c r="E468" s="50" t="b">
        <v>1</v>
      </c>
      <c r="F468" s="72" t="str">
        <f>HYPERLINK("http://nsgreg.nga.mil/genc/view?v=291844&amp;end_month=6&amp;end_day=30&amp;end_year=2019","Ghanzi")</f>
        <v>Ghanzi</v>
      </c>
      <c r="G468" s="72" t="str">
        <f>HYPERLINK("http://api.nsgreg.nga.mil/geo-division/GENC/6/3-11/BW-GH","as:GENC:6:3-11:BW-GH")</f>
        <v>as:GENC:6:3-11:BW-GH</v>
      </c>
    </row>
    <row r="469" spans="1:7" x14ac:dyDescent="0.25">
      <c r="A469" s="112"/>
      <c r="B469" s="21" t="s">
        <v>2604</v>
      </c>
      <c r="C469" s="21" t="s">
        <v>2605</v>
      </c>
      <c r="D469" s="21" t="s">
        <v>2606</v>
      </c>
      <c r="E469" s="50" t="b">
        <v>1</v>
      </c>
      <c r="F469" s="72" t="str">
        <f>HYPERLINK("http://nsgreg.nga.mil/genc/view?v=291845&amp;end_month=6&amp;end_day=30&amp;end_year=2019","Jwaneng")</f>
        <v>Jwaneng</v>
      </c>
      <c r="G469" s="72" t="str">
        <f>HYPERLINK("http://api.nsgreg.nga.mil/geo-division/GENC/6/3-11/BW-JW","as:GENC:6:3-11:BW-JW")</f>
        <v>as:GENC:6:3-11:BW-JW</v>
      </c>
    </row>
    <row r="470" spans="1:7" x14ac:dyDescent="0.25">
      <c r="A470" s="112"/>
      <c r="B470" s="21" t="s">
        <v>2607</v>
      </c>
      <c r="C470" s="21" t="s">
        <v>2608</v>
      </c>
      <c r="D470" s="21" t="s">
        <v>2035</v>
      </c>
      <c r="E470" s="50" t="b">
        <v>1</v>
      </c>
      <c r="F470" s="72" t="str">
        <f>HYPERLINK("http://nsgreg.nga.mil/genc/view?v=291846&amp;end_month=6&amp;end_day=30&amp;end_year=2019","Kgalagadi")</f>
        <v>Kgalagadi</v>
      </c>
      <c r="G470" s="72" t="str">
        <f>HYPERLINK("http://api.nsgreg.nga.mil/geo-division/GENC/6/3-11/BW-KG","as:GENC:6:3-11:BW-KG")</f>
        <v>as:GENC:6:3-11:BW-KG</v>
      </c>
    </row>
    <row r="471" spans="1:7" x14ac:dyDescent="0.25">
      <c r="A471" s="112"/>
      <c r="B471" s="21" t="s">
        <v>2609</v>
      </c>
      <c r="C471" s="21" t="s">
        <v>2610</v>
      </c>
      <c r="D471" s="21" t="s">
        <v>2035</v>
      </c>
      <c r="E471" s="50" t="b">
        <v>1</v>
      </c>
      <c r="F471" s="72" t="str">
        <f>HYPERLINK("http://nsgreg.nga.mil/genc/view?v=291847&amp;end_month=6&amp;end_day=30&amp;end_year=2019","Kgatleng")</f>
        <v>Kgatleng</v>
      </c>
      <c r="G471" s="72" t="str">
        <f>HYPERLINK("http://api.nsgreg.nga.mil/geo-division/GENC/6/3-11/BW-KL","as:GENC:6:3-11:BW-KL")</f>
        <v>as:GENC:6:3-11:BW-KL</v>
      </c>
    </row>
    <row r="472" spans="1:7" x14ac:dyDescent="0.25">
      <c r="A472" s="112"/>
      <c r="B472" s="21" t="s">
        <v>2611</v>
      </c>
      <c r="C472" s="21" t="s">
        <v>2612</v>
      </c>
      <c r="D472" s="21" t="s">
        <v>2035</v>
      </c>
      <c r="E472" s="50" t="b">
        <v>1</v>
      </c>
      <c r="F472" s="72" t="str">
        <f>HYPERLINK("http://nsgreg.nga.mil/genc/view?v=291848&amp;end_month=6&amp;end_day=30&amp;end_year=2019","Kweneng")</f>
        <v>Kweneng</v>
      </c>
      <c r="G472" s="72" t="str">
        <f>HYPERLINK("http://api.nsgreg.nga.mil/geo-division/GENC/6/3-11/BW-KW","as:GENC:6:3-11:BW-KW")</f>
        <v>as:GENC:6:3-11:BW-KW</v>
      </c>
    </row>
    <row r="473" spans="1:7" x14ac:dyDescent="0.25">
      <c r="A473" s="112"/>
      <c r="B473" s="21" t="s">
        <v>2613</v>
      </c>
      <c r="C473" s="21" t="s">
        <v>2614</v>
      </c>
      <c r="D473" s="21" t="s">
        <v>2606</v>
      </c>
      <c r="E473" s="50" t="b">
        <v>1</v>
      </c>
      <c r="F473" s="72" t="str">
        <f>HYPERLINK("http://nsgreg.nga.mil/genc/view?v=291849&amp;end_month=6&amp;end_day=30&amp;end_year=2019","Lobatse")</f>
        <v>Lobatse</v>
      </c>
      <c r="G473" s="72" t="str">
        <f>HYPERLINK("http://api.nsgreg.nga.mil/geo-division/GENC/6/3-11/BW-LO","as:GENC:6:3-11:BW-LO")</f>
        <v>as:GENC:6:3-11:BW-LO</v>
      </c>
    </row>
    <row r="474" spans="1:7" x14ac:dyDescent="0.25">
      <c r="A474" s="112"/>
      <c r="B474" s="21" t="s">
        <v>2615</v>
      </c>
      <c r="C474" s="21" t="s">
        <v>2616</v>
      </c>
      <c r="D474" s="21" t="s">
        <v>2035</v>
      </c>
      <c r="E474" s="50" t="b">
        <v>1</v>
      </c>
      <c r="F474" s="72" t="str">
        <f>HYPERLINK("http://nsgreg.nga.mil/genc/view?v=291850&amp;end_month=6&amp;end_day=30&amp;end_year=2019","North East")</f>
        <v>North East</v>
      </c>
      <c r="G474" s="72" t="str">
        <f>HYPERLINK("http://api.nsgreg.nga.mil/geo-division/GENC/6/3-11/BW-NE","as:GENC:6:3-11:BW-NE")</f>
        <v>as:GENC:6:3-11:BW-NE</v>
      </c>
    </row>
    <row r="475" spans="1:7" x14ac:dyDescent="0.25">
      <c r="A475" s="112"/>
      <c r="B475" s="21" t="s">
        <v>2617</v>
      </c>
      <c r="C475" s="21" t="s">
        <v>2618</v>
      </c>
      <c r="D475" s="21" t="s">
        <v>2035</v>
      </c>
      <c r="E475" s="50" t="b">
        <v>1</v>
      </c>
      <c r="F475" s="72" t="str">
        <f>HYPERLINK("http://nsgreg.nga.mil/genc/view?v=291851&amp;end_month=6&amp;end_day=30&amp;end_year=2019","North West")</f>
        <v>North West</v>
      </c>
      <c r="G475" s="72" t="str">
        <f>HYPERLINK("http://api.nsgreg.nga.mil/geo-division/GENC/6/3-11/BW-NW","as:GENC:6:3-11:BW-NW")</f>
        <v>as:GENC:6:3-11:BW-NW</v>
      </c>
    </row>
    <row r="476" spans="1:7" x14ac:dyDescent="0.25">
      <c r="A476" s="112"/>
      <c r="B476" s="21" t="s">
        <v>2619</v>
      </c>
      <c r="C476" s="21" t="s">
        <v>2620</v>
      </c>
      <c r="D476" s="21" t="s">
        <v>2606</v>
      </c>
      <c r="E476" s="50" t="b">
        <v>1</v>
      </c>
      <c r="F476" s="72" t="str">
        <f>HYPERLINK("http://nsgreg.nga.mil/genc/view?v=291854&amp;end_month=6&amp;end_day=30&amp;end_year=2019","Selibe Phikwe")</f>
        <v>Selibe Phikwe</v>
      </c>
      <c r="G476" s="72" t="str">
        <f>HYPERLINK("http://api.nsgreg.nga.mil/geo-division/GENC/6/3-11/BW-SP","as:GENC:6:3-11:BW-SP")</f>
        <v>as:GENC:6:3-11:BW-SP</v>
      </c>
    </row>
    <row r="477" spans="1:7" x14ac:dyDescent="0.25">
      <c r="A477" s="112"/>
      <c r="B477" s="21" t="s">
        <v>2621</v>
      </c>
      <c r="C477" s="21" t="s">
        <v>2622</v>
      </c>
      <c r="D477" s="21" t="s">
        <v>2035</v>
      </c>
      <c r="E477" s="50" t="b">
        <v>1</v>
      </c>
      <c r="F477" s="72" t="str">
        <f>HYPERLINK("http://nsgreg.nga.mil/genc/view?v=291852&amp;end_month=6&amp;end_day=30&amp;end_year=2019","South East")</f>
        <v>South East</v>
      </c>
      <c r="G477" s="72" t="str">
        <f>HYPERLINK("http://api.nsgreg.nga.mil/geo-division/GENC/6/3-11/BW-SE","as:GENC:6:3-11:BW-SE")</f>
        <v>as:GENC:6:3-11:BW-SE</v>
      </c>
    </row>
    <row r="478" spans="1:7" x14ac:dyDescent="0.25">
      <c r="A478" s="112"/>
      <c r="B478" s="21" t="s">
        <v>2623</v>
      </c>
      <c r="C478" s="21" t="s">
        <v>2624</v>
      </c>
      <c r="D478" s="21" t="s">
        <v>2035</v>
      </c>
      <c r="E478" s="50" t="b">
        <v>1</v>
      </c>
      <c r="F478" s="72" t="str">
        <f>HYPERLINK("http://nsgreg.nga.mil/genc/view?v=291853&amp;end_month=6&amp;end_day=30&amp;end_year=2019","Southern")</f>
        <v>Southern</v>
      </c>
      <c r="G478" s="72" t="str">
        <f>HYPERLINK("http://api.nsgreg.nga.mil/geo-division/GENC/6/3-11/BW-SO","as:GENC:6:3-11:BW-SO")</f>
        <v>as:GENC:6:3-11:BW-SO</v>
      </c>
    </row>
    <row r="479" spans="1:7" x14ac:dyDescent="0.25">
      <c r="A479" s="113"/>
      <c r="B479" s="47" t="s">
        <v>2625</v>
      </c>
      <c r="C479" s="47" t="s">
        <v>2626</v>
      </c>
      <c r="D479" s="47" t="s">
        <v>2606</v>
      </c>
      <c r="E479" s="51" t="b">
        <v>1</v>
      </c>
      <c r="F479" s="73" t="str">
        <f>HYPERLINK("http://nsgreg.nga.mil/genc/view?v=291855&amp;end_month=6&amp;end_day=30&amp;end_year=2019","Sowa Town")</f>
        <v>Sowa Town</v>
      </c>
      <c r="G479" s="73" t="str">
        <f>HYPERLINK("http://api.nsgreg.nga.mil/geo-division/GENC/6/3-11/BW-ST","as:GENC:6:3-11:BW-ST")</f>
        <v>as:GENC:6:3-11:BW-ST</v>
      </c>
    </row>
    <row r="480" spans="1:7" x14ac:dyDescent="0.25">
      <c r="A480" s="111" t="str">
        <f>HYPERLINK("[#]Codes_for_GE_Names!A38:I38","BRAZIL")</f>
        <v>BRAZIL</v>
      </c>
      <c r="B480" s="42" t="s">
        <v>2627</v>
      </c>
      <c r="C480" s="42" t="s">
        <v>2628</v>
      </c>
      <c r="D480" s="42" t="s">
        <v>2002</v>
      </c>
      <c r="E480" s="49" t="b">
        <v>1</v>
      </c>
      <c r="F480" s="74" t="str">
        <f>HYPERLINK("http://nsgreg.nga.mil/genc/view?v=291761&amp;end_month=6&amp;end_day=30&amp;end_year=2019","Acre")</f>
        <v>Acre</v>
      </c>
      <c r="G480" s="74" t="str">
        <f>HYPERLINK("http://api.nsgreg.nga.mil/geo-division/GENC/6/3-11/BR-AC","as:GENC:6:3-11:BR-AC")</f>
        <v>as:GENC:6:3-11:BR-AC</v>
      </c>
    </row>
    <row r="481" spans="1:7" x14ac:dyDescent="0.25">
      <c r="A481" s="112"/>
      <c r="B481" s="21" t="s">
        <v>2629</v>
      </c>
      <c r="C481" s="21" t="s">
        <v>2630</v>
      </c>
      <c r="D481" s="21" t="s">
        <v>2002</v>
      </c>
      <c r="E481" s="50" t="b">
        <v>1</v>
      </c>
      <c r="F481" s="72" t="str">
        <f>HYPERLINK("http://nsgreg.nga.mil/genc/view?v=291762&amp;end_month=6&amp;end_day=30&amp;end_year=2019","Alagoas")</f>
        <v>Alagoas</v>
      </c>
      <c r="G481" s="72" t="str">
        <f>HYPERLINK("http://api.nsgreg.nga.mil/geo-division/GENC/6/3-11/BR-AL","as:GENC:6:3-11:BR-AL")</f>
        <v>as:GENC:6:3-11:BR-AL</v>
      </c>
    </row>
    <row r="482" spans="1:7" x14ac:dyDescent="0.25">
      <c r="A482" s="112"/>
      <c r="B482" s="21" t="s">
        <v>2631</v>
      </c>
      <c r="C482" s="21" t="s">
        <v>2632</v>
      </c>
      <c r="D482" s="21" t="s">
        <v>2002</v>
      </c>
      <c r="E482" s="50" t="b">
        <v>1</v>
      </c>
      <c r="F482" s="72" t="str">
        <f>HYPERLINK("http://nsgreg.nga.mil/genc/view?v=291764&amp;end_month=6&amp;end_day=30&amp;end_year=2019","Amapá")</f>
        <v>Amapá</v>
      </c>
      <c r="G482" s="72" t="str">
        <f>HYPERLINK("http://api.nsgreg.nga.mil/geo-division/GENC/6/3-11/BR-AP","as:GENC:6:3-11:BR-AP")</f>
        <v>as:GENC:6:3-11:BR-AP</v>
      </c>
    </row>
    <row r="483" spans="1:7" x14ac:dyDescent="0.25">
      <c r="A483" s="112"/>
      <c r="B483" s="21" t="s">
        <v>2633</v>
      </c>
      <c r="C483" s="21" t="s">
        <v>2634</v>
      </c>
      <c r="D483" s="21" t="s">
        <v>2002</v>
      </c>
      <c r="E483" s="50" t="b">
        <v>1</v>
      </c>
      <c r="F483" s="72" t="str">
        <f>HYPERLINK("http://nsgreg.nga.mil/genc/view?v=291763&amp;end_month=6&amp;end_day=30&amp;end_year=2019","Amazonas")</f>
        <v>Amazonas</v>
      </c>
      <c r="G483" s="72" t="str">
        <f>HYPERLINK("http://api.nsgreg.nga.mil/geo-division/GENC/6/3-11/BR-AM","as:GENC:6:3-11:BR-AM")</f>
        <v>as:GENC:6:3-11:BR-AM</v>
      </c>
    </row>
    <row r="484" spans="1:7" x14ac:dyDescent="0.25">
      <c r="A484" s="112"/>
      <c r="B484" s="21" t="s">
        <v>2635</v>
      </c>
      <c r="C484" s="21" t="s">
        <v>2636</v>
      </c>
      <c r="D484" s="21" t="s">
        <v>2002</v>
      </c>
      <c r="E484" s="50" t="b">
        <v>1</v>
      </c>
      <c r="F484" s="72" t="str">
        <f>HYPERLINK("http://nsgreg.nga.mil/genc/view?v=291765&amp;end_month=6&amp;end_day=30&amp;end_year=2019","Bahia")</f>
        <v>Bahia</v>
      </c>
      <c r="G484" s="72" t="str">
        <f>HYPERLINK("http://api.nsgreg.nga.mil/geo-division/GENC/6/3-11/BR-BA","as:GENC:6:3-11:BR-BA")</f>
        <v>as:GENC:6:3-11:BR-BA</v>
      </c>
    </row>
    <row r="485" spans="1:7" x14ac:dyDescent="0.25">
      <c r="A485" s="112"/>
      <c r="B485" s="21" t="s">
        <v>2637</v>
      </c>
      <c r="C485" s="21" t="s">
        <v>2638</v>
      </c>
      <c r="D485" s="21" t="s">
        <v>2002</v>
      </c>
      <c r="E485" s="50" t="b">
        <v>1</v>
      </c>
      <c r="F485" s="72" t="str">
        <f>HYPERLINK("http://nsgreg.nga.mil/genc/view?v=291766&amp;end_month=6&amp;end_day=30&amp;end_year=2019","Ceará")</f>
        <v>Ceará</v>
      </c>
      <c r="G485" s="72" t="str">
        <f>HYPERLINK("http://api.nsgreg.nga.mil/geo-division/GENC/6/3-11/BR-CE","as:GENC:6:3-11:BR-CE")</f>
        <v>as:GENC:6:3-11:BR-CE</v>
      </c>
    </row>
    <row r="486" spans="1:7" x14ac:dyDescent="0.25">
      <c r="A486" s="112"/>
      <c r="B486" s="21" t="s">
        <v>2639</v>
      </c>
      <c r="C486" s="21" t="s">
        <v>2640</v>
      </c>
      <c r="D486" s="21" t="s">
        <v>2641</v>
      </c>
      <c r="E486" s="50" t="b">
        <v>1</v>
      </c>
      <c r="F486" s="72" t="str">
        <f>HYPERLINK("http://nsgreg.nga.mil/genc/view?v=291767&amp;end_month=6&amp;end_day=30&amp;end_year=2019","Distrito Federal")</f>
        <v>Distrito Federal</v>
      </c>
      <c r="G486" s="72" t="str">
        <f>HYPERLINK("http://api.nsgreg.nga.mil/geo-division/GENC/6/3-11/BR-DF","as:GENC:6:3-11:BR-DF")</f>
        <v>as:GENC:6:3-11:BR-DF</v>
      </c>
    </row>
    <row r="487" spans="1:7" x14ac:dyDescent="0.25">
      <c r="A487" s="112"/>
      <c r="B487" s="21" t="s">
        <v>2642</v>
      </c>
      <c r="C487" s="21" t="s">
        <v>2643</v>
      </c>
      <c r="D487" s="21" t="s">
        <v>2002</v>
      </c>
      <c r="E487" s="50" t="b">
        <v>1</v>
      </c>
      <c r="F487" s="72" t="str">
        <f>HYPERLINK("http://nsgreg.nga.mil/genc/view?v=291768&amp;end_month=6&amp;end_day=30&amp;end_year=2019","Espírito Santo")</f>
        <v>Espírito Santo</v>
      </c>
      <c r="G487" s="72" t="str">
        <f>HYPERLINK("http://api.nsgreg.nga.mil/geo-division/GENC/6/3-11/BR-ES","as:GENC:6:3-11:BR-ES")</f>
        <v>as:GENC:6:3-11:BR-ES</v>
      </c>
    </row>
    <row r="488" spans="1:7" x14ac:dyDescent="0.25">
      <c r="A488" s="112"/>
      <c r="B488" s="21" t="s">
        <v>2644</v>
      </c>
      <c r="C488" s="21" t="s">
        <v>2645</v>
      </c>
      <c r="D488" s="21" t="s">
        <v>2002</v>
      </c>
      <c r="E488" s="50" t="b">
        <v>1</v>
      </c>
      <c r="F488" s="72" t="str">
        <f>HYPERLINK("http://nsgreg.nga.mil/genc/view?v=291769&amp;end_month=6&amp;end_day=30&amp;end_year=2019","Goiás")</f>
        <v>Goiás</v>
      </c>
      <c r="G488" s="72" t="str">
        <f>HYPERLINK("http://api.nsgreg.nga.mil/geo-division/GENC/6/3-11/BR-GO","as:GENC:6:3-11:BR-GO")</f>
        <v>as:GENC:6:3-11:BR-GO</v>
      </c>
    </row>
    <row r="489" spans="1:7" x14ac:dyDescent="0.25">
      <c r="A489" s="112"/>
      <c r="B489" s="21" t="s">
        <v>2646</v>
      </c>
      <c r="C489" s="21" t="s">
        <v>2647</v>
      </c>
      <c r="D489" s="21" t="s">
        <v>2002</v>
      </c>
      <c r="E489" s="50" t="b">
        <v>1</v>
      </c>
      <c r="F489" s="72" t="str">
        <f>HYPERLINK("http://nsgreg.nga.mil/genc/view?v=291770&amp;end_month=6&amp;end_day=30&amp;end_year=2019","Maranhão")</f>
        <v>Maranhão</v>
      </c>
      <c r="G489" s="72" t="str">
        <f>HYPERLINK("http://api.nsgreg.nga.mil/geo-division/GENC/6/3-11/BR-MA","as:GENC:6:3-11:BR-MA")</f>
        <v>as:GENC:6:3-11:BR-MA</v>
      </c>
    </row>
    <row r="490" spans="1:7" x14ac:dyDescent="0.25">
      <c r="A490" s="112"/>
      <c r="B490" s="21" t="s">
        <v>2648</v>
      </c>
      <c r="C490" s="21" t="s">
        <v>2649</v>
      </c>
      <c r="D490" s="21" t="s">
        <v>2002</v>
      </c>
      <c r="E490" s="50" t="b">
        <v>1</v>
      </c>
      <c r="F490" s="72" t="str">
        <f>HYPERLINK("http://nsgreg.nga.mil/genc/view?v=291773&amp;end_month=6&amp;end_day=30&amp;end_year=2019","Mato Grosso")</f>
        <v>Mato Grosso</v>
      </c>
      <c r="G490" s="72" t="str">
        <f>HYPERLINK("http://api.nsgreg.nga.mil/geo-division/GENC/6/3-11/BR-MT","as:GENC:6:3-11:BR-MT")</f>
        <v>as:GENC:6:3-11:BR-MT</v>
      </c>
    </row>
    <row r="491" spans="1:7" x14ac:dyDescent="0.25">
      <c r="A491" s="112"/>
      <c r="B491" s="21" t="s">
        <v>2650</v>
      </c>
      <c r="C491" s="21" t="s">
        <v>2651</v>
      </c>
      <c r="D491" s="21" t="s">
        <v>2002</v>
      </c>
      <c r="E491" s="50" t="b">
        <v>1</v>
      </c>
      <c r="F491" s="72" t="str">
        <f>HYPERLINK("http://nsgreg.nga.mil/genc/view?v=291772&amp;end_month=6&amp;end_day=30&amp;end_year=2019","Mato Grosso do Sul")</f>
        <v>Mato Grosso do Sul</v>
      </c>
      <c r="G491" s="72" t="str">
        <f>HYPERLINK("http://api.nsgreg.nga.mil/geo-division/GENC/6/3-11/BR-MS","as:GENC:6:3-11:BR-MS")</f>
        <v>as:GENC:6:3-11:BR-MS</v>
      </c>
    </row>
    <row r="492" spans="1:7" x14ac:dyDescent="0.25">
      <c r="A492" s="112"/>
      <c r="B492" s="21" t="s">
        <v>2652</v>
      </c>
      <c r="C492" s="21" t="s">
        <v>2653</v>
      </c>
      <c r="D492" s="21" t="s">
        <v>2002</v>
      </c>
      <c r="E492" s="50" t="b">
        <v>1</v>
      </c>
      <c r="F492" s="72" t="str">
        <f>HYPERLINK("http://nsgreg.nga.mil/genc/view?v=291771&amp;end_month=6&amp;end_day=30&amp;end_year=2019","Minas Gerais")</f>
        <v>Minas Gerais</v>
      </c>
      <c r="G492" s="72" t="str">
        <f>HYPERLINK("http://api.nsgreg.nga.mil/geo-division/GENC/6/3-11/BR-MG","as:GENC:6:3-11:BR-MG")</f>
        <v>as:GENC:6:3-11:BR-MG</v>
      </c>
    </row>
    <row r="493" spans="1:7" x14ac:dyDescent="0.25">
      <c r="A493" s="112"/>
      <c r="B493" s="21" t="s">
        <v>2654</v>
      </c>
      <c r="C493" s="21" t="s">
        <v>2655</v>
      </c>
      <c r="D493" s="21" t="s">
        <v>2002</v>
      </c>
      <c r="E493" s="50" t="b">
        <v>1</v>
      </c>
      <c r="F493" s="72" t="str">
        <f>HYPERLINK("http://nsgreg.nga.mil/genc/view?v=291774&amp;end_month=6&amp;end_day=30&amp;end_year=2019","Pará")</f>
        <v>Pará</v>
      </c>
      <c r="G493" s="72" t="str">
        <f>HYPERLINK("http://api.nsgreg.nga.mil/geo-division/GENC/6/3-11/BR-PA","as:GENC:6:3-11:BR-PA")</f>
        <v>as:GENC:6:3-11:BR-PA</v>
      </c>
    </row>
    <row r="494" spans="1:7" x14ac:dyDescent="0.25">
      <c r="A494" s="112"/>
      <c r="B494" s="21" t="s">
        <v>2656</v>
      </c>
      <c r="C494" s="21" t="s">
        <v>2657</v>
      </c>
      <c r="D494" s="21" t="s">
        <v>2002</v>
      </c>
      <c r="E494" s="50" t="b">
        <v>1</v>
      </c>
      <c r="F494" s="72" t="str">
        <f>HYPERLINK("http://nsgreg.nga.mil/genc/view?v=291775&amp;end_month=6&amp;end_day=30&amp;end_year=2019","Paraíba")</f>
        <v>Paraíba</v>
      </c>
      <c r="G494" s="72" t="str">
        <f>HYPERLINK("http://api.nsgreg.nga.mil/geo-division/GENC/6/3-11/BR-PB","as:GENC:6:3-11:BR-PB")</f>
        <v>as:GENC:6:3-11:BR-PB</v>
      </c>
    </row>
    <row r="495" spans="1:7" x14ac:dyDescent="0.25">
      <c r="A495" s="112"/>
      <c r="B495" s="21" t="s">
        <v>2658</v>
      </c>
      <c r="C495" s="21" t="s">
        <v>2659</v>
      </c>
      <c r="D495" s="21" t="s">
        <v>2002</v>
      </c>
      <c r="E495" s="50" t="b">
        <v>1</v>
      </c>
      <c r="F495" s="72" t="str">
        <f>HYPERLINK("http://nsgreg.nga.mil/genc/view?v=291778&amp;end_month=6&amp;end_day=30&amp;end_year=2019","Paraná")</f>
        <v>Paraná</v>
      </c>
      <c r="G495" s="72" t="str">
        <f>HYPERLINK("http://api.nsgreg.nga.mil/geo-division/GENC/6/3-11/BR-PR","as:GENC:6:3-11:BR-PR")</f>
        <v>as:GENC:6:3-11:BR-PR</v>
      </c>
    </row>
    <row r="496" spans="1:7" x14ac:dyDescent="0.25">
      <c r="A496" s="112"/>
      <c r="B496" s="21" t="s">
        <v>2660</v>
      </c>
      <c r="C496" s="21" t="s">
        <v>2661</v>
      </c>
      <c r="D496" s="21" t="s">
        <v>2002</v>
      </c>
      <c r="E496" s="50" t="b">
        <v>1</v>
      </c>
      <c r="F496" s="72" t="str">
        <f>HYPERLINK("http://nsgreg.nga.mil/genc/view?v=291776&amp;end_month=6&amp;end_day=30&amp;end_year=2019","Pernambuco")</f>
        <v>Pernambuco</v>
      </c>
      <c r="G496" s="72" t="str">
        <f>HYPERLINK("http://api.nsgreg.nga.mil/geo-division/GENC/6/3-11/BR-PE","as:GENC:6:3-11:BR-PE")</f>
        <v>as:GENC:6:3-11:BR-PE</v>
      </c>
    </row>
    <row r="497" spans="1:7" x14ac:dyDescent="0.25">
      <c r="A497" s="112"/>
      <c r="B497" s="21" t="s">
        <v>2662</v>
      </c>
      <c r="C497" s="21" t="s">
        <v>2663</v>
      </c>
      <c r="D497" s="21" t="s">
        <v>2002</v>
      </c>
      <c r="E497" s="50" t="b">
        <v>1</v>
      </c>
      <c r="F497" s="72" t="str">
        <f>HYPERLINK("http://nsgreg.nga.mil/genc/view?v=291777&amp;end_month=6&amp;end_day=30&amp;end_year=2019","Piauí")</f>
        <v>Piauí</v>
      </c>
      <c r="G497" s="72" t="str">
        <f>HYPERLINK("http://api.nsgreg.nga.mil/geo-division/GENC/6/3-11/BR-PI","as:GENC:6:3-11:BR-PI")</f>
        <v>as:GENC:6:3-11:BR-PI</v>
      </c>
    </row>
    <row r="498" spans="1:7" x14ac:dyDescent="0.25">
      <c r="A498" s="112"/>
      <c r="B498" s="21" t="s">
        <v>2664</v>
      </c>
      <c r="C498" s="21" t="s">
        <v>2665</v>
      </c>
      <c r="D498" s="21" t="s">
        <v>2002</v>
      </c>
      <c r="E498" s="50" t="b">
        <v>1</v>
      </c>
      <c r="F498" s="72" t="str">
        <f>HYPERLINK("http://nsgreg.nga.mil/genc/view?v=291779&amp;end_month=6&amp;end_day=30&amp;end_year=2019","Rio de Janeiro")</f>
        <v>Rio de Janeiro</v>
      </c>
      <c r="G498" s="72" t="str">
        <f>HYPERLINK("http://api.nsgreg.nga.mil/geo-division/GENC/6/3-11/BR-RJ","as:GENC:6:3-11:BR-RJ")</f>
        <v>as:GENC:6:3-11:BR-RJ</v>
      </c>
    </row>
    <row r="499" spans="1:7" x14ac:dyDescent="0.25">
      <c r="A499" s="112"/>
      <c r="B499" s="21" t="s">
        <v>2666</v>
      </c>
      <c r="C499" s="21" t="s">
        <v>2667</v>
      </c>
      <c r="D499" s="21" t="s">
        <v>2002</v>
      </c>
      <c r="E499" s="50" t="b">
        <v>1</v>
      </c>
      <c r="F499" s="72" t="str">
        <f>HYPERLINK("http://nsgreg.nga.mil/genc/view?v=291780&amp;end_month=6&amp;end_day=30&amp;end_year=2019","Rio Grande do Norte")</f>
        <v>Rio Grande do Norte</v>
      </c>
      <c r="G499" s="72" t="str">
        <f>HYPERLINK("http://api.nsgreg.nga.mil/geo-division/GENC/6/3-11/BR-RN","as:GENC:6:3-11:BR-RN")</f>
        <v>as:GENC:6:3-11:BR-RN</v>
      </c>
    </row>
    <row r="500" spans="1:7" x14ac:dyDescent="0.25">
      <c r="A500" s="112"/>
      <c r="B500" s="21" t="s">
        <v>2668</v>
      </c>
      <c r="C500" s="21" t="s">
        <v>2669</v>
      </c>
      <c r="D500" s="21" t="s">
        <v>2002</v>
      </c>
      <c r="E500" s="50" t="b">
        <v>1</v>
      </c>
      <c r="F500" s="72" t="str">
        <f>HYPERLINK("http://nsgreg.nga.mil/genc/view?v=291783&amp;end_month=6&amp;end_day=30&amp;end_year=2019","Rio Grande do Sul")</f>
        <v>Rio Grande do Sul</v>
      </c>
      <c r="G500" s="72" t="str">
        <f>HYPERLINK("http://api.nsgreg.nga.mil/geo-division/GENC/6/3-11/BR-RS","as:GENC:6:3-11:BR-RS")</f>
        <v>as:GENC:6:3-11:BR-RS</v>
      </c>
    </row>
    <row r="501" spans="1:7" x14ac:dyDescent="0.25">
      <c r="A501" s="112"/>
      <c r="B501" s="21" t="s">
        <v>2670</v>
      </c>
      <c r="C501" s="21" t="s">
        <v>2671</v>
      </c>
      <c r="D501" s="21" t="s">
        <v>2002</v>
      </c>
      <c r="E501" s="50" t="b">
        <v>1</v>
      </c>
      <c r="F501" s="72" t="str">
        <f>HYPERLINK("http://nsgreg.nga.mil/genc/view?v=291781&amp;end_month=6&amp;end_day=30&amp;end_year=2019","Rondônia")</f>
        <v>Rondônia</v>
      </c>
      <c r="G501" s="72" t="str">
        <f>HYPERLINK("http://api.nsgreg.nga.mil/geo-division/GENC/6/3-11/BR-RO","as:GENC:6:3-11:BR-RO")</f>
        <v>as:GENC:6:3-11:BR-RO</v>
      </c>
    </row>
    <row r="502" spans="1:7" x14ac:dyDescent="0.25">
      <c r="A502" s="112"/>
      <c r="B502" s="21" t="s">
        <v>2672</v>
      </c>
      <c r="C502" s="21" t="s">
        <v>2673</v>
      </c>
      <c r="D502" s="21" t="s">
        <v>2002</v>
      </c>
      <c r="E502" s="50" t="b">
        <v>1</v>
      </c>
      <c r="F502" s="72" t="str">
        <f>HYPERLINK("http://nsgreg.nga.mil/genc/view?v=291782&amp;end_month=6&amp;end_day=30&amp;end_year=2019","Roraima")</f>
        <v>Roraima</v>
      </c>
      <c r="G502" s="72" t="str">
        <f>HYPERLINK("http://api.nsgreg.nga.mil/geo-division/GENC/6/3-11/BR-RR","as:GENC:6:3-11:BR-RR")</f>
        <v>as:GENC:6:3-11:BR-RR</v>
      </c>
    </row>
    <row r="503" spans="1:7" x14ac:dyDescent="0.25">
      <c r="A503" s="112"/>
      <c r="B503" s="21" t="s">
        <v>2674</v>
      </c>
      <c r="C503" s="21" t="s">
        <v>2675</v>
      </c>
      <c r="D503" s="21" t="s">
        <v>2002</v>
      </c>
      <c r="E503" s="50" t="b">
        <v>1</v>
      </c>
      <c r="F503" s="72" t="str">
        <f>HYPERLINK("http://nsgreg.nga.mil/genc/view?v=291784&amp;end_month=6&amp;end_day=30&amp;end_year=2019","Santa Catarina")</f>
        <v>Santa Catarina</v>
      </c>
      <c r="G503" s="72" t="str">
        <f>HYPERLINK("http://api.nsgreg.nga.mil/geo-division/GENC/6/3-11/BR-SC","as:GENC:6:3-11:BR-SC")</f>
        <v>as:GENC:6:3-11:BR-SC</v>
      </c>
    </row>
    <row r="504" spans="1:7" x14ac:dyDescent="0.25">
      <c r="A504" s="112"/>
      <c r="B504" s="21" t="s">
        <v>2676</v>
      </c>
      <c r="C504" s="21" t="s">
        <v>2677</v>
      </c>
      <c r="D504" s="21" t="s">
        <v>2002</v>
      </c>
      <c r="E504" s="50" t="b">
        <v>1</v>
      </c>
      <c r="F504" s="72" t="str">
        <f>HYPERLINK("http://nsgreg.nga.mil/genc/view?v=291786&amp;end_month=6&amp;end_day=30&amp;end_year=2019","São Paulo")</f>
        <v>São Paulo</v>
      </c>
      <c r="G504" s="72" t="str">
        <f>HYPERLINK("http://api.nsgreg.nga.mil/geo-division/GENC/6/3-11/BR-SP","as:GENC:6:3-11:BR-SP")</f>
        <v>as:GENC:6:3-11:BR-SP</v>
      </c>
    </row>
    <row r="505" spans="1:7" x14ac:dyDescent="0.25">
      <c r="A505" s="112"/>
      <c r="B505" s="21" t="s">
        <v>2678</v>
      </c>
      <c r="C505" s="21" t="s">
        <v>2679</v>
      </c>
      <c r="D505" s="21" t="s">
        <v>2002</v>
      </c>
      <c r="E505" s="50" t="b">
        <v>1</v>
      </c>
      <c r="F505" s="72" t="str">
        <f>HYPERLINK("http://nsgreg.nga.mil/genc/view?v=291785&amp;end_month=6&amp;end_day=30&amp;end_year=2019","Sergipe")</f>
        <v>Sergipe</v>
      </c>
      <c r="G505" s="72" t="str">
        <f>HYPERLINK("http://api.nsgreg.nga.mil/geo-division/GENC/6/3-11/BR-SE","as:GENC:6:3-11:BR-SE")</f>
        <v>as:GENC:6:3-11:BR-SE</v>
      </c>
    </row>
    <row r="506" spans="1:7" x14ac:dyDescent="0.25">
      <c r="A506" s="113"/>
      <c r="B506" s="47" t="s">
        <v>2680</v>
      </c>
      <c r="C506" s="47" t="s">
        <v>2681</v>
      </c>
      <c r="D506" s="47" t="s">
        <v>2002</v>
      </c>
      <c r="E506" s="51" t="b">
        <v>1</v>
      </c>
      <c r="F506" s="73" t="str">
        <f>HYPERLINK("http://nsgreg.nga.mil/genc/view?v=291787&amp;end_month=6&amp;end_day=30&amp;end_year=2019","Tocantins")</f>
        <v>Tocantins</v>
      </c>
      <c r="G506" s="73" t="str">
        <f>HYPERLINK("http://api.nsgreg.nga.mil/geo-division/GENC/6/3-11/BR-TO","as:GENC:6:3-11:BR-TO")</f>
        <v>as:GENC:6:3-11:BR-TO</v>
      </c>
    </row>
    <row r="507" spans="1:7" x14ac:dyDescent="0.25">
      <c r="A507" s="111" t="str">
        <f>HYPERLINK("[#]Codes_for_GE_Names!A40:I40","BRUNEI")</f>
        <v>BRUNEI</v>
      </c>
      <c r="B507" s="42" t="s">
        <v>2682</v>
      </c>
      <c r="C507" s="42" t="s">
        <v>2683</v>
      </c>
      <c r="D507" s="42" t="s">
        <v>2035</v>
      </c>
      <c r="E507" s="49" t="b">
        <v>1</v>
      </c>
      <c r="F507" s="74" t="str">
        <f>HYPERLINK("http://nsgreg.nga.mil/genc/view?v=291745&amp;end_month=6&amp;end_day=30&amp;end_year=2019","Belait")</f>
        <v>Belait</v>
      </c>
      <c r="G507" s="74" t="str">
        <f>HYPERLINK("http://api.nsgreg.nga.mil/geo-division/GENC/6/3-11/BN-BE","as:GENC:6:3-11:BN-BE")</f>
        <v>as:GENC:6:3-11:BN-BE</v>
      </c>
    </row>
    <row r="508" spans="1:7" x14ac:dyDescent="0.25">
      <c r="A508" s="112"/>
      <c r="B508" s="21" t="s">
        <v>2684</v>
      </c>
      <c r="C508" s="21" t="s">
        <v>2685</v>
      </c>
      <c r="D508" s="21" t="s">
        <v>2035</v>
      </c>
      <c r="E508" s="50" t="b">
        <v>1</v>
      </c>
      <c r="F508" s="72" t="str">
        <f>HYPERLINK("http://nsgreg.nga.mil/genc/view?v=291746&amp;end_month=6&amp;end_day=30&amp;end_year=2019","Brunei dan Muara")</f>
        <v>Brunei dan Muara</v>
      </c>
      <c r="G508" s="72" t="str">
        <f>HYPERLINK("http://api.nsgreg.nga.mil/geo-division/GENC/6/3-11/BN-BM","as:GENC:6:3-11:BN-BM")</f>
        <v>as:GENC:6:3-11:BN-BM</v>
      </c>
    </row>
    <row r="509" spans="1:7" x14ac:dyDescent="0.25">
      <c r="A509" s="112"/>
      <c r="B509" s="21" t="s">
        <v>2686</v>
      </c>
      <c r="C509" s="21" t="s">
        <v>2687</v>
      </c>
      <c r="D509" s="21" t="s">
        <v>2035</v>
      </c>
      <c r="E509" s="50" t="b">
        <v>1</v>
      </c>
      <c r="F509" s="72" t="str">
        <f>HYPERLINK("http://nsgreg.nga.mil/genc/view?v=291747&amp;end_month=6&amp;end_day=30&amp;end_year=2019","Temburong")</f>
        <v>Temburong</v>
      </c>
      <c r="G509" s="72" t="str">
        <f>HYPERLINK("http://api.nsgreg.nga.mil/geo-division/GENC/6/3-11/BN-TE","as:GENC:6:3-11:BN-TE")</f>
        <v>as:GENC:6:3-11:BN-TE</v>
      </c>
    </row>
    <row r="510" spans="1:7" x14ac:dyDescent="0.25">
      <c r="A510" s="113"/>
      <c r="B510" s="47" t="s">
        <v>2688</v>
      </c>
      <c r="C510" s="47" t="s">
        <v>2689</v>
      </c>
      <c r="D510" s="47" t="s">
        <v>2035</v>
      </c>
      <c r="E510" s="51" t="b">
        <v>1</v>
      </c>
      <c r="F510" s="73" t="str">
        <f>HYPERLINK("http://nsgreg.nga.mil/genc/view?v=291748&amp;end_month=6&amp;end_day=30&amp;end_year=2019","Tutong")</f>
        <v>Tutong</v>
      </c>
      <c r="G510" s="73" t="str">
        <f>HYPERLINK("http://api.nsgreg.nga.mil/geo-division/GENC/6/3-11/BN-TU","as:GENC:6:3-11:BN-TU")</f>
        <v>as:GENC:6:3-11:BN-TU</v>
      </c>
    </row>
    <row r="511" spans="1:7" x14ac:dyDescent="0.25">
      <c r="A511" s="111" t="str">
        <f>HYPERLINK("[#]Codes_for_GE_Names!A41:I41","BULGARIA")</f>
        <v>BULGARIA</v>
      </c>
      <c r="B511" s="42" t="s">
        <v>2690</v>
      </c>
      <c r="C511" s="42" t="s">
        <v>2691</v>
      </c>
      <c r="D511" s="42" t="s">
        <v>1668</v>
      </c>
      <c r="E511" s="49" t="b">
        <v>1</v>
      </c>
      <c r="F511" s="74" t="str">
        <f>HYPERLINK("http://nsgreg.nga.mil/genc/view?v=291672&amp;end_month=6&amp;end_day=30&amp;end_year=2019","Blagoevgrad")</f>
        <v>Blagoevgrad</v>
      </c>
      <c r="G511" s="74" t="str">
        <f>HYPERLINK("http://api.nsgreg.nga.mil/geo-division/GENC/6/3-11/BG-01","as:GENC:6:3-11:BG-01")</f>
        <v>as:GENC:6:3-11:BG-01</v>
      </c>
    </row>
    <row r="512" spans="1:7" x14ac:dyDescent="0.25">
      <c r="A512" s="112"/>
      <c r="B512" s="21" t="s">
        <v>2692</v>
      </c>
      <c r="C512" s="21" t="s">
        <v>2693</v>
      </c>
      <c r="D512" s="21" t="s">
        <v>1668</v>
      </c>
      <c r="E512" s="50" t="b">
        <v>1</v>
      </c>
      <c r="F512" s="72" t="str">
        <f>HYPERLINK("http://nsgreg.nga.mil/genc/view?v=291673&amp;end_month=6&amp;end_day=30&amp;end_year=2019","Burgas")</f>
        <v>Burgas</v>
      </c>
      <c r="G512" s="72" t="str">
        <f>HYPERLINK("http://api.nsgreg.nga.mil/geo-division/GENC/6/3-11/BG-02","as:GENC:6:3-11:BG-02")</f>
        <v>as:GENC:6:3-11:BG-02</v>
      </c>
    </row>
    <row r="513" spans="1:7" x14ac:dyDescent="0.25">
      <c r="A513" s="112"/>
      <c r="B513" s="21" t="s">
        <v>2694</v>
      </c>
      <c r="C513" s="21" t="s">
        <v>2695</v>
      </c>
      <c r="D513" s="21" t="s">
        <v>1668</v>
      </c>
      <c r="E513" s="50" t="b">
        <v>1</v>
      </c>
      <c r="F513" s="72" t="str">
        <f>HYPERLINK("http://nsgreg.nga.mil/genc/view?v=291679&amp;end_month=6&amp;end_day=30&amp;end_year=2019","Dobrich")</f>
        <v>Dobrich</v>
      </c>
      <c r="G513" s="72" t="str">
        <f>HYPERLINK("http://api.nsgreg.nga.mil/geo-division/GENC/6/3-11/BG-08","as:GENC:6:3-11:BG-08")</f>
        <v>as:GENC:6:3-11:BG-08</v>
      </c>
    </row>
    <row r="514" spans="1:7" x14ac:dyDescent="0.25">
      <c r="A514" s="112"/>
      <c r="B514" s="21" t="s">
        <v>2696</v>
      </c>
      <c r="C514" s="21" t="s">
        <v>2697</v>
      </c>
      <c r="D514" s="21" t="s">
        <v>1668</v>
      </c>
      <c r="E514" s="50" t="b">
        <v>1</v>
      </c>
      <c r="F514" s="72" t="str">
        <f>HYPERLINK("http://nsgreg.nga.mil/genc/view?v=291678&amp;end_month=6&amp;end_day=30&amp;end_year=2019","Gabrovo")</f>
        <v>Gabrovo</v>
      </c>
      <c r="G514" s="72" t="str">
        <f>HYPERLINK("http://api.nsgreg.nga.mil/geo-division/GENC/6/3-11/BG-07","as:GENC:6:3-11:BG-07")</f>
        <v>as:GENC:6:3-11:BG-07</v>
      </c>
    </row>
    <row r="515" spans="1:7" x14ac:dyDescent="0.25">
      <c r="A515" s="112"/>
      <c r="B515" s="21" t="s">
        <v>2698</v>
      </c>
      <c r="C515" s="21" t="s">
        <v>2699</v>
      </c>
      <c r="D515" s="21" t="s">
        <v>1668</v>
      </c>
      <c r="E515" s="50" t="b">
        <v>1</v>
      </c>
      <c r="F515" s="72" t="str">
        <f>HYPERLINK("http://nsgreg.nga.mil/genc/view?v=291697&amp;end_month=6&amp;end_day=30&amp;end_year=2019","Haskovo")</f>
        <v>Haskovo</v>
      </c>
      <c r="G515" s="72" t="str">
        <f>HYPERLINK("http://api.nsgreg.nga.mil/geo-division/GENC/6/3-11/BG-26","as:GENC:6:3-11:BG-26")</f>
        <v>as:GENC:6:3-11:BG-26</v>
      </c>
    </row>
    <row r="516" spans="1:7" x14ac:dyDescent="0.25">
      <c r="A516" s="112"/>
      <c r="B516" s="21" t="s">
        <v>2700</v>
      </c>
      <c r="C516" s="21" t="s">
        <v>2701</v>
      </c>
      <c r="D516" s="21" t="s">
        <v>1668</v>
      </c>
      <c r="E516" s="50" t="b">
        <v>1</v>
      </c>
      <c r="F516" s="72" t="str">
        <f>HYPERLINK("http://nsgreg.nga.mil/genc/view?v=291680&amp;end_month=6&amp;end_day=30&amp;end_year=2019","Kardzhali")</f>
        <v>Kardzhali</v>
      </c>
      <c r="G516" s="72" t="str">
        <f>HYPERLINK("http://api.nsgreg.nga.mil/geo-division/GENC/6/3-11/BG-09","as:GENC:6:3-11:BG-09")</f>
        <v>as:GENC:6:3-11:BG-09</v>
      </c>
    </row>
    <row r="517" spans="1:7" x14ac:dyDescent="0.25">
      <c r="A517" s="112"/>
      <c r="B517" s="21" t="s">
        <v>2702</v>
      </c>
      <c r="C517" s="21" t="s">
        <v>2703</v>
      </c>
      <c r="D517" s="21" t="s">
        <v>1668</v>
      </c>
      <c r="E517" s="50" t="b">
        <v>1</v>
      </c>
      <c r="F517" s="72" t="str">
        <f>HYPERLINK("http://nsgreg.nga.mil/genc/view?v=291681&amp;end_month=6&amp;end_day=30&amp;end_year=2019","Kyustendil")</f>
        <v>Kyustendil</v>
      </c>
      <c r="G517" s="72" t="str">
        <f>HYPERLINK("http://api.nsgreg.nga.mil/geo-division/GENC/6/3-11/BG-10","as:GENC:6:3-11:BG-10")</f>
        <v>as:GENC:6:3-11:BG-10</v>
      </c>
    </row>
    <row r="518" spans="1:7" x14ac:dyDescent="0.25">
      <c r="A518" s="112"/>
      <c r="B518" s="21" t="s">
        <v>2704</v>
      </c>
      <c r="C518" s="21" t="s">
        <v>2705</v>
      </c>
      <c r="D518" s="21" t="s">
        <v>1668</v>
      </c>
      <c r="E518" s="50" t="b">
        <v>1</v>
      </c>
      <c r="F518" s="72" t="str">
        <f>HYPERLINK("http://nsgreg.nga.mil/genc/view?v=291682&amp;end_month=6&amp;end_day=30&amp;end_year=2019","Lovech")</f>
        <v>Lovech</v>
      </c>
      <c r="G518" s="72" t="str">
        <f>HYPERLINK("http://api.nsgreg.nga.mil/geo-division/GENC/6/3-11/BG-11","as:GENC:6:3-11:BG-11")</f>
        <v>as:GENC:6:3-11:BG-11</v>
      </c>
    </row>
    <row r="519" spans="1:7" x14ac:dyDescent="0.25">
      <c r="A519" s="112"/>
      <c r="B519" s="21" t="s">
        <v>2706</v>
      </c>
      <c r="C519" s="21" t="s">
        <v>2707</v>
      </c>
      <c r="D519" s="21" t="s">
        <v>1668</v>
      </c>
      <c r="E519" s="50" t="b">
        <v>1</v>
      </c>
      <c r="F519" s="72" t="str">
        <f>HYPERLINK("http://nsgreg.nga.mil/genc/view?v=291683&amp;end_month=6&amp;end_day=30&amp;end_year=2019","Montana")</f>
        <v>Montana</v>
      </c>
      <c r="G519" s="72" t="str">
        <f>HYPERLINK("http://api.nsgreg.nga.mil/geo-division/GENC/6/3-11/BG-12","as:GENC:6:3-11:BG-12")</f>
        <v>as:GENC:6:3-11:BG-12</v>
      </c>
    </row>
    <row r="520" spans="1:7" x14ac:dyDescent="0.25">
      <c r="A520" s="112"/>
      <c r="B520" s="21" t="s">
        <v>2708</v>
      </c>
      <c r="C520" s="21" t="s">
        <v>2709</v>
      </c>
      <c r="D520" s="21" t="s">
        <v>1668</v>
      </c>
      <c r="E520" s="50" t="b">
        <v>1</v>
      </c>
      <c r="F520" s="72" t="str">
        <f>HYPERLINK("http://nsgreg.nga.mil/genc/view?v=291684&amp;end_month=6&amp;end_day=30&amp;end_year=2019","Pazardzhik")</f>
        <v>Pazardzhik</v>
      </c>
      <c r="G520" s="72" t="str">
        <f>HYPERLINK("http://api.nsgreg.nga.mil/geo-division/GENC/6/3-11/BG-13","as:GENC:6:3-11:BG-13")</f>
        <v>as:GENC:6:3-11:BG-13</v>
      </c>
    </row>
    <row r="521" spans="1:7" x14ac:dyDescent="0.25">
      <c r="A521" s="112"/>
      <c r="B521" s="21" t="s">
        <v>2710</v>
      </c>
      <c r="C521" s="21" t="s">
        <v>2711</v>
      </c>
      <c r="D521" s="21" t="s">
        <v>1668</v>
      </c>
      <c r="E521" s="50" t="b">
        <v>1</v>
      </c>
      <c r="F521" s="72" t="str">
        <f>HYPERLINK("http://nsgreg.nga.mil/genc/view?v=291685&amp;end_month=6&amp;end_day=30&amp;end_year=2019","Pernik")</f>
        <v>Pernik</v>
      </c>
      <c r="G521" s="72" t="str">
        <f>HYPERLINK("http://api.nsgreg.nga.mil/geo-division/GENC/6/3-11/BG-14","as:GENC:6:3-11:BG-14")</f>
        <v>as:GENC:6:3-11:BG-14</v>
      </c>
    </row>
    <row r="522" spans="1:7" x14ac:dyDescent="0.25">
      <c r="A522" s="112"/>
      <c r="B522" s="21" t="s">
        <v>2712</v>
      </c>
      <c r="C522" s="21" t="s">
        <v>2713</v>
      </c>
      <c r="D522" s="21" t="s">
        <v>1668</v>
      </c>
      <c r="E522" s="50" t="b">
        <v>1</v>
      </c>
      <c r="F522" s="72" t="str">
        <f>HYPERLINK("http://nsgreg.nga.mil/genc/view?v=291686&amp;end_month=6&amp;end_day=30&amp;end_year=2019","Pleven")</f>
        <v>Pleven</v>
      </c>
      <c r="G522" s="72" t="str">
        <f>HYPERLINK("http://api.nsgreg.nga.mil/geo-division/GENC/6/3-11/BG-15","as:GENC:6:3-11:BG-15")</f>
        <v>as:GENC:6:3-11:BG-15</v>
      </c>
    </row>
    <row r="523" spans="1:7" x14ac:dyDescent="0.25">
      <c r="A523" s="112"/>
      <c r="B523" s="21" t="s">
        <v>2714</v>
      </c>
      <c r="C523" s="21" t="s">
        <v>2715</v>
      </c>
      <c r="D523" s="21" t="s">
        <v>1668</v>
      </c>
      <c r="E523" s="50" t="b">
        <v>1</v>
      </c>
      <c r="F523" s="72" t="str">
        <f>HYPERLINK("http://nsgreg.nga.mil/genc/view?v=291687&amp;end_month=6&amp;end_day=30&amp;end_year=2019","Plovdiv")</f>
        <v>Plovdiv</v>
      </c>
      <c r="G523" s="72" t="str">
        <f>HYPERLINK("http://api.nsgreg.nga.mil/geo-division/GENC/6/3-11/BG-16","as:GENC:6:3-11:BG-16")</f>
        <v>as:GENC:6:3-11:BG-16</v>
      </c>
    </row>
    <row r="524" spans="1:7" x14ac:dyDescent="0.25">
      <c r="A524" s="112"/>
      <c r="B524" s="21" t="s">
        <v>2716</v>
      </c>
      <c r="C524" s="21" t="s">
        <v>2717</v>
      </c>
      <c r="D524" s="21" t="s">
        <v>1668</v>
      </c>
      <c r="E524" s="50" t="b">
        <v>1</v>
      </c>
      <c r="F524" s="72" t="str">
        <f>HYPERLINK("http://nsgreg.nga.mil/genc/view?v=291688&amp;end_month=6&amp;end_day=30&amp;end_year=2019","Razgrad")</f>
        <v>Razgrad</v>
      </c>
      <c r="G524" s="72" t="str">
        <f>HYPERLINK("http://api.nsgreg.nga.mil/geo-division/GENC/6/3-11/BG-17","as:GENC:6:3-11:BG-17")</f>
        <v>as:GENC:6:3-11:BG-17</v>
      </c>
    </row>
    <row r="525" spans="1:7" x14ac:dyDescent="0.25">
      <c r="A525" s="112"/>
      <c r="B525" s="21" t="s">
        <v>2718</v>
      </c>
      <c r="C525" s="21" t="s">
        <v>2719</v>
      </c>
      <c r="D525" s="21" t="s">
        <v>1668</v>
      </c>
      <c r="E525" s="50" t="b">
        <v>1</v>
      </c>
      <c r="F525" s="72" t="str">
        <f>HYPERLINK("http://nsgreg.nga.mil/genc/view?v=291689&amp;end_month=6&amp;end_day=30&amp;end_year=2019","Ruse")</f>
        <v>Ruse</v>
      </c>
      <c r="G525" s="72" t="str">
        <f>HYPERLINK("http://api.nsgreg.nga.mil/geo-division/GENC/6/3-11/BG-18","as:GENC:6:3-11:BG-18")</f>
        <v>as:GENC:6:3-11:BG-18</v>
      </c>
    </row>
    <row r="526" spans="1:7" x14ac:dyDescent="0.25">
      <c r="A526" s="112"/>
      <c r="B526" s="21" t="s">
        <v>2720</v>
      </c>
      <c r="C526" s="21" t="s">
        <v>2721</v>
      </c>
      <c r="D526" s="21" t="s">
        <v>1668</v>
      </c>
      <c r="E526" s="50" t="b">
        <v>1</v>
      </c>
      <c r="F526" s="72" t="str">
        <f>HYPERLINK("http://nsgreg.nga.mil/genc/view?v=291698&amp;end_month=6&amp;end_day=30&amp;end_year=2019","Shumen")</f>
        <v>Shumen</v>
      </c>
      <c r="G526" s="72" t="str">
        <f>HYPERLINK("http://api.nsgreg.nga.mil/geo-division/GENC/6/3-11/BG-27","as:GENC:6:3-11:BG-27")</f>
        <v>as:GENC:6:3-11:BG-27</v>
      </c>
    </row>
    <row r="527" spans="1:7" x14ac:dyDescent="0.25">
      <c r="A527" s="112"/>
      <c r="B527" s="21" t="s">
        <v>2722</v>
      </c>
      <c r="C527" s="21" t="s">
        <v>2723</v>
      </c>
      <c r="D527" s="21" t="s">
        <v>1668</v>
      </c>
      <c r="E527" s="50" t="b">
        <v>1</v>
      </c>
      <c r="F527" s="72" t="str">
        <f>HYPERLINK("http://nsgreg.nga.mil/genc/view?v=291690&amp;end_month=6&amp;end_day=30&amp;end_year=2019","Silistra")</f>
        <v>Silistra</v>
      </c>
      <c r="G527" s="72" t="str">
        <f>HYPERLINK("http://api.nsgreg.nga.mil/geo-division/GENC/6/3-11/BG-19","as:GENC:6:3-11:BG-19")</f>
        <v>as:GENC:6:3-11:BG-19</v>
      </c>
    </row>
    <row r="528" spans="1:7" x14ac:dyDescent="0.25">
      <c r="A528" s="112"/>
      <c r="B528" s="21" t="s">
        <v>2724</v>
      </c>
      <c r="C528" s="21" t="s">
        <v>2725</v>
      </c>
      <c r="D528" s="21" t="s">
        <v>1668</v>
      </c>
      <c r="E528" s="50" t="b">
        <v>1</v>
      </c>
      <c r="F528" s="72" t="str">
        <f>HYPERLINK("http://nsgreg.nga.mil/genc/view?v=291691&amp;end_month=6&amp;end_day=30&amp;end_year=2019","Sliven")</f>
        <v>Sliven</v>
      </c>
      <c r="G528" s="72" t="str">
        <f>HYPERLINK("http://api.nsgreg.nga.mil/geo-division/GENC/6/3-11/BG-20","as:GENC:6:3-11:BG-20")</f>
        <v>as:GENC:6:3-11:BG-20</v>
      </c>
    </row>
    <row r="529" spans="1:7" x14ac:dyDescent="0.25">
      <c r="A529" s="112"/>
      <c r="B529" s="21" t="s">
        <v>2726</v>
      </c>
      <c r="C529" s="21" t="s">
        <v>2727</v>
      </c>
      <c r="D529" s="21" t="s">
        <v>1668</v>
      </c>
      <c r="E529" s="50" t="b">
        <v>1</v>
      </c>
      <c r="F529" s="72" t="str">
        <f>HYPERLINK("http://nsgreg.nga.mil/genc/view?v=291692&amp;end_month=6&amp;end_day=30&amp;end_year=2019","Smolyan")</f>
        <v>Smolyan</v>
      </c>
      <c r="G529" s="72" t="str">
        <f>HYPERLINK("http://api.nsgreg.nga.mil/geo-division/GENC/6/3-11/BG-21","as:GENC:6:3-11:BG-21")</f>
        <v>as:GENC:6:3-11:BG-21</v>
      </c>
    </row>
    <row r="530" spans="1:7" x14ac:dyDescent="0.25">
      <c r="A530" s="112"/>
      <c r="B530" s="21" t="s">
        <v>2728</v>
      </c>
      <c r="C530" s="21" t="s">
        <v>2729</v>
      </c>
      <c r="D530" s="21" t="s">
        <v>1668</v>
      </c>
      <c r="E530" s="50" t="b">
        <v>1</v>
      </c>
      <c r="F530" s="72" t="str">
        <f>HYPERLINK("http://nsgreg.nga.mil/genc/view?v=291694&amp;end_month=6&amp;end_day=30&amp;end_year=2019","Sofia")</f>
        <v>Sofia</v>
      </c>
      <c r="G530" s="72" t="str">
        <f>HYPERLINK("http://api.nsgreg.nga.mil/geo-division/GENC/6/3-11/BG-23","as:GENC:6:3-11:BG-23")</f>
        <v>as:GENC:6:3-11:BG-23</v>
      </c>
    </row>
    <row r="531" spans="1:7" x14ac:dyDescent="0.25">
      <c r="A531" s="112"/>
      <c r="B531" s="21" t="s">
        <v>2730</v>
      </c>
      <c r="C531" s="21" t="s">
        <v>2731</v>
      </c>
      <c r="D531" s="21" t="s">
        <v>1668</v>
      </c>
      <c r="E531" s="50" t="b">
        <v>1</v>
      </c>
      <c r="F531" s="72" t="str">
        <f>HYPERLINK("http://nsgreg.nga.mil/genc/view?v=291693&amp;end_month=6&amp;end_day=30&amp;end_year=2019","Sofia-Grad")</f>
        <v>Sofia-Grad</v>
      </c>
      <c r="G531" s="72" t="str">
        <f>HYPERLINK("http://api.nsgreg.nga.mil/geo-division/GENC/6/3-11/BG-22","as:GENC:6:3-11:BG-22")</f>
        <v>as:GENC:6:3-11:BG-22</v>
      </c>
    </row>
    <row r="532" spans="1:7" x14ac:dyDescent="0.25">
      <c r="A532" s="112"/>
      <c r="B532" s="21" t="s">
        <v>2732</v>
      </c>
      <c r="C532" s="21" t="s">
        <v>2733</v>
      </c>
      <c r="D532" s="21" t="s">
        <v>1668</v>
      </c>
      <c r="E532" s="50" t="b">
        <v>1</v>
      </c>
      <c r="F532" s="72" t="str">
        <f>HYPERLINK("http://nsgreg.nga.mil/genc/view?v=291695&amp;end_month=6&amp;end_day=30&amp;end_year=2019","Stara Zagora")</f>
        <v>Stara Zagora</v>
      </c>
      <c r="G532" s="72" t="str">
        <f>HYPERLINK("http://api.nsgreg.nga.mil/geo-division/GENC/6/3-11/BG-24","as:GENC:6:3-11:BG-24")</f>
        <v>as:GENC:6:3-11:BG-24</v>
      </c>
    </row>
    <row r="533" spans="1:7" x14ac:dyDescent="0.25">
      <c r="A533" s="112"/>
      <c r="B533" s="21" t="s">
        <v>2734</v>
      </c>
      <c r="C533" s="21" t="s">
        <v>2735</v>
      </c>
      <c r="D533" s="21" t="s">
        <v>1668</v>
      </c>
      <c r="E533" s="50" t="b">
        <v>1</v>
      </c>
      <c r="F533" s="72" t="str">
        <f>HYPERLINK("http://nsgreg.nga.mil/genc/view?v=291696&amp;end_month=6&amp;end_day=30&amp;end_year=2019","Targovishte")</f>
        <v>Targovishte</v>
      </c>
      <c r="G533" s="72" t="str">
        <f>HYPERLINK("http://api.nsgreg.nga.mil/geo-division/GENC/6/3-11/BG-25","as:GENC:6:3-11:BG-25")</f>
        <v>as:GENC:6:3-11:BG-25</v>
      </c>
    </row>
    <row r="534" spans="1:7" x14ac:dyDescent="0.25">
      <c r="A534" s="112"/>
      <c r="B534" s="21" t="s">
        <v>2736</v>
      </c>
      <c r="C534" s="21" t="s">
        <v>2737</v>
      </c>
      <c r="D534" s="21" t="s">
        <v>1668</v>
      </c>
      <c r="E534" s="50" t="b">
        <v>1</v>
      </c>
      <c r="F534" s="72" t="str">
        <f>HYPERLINK("http://nsgreg.nga.mil/genc/view?v=291674&amp;end_month=6&amp;end_day=30&amp;end_year=2019","Varna")</f>
        <v>Varna</v>
      </c>
      <c r="G534" s="72" t="str">
        <f>HYPERLINK("http://api.nsgreg.nga.mil/geo-division/GENC/6/3-11/BG-03","as:GENC:6:3-11:BG-03")</f>
        <v>as:GENC:6:3-11:BG-03</v>
      </c>
    </row>
    <row r="535" spans="1:7" x14ac:dyDescent="0.25">
      <c r="A535" s="112"/>
      <c r="B535" s="21" t="s">
        <v>2738</v>
      </c>
      <c r="C535" s="21" t="s">
        <v>2739</v>
      </c>
      <c r="D535" s="21" t="s">
        <v>1668</v>
      </c>
      <c r="E535" s="50" t="b">
        <v>1</v>
      </c>
      <c r="F535" s="72" t="str">
        <f>HYPERLINK("http://nsgreg.nga.mil/genc/view?v=291675&amp;end_month=6&amp;end_day=30&amp;end_year=2019","Veliko Tarnovo")</f>
        <v>Veliko Tarnovo</v>
      </c>
      <c r="G535" s="72" t="str">
        <f>HYPERLINK("http://api.nsgreg.nga.mil/geo-division/GENC/6/3-11/BG-04","as:GENC:6:3-11:BG-04")</f>
        <v>as:GENC:6:3-11:BG-04</v>
      </c>
    </row>
    <row r="536" spans="1:7" x14ac:dyDescent="0.25">
      <c r="A536" s="112"/>
      <c r="B536" s="21" t="s">
        <v>2740</v>
      </c>
      <c r="C536" s="21" t="s">
        <v>2741</v>
      </c>
      <c r="D536" s="21" t="s">
        <v>1668</v>
      </c>
      <c r="E536" s="50" t="b">
        <v>1</v>
      </c>
      <c r="F536" s="72" t="str">
        <f>HYPERLINK("http://nsgreg.nga.mil/genc/view?v=291676&amp;end_month=6&amp;end_day=30&amp;end_year=2019","Vidin")</f>
        <v>Vidin</v>
      </c>
      <c r="G536" s="72" t="str">
        <f>HYPERLINK("http://api.nsgreg.nga.mil/geo-division/GENC/6/3-11/BG-05","as:GENC:6:3-11:BG-05")</f>
        <v>as:GENC:6:3-11:BG-05</v>
      </c>
    </row>
    <row r="537" spans="1:7" x14ac:dyDescent="0.25">
      <c r="A537" s="112"/>
      <c r="B537" s="21" t="s">
        <v>2742</v>
      </c>
      <c r="C537" s="21" t="s">
        <v>2743</v>
      </c>
      <c r="D537" s="21" t="s">
        <v>1668</v>
      </c>
      <c r="E537" s="50" t="b">
        <v>1</v>
      </c>
      <c r="F537" s="72" t="str">
        <f>HYPERLINK("http://nsgreg.nga.mil/genc/view?v=291677&amp;end_month=6&amp;end_day=30&amp;end_year=2019","Vratsa")</f>
        <v>Vratsa</v>
      </c>
      <c r="G537" s="72" t="str">
        <f>HYPERLINK("http://api.nsgreg.nga.mil/geo-division/GENC/6/3-11/BG-06","as:GENC:6:3-11:BG-06")</f>
        <v>as:GENC:6:3-11:BG-06</v>
      </c>
    </row>
    <row r="538" spans="1:7" x14ac:dyDescent="0.25">
      <c r="A538" s="113"/>
      <c r="B538" s="47" t="s">
        <v>2744</v>
      </c>
      <c r="C538" s="47" t="s">
        <v>2745</v>
      </c>
      <c r="D538" s="47" t="s">
        <v>1668</v>
      </c>
      <c r="E538" s="51" t="b">
        <v>1</v>
      </c>
      <c r="F538" s="73" t="str">
        <f>HYPERLINK("http://nsgreg.nga.mil/genc/view?v=291699&amp;end_month=6&amp;end_day=30&amp;end_year=2019","Yambol")</f>
        <v>Yambol</v>
      </c>
      <c r="G538" s="73" t="str">
        <f>HYPERLINK("http://api.nsgreg.nga.mil/geo-division/GENC/6/3-11/BG-28","as:GENC:6:3-11:BG-28")</f>
        <v>as:GENC:6:3-11:BG-28</v>
      </c>
    </row>
    <row r="539" spans="1:7" x14ac:dyDescent="0.25">
      <c r="A539" s="111" t="str">
        <f>HYPERLINK("[#]Codes_for_GE_Names!A42:I42","BURKINA FASO")</f>
        <v>BURKINA FASO</v>
      </c>
      <c r="B539" s="42" t="s">
        <v>2746</v>
      </c>
      <c r="C539" s="42" t="s">
        <v>2747</v>
      </c>
      <c r="D539" s="42" t="s">
        <v>1975</v>
      </c>
      <c r="E539" s="49" t="b">
        <v>1</v>
      </c>
      <c r="F539" s="74" t="str">
        <f>HYPERLINK("http://nsgreg.nga.mil/genc/view?v=291614&amp;end_month=6&amp;end_day=30&amp;end_year=2019","Boucle du Mouhoun")</f>
        <v>Boucle du Mouhoun</v>
      </c>
      <c r="G539" s="74" t="str">
        <f>HYPERLINK("http://api.nsgreg.nga.mil/geo-division/GENC/6/3-11/BF-01","as:GENC:6:3-11:BF-01")</f>
        <v>as:GENC:6:3-11:BF-01</v>
      </c>
    </row>
    <row r="540" spans="1:7" x14ac:dyDescent="0.25">
      <c r="A540" s="112"/>
      <c r="B540" s="21" t="s">
        <v>2748</v>
      </c>
      <c r="C540" s="21" t="s">
        <v>2749</v>
      </c>
      <c r="D540" s="76" t="s">
        <v>1668</v>
      </c>
      <c r="E540" s="77" t="b">
        <v>0</v>
      </c>
      <c r="F540" s="72" t="str">
        <f>HYPERLINK("http://nsgreg.nga.mil/genc/view?v=291627&amp;end_month=6&amp;end_day=30&amp;end_year=2019","Balé")</f>
        <v>Balé</v>
      </c>
      <c r="G540" s="72" t="str">
        <f>HYPERLINK("http://api.nsgreg.nga.mil/geo-division/GENC/6/3-11/BF-BAL","as:GENC:6:3-11:BF-BAL")</f>
        <v>as:GENC:6:3-11:BF-BAL</v>
      </c>
    </row>
    <row r="541" spans="1:7" x14ac:dyDescent="0.25">
      <c r="A541" s="112"/>
      <c r="B541" s="21" t="s">
        <v>2750</v>
      </c>
      <c r="C541" s="21" t="s">
        <v>2751</v>
      </c>
      <c r="D541" s="76" t="s">
        <v>1668</v>
      </c>
      <c r="E541" s="77" t="b">
        <v>0</v>
      </c>
      <c r="F541" s="72" t="str">
        <f>HYPERLINK("http://nsgreg.nga.mil/genc/view?v=291629&amp;end_month=6&amp;end_day=30&amp;end_year=2019","Banwa")</f>
        <v>Banwa</v>
      </c>
      <c r="G541" s="72" t="str">
        <f>HYPERLINK("http://api.nsgreg.nga.mil/geo-division/GENC/6/3-11/BF-BAN","as:GENC:6:3-11:BF-BAN")</f>
        <v>as:GENC:6:3-11:BF-BAN</v>
      </c>
    </row>
    <row r="542" spans="1:7" x14ac:dyDescent="0.25">
      <c r="A542" s="112"/>
      <c r="B542" s="21" t="s">
        <v>2752</v>
      </c>
      <c r="C542" s="21" t="s">
        <v>2753</v>
      </c>
      <c r="D542" s="76" t="s">
        <v>1668</v>
      </c>
      <c r="E542" s="77" t="b">
        <v>0</v>
      </c>
      <c r="F542" s="72" t="str">
        <f>HYPERLINK("http://nsgreg.nga.mil/genc/view?v=291645&amp;end_month=6&amp;end_day=30&amp;end_year=2019","Kossi")</f>
        <v>Kossi</v>
      </c>
      <c r="G542" s="72" t="str">
        <f>HYPERLINK("http://api.nsgreg.nga.mil/geo-division/GENC/6/3-11/BF-KOS","as:GENC:6:3-11:BF-KOS")</f>
        <v>as:GENC:6:3-11:BF-KOS</v>
      </c>
    </row>
    <row r="543" spans="1:7" x14ac:dyDescent="0.25">
      <c r="A543" s="112"/>
      <c r="B543" s="21" t="s">
        <v>2754</v>
      </c>
      <c r="C543" s="21" t="s">
        <v>2755</v>
      </c>
      <c r="D543" s="76" t="s">
        <v>1668</v>
      </c>
      <c r="E543" s="77" t="b">
        <v>0</v>
      </c>
      <c r="F543" s="72" t="str">
        <f>HYPERLINK("http://nsgreg.nga.mil/genc/view?v=291650&amp;end_month=6&amp;end_day=30&amp;end_year=2019","Mouhoun")</f>
        <v>Mouhoun</v>
      </c>
      <c r="G543" s="72" t="str">
        <f>HYPERLINK("http://api.nsgreg.nga.mil/geo-division/GENC/6/3-11/BF-MOU","as:GENC:6:3-11:BF-MOU")</f>
        <v>as:GENC:6:3-11:BF-MOU</v>
      </c>
    </row>
    <row r="544" spans="1:7" x14ac:dyDescent="0.25">
      <c r="A544" s="112"/>
      <c r="B544" s="21" t="s">
        <v>2756</v>
      </c>
      <c r="C544" s="21" t="s">
        <v>2757</v>
      </c>
      <c r="D544" s="76" t="s">
        <v>1668</v>
      </c>
      <c r="E544" s="77" t="b">
        <v>0</v>
      </c>
      <c r="F544" s="72" t="str">
        <f>HYPERLINK("http://nsgreg.nga.mil/genc/view?v=291653&amp;end_month=6&amp;end_day=30&amp;end_year=2019","Nayala")</f>
        <v>Nayala</v>
      </c>
      <c r="G544" s="72" t="str">
        <f>HYPERLINK("http://api.nsgreg.nga.mil/geo-division/GENC/6/3-11/BF-NAY","as:GENC:6:3-11:BF-NAY")</f>
        <v>as:GENC:6:3-11:BF-NAY</v>
      </c>
    </row>
    <row r="545" spans="1:7" x14ac:dyDescent="0.25">
      <c r="A545" s="112"/>
      <c r="B545" s="21" t="s">
        <v>2758</v>
      </c>
      <c r="C545" s="21" t="s">
        <v>2759</v>
      </c>
      <c r="D545" s="76" t="s">
        <v>1668</v>
      </c>
      <c r="E545" s="77" t="b">
        <v>0</v>
      </c>
      <c r="F545" s="72" t="str">
        <f>HYPERLINK("http://nsgreg.nga.mil/genc/view?v=291664&amp;end_month=6&amp;end_day=30&amp;end_year=2019","Sourou")</f>
        <v>Sourou</v>
      </c>
      <c r="G545" s="72" t="str">
        <f>HYPERLINK("http://api.nsgreg.nga.mil/geo-division/GENC/6/3-11/BF-SOR","as:GENC:6:3-11:BF-SOR")</f>
        <v>as:GENC:6:3-11:BF-SOR</v>
      </c>
    </row>
    <row r="546" spans="1:7" x14ac:dyDescent="0.25">
      <c r="A546" s="112"/>
      <c r="B546" s="21" t="s">
        <v>2760</v>
      </c>
      <c r="C546" s="21" t="s">
        <v>2761</v>
      </c>
      <c r="D546" s="21" t="s">
        <v>1975</v>
      </c>
      <c r="E546" s="50" t="b">
        <v>1</v>
      </c>
      <c r="F546" s="72" t="str">
        <f>HYPERLINK("http://nsgreg.nga.mil/genc/view?v=291615&amp;end_month=6&amp;end_day=30&amp;end_year=2019","Cascades")</f>
        <v>Cascades</v>
      </c>
      <c r="G546" s="72" t="str">
        <f>HYPERLINK("http://api.nsgreg.nga.mil/geo-division/GENC/6/3-11/BF-02","as:GENC:6:3-11:BF-02")</f>
        <v>as:GENC:6:3-11:BF-02</v>
      </c>
    </row>
    <row r="547" spans="1:7" x14ac:dyDescent="0.25">
      <c r="A547" s="112"/>
      <c r="B547" s="21" t="s">
        <v>2762</v>
      </c>
      <c r="C547" s="21" t="s">
        <v>2763</v>
      </c>
      <c r="D547" s="76" t="s">
        <v>1668</v>
      </c>
      <c r="E547" s="77" t="b">
        <v>0</v>
      </c>
      <c r="F547" s="72" t="str">
        <f>HYPERLINK("http://nsgreg.nga.mil/genc/view?v=291634&amp;end_month=6&amp;end_day=30&amp;end_year=2019","Comoé")</f>
        <v>Comoé</v>
      </c>
      <c r="G547" s="72" t="str">
        <f>HYPERLINK("http://api.nsgreg.nga.mil/geo-division/GENC/6/3-11/BF-COM","as:GENC:6:3-11:BF-COM")</f>
        <v>as:GENC:6:3-11:BF-COM</v>
      </c>
    </row>
    <row r="548" spans="1:7" x14ac:dyDescent="0.25">
      <c r="A548" s="112"/>
      <c r="B548" s="21" t="s">
        <v>2764</v>
      </c>
      <c r="C548" s="21" t="s">
        <v>2765</v>
      </c>
      <c r="D548" s="76" t="s">
        <v>1668</v>
      </c>
      <c r="E548" s="77" t="b">
        <v>0</v>
      </c>
      <c r="F548" s="72" t="str">
        <f>HYPERLINK("http://nsgreg.nga.mil/genc/view?v=291648&amp;end_month=6&amp;end_day=30&amp;end_year=2019","Léraba")</f>
        <v>Léraba</v>
      </c>
      <c r="G548" s="72" t="str">
        <f>HYPERLINK("http://api.nsgreg.nga.mil/geo-division/GENC/6/3-11/BF-LER","as:GENC:6:3-11:BF-LER")</f>
        <v>as:GENC:6:3-11:BF-LER</v>
      </c>
    </row>
    <row r="549" spans="1:7" x14ac:dyDescent="0.25">
      <c r="A549" s="112"/>
      <c r="B549" s="21" t="s">
        <v>2766</v>
      </c>
      <c r="C549" s="21" t="s">
        <v>2767</v>
      </c>
      <c r="D549" s="21" t="s">
        <v>1975</v>
      </c>
      <c r="E549" s="50" t="b">
        <v>1</v>
      </c>
      <c r="F549" s="72" t="str">
        <f>HYPERLINK("http://nsgreg.nga.mil/genc/view?v=291616&amp;end_month=6&amp;end_day=30&amp;end_year=2019","Centre")</f>
        <v>Centre</v>
      </c>
      <c r="G549" s="72" t="str">
        <f>HYPERLINK("http://api.nsgreg.nga.mil/geo-division/GENC/6/3-11/BF-03","as:GENC:6:3-11:BF-03")</f>
        <v>as:GENC:6:3-11:BF-03</v>
      </c>
    </row>
    <row r="550" spans="1:7" x14ac:dyDescent="0.25">
      <c r="A550" s="112"/>
      <c r="B550" s="21" t="s">
        <v>2768</v>
      </c>
      <c r="C550" s="21" t="s">
        <v>2769</v>
      </c>
      <c r="D550" s="76" t="s">
        <v>1668</v>
      </c>
      <c r="E550" s="77" t="b">
        <v>0</v>
      </c>
      <c r="F550" s="72" t="str">
        <f>HYPERLINK("http://nsgreg.nga.mil/genc/view?v=291640&amp;end_month=6&amp;end_day=30&amp;end_year=2019","Kadiogo")</f>
        <v>Kadiogo</v>
      </c>
      <c r="G550" s="72" t="str">
        <f>HYPERLINK("http://api.nsgreg.nga.mil/geo-division/GENC/6/3-11/BF-KAD","as:GENC:6:3-11:BF-KAD")</f>
        <v>as:GENC:6:3-11:BF-KAD</v>
      </c>
    </row>
    <row r="551" spans="1:7" x14ac:dyDescent="0.25">
      <c r="A551" s="112"/>
      <c r="B551" s="21" t="s">
        <v>2770</v>
      </c>
      <c r="C551" s="21" t="s">
        <v>2771</v>
      </c>
      <c r="D551" s="21" t="s">
        <v>1975</v>
      </c>
      <c r="E551" s="50" t="b">
        <v>1</v>
      </c>
      <c r="F551" s="72" t="str">
        <f>HYPERLINK("http://nsgreg.nga.mil/genc/view?v=291617&amp;end_month=6&amp;end_day=30&amp;end_year=2019","Centre-Est")</f>
        <v>Centre-Est</v>
      </c>
      <c r="G551" s="72" t="str">
        <f>HYPERLINK("http://api.nsgreg.nga.mil/geo-division/GENC/6/3-11/BF-04","as:GENC:6:3-11:BF-04")</f>
        <v>as:GENC:6:3-11:BF-04</v>
      </c>
    </row>
    <row r="552" spans="1:7" x14ac:dyDescent="0.25">
      <c r="A552" s="112"/>
      <c r="B552" s="21" t="s">
        <v>2772</v>
      </c>
      <c r="C552" s="21" t="s">
        <v>2773</v>
      </c>
      <c r="D552" s="76" t="s">
        <v>1668</v>
      </c>
      <c r="E552" s="77" t="b">
        <v>0</v>
      </c>
      <c r="F552" s="72" t="str">
        <f>HYPERLINK("http://nsgreg.nga.mil/genc/view?v=291632&amp;end_month=6&amp;end_day=30&amp;end_year=2019","Boulgou")</f>
        <v>Boulgou</v>
      </c>
      <c r="G552" s="72" t="str">
        <f>HYPERLINK("http://api.nsgreg.nga.mil/geo-division/GENC/6/3-11/BF-BLG","as:GENC:6:3-11:BF-BLG")</f>
        <v>as:GENC:6:3-11:BF-BLG</v>
      </c>
    </row>
    <row r="553" spans="1:7" x14ac:dyDescent="0.25">
      <c r="A553" s="112"/>
      <c r="B553" s="21" t="s">
        <v>2774</v>
      </c>
      <c r="C553" s="21" t="s">
        <v>2775</v>
      </c>
      <c r="D553" s="76" t="s">
        <v>1668</v>
      </c>
      <c r="E553" s="77" t="b">
        <v>0</v>
      </c>
      <c r="F553" s="72" t="str">
        <f>HYPERLINK("http://nsgreg.nga.mil/genc/view?v=291644&amp;end_month=6&amp;end_day=30&amp;end_year=2019","Koulpélogo")</f>
        <v>Koulpélogo</v>
      </c>
      <c r="G553" s="72" t="str">
        <f>HYPERLINK("http://api.nsgreg.nga.mil/geo-division/GENC/6/3-11/BF-KOP","as:GENC:6:3-11:BF-KOP")</f>
        <v>as:GENC:6:3-11:BF-KOP</v>
      </c>
    </row>
    <row r="554" spans="1:7" x14ac:dyDescent="0.25">
      <c r="A554" s="112"/>
      <c r="B554" s="21" t="s">
        <v>2776</v>
      </c>
      <c r="C554" s="21" t="s">
        <v>2777</v>
      </c>
      <c r="D554" s="76" t="s">
        <v>1668</v>
      </c>
      <c r="E554" s="77" t="b">
        <v>0</v>
      </c>
      <c r="F554" s="72" t="str">
        <f>HYPERLINK("http://nsgreg.nga.mil/genc/view?v=291646&amp;end_month=6&amp;end_day=30&amp;end_year=2019","Kouritenga")</f>
        <v>Kouritenga</v>
      </c>
      <c r="G554" s="72" t="str">
        <f>HYPERLINK("http://api.nsgreg.nga.mil/geo-division/GENC/6/3-11/BF-KOT","as:GENC:6:3-11:BF-KOT")</f>
        <v>as:GENC:6:3-11:BF-KOT</v>
      </c>
    </row>
    <row r="555" spans="1:7" x14ac:dyDescent="0.25">
      <c r="A555" s="112"/>
      <c r="B555" s="21" t="s">
        <v>2778</v>
      </c>
      <c r="C555" s="21" t="s">
        <v>2779</v>
      </c>
      <c r="D555" s="21" t="s">
        <v>1975</v>
      </c>
      <c r="E555" s="50" t="b">
        <v>1</v>
      </c>
      <c r="F555" s="72" t="str">
        <f>HYPERLINK("http://nsgreg.nga.mil/genc/view?v=291618&amp;end_month=6&amp;end_day=30&amp;end_year=2019","Centre-Nord")</f>
        <v>Centre-Nord</v>
      </c>
      <c r="G555" s="72" t="str">
        <f>HYPERLINK("http://api.nsgreg.nga.mil/geo-division/GENC/6/3-11/BF-05","as:GENC:6:3-11:BF-05")</f>
        <v>as:GENC:6:3-11:BF-05</v>
      </c>
    </row>
    <row r="556" spans="1:7" x14ac:dyDescent="0.25">
      <c r="A556" s="112"/>
      <c r="B556" s="21" t="s">
        <v>2780</v>
      </c>
      <c r="C556" s="21" t="s">
        <v>2781</v>
      </c>
      <c r="D556" s="76" t="s">
        <v>1668</v>
      </c>
      <c r="E556" s="77" t="b">
        <v>0</v>
      </c>
      <c r="F556" s="72" t="str">
        <f>HYPERLINK("http://nsgreg.nga.mil/genc/view?v=291628&amp;end_month=6&amp;end_day=30&amp;end_year=2019","Bam")</f>
        <v>Bam</v>
      </c>
      <c r="G556" s="72" t="str">
        <f>HYPERLINK("http://api.nsgreg.nga.mil/geo-division/GENC/6/3-11/BF-BAM","as:GENC:6:3-11:BF-BAM")</f>
        <v>as:GENC:6:3-11:BF-BAM</v>
      </c>
    </row>
    <row r="557" spans="1:7" x14ac:dyDescent="0.25">
      <c r="A557" s="112"/>
      <c r="B557" s="21" t="s">
        <v>2782</v>
      </c>
      <c r="C557" s="21" t="s">
        <v>2783</v>
      </c>
      <c r="D557" s="76" t="s">
        <v>1668</v>
      </c>
      <c r="E557" s="77" t="b">
        <v>0</v>
      </c>
      <c r="F557" s="72" t="str">
        <f>HYPERLINK("http://nsgreg.nga.mil/genc/view?v=291651&amp;end_month=6&amp;end_day=30&amp;end_year=2019","Namentenga")</f>
        <v>Namentenga</v>
      </c>
      <c r="G557" s="72" t="str">
        <f>HYPERLINK("http://api.nsgreg.nga.mil/geo-division/GENC/6/3-11/BF-NAM","as:GENC:6:3-11:BF-NAM")</f>
        <v>as:GENC:6:3-11:BF-NAM</v>
      </c>
    </row>
    <row r="558" spans="1:7" x14ac:dyDescent="0.25">
      <c r="A558" s="112"/>
      <c r="B558" s="21" t="s">
        <v>2784</v>
      </c>
      <c r="C558" s="21" t="s">
        <v>2785</v>
      </c>
      <c r="D558" s="76" t="s">
        <v>1668</v>
      </c>
      <c r="E558" s="77" t="b">
        <v>0</v>
      </c>
      <c r="F558" s="72" t="str">
        <f>HYPERLINK("http://nsgreg.nga.mil/genc/view?v=291661&amp;end_month=6&amp;end_day=30&amp;end_year=2019","Sanmatenga")</f>
        <v>Sanmatenga</v>
      </c>
      <c r="G558" s="72" t="str">
        <f>HYPERLINK("http://api.nsgreg.nga.mil/geo-division/GENC/6/3-11/BF-SMT","as:GENC:6:3-11:BF-SMT")</f>
        <v>as:GENC:6:3-11:BF-SMT</v>
      </c>
    </row>
    <row r="559" spans="1:7" x14ac:dyDescent="0.25">
      <c r="A559" s="112"/>
      <c r="B559" s="21" t="s">
        <v>2786</v>
      </c>
      <c r="C559" s="21" t="s">
        <v>2787</v>
      </c>
      <c r="D559" s="21" t="s">
        <v>1975</v>
      </c>
      <c r="E559" s="50" t="b">
        <v>1</v>
      </c>
      <c r="F559" s="72" t="str">
        <f>HYPERLINK("http://nsgreg.nga.mil/genc/view?v=291619&amp;end_month=6&amp;end_day=30&amp;end_year=2019","Centre-Ouest")</f>
        <v>Centre-Ouest</v>
      </c>
      <c r="G559" s="72" t="str">
        <f>HYPERLINK("http://api.nsgreg.nga.mil/geo-division/GENC/6/3-11/BF-06","as:GENC:6:3-11:BF-06")</f>
        <v>as:GENC:6:3-11:BF-06</v>
      </c>
    </row>
    <row r="560" spans="1:7" x14ac:dyDescent="0.25">
      <c r="A560" s="112"/>
      <c r="B560" s="21" t="s">
        <v>2788</v>
      </c>
      <c r="C560" s="21" t="s">
        <v>2789</v>
      </c>
      <c r="D560" s="76" t="s">
        <v>1668</v>
      </c>
      <c r="E560" s="77" t="b">
        <v>0</v>
      </c>
      <c r="F560" s="72" t="str">
        <f>HYPERLINK("http://nsgreg.nga.mil/genc/view?v=291633&amp;end_month=6&amp;end_day=30&amp;end_year=2019","Boulkiemdé")</f>
        <v>Boulkiemdé</v>
      </c>
      <c r="G560" s="72" t="str">
        <f>HYPERLINK("http://api.nsgreg.nga.mil/geo-division/GENC/6/3-11/BF-BLK","as:GENC:6:3-11:BF-BLK")</f>
        <v>as:GENC:6:3-11:BF-BLK</v>
      </c>
    </row>
    <row r="561" spans="1:7" x14ac:dyDescent="0.25">
      <c r="A561" s="112"/>
      <c r="B561" s="21" t="s">
        <v>2790</v>
      </c>
      <c r="C561" s="21" t="s">
        <v>2791</v>
      </c>
      <c r="D561" s="76" t="s">
        <v>1668</v>
      </c>
      <c r="E561" s="77" t="b">
        <v>0</v>
      </c>
      <c r="F561" s="72" t="str">
        <f>HYPERLINK("http://nsgreg.nga.mil/genc/view?v=291662&amp;end_month=6&amp;end_day=30&amp;end_year=2019","Sanguié")</f>
        <v>Sanguié</v>
      </c>
      <c r="G561" s="72" t="str">
        <f>HYPERLINK("http://api.nsgreg.nga.mil/geo-division/GENC/6/3-11/BF-SNG","as:GENC:6:3-11:BF-SNG")</f>
        <v>as:GENC:6:3-11:BF-SNG</v>
      </c>
    </row>
    <row r="562" spans="1:7" x14ac:dyDescent="0.25">
      <c r="A562" s="112"/>
      <c r="B562" s="21" t="s">
        <v>2792</v>
      </c>
      <c r="C562" s="21" t="s">
        <v>2793</v>
      </c>
      <c r="D562" s="76" t="s">
        <v>1668</v>
      </c>
      <c r="E562" s="77" t="b">
        <v>0</v>
      </c>
      <c r="F562" s="72" t="str">
        <f>HYPERLINK("http://nsgreg.nga.mil/genc/view?v=291660&amp;end_month=6&amp;end_day=30&amp;end_year=2019","Sissili")</f>
        <v>Sissili</v>
      </c>
      <c r="G562" s="72" t="str">
        <f>HYPERLINK("http://api.nsgreg.nga.mil/geo-division/GENC/6/3-11/BF-SIS","as:GENC:6:3-11:BF-SIS")</f>
        <v>as:GENC:6:3-11:BF-SIS</v>
      </c>
    </row>
    <row r="563" spans="1:7" x14ac:dyDescent="0.25">
      <c r="A563" s="112"/>
      <c r="B563" s="21" t="s">
        <v>2794</v>
      </c>
      <c r="C563" s="21" t="s">
        <v>2795</v>
      </c>
      <c r="D563" s="76" t="s">
        <v>1668</v>
      </c>
      <c r="E563" s="77" t="b">
        <v>0</v>
      </c>
      <c r="F563" s="72" t="str">
        <f>HYPERLINK("http://nsgreg.nga.mil/genc/view?v=291669&amp;end_month=6&amp;end_day=30&amp;end_year=2019","Ziro")</f>
        <v>Ziro</v>
      </c>
      <c r="G563" s="72" t="str">
        <f>HYPERLINK("http://api.nsgreg.nga.mil/geo-division/GENC/6/3-11/BF-ZIR","as:GENC:6:3-11:BF-ZIR")</f>
        <v>as:GENC:6:3-11:BF-ZIR</v>
      </c>
    </row>
    <row r="564" spans="1:7" x14ac:dyDescent="0.25">
      <c r="A564" s="112"/>
      <c r="B564" s="21" t="s">
        <v>2796</v>
      </c>
      <c r="C564" s="21" t="s">
        <v>2797</v>
      </c>
      <c r="D564" s="21" t="s">
        <v>1975</v>
      </c>
      <c r="E564" s="50" t="b">
        <v>1</v>
      </c>
      <c r="F564" s="72" t="str">
        <f>HYPERLINK("http://nsgreg.nga.mil/genc/view?v=291620&amp;end_month=6&amp;end_day=30&amp;end_year=2019","Centre-Sud")</f>
        <v>Centre-Sud</v>
      </c>
      <c r="G564" s="72" t="str">
        <f>HYPERLINK("http://api.nsgreg.nga.mil/geo-division/GENC/6/3-11/BF-07","as:GENC:6:3-11:BF-07")</f>
        <v>as:GENC:6:3-11:BF-07</v>
      </c>
    </row>
    <row r="565" spans="1:7" x14ac:dyDescent="0.25">
      <c r="A565" s="112"/>
      <c r="B565" s="21" t="s">
        <v>2798</v>
      </c>
      <c r="C565" s="21" t="s">
        <v>2799</v>
      </c>
      <c r="D565" s="76" t="s">
        <v>1668</v>
      </c>
      <c r="E565" s="77" t="b">
        <v>0</v>
      </c>
      <c r="F565" s="72" t="str">
        <f>HYPERLINK("http://nsgreg.nga.mil/genc/view?v=291630&amp;end_month=6&amp;end_day=30&amp;end_year=2019","Bazèga")</f>
        <v>Bazèga</v>
      </c>
      <c r="G565" s="72" t="str">
        <f>HYPERLINK("http://api.nsgreg.nga.mil/geo-division/GENC/6/3-11/BF-BAZ","as:GENC:6:3-11:BF-BAZ")</f>
        <v>as:GENC:6:3-11:BF-BAZ</v>
      </c>
    </row>
    <row r="566" spans="1:7" x14ac:dyDescent="0.25">
      <c r="A566" s="112"/>
      <c r="B566" s="21" t="s">
        <v>2800</v>
      </c>
      <c r="C566" s="21" t="s">
        <v>2801</v>
      </c>
      <c r="D566" s="76" t="s">
        <v>1668</v>
      </c>
      <c r="E566" s="77" t="b">
        <v>0</v>
      </c>
      <c r="F566" s="72" t="str">
        <f>HYPERLINK("http://nsgreg.nga.mil/genc/view?v=291652&amp;end_month=6&amp;end_day=30&amp;end_year=2019","Nahouri")</f>
        <v>Nahouri</v>
      </c>
      <c r="G566" s="72" t="str">
        <f>HYPERLINK("http://api.nsgreg.nga.mil/geo-division/GENC/6/3-11/BF-NAO","as:GENC:6:3-11:BF-NAO")</f>
        <v>as:GENC:6:3-11:BF-NAO</v>
      </c>
    </row>
    <row r="567" spans="1:7" x14ac:dyDescent="0.25">
      <c r="A567" s="112"/>
      <c r="B567" s="21" t="s">
        <v>2802</v>
      </c>
      <c r="C567" s="21" t="s">
        <v>2803</v>
      </c>
      <c r="D567" s="76" t="s">
        <v>1668</v>
      </c>
      <c r="E567" s="77" t="b">
        <v>0</v>
      </c>
      <c r="F567" s="72" t="str">
        <f>HYPERLINK("http://nsgreg.nga.mil/genc/view?v=291671&amp;end_month=6&amp;end_day=30&amp;end_year=2019","Zoundwéogo")</f>
        <v>Zoundwéogo</v>
      </c>
      <c r="G567" s="72" t="str">
        <f>HYPERLINK("http://api.nsgreg.nga.mil/geo-division/GENC/6/3-11/BF-ZOU","as:GENC:6:3-11:BF-ZOU")</f>
        <v>as:GENC:6:3-11:BF-ZOU</v>
      </c>
    </row>
    <row r="568" spans="1:7" x14ac:dyDescent="0.25">
      <c r="A568" s="112"/>
      <c r="B568" s="21" t="s">
        <v>2804</v>
      </c>
      <c r="C568" s="21" t="s">
        <v>2805</v>
      </c>
      <c r="D568" s="21" t="s">
        <v>1975</v>
      </c>
      <c r="E568" s="50" t="b">
        <v>1</v>
      </c>
      <c r="F568" s="72" t="str">
        <f>HYPERLINK("http://nsgreg.nga.mil/genc/view?v=291621&amp;end_month=6&amp;end_day=30&amp;end_year=2019","Est")</f>
        <v>Est</v>
      </c>
      <c r="G568" s="72" t="str">
        <f>HYPERLINK("http://api.nsgreg.nga.mil/geo-division/GENC/6/3-11/BF-08","as:GENC:6:3-11:BF-08")</f>
        <v>as:GENC:6:3-11:BF-08</v>
      </c>
    </row>
    <row r="569" spans="1:7" x14ac:dyDescent="0.25">
      <c r="A569" s="112"/>
      <c r="B569" s="21" t="s">
        <v>2806</v>
      </c>
      <c r="C569" s="21" t="s">
        <v>2807</v>
      </c>
      <c r="D569" s="76" t="s">
        <v>1668</v>
      </c>
      <c r="E569" s="77" t="b">
        <v>0</v>
      </c>
      <c r="F569" s="72" t="str">
        <f>HYPERLINK("http://nsgreg.nga.mil/genc/view?v=291636&amp;end_month=6&amp;end_day=30&amp;end_year=2019","Gnagna")</f>
        <v>Gnagna</v>
      </c>
      <c r="G569" s="72" t="str">
        <f>HYPERLINK("http://api.nsgreg.nga.mil/geo-division/GENC/6/3-11/BF-GNA","as:GENC:6:3-11:BF-GNA")</f>
        <v>as:GENC:6:3-11:BF-GNA</v>
      </c>
    </row>
    <row r="570" spans="1:7" x14ac:dyDescent="0.25">
      <c r="A570" s="112"/>
      <c r="B570" s="21" t="s">
        <v>2808</v>
      </c>
      <c r="C570" s="21" t="s">
        <v>2809</v>
      </c>
      <c r="D570" s="76" t="s">
        <v>1668</v>
      </c>
      <c r="E570" s="77" t="b">
        <v>0</v>
      </c>
      <c r="F570" s="72" t="str">
        <f>HYPERLINK("http://nsgreg.nga.mil/genc/view?v=291637&amp;end_month=6&amp;end_day=30&amp;end_year=2019","Gourma")</f>
        <v>Gourma</v>
      </c>
      <c r="G570" s="72" t="str">
        <f>HYPERLINK("http://api.nsgreg.nga.mil/geo-division/GENC/6/3-11/BF-GOU","as:GENC:6:3-11:BF-GOU")</f>
        <v>as:GENC:6:3-11:BF-GOU</v>
      </c>
    </row>
    <row r="571" spans="1:7" x14ac:dyDescent="0.25">
      <c r="A571" s="112"/>
      <c r="B571" s="21" t="s">
        <v>2810</v>
      </c>
      <c r="C571" s="21" t="s">
        <v>2811</v>
      </c>
      <c r="D571" s="76" t="s">
        <v>1668</v>
      </c>
      <c r="E571" s="77" t="b">
        <v>0</v>
      </c>
      <c r="F571" s="72" t="str">
        <f>HYPERLINK("http://nsgreg.nga.mil/genc/view?v=291642&amp;end_month=6&amp;end_day=30&amp;end_year=2019","Komondjari")</f>
        <v>Komondjari</v>
      </c>
      <c r="G571" s="72" t="str">
        <f>HYPERLINK("http://api.nsgreg.nga.mil/geo-division/GENC/6/3-11/BF-KMD","as:GENC:6:3-11:BF-KMD")</f>
        <v>as:GENC:6:3-11:BF-KMD</v>
      </c>
    </row>
    <row r="572" spans="1:7" x14ac:dyDescent="0.25">
      <c r="A572" s="112"/>
      <c r="B572" s="21" t="s">
        <v>2812</v>
      </c>
      <c r="C572" s="21" t="s">
        <v>2813</v>
      </c>
      <c r="D572" s="76" t="s">
        <v>1668</v>
      </c>
      <c r="E572" s="77" t="b">
        <v>0</v>
      </c>
      <c r="F572" s="72" t="str">
        <f>HYPERLINK("http://nsgreg.nga.mil/genc/view?v=291643&amp;end_month=6&amp;end_day=30&amp;end_year=2019","Kompienga")</f>
        <v>Kompienga</v>
      </c>
      <c r="G572" s="72" t="str">
        <f>HYPERLINK("http://api.nsgreg.nga.mil/geo-division/GENC/6/3-11/BF-KMP","as:GENC:6:3-11:BF-KMP")</f>
        <v>as:GENC:6:3-11:BF-KMP</v>
      </c>
    </row>
    <row r="573" spans="1:7" x14ac:dyDescent="0.25">
      <c r="A573" s="112"/>
      <c r="B573" s="21" t="s">
        <v>2814</v>
      </c>
      <c r="C573" s="21" t="s">
        <v>2815</v>
      </c>
      <c r="D573" s="76" t="s">
        <v>1668</v>
      </c>
      <c r="E573" s="77" t="b">
        <v>0</v>
      </c>
      <c r="F573" s="72" t="str">
        <f>HYPERLINK("http://nsgreg.nga.mil/genc/view?v=291665&amp;end_month=6&amp;end_day=30&amp;end_year=2019","Tapoa")</f>
        <v>Tapoa</v>
      </c>
      <c r="G573" s="72" t="str">
        <f>HYPERLINK("http://api.nsgreg.nga.mil/geo-division/GENC/6/3-11/BF-TAP","as:GENC:6:3-11:BF-TAP")</f>
        <v>as:GENC:6:3-11:BF-TAP</v>
      </c>
    </row>
    <row r="574" spans="1:7" x14ac:dyDescent="0.25">
      <c r="A574" s="112"/>
      <c r="B574" s="21" t="s">
        <v>2816</v>
      </c>
      <c r="C574" s="21" t="s">
        <v>2817</v>
      </c>
      <c r="D574" s="21" t="s">
        <v>1975</v>
      </c>
      <c r="E574" s="50" t="b">
        <v>1</v>
      </c>
      <c r="F574" s="72" t="str">
        <f>HYPERLINK("http://nsgreg.nga.mil/genc/view?v=291622&amp;end_month=6&amp;end_day=30&amp;end_year=2019","Hauts-Bassins")</f>
        <v>Hauts-Bassins</v>
      </c>
      <c r="G574" s="72" t="str">
        <f>HYPERLINK("http://api.nsgreg.nga.mil/geo-division/GENC/6/3-11/BF-09","as:GENC:6:3-11:BF-09")</f>
        <v>as:GENC:6:3-11:BF-09</v>
      </c>
    </row>
    <row r="575" spans="1:7" x14ac:dyDescent="0.25">
      <c r="A575" s="112"/>
      <c r="B575" s="21" t="s">
        <v>2818</v>
      </c>
      <c r="C575" s="21" t="s">
        <v>2819</v>
      </c>
      <c r="D575" s="76" t="s">
        <v>1668</v>
      </c>
      <c r="E575" s="77" t="b">
        <v>0</v>
      </c>
      <c r="F575" s="72" t="str">
        <f>HYPERLINK("http://nsgreg.nga.mil/genc/view?v=291638&amp;end_month=6&amp;end_day=30&amp;end_year=2019","Houet")</f>
        <v>Houet</v>
      </c>
      <c r="G575" s="72" t="str">
        <f>HYPERLINK("http://api.nsgreg.nga.mil/geo-division/GENC/6/3-11/BF-HOU","as:GENC:6:3-11:BF-HOU")</f>
        <v>as:GENC:6:3-11:BF-HOU</v>
      </c>
    </row>
    <row r="576" spans="1:7" x14ac:dyDescent="0.25">
      <c r="A576" s="112"/>
      <c r="B576" s="21" t="s">
        <v>2820</v>
      </c>
      <c r="C576" s="21" t="s">
        <v>2821</v>
      </c>
      <c r="D576" s="76" t="s">
        <v>1668</v>
      </c>
      <c r="E576" s="77" t="b">
        <v>0</v>
      </c>
      <c r="F576" s="72" t="str">
        <f>HYPERLINK("http://nsgreg.nga.mil/genc/view?v=291641&amp;end_month=6&amp;end_day=30&amp;end_year=2019","Kénédougou")</f>
        <v>Kénédougou</v>
      </c>
      <c r="G576" s="72" t="str">
        <f>HYPERLINK("http://api.nsgreg.nga.mil/geo-division/GENC/6/3-11/BF-KEN","as:GENC:6:3-11:BF-KEN")</f>
        <v>as:GENC:6:3-11:BF-KEN</v>
      </c>
    </row>
    <row r="577" spans="1:7" x14ac:dyDescent="0.25">
      <c r="A577" s="112"/>
      <c r="B577" s="21" t="s">
        <v>2822</v>
      </c>
      <c r="C577" s="21" t="s">
        <v>2823</v>
      </c>
      <c r="D577" s="76" t="s">
        <v>1668</v>
      </c>
      <c r="E577" s="77" t="b">
        <v>0</v>
      </c>
      <c r="F577" s="72" t="str">
        <f>HYPERLINK("http://nsgreg.nga.mil/genc/view?v=291666&amp;end_month=6&amp;end_day=30&amp;end_year=2019","Tuy")</f>
        <v>Tuy</v>
      </c>
      <c r="G577" s="72" t="str">
        <f>HYPERLINK("http://api.nsgreg.nga.mil/geo-division/GENC/6/3-11/BF-TUI","as:GENC:6:3-11:BF-TUI")</f>
        <v>as:GENC:6:3-11:BF-TUI</v>
      </c>
    </row>
    <row r="578" spans="1:7" x14ac:dyDescent="0.25">
      <c r="A578" s="112"/>
      <c r="B578" s="21" t="s">
        <v>2824</v>
      </c>
      <c r="C578" s="21" t="s">
        <v>2825</v>
      </c>
      <c r="D578" s="21" t="s">
        <v>1975</v>
      </c>
      <c r="E578" s="50" t="b">
        <v>1</v>
      </c>
      <c r="F578" s="72" t="str">
        <f>HYPERLINK("http://nsgreg.nga.mil/genc/view?v=291623&amp;end_month=6&amp;end_day=30&amp;end_year=2019","Nord")</f>
        <v>Nord</v>
      </c>
      <c r="G578" s="72" t="str">
        <f>HYPERLINK("http://api.nsgreg.nga.mil/geo-division/GENC/6/3-11/BF-10","as:GENC:6:3-11:BF-10")</f>
        <v>as:GENC:6:3-11:BF-10</v>
      </c>
    </row>
    <row r="579" spans="1:7" x14ac:dyDescent="0.25">
      <c r="A579" s="112"/>
      <c r="B579" s="21" t="s">
        <v>2826</v>
      </c>
      <c r="C579" s="21" t="s">
        <v>2827</v>
      </c>
      <c r="D579" s="76" t="s">
        <v>1668</v>
      </c>
      <c r="E579" s="77" t="b">
        <v>0</v>
      </c>
      <c r="F579" s="72" t="str">
        <f>HYPERLINK("http://nsgreg.nga.mil/genc/view?v=291649&amp;end_month=6&amp;end_day=30&amp;end_year=2019","Loroum")</f>
        <v>Loroum</v>
      </c>
      <c r="G579" s="72" t="str">
        <f>HYPERLINK("http://api.nsgreg.nga.mil/geo-division/GENC/6/3-11/BF-LOR","as:GENC:6:3-11:BF-LOR")</f>
        <v>as:GENC:6:3-11:BF-LOR</v>
      </c>
    </row>
    <row r="580" spans="1:7" x14ac:dyDescent="0.25">
      <c r="A580" s="112"/>
      <c r="B580" s="21" t="s">
        <v>2828</v>
      </c>
      <c r="C580" s="21" t="s">
        <v>2829</v>
      </c>
      <c r="D580" s="76" t="s">
        <v>1668</v>
      </c>
      <c r="E580" s="77" t="b">
        <v>0</v>
      </c>
      <c r="F580" s="72" t="str">
        <f>HYPERLINK("http://nsgreg.nga.mil/genc/view?v=291657&amp;end_month=6&amp;end_day=30&amp;end_year=2019","Passoré")</f>
        <v>Passoré</v>
      </c>
      <c r="G580" s="72" t="str">
        <f>HYPERLINK("http://api.nsgreg.nga.mil/geo-division/GENC/6/3-11/BF-PAS","as:GENC:6:3-11:BF-PAS")</f>
        <v>as:GENC:6:3-11:BF-PAS</v>
      </c>
    </row>
    <row r="581" spans="1:7" x14ac:dyDescent="0.25">
      <c r="A581" s="112"/>
      <c r="B581" s="21" t="s">
        <v>2830</v>
      </c>
      <c r="C581" s="21" t="s">
        <v>2831</v>
      </c>
      <c r="D581" s="76" t="s">
        <v>1668</v>
      </c>
      <c r="E581" s="77" t="b">
        <v>0</v>
      </c>
      <c r="F581" s="72" t="str">
        <f>HYPERLINK("http://nsgreg.nga.mil/genc/view?v=291668&amp;end_month=6&amp;end_day=30&amp;end_year=2019","Yatenga")</f>
        <v>Yatenga</v>
      </c>
      <c r="G581" s="72" t="str">
        <f>HYPERLINK("http://api.nsgreg.nga.mil/geo-division/GENC/6/3-11/BF-YAT","as:GENC:6:3-11:BF-YAT")</f>
        <v>as:GENC:6:3-11:BF-YAT</v>
      </c>
    </row>
    <row r="582" spans="1:7" x14ac:dyDescent="0.25">
      <c r="A582" s="112"/>
      <c r="B582" s="21" t="s">
        <v>2832</v>
      </c>
      <c r="C582" s="21" t="s">
        <v>2833</v>
      </c>
      <c r="D582" s="76" t="s">
        <v>1668</v>
      </c>
      <c r="E582" s="77" t="b">
        <v>0</v>
      </c>
      <c r="F582" s="72" t="str">
        <f>HYPERLINK("http://nsgreg.nga.mil/genc/view?v=291670&amp;end_month=6&amp;end_day=30&amp;end_year=2019","Zondoma")</f>
        <v>Zondoma</v>
      </c>
      <c r="G582" s="72" t="str">
        <f>HYPERLINK("http://api.nsgreg.nga.mil/geo-division/GENC/6/3-11/BF-ZON","as:GENC:6:3-11:BF-ZON")</f>
        <v>as:GENC:6:3-11:BF-ZON</v>
      </c>
    </row>
    <row r="583" spans="1:7" x14ac:dyDescent="0.25">
      <c r="A583" s="112"/>
      <c r="B583" s="21" t="s">
        <v>2834</v>
      </c>
      <c r="C583" s="21" t="s">
        <v>2835</v>
      </c>
      <c r="D583" s="21" t="s">
        <v>1975</v>
      </c>
      <c r="E583" s="50" t="b">
        <v>1</v>
      </c>
      <c r="F583" s="72" t="str">
        <f>HYPERLINK("http://nsgreg.nga.mil/genc/view?v=291624&amp;end_month=6&amp;end_day=30&amp;end_year=2019","Plateau-Central")</f>
        <v>Plateau-Central</v>
      </c>
      <c r="G583" s="72" t="str">
        <f>HYPERLINK("http://api.nsgreg.nga.mil/geo-division/GENC/6/3-11/BF-11","as:GENC:6:3-11:BF-11")</f>
        <v>as:GENC:6:3-11:BF-11</v>
      </c>
    </row>
    <row r="584" spans="1:7" x14ac:dyDescent="0.25">
      <c r="A584" s="112"/>
      <c r="B584" s="21" t="s">
        <v>2836</v>
      </c>
      <c r="C584" s="21" t="s">
        <v>2837</v>
      </c>
      <c r="D584" s="76" t="s">
        <v>1668</v>
      </c>
      <c r="E584" s="77" t="b">
        <v>0</v>
      </c>
      <c r="F584" s="72" t="str">
        <f>HYPERLINK("http://nsgreg.nga.mil/genc/view?v=291635&amp;end_month=6&amp;end_day=30&amp;end_year=2019","Ganzourgou")</f>
        <v>Ganzourgou</v>
      </c>
      <c r="G584" s="72" t="str">
        <f>HYPERLINK("http://api.nsgreg.nga.mil/geo-division/GENC/6/3-11/BF-GAN","as:GENC:6:3-11:BF-GAN")</f>
        <v>as:GENC:6:3-11:BF-GAN</v>
      </c>
    </row>
    <row r="585" spans="1:7" x14ac:dyDescent="0.25">
      <c r="A585" s="112"/>
      <c r="B585" s="21" t="s">
        <v>2838</v>
      </c>
      <c r="C585" s="21" t="s">
        <v>2839</v>
      </c>
      <c r="D585" s="76" t="s">
        <v>1668</v>
      </c>
      <c r="E585" s="77" t="b">
        <v>0</v>
      </c>
      <c r="F585" s="72" t="str">
        <f>HYPERLINK("http://nsgreg.nga.mil/genc/view?v=291647&amp;end_month=6&amp;end_day=30&amp;end_year=2019","Kourwéogo")</f>
        <v>Kourwéogo</v>
      </c>
      <c r="G585" s="72" t="str">
        <f>HYPERLINK("http://api.nsgreg.nga.mil/geo-division/GENC/6/3-11/BF-KOW","as:GENC:6:3-11:BF-KOW")</f>
        <v>as:GENC:6:3-11:BF-KOW</v>
      </c>
    </row>
    <row r="586" spans="1:7" x14ac:dyDescent="0.25">
      <c r="A586" s="112"/>
      <c r="B586" s="21" t="s">
        <v>2840</v>
      </c>
      <c r="C586" s="21" t="s">
        <v>2841</v>
      </c>
      <c r="D586" s="76" t="s">
        <v>1668</v>
      </c>
      <c r="E586" s="77" t="b">
        <v>0</v>
      </c>
      <c r="F586" s="72" t="str">
        <f>HYPERLINK("http://nsgreg.nga.mil/genc/view?v=291655&amp;end_month=6&amp;end_day=30&amp;end_year=2019","Oubritenga")</f>
        <v>Oubritenga</v>
      </c>
      <c r="G586" s="72" t="str">
        <f>HYPERLINK("http://api.nsgreg.nga.mil/geo-division/GENC/6/3-11/BF-OUB","as:GENC:6:3-11:BF-OUB")</f>
        <v>as:GENC:6:3-11:BF-OUB</v>
      </c>
    </row>
    <row r="587" spans="1:7" x14ac:dyDescent="0.25">
      <c r="A587" s="112"/>
      <c r="B587" s="21" t="s">
        <v>2842</v>
      </c>
      <c r="C587" s="21" t="s">
        <v>2843</v>
      </c>
      <c r="D587" s="21" t="s">
        <v>1975</v>
      </c>
      <c r="E587" s="50" t="b">
        <v>1</v>
      </c>
      <c r="F587" s="72" t="str">
        <f>HYPERLINK("http://nsgreg.nga.mil/genc/view?v=291625&amp;end_month=6&amp;end_day=30&amp;end_year=2019","Sahel")</f>
        <v>Sahel</v>
      </c>
      <c r="G587" s="72" t="str">
        <f>HYPERLINK("http://api.nsgreg.nga.mil/geo-division/GENC/6/3-11/BF-12","as:GENC:6:3-11:BF-12")</f>
        <v>as:GENC:6:3-11:BF-12</v>
      </c>
    </row>
    <row r="588" spans="1:7" x14ac:dyDescent="0.25">
      <c r="A588" s="112"/>
      <c r="B588" s="21" t="s">
        <v>2844</v>
      </c>
      <c r="C588" s="21" t="s">
        <v>2845</v>
      </c>
      <c r="D588" s="76" t="s">
        <v>1668</v>
      </c>
      <c r="E588" s="77" t="b">
        <v>0</v>
      </c>
      <c r="F588" s="72" t="str">
        <f>HYPERLINK("http://nsgreg.nga.mil/genc/view?v=291656&amp;end_month=6&amp;end_day=30&amp;end_year=2019","Oudalan")</f>
        <v>Oudalan</v>
      </c>
      <c r="G588" s="72" t="str">
        <f>HYPERLINK("http://api.nsgreg.nga.mil/geo-division/GENC/6/3-11/BF-OUD","as:GENC:6:3-11:BF-OUD")</f>
        <v>as:GENC:6:3-11:BF-OUD</v>
      </c>
    </row>
    <row r="589" spans="1:7" x14ac:dyDescent="0.25">
      <c r="A589" s="112"/>
      <c r="B589" s="21" t="s">
        <v>2846</v>
      </c>
      <c r="C589" s="21" t="s">
        <v>2847</v>
      </c>
      <c r="D589" s="76" t="s">
        <v>1668</v>
      </c>
      <c r="E589" s="77" t="b">
        <v>0</v>
      </c>
      <c r="F589" s="72" t="str">
        <f>HYPERLINK("http://nsgreg.nga.mil/genc/view?v=291659&amp;end_month=6&amp;end_day=30&amp;end_year=2019","Séno")</f>
        <v>Séno</v>
      </c>
      <c r="G589" s="72" t="str">
        <f>HYPERLINK("http://api.nsgreg.nga.mil/geo-division/GENC/6/3-11/BF-SEN","as:GENC:6:3-11:BF-SEN")</f>
        <v>as:GENC:6:3-11:BF-SEN</v>
      </c>
    </row>
    <row r="590" spans="1:7" x14ac:dyDescent="0.25">
      <c r="A590" s="112"/>
      <c r="B590" s="21" t="s">
        <v>2848</v>
      </c>
      <c r="C590" s="21" t="s">
        <v>2849</v>
      </c>
      <c r="D590" s="76" t="s">
        <v>1668</v>
      </c>
      <c r="E590" s="77" t="b">
        <v>0</v>
      </c>
      <c r="F590" s="72" t="str">
        <f>HYPERLINK("http://nsgreg.nga.mil/genc/view?v=291663&amp;end_month=6&amp;end_day=30&amp;end_year=2019","Soum")</f>
        <v>Soum</v>
      </c>
      <c r="G590" s="72" t="str">
        <f>HYPERLINK("http://api.nsgreg.nga.mil/geo-division/GENC/6/3-11/BF-SOM","as:GENC:6:3-11:BF-SOM")</f>
        <v>as:GENC:6:3-11:BF-SOM</v>
      </c>
    </row>
    <row r="591" spans="1:7" x14ac:dyDescent="0.25">
      <c r="A591" s="112"/>
      <c r="B591" s="21" t="s">
        <v>2850</v>
      </c>
      <c r="C591" s="21" t="s">
        <v>2851</v>
      </c>
      <c r="D591" s="76" t="s">
        <v>1668</v>
      </c>
      <c r="E591" s="77" t="b">
        <v>0</v>
      </c>
      <c r="F591" s="72" t="str">
        <f>HYPERLINK("http://nsgreg.nga.mil/genc/view?v=291667&amp;end_month=6&amp;end_day=30&amp;end_year=2019","Yagha")</f>
        <v>Yagha</v>
      </c>
      <c r="G591" s="72" t="str">
        <f>HYPERLINK("http://api.nsgreg.nga.mil/geo-division/GENC/6/3-11/BF-YAG","as:GENC:6:3-11:BF-YAG")</f>
        <v>as:GENC:6:3-11:BF-YAG</v>
      </c>
    </row>
    <row r="592" spans="1:7" x14ac:dyDescent="0.25">
      <c r="A592" s="112"/>
      <c r="B592" s="21" t="s">
        <v>2852</v>
      </c>
      <c r="C592" s="21" t="s">
        <v>2853</v>
      </c>
      <c r="D592" s="21" t="s">
        <v>1975</v>
      </c>
      <c r="E592" s="50" t="b">
        <v>1</v>
      </c>
      <c r="F592" s="72" t="str">
        <f>HYPERLINK("http://nsgreg.nga.mil/genc/view?v=291626&amp;end_month=6&amp;end_day=30&amp;end_year=2019","Sud-Ouest")</f>
        <v>Sud-Ouest</v>
      </c>
      <c r="G592" s="72" t="str">
        <f>HYPERLINK("http://api.nsgreg.nga.mil/geo-division/GENC/6/3-11/BF-13","as:GENC:6:3-11:BF-13")</f>
        <v>as:GENC:6:3-11:BF-13</v>
      </c>
    </row>
    <row r="593" spans="1:7" x14ac:dyDescent="0.25">
      <c r="A593" s="112"/>
      <c r="B593" s="21" t="s">
        <v>2854</v>
      </c>
      <c r="C593" s="21" t="s">
        <v>2855</v>
      </c>
      <c r="D593" s="76" t="s">
        <v>1668</v>
      </c>
      <c r="E593" s="77" t="b">
        <v>0</v>
      </c>
      <c r="F593" s="72" t="str">
        <f>HYPERLINK("http://nsgreg.nga.mil/genc/view?v=291631&amp;end_month=6&amp;end_day=30&amp;end_year=2019","Bougouriba")</f>
        <v>Bougouriba</v>
      </c>
      <c r="G593" s="72" t="str">
        <f>HYPERLINK("http://api.nsgreg.nga.mil/geo-division/GENC/6/3-11/BF-BGR","as:GENC:6:3-11:BF-BGR")</f>
        <v>as:GENC:6:3-11:BF-BGR</v>
      </c>
    </row>
    <row r="594" spans="1:7" x14ac:dyDescent="0.25">
      <c r="A594" s="112"/>
      <c r="B594" s="21" t="s">
        <v>2856</v>
      </c>
      <c r="C594" s="21" t="s">
        <v>2857</v>
      </c>
      <c r="D594" s="76" t="s">
        <v>1668</v>
      </c>
      <c r="E594" s="77" t="b">
        <v>0</v>
      </c>
      <c r="F594" s="72" t="str">
        <f>HYPERLINK("http://nsgreg.nga.mil/genc/view?v=291639&amp;end_month=6&amp;end_day=30&amp;end_year=2019","Ioba")</f>
        <v>Ioba</v>
      </c>
      <c r="G594" s="72" t="str">
        <f>HYPERLINK("http://api.nsgreg.nga.mil/geo-division/GENC/6/3-11/BF-IOB","as:GENC:6:3-11:BF-IOB")</f>
        <v>as:GENC:6:3-11:BF-IOB</v>
      </c>
    </row>
    <row r="595" spans="1:7" x14ac:dyDescent="0.25">
      <c r="A595" s="112"/>
      <c r="B595" s="21" t="s">
        <v>2858</v>
      </c>
      <c r="C595" s="21" t="s">
        <v>2859</v>
      </c>
      <c r="D595" s="76" t="s">
        <v>1668</v>
      </c>
      <c r="E595" s="77" t="b">
        <v>0</v>
      </c>
      <c r="F595" s="72" t="str">
        <f>HYPERLINK("http://nsgreg.nga.mil/genc/view?v=291654&amp;end_month=6&amp;end_day=30&amp;end_year=2019","Noumbiel")</f>
        <v>Noumbiel</v>
      </c>
      <c r="G595" s="72" t="str">
        <f>HYPERLINK("http://api.nsgreg.nga.mil/geo-division/GENC/6/3-11/BF-NOU","as:GENC:6:3-11:BF-NOU")</f>
        <v>as:GENC:6:3-11:BF-NOU</v>
      </c>
    </row>
    <row r="596" spans="1:7" x14ac:dyDescent="0.25">
      <c r="A596" s="113"/>
      <c r="B596" s="47" t="s">
        <v>2860</v>
      </c>
      <c r="C596" s="47" t="s">
        <v>2861</v>
      </c>
      <c r="D596" s="78" t="s">
        <v>1668</v>
      </c>
      <c r="E596" s="79" t="b">
        <v>0</v>
      </c>
      <c r="F596" s="73" t="str">
        <f>HYPERLINK("http://nsgreg.nga.mil/genc/view?v=291658&amp;end_month=6&amp;end_day=30&amp;end_year=2019","Poni")</f>
        <v>Poni</v>
      </c>
      <c r="G596" s="73" t="str">
        <f>HYPERLINK("http://api.nsgreg.nga.mil/geo-division/GENC/6/3-11/BF-PON","as:GENC:6:3-11:BF-PON")</f>
        <v>as:GENC:6:3-11:BF-PON</v>
      </c>
    </row>
    <row r="597" spans="1:7" x14ac:dyDescent="0.25">
      <c r="A597" s="111" t="str">
        <f>HYPERLINK("[#]Codes_for_GE_Names!A43:I43","BURMA")</f>
        <v>BURMA</v>
      </c>
      <c r="B597" s="42" t="s">
        <v>2862</v>
      </c>
      <c r="C597" s="42" t="s">
        <v>2863</v>
      </c>
      <c r="D597" s="42" t="s">
        <v>1975</v>
      </c>
      <c r="E597" s="49" t="b">
        <v>1</v>
      </c>
      <c r="F597" s="74" t="str">
        <f>HYPERLINK("http://nsgreg.nga.mil/genc/view?v=294392&amp;end_month=6&amp;end_day=30&amp;end_year=2019","Ayeyarwady")</f>
        <v>Ayeyarwady</v>
      </c>
      <c r="G597" s="74" t="str">
        <f>HYPERLINK("http://api.nsgreg.nga.mil/geo-division/GENC/6/3-11/MM-07","as:GENC:6:3-11:MM-07")</f>
        <v>as:GENC:6:3-11:MM-07</v>
      </c>
    </row>
    <row r="598" spans="1:7" x14ac:dyDescent="0.25">
      <c r="A598" s="112"/>
      <c r="B598" s="21" t="s">
        <v>2864</v>
      </c>
      <c r="C598" s="21" t="s">
        <v>2865</v>
      </c>
      <c r="D598" s="21" t="s">
        <v>1975</v>
      </c>
      <c r="E598" s="50" t="b">
        <v>1</v>
      </c>
      <c r="F598" s="72" t="str">
        <f>HYPERLINK("http://nsgreg.nga.mil/genc/view?v=294387&amp;end_month=6&amp;end_day=30&amp;end_year=2019","Bago")</f>
        <v>Bago</v>
      </c>
      <c r="G598" s="72" t="str">
        <f>HYPERLINK("http://api.nsgreg.nga.mil/geo-division/GENC/6/3-11/MM-02","as:GENC:6:3-11:MM-02")</f>
        <v>as:GENC:6:3-11:MM-02</v>
      </c>
    </row>
    <row r="599" spans="1:7" x14ac:dyDescent="0.25">
      <c r="A599" s="112"/>
      <c r="B599" s="21" t="s">
        <v>2866</v>
      </c>
      <c r="C599" s="21" t="s">
        <v>2867</v>
      </c>
      <c r="D599" s="21" t="s">
        <v>2002</v>
      </c>
      <c r="E599" s="50" t="b">
        <v>1</v>
      </c>
      <c r="F599" s="72" t="str">
        <f>HYPERLINK("http://nsgreg.nga.mil/genc/view?v=294396&amp;end_month=6&amp;end_day=30&amp;end_year=2019","Chin State")</f>
        <v>Chin State</v>
      </c>
      <c r="G599" s="72" t="str">
        <f>HYPERLINK("http://api.nsgreg.nga.mil/geo-division/GENC/6/3-11/MM-14","as:GENC:6:3-11:MM-14")</f>
        <v>as:GENC:6:3-11:MM-14</v>
      </c>
    </row>
    <row r="600" spans="1:7" x14ac:dyDescent="0.25">
      <c r="A600" s="112"/>
      <c r="B600" s="21" t="s">
        <v>2868</v>
      </c>
      <c r="C600" s="21" t="s">
        <v>2869</v>
      </c>
      <c r="D600" s="21" t="s">
        <v>2002</v>
      </c>
      <c r="E600" s="50" t="b">
        <v>1</v>
      </c>
      <c r="F600" s="72" t="str">
        <f>HYPERLINK("http://nsgreg.nga.mil/genc/view?v=294393&amp;end_month=6&amp;end_day=30&amp;end_year=2019","Kachin State")</f>
        <v>Kachin State</v>
      </c>
      <c r="G600" s="72" t="str">
        <f>HYPERLINK("http://api.nsgreg.nga.mil/geo-division/GENC/6/3-11/MM-11","as:GENC:6:3-11:MM-11")</f>
        <v>as:GENC:6:3-11:MM-11</v>
      </c>
    </row>
    <row r="601" spans="1:7" x14ac:dyDescent="0.25">
      <c r="A601" s="112"/>
      <c r="B601" s="21" t="s">
        <v>2870</v>
      </c>
      <c r="C601" s="21" t="s">
        <v>2871</v>
      </c>
      <c r="D601" s="21" t="s">
        <v>2002</v>
      </c>
      <c r="E601" s="50" t="b">
        <v>1</v>
      </c>
      <c r="F601" s="72" t="str">
        <f>HYPERLINK("http://nsgreg.nga.mil/genc/view?v=294394&amp;end_month=6&amp;end_day=30&amp;end_year=2019","Kayah State")</f>
        <v>Kayah State</v>
      </c>
      <c r="G601" s="72" t="str">
        <f>HYPERLINK("http://api.nsgreg.nga.mil/geo-division/GENC/6/3-11/MM-12","as:GENC:6:3-11:MM-12")</f>
        <v>as:GENC:6:3-11:MM-12</v>
      </c>
    </row>
    <row r="602" spans="1:7" x14ac:dyDescent="0.25">
      <c r="A602" s="112"/>
      <c r="B602" s="21" t="s">
        <v>2872</v>
      </c>
      <c r="C602" s="21" t="s">
        <v>2873</v>
      </c>
      <c r="D602" s="21" t="s">
        <v>2002</v>
      </c>
      <c r="E602" s="50" t="b">
        <v>1</v>
      </c>
      <c r="F602" s="72" t="str">
        <f>HYPERLINK("http://nsgreg.nga.mil/genc/view?v=294395&amp;end_month=6&amp;end_day=30&amp;end_year=2019","Kayin State")</f>
        <v>Kayin State</v>
      </c>
      <c r="G602" s="72" t="str">
        <f>HYPERLINK("http://api.nsgreg.nga.mil/geo-division/GENC/6/3-11/MM-13","as:GENC:6:3-11:MM-13")</f>
        <v>as:GENC:6:3-11:MM-13</v>
      </c>
    </row>
    <row r="603" spans="1:7" x14ac:dyDescent="0.25">
      <c r="A603" s="112"/>
      <c r="B603" s="21" t="s">
        <v>2874</v>
      </c>
      <c r="C603" s="21" t="s">
        <v>2875</v>
      </c>
      <c r="D603" s="21" t="s">
        <v>1975</v>
      </c>
      <c r="E603" s="50" t="b">
        <v>1</v>
      </c>
      <c r="F603" s="72" t="str">
        <f>HYPERLINK("http://nsgreg.nga.mil/genc/view?v=294388&amp;end_month=6&amp;end_day=30&amp;end_year=2019","Magway")</f>
        <v>Magway</v>
      </c>
      <c r="G603" s="72" t="str">
        <f>HYPERLINK("http://api.nsgreg.nga.mil/geo-division/GENC/6/3-11/MM-03","as:GENC:6:3-11:MM-03")</f>
        <v>as:GENC:6:3-11:MM-03</v>
      </c>
    </row>
    <row r="604" spans="1:7" x14ac:dyDescent="0.25">
      <c r="A604" s="112"/>
      <c r="B604" s="21" t="s">
        <v>2876</v>
      </c>
      <c r="C604" s="21" t="s">
        <v>2877</v>
      </c>
      <c r="D604" s="21" t="s">
        <v>1975</v>
      </c>
      <c r="E604" s="50" t="b">
        <v>1</v>
      </c>
      <c r="F604" s="72" t="str">
        <f>HYPERLINK("http://nsgreg.nga.mil/genc/view?v=294389&amp;end_month=6&amp;end_day=30&amp;end_year=2019","Mandalay")</f>
        <v>Mandalay</v>
      </c>
      <c r="G604" s="72" t="str">
        <f>HYPERLINK("http://api.nsgreg.nga.mil/geo-division/GENC/6/3-11/MM-04","as:GENC:6:3-11:MM-04")</f>
        <v>as:GENC:6:3-11:MM-04</v>
      </c>
    </row>
    <row r="605" spans="1:7" x14ac:dyDescent="0.25">
      <c r="A605" s="112"/>
      <c r="B605" s="21" t="s">
        <v>2878</v>
      </c>
      <c r="C605" s="21" t="s">
        <v>2879</v>
      </c>
      <c r="D605" s="21" t="s">
        <v>2002</v>
      </c>
      <c r="E605" s="50" t="b">
        <v>1</v>
      </c>
      <c r="F605" s="72" t="str">
        <f>HYPERLINK("http://nsgreg.nga.mil/genc/view?v=294397&amp;end_month=6&amp;end_day=30&amp;end_year=2019","Mon State")</f>
        <v>Mon State</v>
      </c>
      <c r="G605" s="72" t="str">
        <f>HYPERLINK("http://api.nsgreg.nga.mil/geo-division/GENC/6/3-11/MM-15","as:GENC:6:3-11:MM-15")</f>
        <v>as:GENC:6:3-11:MM-15</v>
      </c>
    </row>
    <row r="606" spans="1:7" x14ac:dyDescent="0.25">
      <c r="A606" s="112"/>
      <c r="B606" s="21" t="s">
        <v>2880</v>
      </c>
      <c r="C606" s="21" t="s">
        <v>2881</v>
      </c>
      <c r="D606" s="21" t="s">
        <v>2882</v>
      </c>
      <c r="E606" s="50" t="b">
        <v>1</v>
      </c>
      <c r="F606" s="72" t="str">
        <f>HYPERLINK("http://nsgreg.nga.mil/genc/view?v=294400&amp;end_month=6&amp;end_day=30&amp;end_year=2019","Nay Pyi Taw")</f>
        <v>Nay Pyi Taw</v>
      </c>
      <c r="G606" s="72" t="str">
        <f>HYPERLINK("http://api.nsgreg.nga.mil/geo-division/GENC/6/3-11/MM-18","as:GENC:6:3-11:MM-18")</f>
        <v>as:GENC:6:3-11:MM-18</v>
      </c>
    </row>
    <row r="607" spans="1:7" x14ac:dyDescent="0.25">
      <c r="A607" s="112"/>
      <c r="B607" s="21" t="s">
        <v>2883</v>
      </c>
      <c r="C607" s="21" t="s">
        <v>2884</v>
      </c>
      <c r="D607" s="21" t="s">
        <v>2002</v>
      </c>
      <c r="E607" s="50" t="b">
        <v>1</v>
      </c>
      <c r="F607" s="72" t="str">
        <f>HYPERLINK("http://nsgreg.nga.mil/genc/view?v=294398&amp;end_month=6&amp;end_day=30&amp;end_year=2019","Rakhine State")</f>
        <v>Rakhine State</v>
      </c>
      <c r="G607" s="72" t="str">
        <f>HYPERLINK("http://api.nsgreg.nga.mil/geo-division/GENC/6/3-11/MM-16","as:GENC:6:3-11:MM-16")</f>
        <v>as:GENC:6:3-11:MM-16</v>
      </c>
    </row>
    <row r="608" spans="1:7" x14ac:dyDescent="0.25">
      <c r="A608" s="112"/>
      <c r="B608" s="21" t="s">
        <v>2885</v>
      </c>
      <c r="C608" s="21" t="s">
        <v>2886</v>
      </c>
      <c r="D608" s="21" t="s">
        <v>1975</v>
      </c>
      <c r="E608" s="50" t="b">
        <v>1</v>
      </c>
      <c r="F608" s="72" t="str">
        <f>HYPERLINK("http://nsgreg.nga.mil/genc/view?v=294386&amp;end_month=6&amp;end_day=30&amp;end_year=2019","Sagaing")</f>
        <v>Sagaing</v>
      </c>
      <c r="G608" s="72" t="str">
        <f>HYPERLINK("http://api.nsgreg.nga.mil/geo-division/GENC/6/3-11/MM-01","as:GENC:6:3-11:MM-01")</f>
        <v>as:GENC:6:3-11:MM-01</v>
      </c>
    </row>
    <row r="609" spans="1:7" x14ac:dyDescent="0.25">
      <c r="A609" s="112"/>
      <c r="B609" s="21" t="s">
        <v>2887</v>
      </c>
      <c r="C609" s="21" t="s">
        <v>2888</v>
      </c>
      <c r="D609" s="21" t="s">
        <v>2002</v>
      </c>
      <c r="E609" s="50" t="b">
        <v>1</v>
      </c>
      <c r="F609" s="72" t="str">
        <f>HYPERLINK("http://nsgreg.nga.mil/genc/view?v=294399&amp;end_month=6&amp;end_day=30&amp;end_year=2019","Shan State")</f>
        <v>Shan State</v>
      </c>
      <c r="G609" s="72" t="str">
        <f>HYPERLINK("http://api.nsgreg.nga.mil/geo-division/GENC/6/3-11/MM-17","as:GENC:6:3-11:MM-17")</f>
        <v>as:GENC:6:3-11:MM-17</v>
      </c>
    </row>
    <row r="610" spans="1:7" x14ac:dyDescent="0.25">
      <c r="A610" s="112"/>
      <c r="B610" s="21" t="s">
        <v>2889</v>
      </c>
      <c r="C610" s="21" t="s">
        <v>2890</v>
      </c>
      <c r="D610" s="21" t="s">
        <v>1975</v>
      </c>
      <c r="E610" s="50" t="b">
        <v>1</v>
      </c>
      <c r="F610" s="72" t="str">
        <f>HYPERLINK("http://nsgreg.nga.mil/genc/view?v=294390&amp;end_month=6&amp;end_day=30&amp;end_year=2019","Tanintharyi")</f>
        <v>Tanintharyi</v>
      </c>
      <c r="G610" s="72" t="str">
        <f>HYPERLINK("http://api.nsgreg.nga.mil/geo-division/GENC/6/3-11/MM-05","as:GENC:6:3-11:MM-05")</f>
        <v>as:GENC:6:3-11:MM-05</v>
      </c>
    </row>
    <row r="611" spans="1:7" x14ac:dyDescent="0.25">
      <c r="A611" s="113"/>
      <c r="B611" s="47" t="s">
        <v>2891</v>
      </c>
      <c r="C611" s="47" t="s">
        <v>2892</v>
      </c>
      <c r="D611" s="47" t="s">
        <v>1975</v>
      </c>
      <c r="E611" s="51" t="b">
        <v>1</v>
      </c>
      <c r="F611" s="73" t="str">
        <f>HYPERLINK("http://nsgreg.nga.mil/genc/view?v=294391&amp;end_month=6&amp;end_day=30&amp;end_year=2019","Yangon")</f>
        <v>Yangon</v>
      </c>
      <c r="G611" s="73" t="str">
        <f>HYPERLINK("http://api.nsgreg.nga.mil/geo-division/GENC/6/3-11/MM-06","as:GENC:6:3-11:MM-06")</f>
        <v>as:GENC:6:3-11:MM-06</v>
      </c>
    </row>
    <row r="612" spans="1:7" x14ac:dyDescent="0.25">
      <c r="A612" s="111" t="str">
        <f>HYPERLINK("[#]Codes_for_GE_Names!A44:I44","BURUNDI")</f>
        <v>BURUNDI</v>
      </c>
      <c r="B612" s="42" t="s">
        <v>2893</v>
      </c>
      <c r="C612" s="42" t="s">
        <v>2894</v>
      </c>
      <c r="D612" s="42" t="s">
        <v>1668</v>
      </c>
      <c r="E612" s="49" t="b">
        <v>1</v>
      </c>
      <c r="F612" s="74" t="str">
        <f>HYPERLINK("http://nsgreg.nga.mil/genc/view?v=291704&amp;end_month=6&amp;end_day=30&amp;end_year=2019","Bubanza")</f>
        <v>Bubanza</v>
      </c>
      <c r="G612" s="74" t="str">
        <f>HYPERLINK("http://api.nsgreg.nga.mil/geo-division/GENC/6/3-11/BI-BB","as:GENC:6:3-11:BI-BB")</f>
        <v>as:GENC:6:3-11:BI-BB</v>
      </c>
    </row>
    <row r="613" spans="1:7" x14ac:dyDescent="0.25">
      <c r="A613" s="112"/>
      <c r="B613" s="21" t="s">
        <v>2895</v>
      </c>
      <c r="C613" s="21" t="s">
        <v>2896</v>
      </c>
      <c r="D613" s="21" t="s">
        <v>1668</v>
      </c>
      <c r="E613" s="50" t="b">
        <v>1</v>
      </c>
      <c r="F613" s="72" t="str">
        <f>HYPERLINK("http://nsgreg.nga.mil/genc/view?v=291706&amp;end_month=6&amp;end_day=30&amp;end_year=2019","Bujumbura Mairie")</f>
        <v>Bujumbura Mairie</v>
      </c>
      <c r="G613" s="72" t="str">
        <f>HYPERLINK("http://api.nsgreg.nga.mil/geo-division/GENC/6/3-11/BI-BM","as:GENC:6:3-11:BI-BM")</f>
        <v>as:GENC:6:3-11:BI-BM</v>
      </c>
    </row>
    <row r="614" spans="1:7" x14ac:dyDescent="0.25">
      <c r="A614" s="112"/>
      <c r="B614" s="21" t="s">
        <v>2897</v>
      </c>
      <c r="C614" s="21" t="s">
        <v>2898</v>
      </c>
      <c r="D614" s="21" t="s">
        <v>1668</v>
      </c>
      <c r="E614" s="50" t="b">
        <v>1</v>
      </c>
      <c r="F614" s="72" t="str">
        <f>HYPERLINK("http://nsgreg.nga.mil/genc/view?v=291705&amp;end_month=6&amp;end_day=30&amp;end_year=2019","Bujumbura Rural")</f>
        <v>Bujumbura Rural</v>
      </c>
      <c r="G614" s="72" t="str">
        <f>HYPERLINK("http://api.nsgreg.nga.mil/geo-division/GENC/6/3-11/BI-BL","as:GENC:6:3-11:BI-BL")</f>
        <v>as:GENC:6:3-11:BI-BL</v>
      </c>
    </row>
    <row r="615" spans="1:7" x14ac:dyDescent="0.25">
      <c r="A615" s="112"/>
      <c r="B615" s="21" t="s">
        <v>2899</v>
      </c>
      <c r="C615" s="21" t="s">
        <v>2900</v>
      </c>
      <c r="D615" s="21" t="s">
        <v>1668</v>
      </c>
      <c r="E615" s="50" t="b">
        <v>1</v>
      </c>
      <c r="F615" s="72" t="str">
        <f>HYPERLINK("http://nsgreg.nga.mil/genc/view?v=291707&amp;end_month=6&amp;end_day=30&amp;end_year=2019","Bururi")</f>
        <v>Bururi</v>
      </c>
      <c r="G615" s="72" t="str">
        <f>HYPERLINK("http://api.nsgreg.nga.mil/geo-division/GENC/6/3-11/BI-BR","as:GENC:6:3-11:BI-BR")</f>
        <v>as:GENC:6:3-11:BI-BR</v>
      </c>
    </row>
    <row r="616" spans="1:7" x14ac:dyDescent="0.25">
      <c r="A616" s="112"/>
      <c r="B616" s="21" t="s">
        <v>2901</v>
      </c>
      <c r="C616" s="21" t="s">
        <v>2902</v>
      </c>
      <c r="D616" s="21" t="s">
        <v>1668</v>
      </c>
      <c r="E616" s="50" t="b">
        <v>1</v>
      </c>
      <c r="F616" s="72" t="str">
        <f>HYPERLINK("http://nsgreg.nga.mil/genc/view?v=291708&amp;end_month=6&amp;end_day=30&amp;end_year=2019","Cankuzo")</f>
        <v>Cankuzo</v>
      </c>
      <c r="G616" s="72" t="str">
        <f>HYPERLINK("http://api.nsgreg.nga.mil/geo-division/GENC/6/3-11/BI-CA","as:GENC:6:3-11:BI-CA")</f>
        <v>as:GENC:6:3-11:BI-CA</v>
      </c>
    </row>
    <row r="617" spans="1:7" x14ac:dyDescent="0.25">
      <c r="A617" s="112"/>
      <c r="B617" s="21" t="s">
        <v>2903</v>
      </c>
      <c r="C617" s="21" t="s">
        <v>2904</v>
      </c>
      <c r="D617" s="21" t="s">
        <v>1668</v>
      </c>
      <c r="E617" s="50" t="b">
        <v>1</v>
      </c>
      <c r="F617" s="72" t="str">
        <f>HYPERLINK("http://nsgreg.nga.mil/genc/view?v=291709&amp;end_month=6&amp;end_day=30&amp;end_year=2019","Cibitoke")</f>
        <v>Cibitoke</v>
      </c>
      <c r="G617" s="72" t="str">
        <f>HYPERLINK("http://api.nsgreg.nga.mil/geo-division/GENC/6/3-11/BI-CI","as:GENC:6:3-11:BI-CI")</f>
        <v>as:GENC:6:3-11:BI-CI</v>
      </c>
    </row>
    <row r="618" spans="1:7" x14ac:dyDescent="0.25">
      <c r="A618" s="112"/>
      <c r="B618" s="21" t="s">
        <v>2905</v>
      </c>
      <c r="C618" s="21" t="s">
        <v>2906</v>
      </c>
      <c r="D618" s="21" t="s">
        <v>1668</v>
      </c>
      <c r="E618" s="50" t="b">
        <v>1</v>
      </c>
      <c r="F618" s="72" t="str">
        <f>HYPERLINK("http://nsgreg.nga.mil/genc/view?v=291710&amp;end_month=6&amp;end_day=30&amp;end_year=2019","Gitega")</f>
        <v>Gitega</v>
      </c>
      <c r="G618" s="72" t="str">
        <f>HYPERLINK("http://api.nsgreg.nga.mil/geo-division/GENC/6/3-11/BI-GI","as:GENC:6:3-11:BI-GI")</f>
        <v>as:GENC:6:3-11:BI-GI</v>
      </c>
    </row>
    <row r="619" spans="1:7" x14ac:dyDescent="0.25">
      <c r="A619" s="112"/>
      <c r="B619" s="21" t="s">
        <v>2907</v>
      </c>
      <c r="C619" s="21" t="s">
        <v>2908</v>
      </c>
      <c r="D619" s="21" t="s">
        <v>1668</v>
      </c>
      <c r="E619" s="50" t="b">
        <v>1</v>
      </c>
      <c r="F619" s="72" t="str">
        <f>HYPERLINK("http://nsgreg.nga.mil/genc/view?v=291712&amp;end_month=6&amp;end_day=30&amp;end_year=2019","Karuzi")</f>
        <v>Karuzi</v>
      </c>
      <c r="G619" s="72" t="str">
        <f>HYPERLINK("http://api.nsgreg.nga.mil/geo-division/GENC/6/3-11/BI-KR","as:GENC:6:3-11:BI-KR")</f>
        <v>as:GENC:6:3-11:BI-KR</v>
      </c>
    </row>
    <row r="620" spans="1:7" x14ac:dyDescent="0.25">
      <c r="A620" s="112"/>
      <c r="B620" s="21" t="s">
        <v>2909</v>
      </c>
      <c r="C620" s="21" t="s">
        <v>2910</v>
      </c>
      <c r="D620" s="21" t="s">
        <v>1668</v>
      </c>
      <c r="E620" s="50" t="b">
        <v>1</v>
      </c>
      <c r="F620" s="72" t="str">
        <f>HYPERLINK("http://nsgreg.nga.mil/genc/view?v=291713&amp;end_month=6&amp;end_day=30&amp;end_year=2019","Kayanza")</f>
        <v>Kayanza</v>
      </c>
      <c r="G620" s="72" t="str">
        <f>HYPERLINK("http://api.nsgreg.nga.mil/geo-division/GENC/6/3-11/BI-KY","as:GENC:6:3-11:BI-KY")</f>
        <v>as:GENC:6:3-11:BI-KY</v>
      </c>
    </row>
    <row r="621" spans="1:7" x14ac:dyDescent="0.25">
      <c r="A621" s="112"/>
      <c r="B621" s="21" t="s">
        <v>2911</v>
      </c>
      <c r="C621" s="21" t="s">
        <v>2912</v>
      </c>
      <c r="D621" s="21" t="s">
        <v>1668</v>
      </c>
      <c r="E621" s="50" t="b">
        <v>1</v>
      </c>
      <c r="F621" s="72" t="str">
        <f>HYPERLINK("http://nsgreg.nga.mil/genc/view?v=291711&amp;end_month=6&amp;end_day=30&amp;end_year=2019","Kirundo")</f>
        <v>Kirundo</v>
      </c>
      <c r="G621" s="72" t="str">
        <f>HYPERLINK("http://api.nsgreg.nga.mil/geo-division/GENC/6/3-11/BI-KI","as:GENC:6:3-11:BI-KI")</f>
        <v>as:GENC:6:3-11:BI-KI</v>
      </c>
    </row>
    <row r="622" spans="1:7" x14ac:dyDescent="0.25">
      <c r="A622" s="112"/>
      <c r="B622" s="21" t="s">
        <v>2913</v>
      </c>
      <c r="C622" s="21" t="s">
        <v>2914</v>
      </c>
      <c r="D622" s="21" t="s">
        <v>1668</v>
      </c>
      <c r="E622" s="50" t="b">
        <v>1</v>
      </c>
      <c r="F622" s="72" t="str">
        <f>HYPERLINK("http://nsgreg.nga.mil/genc/view?v=291714&amp;end_month=6&amp;end_day=30&amp;end_year=2019","Makamba")</f>
        <v>Makamba</v>
      </c>
      <c r="G622" s="72" t="str">
        <f>HYPERLINK("http://api.nsgreg.nga.mil/geo-division/GENC/6/3-11/BI-MA","as:GENC:6:3-11:BI-MA")</f>
        <v>as:GENC:6:3-11:BI-MA</v>
      </c>
    </row>
    <row r="623" spans="1:7" x14ac:dyDescent="0.25">
      <c r="A623" s="112"/>
      <c r="B623" s="21" t="s">
        <v>2915</v>
      </c>
      <c r="C623" s="21" t="s">
        <v>2916</v>
      </c>
      <c r="D623" s="21" t="s">
        <v>1668</v>
      </c>
      <c r="E623" s="50" t="b">
        <v>1</v>
      </c>
      <c r="F623" s="72" t="str">
        <f>HYPERLINK("http://nsgreg.nga.mil/genc/view?v=291715&amp;end_month=6&amp;end_day=30&amp;end_year=2019","Muramvya")</f>
        <v>Muramvya</v>
      </c>
      <c r="G623" s="72" t="str">
        <f>HYPERLINK("http://api.nsgreg.nga.mil/geo-division/GENC/6/3-11/BI-MU","as:GENC:6:3-11:BI-MU")</f>
        <v>as:GENC:6:3-11:BI-MU</v>
      </c>
    </row>
    <row r="624" spans="1:7" x14ac:dyDescent="0.25">
      <c r="A624" s="112"/>
      <c r="B624" s="21" t="s">
        <v>2917</v>
      </c>
      <c r="C624" s="21" t="s">
        <v>2918</v>
      </c>
      <c r="D624" s="21" t="s">
        <v>1668</v>
      </c>
      <c r="E624" s="50" t="b">
        <v>1</v>
      </c>
      <c r="F624" s="72" t="str">
        <f>HYPERLINK("http://nsgreg.nga.mil/genc/view?v=291717&amp;end_month=6&amp;end_day=30&amp;end_year=2019","Muyinga")</f>
        <v>Muyinga</v>
      </c>
      <c r="G624" s="72" t="str">
        <f>HYPERLINK("http://api.nsgreg.nga.mil/geo-division/GENC/6/3-11/BI-MY","as:GENC:6:3-11:BI-MY")</f>
        <v>as:GENC:6:3-11:BI-MY</v>
      </c>
    </row>
    <row r="625" spans="1:7" x14ac:dyDescent="0.25">
      <c r="A625" s="112"/>
      <c r="B625" s="21" t="s">
        <v>2919</v>
      </c>
      <c r="C625" s="21" t="s">
        <v>2920</v>
      </c>
      <c r="D625" s="21" t="s">
        <v>1668</v>
      </c>
      <c r="E625" s="50" t="b">
        <v>1</v>
      </c>
      <c r="F625" s="72" t="str">
        <f>HYPERLINK("http://nsgreg.nga.mil/genc/view?v=291716&amp;end_month=6&amp;end_day=30&amp;end_year=2019","Mwaro")</f>
        <v>Mwaro</v>
      </c>
      <c r="G625" s="72" t="str">
        <f>HYPERLINK("http://api.nsgreg.nga.mil/geo-division/GENC/6/3-11/BI-MW","as:GENC:6:3-11:BI-MW")</f>
        <v>as:GENC:6:3-11:BI-MW</v>
      </c>
    </row>
    <row r="626" spans="1:7" x14ac:dyDescent="0.25">
      <c r="A626" s="112"/>
      <c r="B626" s="21" t="s">
        <v>2921</v>
      </c>
      <c r="C626" s="21" t="s">
        <v>2922</v>
      </c>
      <c r="D626" s="21" t="s">
        <v>1668</v>
      </c>
      <c r="E626" s="50" t="b">
        <v>1</v>
      </c>
      <c r="F626" s="72" t="str">
        <f>HYPERLINK("http://nsgreg.nga.mil/genc/view?v=291718&amp;end_month=6&amp;end_day=30&amp;end_year=2019","Ngozi")</f>
        <v>Ngozi</v>
      </c>
      <c r="G626" s="72" t="str">
        <f>HYPERLINK("http://api.nsgreg.nga.mil/geo-division/GENC/6/3-11/BI-NG","as:GENC:6:3-11:BI-NG")</f>
        <v>as:GENC:6:3-11:BI-NG</v>
      </c>
    </row>
    <row r="627" spans="1:7" x14ac:dyDescent="0.25">
      <c r="A627" s="112"/>
      <c r="B627" s="21" t="s">
        <v>2923</v>
      </c>
      <c r="C627" s="21" t="s">
        <v>2924</v>
      </c>
      <c r="D627" s="21" t="s">
        <v>1668</v>
      </c>
      <c r="E627" s="50" t="b">
        <v>1</v>
      </c>
      <c r="F627" s="72" t="str">
        <f>HYPERLINK("http://nsgreg.nga.mil/genc/view?v=291719&amp;end_month=6&amp;end_day=30&amp;end_year=2019","Rumonge")</f>
        <v>Rumonge</v>
      </c>
      <c r="G627" s="72" t="str">
        <f>HYPERLINK("http://api.nsgreg.nga.mil/geo-division/GENC/6/3-11/BI-RM","as:GENC:6:3-11:BI-RM")</f>
        <v>as:GENC:6:3-11:BI-RM</v>
      </c>
    </row>
    <row r="628" spans="1:7" x14ac:dyDescent="0.25">
      <c r="A628" s="112"/>
      <c r="B628" s="21" t="s">
        <v>2925</v>
      </c>
      <c r="C628" s="21" t="s">
        <v>2926</v>
      </c>
      <c r="D628" s="21" t="s">
        <v>1668</v>
      </c>
      <c r="E628" s="50" t="b">
        <v>1</v>
      </c>
      <c r="F628" s="72" t="str">
        <f>HYPERLINK("http://nsgreg.nga.mil/genc/view?v=291720&amp;end_month=6&amp;end_day=30&amp;end_year=2019","Rutana")</f>
        <v>Rutana</v>
      </c>
      <c r="G628" s="72" t="str">
        <f>HYPERLINK("http://api.nsgreg.nga.mil/geo-division/GENC/6/3-11/BI-RT","as:GENC:6:3-11:BI-RT")</f>
        <v>as:GENC:6:3-11:BI-RT</v>
      </c>
    </row>
    <row r="629" spans="1:7" x14ac:dyDescent="0.25">
      <c r="A629" s="113"/>
      <c r="B629" s="47" t="s">
        <v>2927</v>
      </c>
      <c r="C629" s="47" t="s">
        <v>2928</v>
      </c>
      <c r="D629" s="47" t="s">
        <v>1668</v>
      </c>
      <c r="E629" s="51" t="b">
        <v>1</v>
      </c>
      <c r="F629" s="73" t="str">
        <f>HYPERLINK("http://nsgreg.nga.mil/genc/view?v=291721&amp;end_month=6&amp;end_day=30&amp;end_year=2019","Ruyigi")</f>
        <v>Ruyigi</v>
      </c>
      <c r="G629" s="73" t="str">
        <f>HYPERLINK("http://api.nsgreg.nga.mil/geo-division/GENC/6/3-11/BI-RY","as:GENC:6:3-11:BI-RY")</f>
        <v>as:GENC:6:3-11:BI-RY</v>
      </c>
    </row>
    <row r="630" spans="1:7" x14ac:dyDescent="0.25">
      <c r="A630" s="111" t="str">
        <f>HYPERLINK("[#]Codes_for_GE_Names!A45:I45","CABO VERDE")</f>
        <v>CABO VERDE</v>
      </c>
      <c r="B630" s="42" t="s">
        <v>2929</v>
      </c>
      <c r="C630" s="42" t="s">
        <v>2930</v>
      </c>
      <c r="D630" s="80" t="s">
        <v>2931</v>
      </c>
      <c r="E630" s="81" t="b">
        <v>0</v>
      </c>
      <c r="F630" s="74" t="str">
        <f>HYPERLINK("http://nsgreg.nga.mil/genc/view?v=292093&amp;end_month=6&amp;end_day=30&amp;end_year=2019","Ilhas de Barlavento")</f>
        <v>Ilhas de Barlavento</v>
      </c>
      <c r="G630" s="74" t="str">
        <f>HYPERLINK("http://api.nsgreg.nga.mil/geo-division/GENC/6/3-11/CV-B","as:GENC:6:3-11:CV-B")</f>
        <v>as:GENC:6:3-11:CV-B</v>
      </c>
    </row>
    <row r="631" spans="1:7" x14ac:dyDescent="0.25">
      <c r="A631" s="112"/>
      <c r="B631" s="21" t="s">
        <v>2932</v>
      </c>
      <c r="C631" s="21" t="s">
        <v>2933</v>
      </c>
      <c r="D631" s="21" t="s">
        <v>2505</v>
      </c>
      <c r="E631" s="50" t="b">
        <v>1</v>
      </c>
      <c r="F631" s="72" t="str">
        <f>HYPERLINK("http://nsgreg.nga.mil/genc/view?v=292095&amp;end_month=6&amp;end_day=30&amp;end_year=2019","Boa Vista")</f>
        <v>Boa Vista</v>
      </c>
      <c r="G631" s="72" t="str">
        <f>HYPERLINK("http://api.nsgreg.nga.mil/geo-division/GENC/6/3-11/CV-BV","as:GENC:6:3-11:CV-BV")</f>
        <v>as:GENC:6:3-11:CV-BV</v>
      </c>
    </row>
    <row r="632" spans="1:7" x14ac:dyDescent="0.25">
      <c r="A632" s="112"/>
      <c r="B632" s="21" t="s">
        <v>2934</v>
      </c>
      <c r="C632" s="21" t="s">
        <v>2935</v>
      </c>
      <c r="D632" s="21" t="s">
        <v>2505</v>
      </c>
      <c r="E632" s="50" t="b">
        <v>1</v>
      </c>
      <c r="F632" s="72" t="str">
        <f>HYPERLINK("http://nsgreg.nga.mil/genc/view?v=292101&amp;end_month=6&amp;end_day=30&amp;end_year=2019","Paul")</f>
        <v>Paul</v>
      </c>
      <c r="G632" s="72" t="str">
        <f>HYPERLINK("http://api.nsgreg.nga.mil/geo-division/GENC/6/3-11/CV-PA","as:GENC:6:3-11:CV-PA")</f>
        <v>as:GENC:6:3-11:CV-PA</v>
      </c>
    </row>
    <row r="633" spans="1:7" x14ac:dyDescent="0.25">
      <c r="A633" s="112"/>
      <c r="B633" s="21" t="s">
        <v>2936</v>
      </c>
      <c r="C633" s="21" t="s">
        <v>2937</v>
      </c>
      <c r="D633" s="21" t="s">
        <v>2505</v>
      </c>
      <c r="E633" s="50" t="b">
        <v>1</v>
      </c>
      <c r="F633" s="72" t="str">
        <f>HYPERLINK("http://nsgreg.nga.mil/genc/view?v=292102&amp;end_month=6&amp;end_day=30&amp;end_year=2019","Porto Novo")</f>
        <v>Porto Novo</v>
      </c>
      <c r="G633" s="72" t="str">
        <f>HYPERLINK("http://api.nsgreg.nga.mil/geo-division/GENC/6/3-11/CV-PN","as:GENC:6:3-11:CV-PN")</f>
        <v>as:GENC:6:3-11:CV-PN</v>
      </c>
    </row>
    <row r="634" spans="1:7" x14ac:dyDescent="0.25">
      <c r="A634" s="112"/>
      <c r="B634" s="21" t="s">
        <v>2938</v>
      </c>
      <c r="C634" s="21" t="s">
        <v>2939</v>
      </c>
      <c r="D634" s="21" t="s">
        <v>2505</v>
      </c>
      <c r="E634" s="50" t="b">
        <v>1</v>
      </c>
      <c r="F634" s="72" t="str">
        <f>HYPERLINK("http://nsgreg.nga.mil/genc/view?v=292104&amp;end_month=6&amp;end_day=30&amp;end_year=2019","Ribeira Brava")</f>
        <v>Ribeira Brava</v>
      </c>
      <c r="G634" s="72" t="str">
        <f>HYPERLINK("http://api.nsgreg.nga.mil/geo-division/GENC/6/3-11/CV-RB","as:GENC:6:3-11:CV-RB")</f>
        <v>as:GENC:6:3-11:CV-RB</v>
      </c>
    </row>
    <row r="635" spans="1:7" x14ac:dyDescent="0.25">
      <c r="A635" s="112"/>
      <c r="B635" s="21" t="s">
        <v>2940</v>
      </c>
      <c r="C635" s="21" t="s">
        <v>2941</v>
      </c>
      <c r="D635" s="21" t="s">
        <v>2505</v>
      </c>
      <c r="E635" s="50" t="b">
        <v>1</v>
      </c>
      <c r="F635" s="72" t="str">
        <f>HYPERLINK("http://nsgreg.nga.mil/genc/view?v=292105&amp;end_month=6&amp;end_day=30&amp;end_year=2019","Ribeira Grande")</f>
        <v>Ribeira Grande</v>
      </c>
      <c r="G635" s="72" t="str">
        <f>HYPERLINK("http://api.nsgreg.nga.mil/geo-division/GENC/6/3-11/CV-RG","as:GENC:6:3-11:CV-RG")</f>
        <v>as:GENC:6:3-11:CV-RG</v>
      </c>
    </row>
    <row r="636" spans="1:7" x14ac:dyDescent="0.25">
      <c r="A636" s="112"/>
      <c r="B636" s="21" t="s">
        <v>2942</v>
      </c>
      <c r="C636" s="21" t="s">
        <v>2943</v>
      </c>
      <c r="D636" s="21" t="s">
        <v>2505</v>
      </c>
      <c r="E636" s="50" t="b">
        <v>1</v>
      </c>
      <c r="F636" s="72" t="str">
        <f>HYPERLINK("http://nsgreg.nga.mil/genc/view?v=292110&amp;end_month=6&amp;end_day=30&amp;end_year=2019","Sal")</f>
        <v>Sal</v>
      </c>
      <c r="G636" s="72" t="str">
        <f>HYPERLINK("http://api.nsgreg.nga.mil/geo-division/GENC/6/3-11/CV-SL","as:GENC:6:3-11:CV-SL")</f>
        <v>as:GENC:6:3-11:CV-SL</v>
      </c>
    </row>
    <row r="637" spans="1:7" x14ac:dyDescent="0.25">
      <c r="A637" s="112"/>
      <c r="B637" s="21" t="s">
        <v>2944</v>
      </c>
      <c r="C637" s="21" t="s">
        <v>2945</v>
      </c>
      <c r="D637" s="21" t="s">
        <v>2505</v>
      </c>
      <c r="E637" s="50" t="b">
        <v>1</v>
      </c>
      <c r="F637" s="72" t="str">
        <f>HYPERLINK("http://nsgreg.nga.mil/genc/view?v=292114&amp;end_month=6&amp;end_day=30&amp;end_year=2019","São Vicente")</f>
        <v>São Vicente</v>
      </c>
      <c r="G637" s="72" t="str">
        <f>HYPERLINK("http://api.nsgreg.nga.mil/geo-division/GENC/6/3-11/CV-SV","as:GENC:6:3-11:CV-SV")</f>
        <v>as:GENC:6:3-11:CV-SV</v>
      </c>
    </row>
    <row r="638" spans="1:7" x14ac:dyDescent="0.25">
      <c r="A638" s="112"/>
      <c r="B638" s="21" t="s">
        <v>2946</v>
      </c>
      <c r="C638" s="21" t="s">
        <v>2947</v>
      </c>
      <c r="D638" s="21" t="s">
        <v>2505</v>
      </c>
      <c r="E638" s="50" t="b">
        <v>1</v>
      </c>
      <c r="F638" s="72" t="str">
        <f>HYPERLINK("http://nsgreg.nga.mil/genc/view?v=292116&amp;end_month=6&amp;end_day=30&amp;end_year=2019","Tarrafal de São Nicolau")</f>
        <v>Tarrafal de São Nicolau</v>
      </c>
      <c r="G638" s="72" t="str">
        <f>HYPERLINK("http://api.nsgreg.nga.mil/geo-division/GENC/6/3-11/CV-TS","as:GENC:6:3-11:CV-TS")</f>
        <v>as:GENC:6:3-11:CV-TS</v>
      </c>
    </row>
    <row r="639" spans="1:7" x14ac:dyDescent="0.25">
      <c r="A639" s="112"/>
      <c r="B639" s="21" t="s">
        <v>2948</v>
      </c>
      <c r="C639" s="21" t="s">
        <v>2949</v>
      </c>
      <c r="D639" s="76" t="s">
        <v>2931</v>
      </c>
      <c r="E639" s="77" t="b">
        <v>0</v>
      </c>
      <c r="F639" s="72" t="str">
        <f>HYPERLINK("http://nsgreg.nga.mil/genc/view?v=292107&amp;end_month=6&amp;end_day=30&amp;end_year=2019","Ilhas de Sotavento")</f>
        <v>Ilhas de Sotavento</v>
      </c>
      <c r="G639" s="72" t="str">
        <f>HYPERLINK("http://api.nsgreg.nga.mil/geo-division/GENC/6/3-11/CV-S","as:GENC:6:3-11:CV-S")</f>
        <v>as:GENC:6:3-11:CV-S</v>
      </c>
    </row>
    <row r="640" spans="1:7" x14ac:dyDescent="0.25">
      <c r="A640" s="112"/>
      <c r="B640" s="21" t="s">
        <v>2950</v>
      </c>
      <c r="C640" s="21" t="s">
        <v>2951</v>
      </c>
      <c r="D640" s="21" t="s">
        <v>2505</v>
      </c>
      <c r="E640" s="50" t="b">
        <v>1</v>
      </c>
      <c r="F640" s="72" t="str">
        <f>HYPERLINK("http://nsgreg.nga.mil/genc/view?v=292094&amp;end_month=6&amp;end_day=30&amp;end_year=2019","Brava")</f>
        <v>Brava</v>
      </c>
      <c r="G640" s="72" t="str">
        <f>HYPERLINK("http://api.nsgreg.nga.mil/geo-division/GENC/6/3-11/CV-BR","as:GENC:6:3-11:CV-BR")</f>
        <v>as:GENC:6:3-11:CV-BR</v>
      </c>
    </row>
    <row r="641" spans="1:7" x14ac:dyDescent="0.25">
      <c r="A641" s="112"/>
      <c r="B641" s="21" t="s">
        <v>2952</v>
      </c>
      <c r="C641" s="21" t="s">
        <v>2953</v>
      </c>
      <c r="D641" s="21" t="s">
        <v>2505</v>
      </c>
      <c r="E641" s="50" t="b">
        <v>1</v>
      </c>
      <c r="F641" s="72" t="str">
        <f>HYPERLINK("http://nsgreg.nga.mil/genc/view?v=292099&amp;end_month=6&amp;end_day=30&amp;end_year=2019","Maio")</f>
        <v>Maio</v>
      </c>
      <c r="G641" s="72" t="str">
        <f>HYPERLINK("http://api.nsgreg.nga.mil/geo-division/GENC/6/3-11/CV-MA","as:GENC:6:3-11:CV-MA")</f>
        <v>as:GENC:6:3-11:CV-MA</v>
      </c>
    </row>
    <row r="642" spans="1:7" x14ac:dyDescent="0.25">
      <c r="A642" s="112"/>
      <c r="B642" s="21" t="s">
        <v>2954</v>
      </c>
      <c r="C642" s="21" t="s">
        <v>2955</v>
      </c>
      <c r="D642" s="21" t="s">
        <v>2505</v>
      </c>
      <c r="E642" s="50" t="b">
        <v>1</v>
      </c>
      <c r="F642" s="72" t="str">
        <f>HYPERLINK("http://nsgreg.nga.mil/genc/view?v=292100&amp;end_month=6&amp;end_day=30&amp;end_year=2019","Mosteiros")</f>
        <v>Mosteiros</v>
      </c>
      <c r="G642" s="72" t="str">
        <f>HYPERLINK("http://api.nsgreg.nga.mil/geo-division/GENC/6/3-11/CV-MO","as:GENC:6:3-11:CV-MO")</f>
        <v>as:GENC:6:3-11:CV-MO</v>
      </c>
    </row>
    <row r="643" spans="1:7" x14ac:dyDescent="0.25">
      <c r="A643" s="112"/>
      <c r="B643" s="21" t="s">
        <v>2956</v>
      </c>
      <c r="C643" s="21" t="s">
        <v>2957</v>
      </c>
      <c r="D643" s="21" t="s">
        <v>2505</v>
      </c>
      <c r="E643" s="50" t="b">
        <v>1</v>
      </c>
      <c r="F643" s="72" t="str">
        <f>HYPERLINK("http://nsgreg.nga.mil/genc/view?v=292103&amp;end_month=6&amp;end_day=30&amp;end_year=2019","Praia")</f>
        <v>Praia</v>
      </c>
      <c r="G643" s="72" t="str">
        <f>HYPERLINK("http://api.nsgreg.nga.mil/geo-division/GENC/6/3-11/CV-PR","as:GENC:6:3-11:CV-PR")</f>
        <v>as:GENC:6:3-11:CV-PR</v>
      </c>
    </row>
    <row r="644" spans="1:7" x14ac:dyDescent="0.25">
      <c r="A644" s="112"/>
      <c r="B644" s="21" t="s">
        <v>2958</v>
      </c>
      <c r="C644" s="21" t="s">
        <v>2959</v>
      </c>
      <c r="D644" s="21" t="s">
        <v>2505</v>
      </c>
      <c r="E644" s="50" t="b">
        <v>1</v>
      </c>
      <c r="F644" s="72" t="str">
        <f>HYPERLINK("http://nsgreg.nga.mil/genc/view?v=292106&amp;end_month=6&amp;end_day=30&amp;end_year=2019","Ribeira Grande de Santiago")</f>
        <v>Ribeira Grande de Santiago</v>
      </c>
      <c r="G644" s="72" t="str">
        <f>HYPERLINK("http://api.nsgreg.nga.mil/geo-division/GENC/6/3-11/CV-RS","as:GENC:6:3-11:CV-RS")</f>
        <v>as:GENC:6:3-11:CV-RS</v>
      </c>
    </row>
    <row r="645" spans="1:7" x14ac:dyDescent="0.25">
      <c r="A645" s="112"/>
      <c r="B645" s="21" t="s">
        <v>2960</v>
      </c>
      <c r="C645" s="21" t="s">
        <v>2961</v>
      </c>
      <c r="D645" s="21" t="s">
        <v>2505</v>
      </c>
      <c r="E645" s="50" t="b">
        <v>1</v>
      </c>
      <c r="F645" s="72" t="str">
        <f>HYPERLINK("http://nsgreg.nga.mil/genc/view?v=292096&amp;end_month=6&amp;end_day=30&amp;end_year=2019","Santa Catarina")</f>
        <v>Santa Catarina</v>
      </c>
      <c r="G645" s="72" t="str">
        <f>HYPERLINK("http://api.nsgreg.nga.mil/geo-division/GENC/6/3-11/CV-CA","as:GENC:6:3-11:CV-CA")</f>
        <v>as:GENC:6:3-11:CV-CA</v>
      </c>
    </row>
    <row r="646" spans="1:7" x14ac:dyDescent="0.25">
      <c r="A646" s="112"/>
      <c r="B646" s="21" t="s">
        <v>2962</v>
      </c>
      <c r="C646" s="21" t="s">
        <v>2963</v>
      </c>
      <c r="D646" s="21" t="s">
        <v>2505</v>
      </c>
      <c r="E646" s="50" t="b">
        <v>1</v>
      </c>
      <c r="F646" s="72" t="str">
        <f>HYPERLINK("http://nsgreg.nga.mil/genc/view?v=292097&amp;end_month=6&amp;end_day=30&amp;end_year=2019","Santa Catarina do Fogo")</f>
        <v>Santa Catarina do Fogo</v>
      </c>
      <c r="G646" s="72" t="str">
        <f>HYPERLINK("http://api.nsgreg.nga.mil/geo-division/GENC/6/3-11/CV-CF","as:GENC:6:3-11:CV-CF")</f>
        <v>as:GENC:6:3-11:CV-CF</v>
      </c>
    </row>
    <row r="647" spans="1:7" x14ac:dyDescent="0.25">
      <c r="A647" s="112"/>
      <c r="B647" s="21" t="s">
        <v>2964</v>
      </c>
      <c r="C647" s="21" t="s">
        <v>2965</v>
      </c>
      <c r="D647" s="21" t="s">
        <v>2505</v>
      </c>
      <c r="E647" s="50" t="b">
        <v>1</v>
      </c>
      <c r="F647" s="72" t="str">
        <f>HYPERLINK("http://nsgreg.nga.mil/genc/view?v=292098&amp;end_month=6&amp;end_day=30&amp;end_year=2019","Santa Cruz")</f>
        <v>Santa Cruz</v>
      </c>
      <c r="G647" s="72" t="str">
        <f>HYPERLINK("http://api.nsgreg.nga.mil/geo-division/GENC/6/3-11/CV-CR","as:GENC:6:3-11:CV-CR")</f>
        <v>as:GENC:6:3-11:CV-CR</v>
      </c>
    </row>
    <row r="648" spans="1:7" x14ac:dyDescent="0.25">
      <c r="A648" s="112"/>
      <c r="B648" s="21" t="s">
        <v>2966</v>
      </c>
      <c r="C648" s="21" t="s">
        <v>2967</v>
      </c>
      <c r="D648" s="21" t="s">
        <v>2505</v>
      </c>
      <c r="E648" s="50" t="b">
        <v>1</v>
      </c>
      <c r="F648" s="72" t="str">
        <f>HYPERLINK("http://nsgreg.nga.mil/genc/view?v=292108&amp;end_month=6&amp;end_day=30&amp;end_year=2019","São Domingos")</f>
        <v>São Domingos</v>
      </c>
      <c r="G648" s="72" t="str">
        <f>HYPERLINK("http://api.nsgreg.nga.mil/geo-division/GENC/6/3-11/CV-SD","as:GENC:6:3-11:CV-SD")</f>
        <v>as:GENC:6:3-11:CV-SD</v>
      </c>
    </row>
    <row r="649" spans="1:7" x14ac:dyDescent="0.25">
      <c r="A649" s="112"/>
      <c r="B649" s="21" t="s">
        <v>2968</v>
      </c>
      <c r="C649" s="21" t="s">
        <v>2969</v>
      </c>
      <c r="D649" s="21" t="s">
        <v>2505</v>
      </c>
      <c r="E649" s="50" t="b">
        <v>1</v>
      </c>
      <c r="F649" s="72" t="str">
        <f>HYPERLINK("http://nsgreg.nga.mil/genc/view?v=292109&amp;end_month=6&amp;end_day=30&amp;end_year=2019","São Filipe")</f>
        <v>São Filipe</v>
      </c>
      <c r="G649" s="72" t="str">
        <f>HYPERLINK("http://api.nsgreg.nga.mil/geo-division/GENC/6/3-11/CV-SF","as:GENC:6:3-11:CV-SF")</f>
        <v>as:GENC:6:3-11:CV-SF</v>
      </c>
    </row>
    <row r="650" spans="1:7" x14ac:dyDescent="0.25">
      <c r="A650" s="112"/>
      <c r="B650" s="21" t="s">
        <v>2970</v>
      </c>
      <c r="C650" s="21" t="s">
        <v>2971</v>
      </c>
      <c r="D650" s="21" t="s">
        <v>2505</v>
      </c>
      <c r="E650" s="50" t="b">
        <v>1</v>
      </c>
      <c r="F650" s="72" t="str">
        <f>HYPERLINK("http://nsgreg.nga.mil/genc/view?v=292112&amp;end_month=6&amp;end_day=30&amp;end_year=2019","São Lourenço dos Órgãos")</f>
        <v>São Lourenço dos Órgãos</v>
      </c>
      <c r="G650" s="72" t="str">
        <f>HYPERLINK("http://api.nsgreg.nga.mil/geo-division/GENC/6/3-11/CV-SO","as:GENC:6:3-11:CV-SO")</f>
        <v>as:GENC:6:3-11:CV-SO</v>
      </c>
    </row>
    <row r="651" spans="1:7" x14ac:dyDescent="0.25">
      <c r="A651" s="112"/>
      <c r="B651" s="21" t="s">
        <v>2972</v>
      </c>
      <c r="C651" s="21" t="s">
        <v>2973</v>
      </c>
      <c r="D651" s="21" t="s">
        <v>2505</v>
      </c>
      <c r="E651" s="50" t="b">
        <v>1</v>
      </c>
      <c r="F651" s="72" t="str">
        <f>HYPERLINK("http://nsgreg.nga.mil/genc/view?v=292111&amp;end_month=6&amp;end_day=30&amp;end_year=2019","São Miguel")</f>
        <v>São Miguel</v>
      </c>
      <c r="G651" s="72" t="str">
        <f>HYPERLINK("http://api.nsgreg.nga.mil/geo-division/GENC/6/3-11/CV-SM","as:GENC:6:3-11:CV-SM")</f>
        <v>as:GENC:6:3-11:CV-SM</v>
      </c>
    </row>
    <row r="652" spans="1:7" x14ac:dyDescent="0.25">
      <c r="A652" s="112"/>
      <c r="B652" s="21" t="s">
        <v>2974</v>
      </c>
      <c r="C652" s="21" t="s">
        <v>2975</v>
      </c>
      <c r="D652" s="21" t="s">
        <v>2505</v>
      </c>
      <c r="E652" s="50" t="b">
        <v>1</v>
      </c>
      <c r="F652" s="72" t="str">
        <f>HYPERLINK("http://nsgreg.nga.mil/genc/view?v=292113&amp;end_month=6&amp;end_day=30&amp;end_year=2019","São Salvador do Mundo")</f>
        <v>São Salvador do Mundo</v>
      </c>
      <c r="G652" s="72" t="str">
        <f>HYPERLINK("http://api.nsgreg.nga.mil/geo-division/GENC/6/3-11/CV-SS","as:GENC:6:3-11:CV-SS")</f>
        <v>as:GENC:6:3-11:CV-SS</v>
      </c>
    </row>
    <row r="653" spans="1:7" x14ac:dyDescent="0.25">
      <c r="A653" s="113"/>
      <c r="B653" s="47" t="s">
        <v>2976</v>
      </c>
      <c r="C653" s="47" t="s">
        <v>2977</v>
      </c>
      <c r="D653" s="47" t="s">
        <v>2505</v>
      </c>
      <c r="E653" s="51" t="b">
        <v>1</v>
      </c>
      <c r="F653" s="73" t="str">
        <f>HYPERLINK("http://nsgreg.nga.mil/genc/view?v=292115&amp;end_month=6&amp;end_day=30&amp;end_year=2019","Tarrafal")</f>
        <v>Tarrafal</v>
      </c>
      <c r="G653" s="73" t="str">
        <f>HYPERLINK("http://api.nsgreg.nga.mil/geo-division/GENC/6/3-11/CV-TA","as:GENC:6:3-11:CV-TA")</f>
        <v>as:GENC:6:3-11:CV-TA</v>
      </c>
    </row>
    <row r="654" spans="1:7" x14ac:dyDescent="0.25">
      <c r="A654" s="111" t="str">
        <f>HYPERLINK("[#]Codes_for_GE_Names!A46:I46","CAMBODIA")</f>
        <v>CAMBODIA</v>
      </c>
      <c r="B654" s="42" t="s">
        <v>2978</v>
      </c>
      <c r="C654" s="42" t="s">
        <v>2979</v>
      </c>
      <c r="D654" s="42" t="s">
        <v>1668</v>
      </c>
      <c r="E654" s="49" t="b">
        <v>1</v>
      </c>
      <c r="F654" s="74" t="str">
        <f>HYPERLINK("http://nsgreg.nga.mil/genc/view?v=293681&amp;end_month=6&amp;end_day=30&amp;end_year=2019","Banteay Meanchey")</f>
        <v>Banteay Meanchey</v>
      </c>
      <c r="G654" s="74" t="str">
        <f>HYPERLINK("http://api.nsgreg.nga.mil/geo-division/GENC/6/3-11/KH-1","as:GENC:6:3-11:KH-1")</f>
        <v>as:GENC:6:3-11:KH-1</v>
      </c>
    </row>
    <row r="655" spans="1:7" x14ac:dyDescent="0.25">
      <c r="A655" s="112"/>
      <c r="B655" s="21" t="s">
        <v>2980</v>
      </c>
      <c r="C655" s="21" t="s">
        <v>2981</v>
      </c>
      <c r="D655" s="21" t="s">
        <v>1668</v>
      </c>
      <c r="E655" s="50" t="b">
        <v>1</v>
      </c>
      <c r="F655" s="72" t="str">
        <f>HYPERLINK("http://nsgreg.nga.mil/genc/view?v=293692&amp;end_month=6&amp;end_day=30&amp;end_year=2019","Battambang")</f>
        <v>Battambang</v>
      </c>
      <c r="G655" s="72" t="str">
        <f>HYPERLINK("http://api.nsgreg.nga.mil/geo-division/GENC/6/3-11/KH-2","as:GENC:6:3-11:KH-2")</f>
        <v>as:GENC:6:3-11:KH-2</v>
      </c>
    </row>
    <row r="656" spans="1:7" x14ac:dyDescent="0.25">
      <c r="A656" s="112"/>
      <c r="B656" s="21" t="s">
        <v>2982</v>
      </c>
      <c r="C656" s="21" t="s">
        <v>2983</v>
      </c>
      <c r="D656" s="21" t="s">
        <v>1668</v>
      </c>
      <c r="E656" s="50" t="b">
        <v>1</v>
      </c>
      <c r="F656" s="72" t="str">
        <f>HYPERLINK("http://nsgreg.nga.mil/genc/view?v=293699&amp;end_month=6&amp;end_day=30&amp;end_year=2019","Kampong Cham")</f>
        <v>Kampong Cham</v>
      </c>
      <c r="G656" s="72" t="str">
        <f>HYPERLINK("http://api.nsgreg.nga.mil/geo-division/GENC/6/3-11/KH-3","as:GENC:6:3-11:KH-3")</f>
        <v>as:GENC:6:3-11:KH-3</v>
      </c>
    </row>
    <row r="657" spans="1:7" x14ac:dyDescent="0.25">
      <c r="A657" s="112"/>
      <c r="B657" s="21" t="s">
        <v>2984</v>
      </c>
      <c r="C657" s="21" t="s">
        <v>2985</v>
      </c>
      <c r="D657" s="21" t="s">
        <v>1668</v>
      </c>
      <c r="E657" s="50" t="b">
        <v>1</v>
      </c>
      <c r="F657" s="72" t="str">
        <f>HYPERLINK("http://nsgreg.nga.mil/genc/view?v=293700&amp;end_month=6&amp;end_day=30&amp;end_year=2019","Kampong Chhnang")</f>
        <v>Kampong Chhnang</v>
      </c>
      <c r="G657" s="72" t="str">
        <f>HYPERLINK("http://api.nsgreg.nga.mil/geo-division/GENC/6/3-11/KH-4","as:GENC:6:3-11:KH-4")</f>
        <v>as:GENC:6:3-11:KH-4</v>
      </c>
    </row>
    <row r="658" spans="1:7" x14ac:dyDescent="0.25">
      <c r="A658" s="112"/>
      <c r="B658" s="21" t="s">
        <v>2986</v>
      </c>
      <c r="C658" s="21" t="s">
        <v>2987</v>
      </c>
      <c r="D658" s="21" t="s">
        <v>1668</v>
      </c>
      <c r="E658" s="50" t="b">
        <v>1</v>
      </c>
      <c r="F658" s="72" t="str">
        <f>HYPERLINK("http://nsgreg.nga.mil/genc/view?v=293701&amp;end_month=6&amp;end_day=30&amp;end_year=2019","Kampong Speu")</f>
        <v>Kampong Speu</v>
      </c>
      <c r="G658" s="72" t="str">
        <f>HYPERLINK("http://api.nsgreg.nga.mil/geo-division/GENC/6/3-11/KH-5","as:GENC:6:3-11:KH-5")</f>
        <v>as:GENC:6:3-11:KH-5</v>
      </c>
    </row>
    <row r="659" spans="1:7" x14ac:dyDescent="0.25">
      <c r="A659" s="112"/>
      <c r="B659" s="21" t="s">
        <v>2988</v>
      </c>
      <c r="C659" s="21" t="s">
        <v>2989</v>
      </c>
      <c r="D659" s="21" t="s">
        <v>1668</v>
      </c>
      <c r="E659" s="50" t="b">
        <v>1</v>
      </c>
      <c r="F659" s="72" t="str">
        <f>HYPERLINK("http://nsgreg.nga.mil/genc/view?v=293702&amp;end_month=6&amp;end_day=30&amp;end_year=2019","Kampong Thom")</f>
        <v>Kampong Thom</v>
      </c>
      <c r="G659" s="72" t="str">
        <f>HYPERLINK("http://api.nsgreg.nga.mil/geo-division/GENC/6/3-11/KH-6","as:GENC:6:3-11:KH-6")</f>
        <v>as:GENC:6:3-11:KH-6</v>
      </c>
    </row>
    <row r="660" spans="1:7" x14ac:dyDescent="0.25">
      <c r="A660" s="112"/>
      <c r="B660" s="21" t="s">
        <v>2990</v>
      </c>
      <c r="C660" s="21" t="s">
        <v>2991</v>
      </c>
      <c r="D660" s="21" t="s">
        <v>1668</v>
      </c>
      <c r="E660" s="50" t="b">
        <v>1</v>
      </c>
      <c r="F660" s="72" t="str">
        <f>HYPERLINK("http://nsgreg.nga.mil/genc/view?v=293703&amp;end_month=6&amp;end_day=30&amp;end_year=2019","Kampot")</f>
        <v>Kampot</v>
      </c>
      <c r="G660" s="72" t="str">
        <f>HYPERLINK("http://api.nsgreg.nga.mil/geo-division/GENC/6/3-11/KH-7","as:GENC:6:3-11:KH-7")</f>
        <v>as:GENC:6:3-11:KH-7</v>
      </c>
    </row>
    <row r="661" spans="1:7" x14ac:dyDescent="0.25">
      <c r="A661" s="112"/>
      <c r="B661" s="21" t="s">
        <v>2992</v>
      </c>
      <c r="C661" s="21" t="s">
        <v>2993</v>
      </c>
      <c r="D661" s="21" t="s">
        <v>1668</v>
      </c>
      <c r="E661" s="50" t="b">
        <v>1</v>
      </c>
      <c r="F661" s="72" t="str">
        <f>HYPERLINK("http://nsgreg.nga.mil/genc/view?v=293704&amp;end_month=6&amp;end_day=30&amp;end_year=2019","Kandal")</f>
        <v>Kandal</v>
      </c>
      <c r="G661" s="72" t="str">
        <f>HYPERLINK("http://api.nsgreg.nga.mil/geo-division/GENC/6/3-11/KH-8","as:GENC:6:3-11:KH-8")</f>
        <v>as:GENC:6:3-11:KH-8</v>
      </c>
    </row>
    <row r="662" spans="1:7" x14ac:dyDescent="0.25">
      <c r="A662" s="112"/>
      <c r="B662" s="21" t="s">
        <v>2994</v>
      </c>
      <c r="C662" s="21" t="s">
        <v>2995</v>
      </c>
      <c r="D662" s="21" t="s">
        <v>1668</v>
      </c>
      <c r="E662" s="50" t="b">
        <v>1</v>
      </c>
      <c r="F662" s="72" t="str">
        <f>HYPERLINK("http://nsgreg.nga.mil/genc/view?v=293696&amp;end_month=6&amp;end_day=30&amp;end_year=2019","Kep")</f>
        <v>Kep</v>
      </c>
      <c r="G662" s="72" t="str">
        <f>HYPERLINK("http://api.nsgreg.nga.mil/geo-division/GENC/6/3-11/KH-23","as:GENC:6:3-11:KH-23")</f>
        <v>as:GENC:6:3-11:KH-23</v>
      </c>
    </row>
    <row r="663" spans="1:7" x14ac:dyDescent="0.25">
      <c r="A663" s="112"/>
      <c r="B663" s="21" t="s">
        <v>2996</v>
      </c>
      <c r="C663" s="21" t="s">
        <v>2997</v>
      </c>
      <c r="D663" s="21" t="s">
        <v>1668</v>
      </c>
      <c r="E663" s="50" t="b">
        <v>1</v>
      </c>
      <c r="F663" s="72" t="str">
        <f>HYPERLINK("http://nsgreg.nga.mil/genc/view?v=293705&amp;end_month=6&amp;end_day=30&amp;end_year=2019","Koh Kong")</f>
        <v>Koh Kong</v>
      </c>
      <c r="G663" s="72" t="str">
        <f>HYPERLINK("http://api.nsgreg.nga.mil/geo-division/GENC/6/3-11/KH-9","as:GENC:6:3-11:KH-9")</f>
        <v>as:GENC:6:3-11:KH-9</v>
      </c>
    </row>
    <row r="664" spans="1:7" x14ac:dyDescent="0.25">
      <c r="A664" s="112"/>
      <c r="B664" s="21" t="s">
        <v>2998</v>
      </c>
      <c r="C664" s="21" t="s">
        <v>2999</v>
      </c>
      <c r="D664" s="21" t="s">
        <v>1668</v>
      </c>
      <c r="E664" s="50" t="b">
        <v>1</v>
      </c>
      <c r="F664" s="72" t="str">
        <f>HYPERLINK("http://nsgreg.nga.mil/genc/view?v=293682&amp;end_month=6&amp;end_day=30&amp;end_year=2019","Kratie")</f>
        <v>Kratie</v>
      </c>
      <c r="G664" s="72" t="str">
        <f>HYPERLINK("http://api.nsgreg.nga.mil/geo-division/GENC/6/3-11/KH-10","as:GENC:6:3-11:KH-10")</f>
        <v>as:GENC:6:3-11:KH-10</v>
      </c>
    </row>
    <row r="665" spans="1:7" x14ac:dyDescent="0.25">
      <c r="A665" s="112"/>
      <c r="B665" s="21" t="s">
        <v>3000</v>
      </c>
      <c r="C665" s="21" t="s">
        <v>3001</v>
      </c>
      <c r="D665" s="21" t="s">
        <v>1668</v>
      </c>
      <c r="E665" s="50" t="b">
        <v>1</v>
      </c>
      <c r="F665" s="72" t="str">
        <f>HYPERLINK("http://nsgreg.nga.mil/genc/view?v=293683&amp;end_month=6&amp;end_day=30&amp;end_year=2019","Mondolkiri")</f>
        <v>Mondolkiri</v>
      </c>
      <c r="G665" s="72" t="str">
        <f>HYPERLINK("http://api.nsgreg.nga.mil/geo-division/GENC/6/3-11/KH-11","as:GENC:6:3-11:KH-11")</f>
        <v>as:GENC:6:3-11:KH-11</v>
      </c>
    </row>
    <row r="666" spans="1:7" x14ac:dyDescent="0.25">
      <c r="A666" s="112"/>
      <c r="B666" s="21" t="s">
        <v>3002</v>
      </c>
      <c r="C666" s="21" t="s">
        <v>3003</v>
      </c>
      <c r="D666" s="21" t="s">
        <v>1668</v>
      </c>
      <c r="E666" s="50" t="b">
        <v>1</v>
      </c>
      <c r="F666" s="72" t="str">
        <f>HYPERLINK("http://nsgreg.nga.mil/genc/view?v=293695&amp;end_month=6&amp;end_day=30&amp;end_year=2019","Oddar Meanchey")</f>
        <v>Oddar Meanchey</v>
      </c>
      <c r="G666" s="72" t="str">
        <f>HYPERLINK("http://api.nsgreg.nga.mil/geo-division/GENC/6/3-11/KH-22","as:GENC:6:3-11:KH-22")</f>
        <v>as:GENC:6:3-11:KH-22</v>
      </c>
    </row>
    <row r="667" spans="1:7" x14ac:dyDescent="0.25">
      <c r="A667" s="112"/>
      <c r="B667" s="21" t="s">
        <v>3004</v>
      </c>
      <c r="C667" s="21" t="s">
        <v>3005</v>
      </c>
      <c r="D667" s="21" t="s">
        <v>1668</v>
      </c>
      <c r="E667" s="50" t="b">
        <v>1</v>
      </c>
      <c r="F667" s="72" t="str">
        <f>HYPERLINK("http://nsgreg.nga.mil/genc/view?v=293697&amp;end_month=6&amp;end_day=30&amp;end_year=2019","Pailin")</f>
        <v>Pailin</v>
      </c>
      <c r="G667" s="72" t="str">
        <f>HYPERLINK("http://api.nsgreg.nga.mil/geo-division/GENC/6/3-11/KH-24","as:GENC:6:3-11:KH-24")</f>
        <v>as:GENC:6:3-11:KH-24</v>
      </c>
    </row>
    <row r="668" spans="1:7" x14ac:dyDescent="0.25">
      <c r="A668" s="112"/>
      <c r="B668" s="21" t="s">
        <v>3006</v>
      </c>
      <c r="C668" s="21" t="s">
        <v>3007</v>
      </c>
      <c r="D668" s="21" t="s">
        <v>2505</v>
      </c>
      <c r="E668" s="50" t="b">
        <v>1</v>
      </c>
      <c r="F668" s="72" t="str">
        <f>HYPERLINK("http://nsgreg.nga.mil/genc/view?v=293684&amp;end_month=6&amp;end_day=30&amp;end_year=2019","Phnom Penh")</f>
        <v>Phnom Penh</v>
      </c>
      <c r="G668" s="72" t="str">
        <f>HYPERLINK("http://api.nsgreg.nga.mil/geo-division/GENC/6/3-11/KH-12","as:GENC:6:3-11:KH-12")</f>
        <v>as:GENC:6:3-11:KH-12</v>
      </c>
    </row>
    <row r="669" spans="1:7" x14ac:dyDescent="0.25">
      <c r="A669" s="112"/>
      <c r="B669" s="21" t="s">
        <v>3008</v>
      </c>
      <c r="C669" s="21" t="s">
        <v>3009</v>
      </c>
      <c r="D669" s="21" t="s">
        <v>1668</v>
      </c>
      <c r="E669" s="50" t="b">
        <v>1</v>
      </c>
      <c r="F669" s="72" t="str">
        <f>HYPERLINK("http://nsgreg.nga.mil/genc/view?v=293690&amp;end_month=6&amp;end_day=30&amp;end_year=2019","Preah Sihanouk")</f>
        <v>Preah Sihanouk</v>
      </c>
      <c r="G669" s="72" t="str">
        <f>HYPERLINK("http://api.nsgreg.nga.mil/geo-division/GENC/6/3-11/KH-18","as:GENC:6:3-11:KH-18")</f>
        <v>as:GENC:6:3-11:KH-18</v>
      </c>
    </row>
    <row r="670" spans="1:7" x14ac:dyDescent="0.25">
      <c r="A670" s="112"/>
      <c r="B670" s="21" t="s">
        <v>3010</v>
      </c>
      <c r="C670" s="21" t="s">
        <v>3011</v>
      </c>
      <c r="D670" s="21" t="s">
        <v>1668</v>
      </c>
      <c r="E670" s="50" t="b">
        <v>1</v>
      </c>
      <c r="F670" s="72" t="str">
        <f>HYPERLINK("http://nsgreg.nga.mil/genc/view?v=293685&amp;end_month=6&amp;end_day=30&amp;end_year=2019","Preah Vihear")</f>
        <v>Preah Vihear</v>
      </c>
      <c r="G670" s="72" t="str">
        <f>HYPERLINK("http://api.nsgreg.nga.mil/geo-division/GENC/6/3-11/KH-13","as:GENC:6:3-11:KH-13")</f>
        <v>as:GENC:6:3-11:KH-13</v>
      </c>
    </row>
    <row r="671" spans="1:7" x14ac:dyDescent="0.25">
      <c r="A671" s="112"/>
      <c r="B671" s="21" t="s">
        <v>3012</v>
      </c>
      <c r="C671" s="21" t="s">
        <v>3013</v>
      </c>
      <c r="D671" s="21" t="s">
        <v>1668</v>
      </c>
      <c r="E671" s="50" t="b">
        <v>1</v>
      </c>
      <c r="F671" s="72" t="str">
        <f>HYPERLINK("http://nsgreg.nga.mil/genc/view?v=293686&amp;end_month=6&amp;end_day=30&amp;end_year=2019","Prey Veng")</f>
        <v>Prey Veng</v>
      </c>
      <c r="G671" s="72" t="str">
        <f>HYPERLINK("http://api.nsgreg.nga.mil/geo-division/GENC/6/3-11/KH-14","as:GENC:6:3-11:KH-14")</f>
        <v>as:GENC:6:3-11:KH-14</v>
      </c>
    </row>
    <row r="672" spans="1:7" x14ac:dyDescent="0.25">
      <c r="A672" s="112"/>
      <c r="B672" s="21" t="s">
        <v>3014</v>
      </c>
      <c r="C672" s="21" t="s">
        <v>3015</v>
      </c>
      <c r="D672" s="21" t="s">
        <v>1668</v>
      </c>
      <c r="E672" s="50" t="b">
        <v>1</v>
      </c>
      <c r="F672" s="72" t="str">
        <f>HYPERLINK("http://nsgreg.nga.mil/genc/view?v=293687&amp;end_month=6&amp;end_day=30&amp;end_year=2019","Pursat")</f>
        <v>Pursat</v>
      </c>
      <c r="G672" s="72" t="str">
        <f>HYPERLINK("http://api.nsgreg.nga.mil/geo-division/GENC/6/3-11/KH-15","as:GENC:6:3-11:KH-15")</f>
        <v>as:GENC:6:3-11:KH-15</v>
      </c>
    </row>
    <row r="673" spans="1:7" x14ac:dyDescent="0.25">
      <c r="A673" s="112"/>
      <c r="B673" s="21" t="s">
        <v>3016</v>
      </c>
      <c r="C673" s="21" t="s">
        <v>3017</v>
      </c>
      <c r="D673" s="21" t="s">
        <v>1668</v>
      </c>
      <c r="E673" s="50" t="b">
        <v>1</v>
      </c>
      <c r="F673" s="72" t="str">
        <f>HYPERLINK("http://nsgreg.nga.mil/genc/view?v=293688&amp;end_month=6&amp;end_day=30&amp;end_year=2019","Ratanakiri")</f>
        <v>Ratanakiri</v>
      </c>
      <c r="G673" s="72" t="str">
        <f>HYPERLINK("http://api.nsgreg.nga.mil/geo-division/GENC/6/3-11/KH-16","as:GENC:6:3-11:KH-16")</f>
        <v>as:GENC:6:3-11:KH-16</v>
      </c>
    </row>
    <row r="674" spans="1:7" x14ac:dyDescent="0.25">
      <c r="A674" s="112"/>
      <c r="B674" s="21" t="s">
        <v>3018</v>
      </c>
      <c r="C674" s="21" t="s">
        <v>3019</v>
      </c>
      <c r="D674" s="21" t="s">
        <v>1668</v>
      </c>
      <c r="E674" s="50" t="b">
        <v>1</v>
      </c>
      <c r="F674" s="72" t="str">
        <f>HYPERLINK("http://nsgreg.nga.mil/genc/view?v=293689&amp;end_month=6&amp;end_day=30&amp;end_year=2019","Siem Reap")</f>
        <v>Siem Reap</v>
      </c>
      <c r="G674" s="72" t="str">
        <f>HYPERLINK("http://api.nsgreg.nga.mil/geo-division/GENC/6/3-11/KH-17","as:GENC:6:3-11:KH-17")</f>
        <v>as:GENC:6:3-11:KH-17</v>
      </c>
    </row>
    <row r="675" spans="1:7" x14ac:dyDescent="0.25">
      <c r="A675" s="112"/>
      <c r="B675" s="21" t="s">
        <v>3020</v>
      </c>
      <c r="C675" s="21" t="s">
        <v>3021</v>
      </c>
      <c r="D675" s="21" t="s">
        <v>1668</v>
      </c>
      <c r="E675" s="50" t="b">
        <v>1</v>
      </c>
      <c r="F675" s="72" t="str">
        <f>HYPERLINK("http://nsgreg.nga.mil/genc/view?v=293691&amp;end_month=6&amp;end_day=30&amp;end_year=2019","Stung Treng")</f>
        <v>Stung Treng</v>
      </c>
      <c r="G675" s="72" t="str">
        <f>HYPERLINK("http://api.nsgreg.nga.mil/geo-division/GENC/6/3-11/KH-19","as:GENC:6:3-11:KH-19")</f>
        <v>as:GENC:6:3-11:KH-19</v>
      </c>
    </row>
    <row r="676" spans="1:7" x14ac:dyDescent="0.25">
      <c r="A676" s="112"/>
      <c r="B676" s="21" t="s">
        <v>3022</v>
      </c>
      <c r="C676" s="21" t="s">
        <v>3023</v>
      </c>
      <c r="D676" s="21" t="s">
        <v>1668</v>
      </c>
      <c r="E676" s="50" t="b">
        <v>1</v>
      </c>
      <c r="F676" s="72" t="str">
        <f>HYPERLINK("http://nsgreg.nga.mil/genc/view?v=293693&amp;end_month=6&amp;end_day=30&amp;end_year=2019","Svay Rieng")</f>
        <v>Svay Rieng</v>
      </c>
      <c r="G676" s="72" t="str">
        <f>HYPERLINK("http://api.nsgreg.nga.mil/geo-division/GENC/6/3-11/KH-20","as:GENC:6:3-11:KH-20")</f>
        <v>as:GENC:6:3-11:KH-20</v>
      </c>
    </row>
    <row r="677" spans="1:7" x14ac:dyDescent="0.25">
      <c r="A677" s="112"/>
      <c r="B677" s="21" t="s">
        <v>3024</v>
      </c>
      <c r="C677" s="21" t="s">
        <v>3025</v>
      </c>
      <c r="D677" s="21" t="s">
        <v>1668</v>
      </c>
      <c r="E677" s="50" t="b">
        <v>1</v>
      </c>
      <c r="F677" s="72" t="str">
        <f>HYPERLINK("http://nsgreg.nga.mil/genc/view?v=293694&amp;end_month=6&amp;end_day=30&amp;end_year=2019","Takeo")</f>
        <v>Takeo</v>
      </c>
      <c r="G677" s="72" t="str">
        <f>HYPERLINK("http://api.nsgreg.nga.mil/geo-division/GENC/6/3-11/KH-21","as:GENC:6:3-11:KH-21")</f>
        <v>as:GENC:6:3-11:KH-21</v>
      </c>
    </row>
    <row r="678" spans="1:7" x14ac:dyDescent="0.25">
      <c r="A678" s="113"/>
      <c r="B678" s="47" t="s">
        <v>3026</v>
      </c>
      <c r="C678" s="47" t="s">
        <v>3027</v>
      </c>
      <c r="D678" s="47" t="s">
        <v>1668</v>
      </c>
      <c r="E678" s="51" t="b">
        <v>1</v>
      </c>
      <c r="F678" s="73" t="str">
        <f>HYPERLINK("http://nsgreg.nga.mil/genc/view?v=293698&amp;end_month=6&amp;end_day=30&amp;end_year=2019","Tbong Khmum")</f>
        <v>Tbong Khmum</v>
      </c>
      <c r="G678" s="73" t="str">
        <f>HYPERLINK("http://api.nsgreg.nga.mil/geo-division/GENC/6/3-11/KH-25","as:GENC:6:3-11:KH-25")</f>
        <v>as:GENC:6:3-11:KH-25</v>
      </c>
    </row>
    <row r="679" spans="1:7" x14ac:dyDescent="0.25">
      <c r="A679" s="111" t="str">
        <f>HYPERLINK("[#]Codes_for_GE_Names!A47:I47","CAMEROON")</f>
        <v>CAMEROON</v>
      </c>
      <c r="B679" s="42" t="s">
        <v>3028</v>
      </c>
      <c r="C679" s="42" t="s">
        <v>3029</v>
      </c>
      <c r="D679" s="42" t="s">
        <v>1975</v>
      </c>
      <c r="E679" s="49" t="b">
        <v>1</v>
      </c>
      <c r="F679" s="74" t="str">
        <f>HYPERLINK("http://nsgreg.nga.mil/genc/view?v=291993&amp;end_month=6&amp;end_day=30&amp;end_year=2019","Adamaoua")</f>
        <v>Adamaoua</v>
      </c>
      <c r="G679" s="74" t="str">
        <f>HYPERLINK("http://api.nsgreg.nga.mil/geo-division/GENC/6/3-11/CM-AD","as:GENC:6:3-11:CM-AD")</f>
        <v>as:GENC:6:3-11:CM-AD</v>
      </c>
    </row>
    <row r="680" spans="1:7" x14ac:dyDescent="0.25">
      <c r="A680" s="112"/>
      <c r="B680" s="21" t="s">
        <v>3030</v>
      </c>
      <c r="C680" s="21" t="s">
        <v>2767</v>
      </c>
      <c r="D680" s="21" t="s">
        <v>1975</v>
      </c>
      <c r="E680" s="50" t="b">
        <v>1</v>
      </c>
      <c r="F680" s="72" t="str">
        <f>HYPERLINK("http://nsgreg.nga.mil/genc/view?v=291994&amp;end_month=6&amp;end_day=30&amp;end_year=2019","Centre")</f>
        <v>Centre</v>
      </c>
      <c r="G680" s="72" t="str">
        <f>HYPERLINK("http://api.nsgreg.nga.mil/geo-division/GENC/6/3-11/CM-CE","as:GENC:6:3-11:CM-CE")</f>
        <v>as:GENC:6:3-11:CM-CE</v>
      </c>
    </row>
    <row r="681" spans="1:7" x14ac:dyDescent="0.25">
      <c r="A681" s="112"/>
      <c r="B681" s="21" t="s">
        <v>3031</v>
      </c>
      <c r="C681" s="21" t="s">
        <v>2805</v>
      </c>
      <c r="D681" s="21" t="s">
        <v>1975</v>
      </c>
      <c r="E681" s="50" t="b">
        <v>1</v>
      </c>
      <c r="F681" s="72" t="str">
        <f>HYPERLINK("http://nsgreg.nga.mil/genc/view?v=291996&amp;end_month=6&amp;end_day=30&amp;end_year=2019","Est")</f>
        <v>Est</v>
      </c>
      <c r="G681" s="72" t="str">
        <f>HYPERLINK("http://api.nsgreg.nga.mil/geo-division/GENC/6/3-11/CM-ES","as:GENC:6:3-11:CM-ES")</f>
        <v>as:GENC:6:3-11:CM-ES</v>
      </c>
    </row>
    <row r="682" spans="1:7" x14ac:dyDescent="0.25">
      <c r="A682" s="112"/>
      <c r="B682" s="21" t="s">
        <v>3032</v>
      </c>
      <c r="C682" s="21" t="s">
        <v>3033</v>
      </c>
      <c r="D682" s="21" t="s">
        <v>1975</v>
      </c>
      <c r="E682" s="50" t="b">
        <v>1</v>
      </c>
      <c r="F682" s="72" t="str">
        <f>HYPERLINK("http://nsgreg.nga.mil/genc/view?v=291995&amp;end_month=6&amp;end_day=30&amp;end_year=2019","Extrême-Nord")</f>
        <v>Extrême-Nord</v>
      </c>
      <c r="G682" s="72" t="str">
        <f>HYPERLINK("http://api.nsgreg.nga.mil/geo-division/GENC/6/3-11/CM-EN","as:GENC:6:3-11:CM-EN")</f>
        <v>as:GENC:6:3-11:CM-EN</v>
      </c>
    </row>
    <row r="683" spans="1:7" x14ac:dyDescent="0.25">
      <c r="A683" s="112"/>
      <c r="B683" s="21" t="s">
        <v>3034</v>
      </c>
      <c r="C683" s="21" t="s">
        <v>2492</v>
      </c>
      <c r="D683" s="21" t="s">
        <v>1975</v>
      </c>
      <c r="E683" s="50" t="b">
        <v>1</v>
      </c>
      <c r="F683" s="72" t="str">
        <f>HYPERLINK("http://nsgreg.nga.mil/genc/view?v=291997&amp;end_month=6&amp;end_day=30&amp;end_year=2019","Littoral")</f>
        <v>Littoral</v>
      </c>
      <c r="G683" s="72" t="str">
        <f>HYPERLINK("http://api.nsgreg.nga.mil/geo-division/GENC/6/3-11/CM-LT","as:GENC:6:3-11:CM-LT")</f>
        <v>as:GENC:6:3-11:CM-LT</v>
      </c>
    </row>
    <row r="684" spans="1:7" x14ac:dyDescent="0.25">
      <c r="A684" s="112"/>
      <c r="B684" s="21" t="s">
        <v>3035</v>
      </c>
      <c r="C684" s="21" t="s">
        <v>2825</v>
      </c>
      <c r="D684" s="21" t="s">
        <v>1975</v>
      </c>
      <c r="E684" s="50" t="b">
        <v>1</v>
      </c>
      <c r="F684" s="72" t="str">
        <f>HYPERLINK("http://nsgreg.nga.mil/genc/view?v=291998&amp;end_month=6&amp;end_day=30&amp;end_year=2019","Nord")</f>
        <v>Nord</v>
      </c>
      <c r="G684" s="72" t="str">
        <f>HYPERLINK("http://api.nsgreg.nga.mil/geo-division/GENC/6/3-11/CM-NO","as:GENC:6:3-11:CM-NO")</f>
        <v>as:GENC:6:3-11:CM-NO</v>
      </c>
    </row>
    <row r="685" spans="1:7" x14ac:dyDescent="0.25">
      <c r="A685" s="112"/>
      <c r="B685" s="21" t="s">
        <v>3036</v>
      </c>
      <c r="C685" s="21" t="s">
        <v>3037</v>
      </c>
      <c r="D685" s="21" t="s">
        <v>1975</v>
      </c>
      <c r="E685" s="50" t="b">
        <v>1</v>
      </c>
      <c r="F685" s="72" t="str">
        <f>HYPERLINK("http://nsgreg.nga.mil/genc/view?v=291999&amp;end_month=6&amp;end_day=30&amp;end_year=2019","North-West")</f>
        <v>North-West</v>
      </c>
      <c r="G685" s="72" t="str">
        <f>HYPERLINK("http://api.nsgreg.nga.mil/geo-division/GENC/6/3-11/CM-NW","as:GENC:6:3-11:CM-NW")</f>
        <v>as:GENC:6:3-11:CM-NW</v>
      </c>
    </row>
    <row r="686" spans="1:7" x14ac:dyDescent="0.25">
      <c r="A686" s="112"/>
      <c r="B686" s="21" t="s">
        <v>3038</v>
      </c>
      <c r="C686" s="21" t="s">
        <v>3039</v>
      </c>
      <c r="D686" s="21" t="s">
        <v>1975</v>
      </c>
      <c r="E686" s="50" t="b">
        <v>1</v>
      </c>
      <c r="F686" s="72" t="str">
        <f>HYPERLINK("http://nsgreg.nga.mil/genc/view?v=292000&amp;end_month=6&amp;end_day=30&amp;end_year=2019","Ouest")</f>
        <v>Ouest</v>
      </c>
      <c r="G686" s="72" t="str">
        <f>HYPERLINK("http://api.nsgreg.nga.mil/geo-division/GENC/6/3-11/CM-OU","as:GENC:6:3-11:CM-OU")</f>
        <v>as:GENC:6:3-11:CM-OU</v>
      </c>
    </row>
    <row r="687" spans="1:7" x14ac:dyDescent="0.25">
      <c r="A687" s="112"/>
      <c r="B687" s="21" t="s">
        <v>3040</v>
      </c>
      <c r="C687" s="21" t="s">
        <v>3041</v>
      </c>
      <c r="D687" s="21" t="s">
        <v>1975</v>
      </c>
      <c r="E687" s="50" t="b">
        <v>1</v>
      </c>
      <c r="F687" s="72" t="str">
        <f>HYPERLINK("http://nsgreg.nga.mil/genc/view?v=292002&amp;end_month=6&amp;end_day=30&amp;end_year=2019","South-West")</f>
        <v>South-West</v>
      </c>
      <c r="G687" s="72" t="str">
        <f>HYPERLINK("http://api.nsgreg.nga.mil/geo-division/GENC/6/3-11/CM-SW","as:GENC:6:3-11:CM-SW")</f>
        <v>as:GENC:6:3-11:CM-SW</v>
      </c>
    </row>
    <row r="688" spans="1:7" x14ac:dyDescent="0.25">
      <c r="A688" s="113"/>
      <c r="B688" s="47" t="s">
        <v>3042</v>
      </c>
      <c r="C688" s="47" t="s">
        <v>3043</v>
      </c>
      <c r="D688" s="47" t="s">
        <v>1975</v>
      </c>
      <c r="E688" s="51" t="b">
        <v>1</v>
      </c>
      <c r="F688" s="73" t="str">
        <f>HYPERLINK("http://nsgreg.nga.mil/genc/view?v=292001&amp;end_month=6&amp;end_day=30&amp;end_year=2019","Sud")</f>
        <v>Sud</v>
      </c>
      <c r="G688" s="73" t="str">
        <f>HYPERLINK("http://api.nsgreg.nga.mil/geo-division/GENC/6/3-11/CM-SU","as:GENC:6:3-11:CM-SU")</f>
        <v>as:GENC:6:3-11:CM-SU</v>
      </c>
    </row>
    <row r="689" spans="1:7" x14ac:dyDescent="0.25">
      <c r="A689" s="111" t="str">
        <f>HYPERLINK("[#]Codes_for_GE_Names!A48:I48","CANADA")</f>
        <v>CANADA</v>
      </c>
      <c r="B689" s="42" t="s">
        <v>3044</v>
      </c>
      <c r="C689" s="42" t="s">
        <v>3045</v>
      </c>
      <c r="D689" s="42" t="s">
        <v>1668</v>
      </c>
      <c r="E689" s="49" t="b">
        <v>1</v>
      </c>
      <c r="F689" s="74" t="str">
        <f>HYPERLINK("http://nsgreg.nga.mil/genc/view?v=291869&amp;end_month=6&amp;end_day=30&amp;end_year=2019","Alberta")</f>
        <v>Alberta</v>
      </c>
      <c r="G689" s="74" t="str">
        <f>HYPERLINK("http://api.nsgreg.nga.mil/geo-division/GENC/6/3-11/CA-AB","as:GENC:6:3-11:CA-AB")</f>
        <v>as:GENC:6:3-11:CA-AB</v>
      </c>
    </row>
    <row r="690" spans="1:7" x14ac:dyDescent="0.25">
      <c r="A690" s="112"/>
      <c r="B690" s="21" t="s">
        <v>3046</v>
      </c>
      <c r="C690" s="21" t="s">
        <v>3047</v>
      </c>
      <c r="D690" s="21" t="s">
        <v>1668</v>
      </c>
      <c r="E690" s="50" t="b">
        <v>1</v>
      </c>
      <c r="F690" s="72" t="str">
        <f>HYPERLINK("http://nsgreg.nga.mil/genc/view?v=291870&amp;end_month=6&amp;end_day=30&amp;end_year=2019","British Columbia")</f>
        <v>British Columbia</v>
      </c>
      <c r="G690" s="72" t="str">
        <f>HYPERLINK("http://api.nsgreg.nga.mil/geo-division/GENC/6/3-11/CA-BC","as:GENC:6:3-11:CA-BC")</f>
        <v>as:GENC:6:3-11:CA-BC</v>
      </c>
    </row>
    <row r="691" spans="1:7" x14ac:dyDescent="0.25">
      <c r="A691" s="112"/>
      <c r="B691" s="21" t="s">
        <v>3048</v>
      </c>
      <c r="C691" s="21" t="s">
        <v>3049</v>
      </c>
      <c r="D691" s="21" t="s">
        <v>1668</v>
      </c>
      <c r="E691" s="50" t="b">
        <v>1</v>
      </c>
      <c r="F691" s="72" t="str">
        <f>HYPERLINK("http://nsgreg.nga.mil/genc/view?v=291871&amp;end_month=6&amp;end_day=30&amp;end_year=2019","Manitoba")</f>
        <v>Manitoba</v>
      </c>
      <c r="G691" s="72" t="str">
        <f>HYPERLINK("http://api.nsgreg.nga.mil/geo-division/GENC/6/3-11/CA-MB","as:GENC:6:3-11:CA-MB")</f>
        <v>as:GENC:6:3-11:CA-MB</v>
      </c>
    </row>
    <row r="692" spans="1:7" x14ac:dyDescent="0.25">
      <c r="A692" s="112"/>
      <c r="B692" s="21" t="s">
        <v>3050</v>
      </c>
      <c r="C692" s="21" t="s">
        <v>3051</v>
      </c>
      <c r="D692" s="21" t="s">
        <v>1668</v>
      </c>
      <c r="E692" s="50" t="b">
        <v>1</v>
      </c>
      <c r="F692" s="72" t="str">
        <f>HYPERLINK("http://nsgreg.nga.mil/genc/view?v=291872&amp;end_month=6&amp;end_day=30&amp;end_year=2019","New Brunswick")</f>
        <v>New Brunswick</v>
      </c>
      <c r="G692" s="72" t="str">
        <f>HYPERLINK("http://api.nsgreg.nga.mil/geo-division/GENC/6/3-11/CA-NB","as:GENC:6:3-11:CA-NB")</f>
        <v>as:GENC:6:3-11:CA-NB</v>
      </c>
    </row>
    <row r="693" spans="1:7" x14ac:dyDescent="0.25">
      <c r="A693" s="112"/>
      <c r="B693" s="21" t="s">
        <v>3052</v>
      </c>
      <c r="C693" s="21" t="s">
        <v>3053</v>
      </c>
      <c r="D693" s="21" t="s">
        <v>1668</v>
      </c>
      <c r="E693" s="50" t="b">
        <v>1</v>
      </c>
      <c r="F693" s="72" t="str">
        <f>HYPERLINK("http://nsgreg.nga.mil/genc/view?v=291873&amp;end_month=6&amp;end_day=30&amp;end_year=2019","Newfoundland and Labrador")</f>
        <v>Newfoundland and Labrador</v>
      </c>
      <c r="G693" s="72" t="str">
        <f>HYPERLINK("http://api.nsgreg.nga.mil/geo-division/GENC/6/3-11/CA-NL","as:GENC:6:3-11:CA-NL")</f>
        <v>as:GENC:6:3-11:CA-NL</v>
      </c>
    </row>
    <row r="694" spans="1:7" x14ac:dyDescent="0.25">
      <c r="A694" s="112"/>
      <c r="B694" s="21" t="s">
        <v>3054</v>
      </c>
      <c r="C694" s="21" t="s">
        <v>3055</v>
      </c>
      <c r="D694" s="21" t="s">
        <v>1999</v>
      </c>
      <c r="E694" s="50" t="b">
        <v>1</v>
      </c>
      <c r="F694" s="72" t="str">
        <f>HYPERLINK("http://nsgreg.nga.mil/genc/view?v=291875&amp;end_month=6&amp;end_day=30&amp;end_year=2019","Northwest Territories")</f>
        <v>Northwest Territories</v>
      </c>
      <c r="G694" s="72" t="str">
        <f>HYPERLINK("http://api.nsgreg.nga.mil/geo-division/GENC/6/3-11/CA-NT","as:GENC:6:3-11:CA-NT")</f>
        <v>as:GENC:6:3-11:CA-NT</v>
      </c>
    </row>
    <row r="695" spans="1:7" x14ac:dyDescent="0.25">
      <c r="A695" s="112"/>
      <c r="B695" s="21" t="s">
        <v>3056</v>
      </c>
      <c r="C695" s="21" t="s">
        <v>3057</v>
      </c>
      <c r="D695" s="21" t="s">
        <v>1668</v>
      </c>
      <c r="E695" s="50" t="b">
        <v>1</v>
      </c>
      <c r="F695" s="72" t="str">
        <f>HYPERLINK("http://nsgreg.nga.mil/genc/view?v=291874&amp;end_month=6&amp;end_day=30&amp;end_year=2019","Nova Scotia")</f>
        <v>Nova Scotia</v>
      </c>
      <c r="G695" s="72" t="str">
        <f>HYPERLINK("http://api.nsgreg.nga.mil/geo-division/GENC/6/3-11/CA-NS","as:GENC:6:3-11:CA-NS")</f>
        <v>as:GENC:6:3-11:CA-NS</v>
      </c>
    </row>
    <row r="696" spans="1:7" x14ac:dyDescent="0.25">
      <c r="A696" s="112"/>
      <c r="B696" s="21" t="s">
        <v>3058</v>
      </c>
      <c r="C696" s="21" t="s">
        <v>3059</v>
      </c>
      <c r="D696" s="21" t="s">
        <v>1999</v>
      </c>
      <c r="E696" s="50" t="b">
        <v>1</v>
      </c>
      <c r="F696" s="72" t="str">
        <f>HYPERLINK("http://nsgreg.nga.mil/genc/view?v=291876&amp;end_month=6&amp;end_day=30&amp;end_year=2019","Nunavut")</f>
        <v>Nunavut</v>
      </c>
      <c r="G696" s="72" t="str">
        <f>HYPERLINK("http://api.nsgreg.nga.mil/geo-division/GENC/6/3-11/CA-NU","as:GENC:6:3-11:CA-NU")</f>
        <v>as:GENC:6:3-11:CA-NU</v>
      </c>
    </row>
    <row r="697" spans="1:7" x14ac:dyDescent="0.25">
      <c r="A697" s="112"/>
      <c r="B697" s="21" t="s">
        <v>3060</v>
      </c>
      <c r="C697" s="21" t="s">
        <v>3061</v>
      </c>
      <c r="D697" s="21" t="s">
        <v>1668</v>
      </c>
      <c r="E697" s="50" t="b">
        <v>1</v>
      </c>
      <c r="F697" s="72" t="str">
        <f>HYPERLINK("http://nsgreg.nga.mil/genc/view?v=291877&amp;end_month=6&amp;end_day=30&amp;end_year=2019","Ontario")</f>
        <v>Ontario</v>
      </c>
      <c r="G697" s="72" t="str">
        <f>HYPERLINK("http://api.nsgreg.nga.mil/geo-division/GENC/6/3-11/CA-ON","as:GENC:6:3-11:CA-ON")</f>
        <v>as:GENC:6:3-11:CA-ON</v>
      </c>
    </row>
    <row r="698" spans="1:7" x14ac:dyDescent="0.25">
      <c r="A698" s="112"/>
      <c r="B698" s="21" t="s">
        <v>3062</v>
      </c>
      <c r="C698" s="21" t="s">
        <v>3063</v>
      </c>
      <c r="D698" s="21" t="s">
        <v>1668</v>
      </c>
      <c r="E698" s="50" t="b">
        <v>1</v>
      </c>
      <c r="F698" s="72" t="str">
        <f>HYPERLINK("http://nsgreg.nga.mil/genc/view?v=291878&amp;end_month=6&amp;end_day=30&amp;end_year=2019","Prince Edward Island")</f>
        <v>Prince Edward Island</v>
      </c>
      <c r="G698" s="72" t="str">
        <f>HYPERLINK("http://api.nsgreg.nga.mil/geo-division/GENC/6/3-11/CA-PE","as:GENC:6:3-11:CA-PE")</f>
        <v>as:GENC:6:3-11:CA-PE</v>
      </c>
    </row>
    <row r="699" spans="1:7" x14ac:dyDescent="0.25">
      <c r="A699" s="112"/>
      <c r="B699" s="21" t="s">
        <v>3064</v>
      </c>
      <c r="C699" s="21" t="s">
        <v>3065</v>
      </c>
      <c r="D699" s="21" t="s">
        <v>1668</v>
      </c>
      <c r="E699" s="50" t="b">
        <v>1</v>
      </c>
      <c r="F699" s="72" t="str">
        <f>HYPERLINK("http://nsgreg.nga.mil/genc/view?v=291879&amp;end_month=6&amp;end_day=30&amp;end_year=2019","Québec")</f>
        <v>Québec</v>
      </c>
      <c r="G699" s="72" t="str">
        <f>HYPERLINK("http://api.nsgreg.nga.mil/geo-division/GENC/6/3-11/CA-QC","as:GENC:6:3-11:CA-QC")</f>
        <v>as:GENC:6:3-11:CA-QC</v>
      </c>
    </row>
    <row r="700" spans="1:7" x14ac:dyDescent="0.25">
      <c r="A700" s="112"/>
      <c r="B700" s="21" t="s">
        <v>3066</v>
      </c>
      <c r="C700" s="21" t="s">
        <v>3067</v>
      </c>
      <c r="D700" s="21" t="s">
        <v>1668</v>
      </c>
      <c r="E700" s="50" t="b">
        <v>1</v>
      </c>
      <c r="F700" s="72" t="str">
        <f>HYPERLINK("http://nsgreg.nga.mil/genc/view?v=291880&amp;end_month=6&amp;end_day=30&amp;end_year=2019","Saskatchewan")</f>
        <v>Saskatchewan</v>
      </c>
      <c r="G700" s="72" t="str">
        <f>HYPERLINK("http://api.nsgreg.nga.mil/geo-division/GENC/6/3-11/CA-SK","as:GENC:6:3-11:CA-SK")</f>
        <v>as:GENC:6:3-11:CA-SK</v>
      </c>
    </row>
    <row r="701" spans="1:7" x14ac:dyDescent="0.25">
      <c r="A701" s="113"/>
      <c r="B701" s="47" t="s">
        <v>3068</v>
      </c>
      <c r="C701" s="47" t="s">
        <v>3069</v>
      </c>
      <c r="D701" s="47" t="s">
        <v>1999</v>
      </c>
      <c r="E701" s="51" t="b">
        <v>1</v>
      </c>
      <c r="F701" s="73" t="str">
        <f>HYPERLINK("http://nsgreg.nga.mil/genc/view?v=291881&amp;end_month=6&amp;end_day=30&amp;end_year=2019","Yukon")</f>
        <v>Yukon</v>
      </c>
      <c r="G701" s="73" t="str">
        <f>HYPERLINK("http://api.nsgreg.nga.mil/geo-division/GENC/6/3-11/CA-YT","as:GENC:6:3-11:CA-YT")</f>
        <v>as:GENC:6:3-11:CA-YT</v>
      </c>
    </row>
    <row r="702" spans="1:7" x14ac:dyDescent="0.25">
      <c r="A702" s="111" t="str">
        <f>HYPERLINK("[#]Codes_for_GE_Names!A50:I50","CENTRAL AFRICAN REPUBLIC")</f>
        <v>CENTRAL AFRICAN REPUBLIC</v>
      </c>
      <c r="B702" s="42" t="s">
        <v>3070</v>
      </c>
      <c r="C702" s="42" t="s">
        <v>3071</v>
      </c>
      <c r="D702" s="42" t="s">
        <v>3072</v>
      </c>
      <c r="E702" s="49" t="b">
        <v>1</v>
      </c>
      <c r="F702" s="74" t="str">
        <f>HYPERLINK("http://nsgreg.nga.mil/genc/view?v=291909&amp;end_month=6&amp;end_day=30&amp;end_year=2019","Bamingui-Bangoran")</f>
        <v>Bamingui-Bangoran</v>
      </c>
      <c r="G702" s="74" t="str">
        <f>HYPERLINK("http://api.nsgreg.nga.mil/geo-division/GENC/6/3-11/CF-BB","as:GENC:6:3-11:CF-BB")</f>
        <v>as:GENC:6:3-11:CF-BB</v>
      </c>
    </row>
    <row r="703" spans="1:7" x14ac:dyDescent="0.25">
      <c r="A703" s="112"/>
      <c r="B703" s="21" t="s">
        <v>3073</v>
      </c>
      <c r="C703" s="21" t="s">
        <v>3074</v>
      </c>
      <c r="D703" s="21" t="s">
        <v>3075</v>
      </c>
      <c r="E703" s="50" t="b">
        <v>1</v>
      </c>
      <c r="F703" s="72" t="str">
        <f>HYPERLINK("http://nsgreg.nga.mil/genc/view?v=291910&amp;end_month=6&amp;end_day=30&amp;end_year=2019","Bangui")</f>
        <v>Bangui</v>
      </c>
      <c r="G703" s="72" t="str">
        <f>HYPERLINK("http://api.nsgreg.nga.mil/geo-division/GENC/6/3-11/CF-BGF","as:GENC:6:3-11:CF-BGF")</f>
        <v>as:GENC:6:3-11:CF-BGF</v>
      </c>
    </row>
    <row r="704" spans="1:7" x14ac:dyDescent="0.25">
      <c r="A704" s="112"/>
      <c r="B704" s="21" t="s">
        <v>3076</v>
      </c>
      <c r="C704" s="21" t="s">
        <v>3077</v>
      </c>
      <c r="D704" s="21" t="s">
        <v>3072</v>
      </c>
      <c r="E704" s="50" t="b">
        <v>1</v>
      </c>
      <c r="F704" s="72" t="str">
        <f>HYPERLINK("http://nsgreg.nga.mil/genc/view?v=291911&amp;end_month=6&amp;end_day=30&amp;end_year=2019","Basse-Kotto")</f>
        <v>Basse-Kotto</v>
      </c>
      <c r="G704" s="72" t="str">
        <f>HYPERLINK("http://api.nsgreg.nga.mil/geo-division/GENC/6/3-11/CF-BK","as:GENC:6:3-11:CF-BK")</f>
        <v>as:GENC:6:3-11:CF-BK</v>
      </c>
    </row>
    <row r="705" spans="1:7" x14ac:dyDescent="0.25">
      <c r="A705" s="112"/>
      <c r="B705" s="21" t="s">
        <v>3078</v>
      </c>
      <c r="C705" s="21" t="s">
        <v>3079</v>
      </c>
      <c r="D705" s="21" t="s">
        <v>3072</v>
      </c>
      <c r="E705" s="50" t="b">
        <v>1</v>
      </c>
      <c r="F705" s="72" t="str">
        <f>HYPERLINK("http://nsgreg.nga.mil/genc/view?v=291912&amp;end_month=6&amp;end_day=30&amp;end_year=2019","Haute-Kotto")</f>
        <v>Haute-Kotto</v>
      </c>
      <c r="G705" s="72" t="str">
        <f>HYPERLINK("http://api.nsgreg.nga.mil/geo-division/GENC/6/3-11/CF-HK","as:GENC:6:3-11:CF-HK")</f>
        <v>as:GENC:6:3-11:CF-HK</v>
      </c>
    </row>
    <row r="706" spans="1:7" x14ac:dyDescent="0.25">
      <c r="A706" s="112"/>
      <c r="B706" s="21" t="s">
        <v>3080</v>
      </c>
      <c r="C706" s="21" t="s">
        <v>3081</v>
      </c>
      <c r="D706" s="21" t="s">
        <v>3072</v>
      </c>
      <c r="E706" s="50" t="b">
        <v>1</v>
      </c>
      <c r="F706" s="72" t="str">
        <f>HYPERLINK("http://nsgreg.nga.mil/genc/view?v=291913&amp;end_month=6&amp;end_day=30&amp;end_year=2019","Haut-Mbomou")</f>
        <v>Haut-Mbomou</v>
      </c>
      <c r="G706" s="72" t="str">
        <f>HYPERLINK("http://api.nsgreg.nga.mil/geo-division/GENC/6/3-11/CF-HM","as:GENC:6:3-11:CF-HM")</f>
        <v>as:GENC:6:3-11:CF-HM</v>
      </c>
    </row>
    <row r="707" spans="1:7" x14ac:dyDescent="0.25">
      <c r="A707" s="112"/>
      <c r="B707" s="21" t="s">
        <v>3082</v>
      </c>
      <c r="C707" s="21" t="s">
        <v>3083</v>
      </c>
      <c r="D707" s="21" t="s">
        <v>3072</v>
      </c>
      <c r="E707" s="50" t="b">
        <v>1</v>
      </c>
      <c r="F707" s="72" t="str">
        <f>HYPERLINK("http://nsgreg.nga.mil/genc/view?v=291916&amp;end_month=6&amp;end_day=30&amp;end_year=2019","Kémo")</f>
        <v>Kémo</v>
      </c>
      <c r="G707" s="72" t="str">
        <f>HYPERLINK("http://api.nsgreg.nga.mil/geo-division/GENC/6/3-11/CF-KG","as:GENC:6:3-11:CF-KG")</f>
        <v>as:GENC:6:3-11:CF-KG</v>
      </c>
    </row>
    <row r="708" spans="1:7" x14ac:dyDescent="0.25">
      <c r="A708" s="112"/>
      <c r="B708" s="21" t="s">
        <v>3084</v>
      </c>
      <c r="C708" s="21" t="s">
        <v>3085</v>
      </c>
      <c r="D708" s="21" t="s">
        <v>3072</v>
      </c>
      <c r="E708" s="50" t="b">
        <v>1</v>
      </c>
      <c r="F708" s="72" t="str">
        <f>HYPERLINK("http://nsgreg.nga.mil/genc/view?v=291917&amp;end_month=6&amp;end_day=30&amp;end_year=2019","Lobaye")</f>
        <v>Lobaye</v>
      </c>
      <c r="G708" s="72" t="str">
        <f>HYPERLINK("http://api.nsgreg.nga.mil/geo-division/GENC/6/3-11/CF-LB","as:GENC:6:3-11:CF-LB")</f>
        <v>as:GENC:6:3-11:CF-LB</v>
      </c>
    </row>
    <row r="709" spans="1:7" x14ac:dyDescent="0.25">
      <c r="A709" s="112"/>
      <c r="B709" s="21" t="s">
        <v>3086</v>
      </c>
      <c r="C709" s="21" t="s">
        <v>3087</v>
      </c>
      <c r="D709" s="21" t="s">
        <v>3072</v>
      </c>
      <c r="E709" s="50" t="b">
        <v>1</v>
      </c>
      <c r="F709" s="72" t="str">
        <f>HYPERLINK("http://nsgreg.nga.mil/genc/view?v=291914&amp;end_month=6&amp;end_day=30&amp;end_year=2019","Mambéré-Kadéï")</f>
        <v>Mambéré-Kadéï</v>
      </c>
      <c r="G709" s="72" t="str">
        <f>HYPERLINK("http://api.nsgreg.nga.mil/geo-division/GENC/6/3-11/CF-HS","as:GENC:6:3-11:CF-HS")</f>
        <v>as:GENC:6:3-11:CF-HS</v>
      </c>
    </row>
    <row r="710" spans="1:7" x14ac:dyDescent="0.25">
      <c r="A710" s="112"/>
      <c r="B710" s="21" t="s">
        <v>3088</v>
      </c>
      <c r="C710" s="21" t="s">
        <v>3089</v>
      </c>
      <c r="D710" s="21" t="s">
        <v>3072</v>
      </c>
      <c r="E710" s="50" t="b">
        <v>1</v>
      </c>
      <c r="F710" s="72" t="str">
        <f>HYPERLINK("http://nsgreg.nga.mil/genc/view?v=291918&amp;end_month=6&amp;end_day=30&amp;end_year=2019","Mbomou")</f>
        <v>Mbomou</v>
      </c>
      <c r="G710" s="72" t="str">
        <f>HYPERLINK("http://api.nsgreg.nga.mil/geo-division/GENC/6/3-11/CF-MB","as:GENC:6:3-11:CF-MB")</f>
        <v>as:GENC:6:3-11:CF-MB</v>
      </c>
    </row>
    <row r="711" spans="1:7" x14ac:dyDescent="0.25">
      <c r="A711" s="112"/>
      <c r="B711" s="21" t="s">
        <v>3090</v>
      </c>
      <c r="C711" s="21" t="s">
        <v>3091</v>
      </c>
      <c r="D711" s="21" t="s">
        <v>3092</v>
      </c>
      <c r="E711" s="50" t="b">
        <v>1</v>
      </c>
      <c r="F711" s="72" t="str">
        <f>HYPERLINK("http://nsgreg.nga.mil/genc/view?v=291915&amp;end_month=6&amp;end_day=30&amp;end_year=2019","Nana-Grébizi")</f>
        <v>Nana-Grébizi</v>
      </c>
      <c r="G711" s="72" t="str">
        <f>HYPERLINK("http://api.nsgreg.nga.mil/geo-division/GENC/6/3-11/CF-KB","as:GENC:6:3-11:CF-KB")</f>
        <v>as:GENC:6:3-11:CF-KB</v>
      </c>
    </row>
    <row r="712" spans="1:7" x14ac:dyDescent="0.25">
      <c r="A712" s="112"/>
      <c r="B712" s="21" t="s">
        <v>3093</v>
      </c>
      <c r="C712" s="21" t="s">
        <v>3094</v>
      </c>
      <c r="D712" s="21" t="s">
        <v>3072</v>
      </c>
      <c r="E712" s="50" t="b">
        <v>1</v>
      </c>
      <c r="F712" s="72" t="str">
        <f>HYPERLINK("http://nsgreg.nga.mil/genc/view?v=291920&amp;end_month=6&amp;end_day=30&amp;end_year=2019","Nana-Mambéré")</f>
        <v>Nana-Mambéré</v>
      </c>
      <c r="G712" s="72" t="str">
        <f>HYPERLINK("http://api.nsgreg.nga.mil/geo-division/GENC/6/3-11/CF-NM","as:GENC:6:3-11:CF-NM")</f>
        <v>as:GENC:6:3-11:CF-NM</v>
      </c>
    </row>
    <row r="713" spans="1:7" x14ac:dyDescent="0.25">
      <c r="A713" s="112"/>
      <c r="B713" s="21" t="s">
        <v>3095</v>
      </c>
      <c r="C713" s="21" t="s">
        <v>3096</v>
      </c>
      <c r="D713" s="21" t="s">
        <v>3072</v>
      </c>
      <c r="E713" s="50" t="b">
        <v>1</v>
      </c>
      <c r="F713" s="72" t="str">
        <f>HYPERLINK("http://nsgreg.nga.mil/genc/view?v=291919&amp;end_month=6&amp;end_day=30&amp;end_year=2019","Ombella-Mpoko")</f>
        <v>Ombella-Mpoko</v>
      </c>
      <c r="G713" s="72" t="str">
        <f>HYPERLINK("http://api.nsgreg.nga.mil/geo-division/GENC/6/3-11/CF-MP","as:GENC:6:3-11:CF-MP")</f>
        <v>as:GENC:6:3-11:CF-MP</v>
      </c>
    </row>
    <row r="714" spans="1:7" x14ac:dyDescent="0.25">
      <c r="A714" s="112"/>
      <c r="B714" s="21" t="s">
        <v>3097</v>
      </c>
      <c r="C714" s="21" t="s">
        <v>3098</v>
      </c>
      <c r="D714" s="21" t="s">
        <v>3072</v>
      </c>
      <c r="E714" s="50" t="b">
        <v>1</v>
      </c>
      <c r="F714" s="72" t="str">
        <f>HYPERLINK("http://nsgreg.nga.mil/genc/view?v=291923&amp;end_month=6&amp;end_day=30&amp;end_year=2019","Ouaka")</f>
        <v>Ouaka</v>
      </c>
      <c r="G714" s="72" t="str">
        <f>HYPERLINK("http://api.nsgreg.nga.mil/geo-division/GENC/6/3-11/CF-UK","as:GENC:6:3-11:CF-UK")</f>
        <v>as:GENC:6:3-11:CF-UK</v>
      </c>
    </row>
    <row r="715" spans="1:7" x14ac:dyDescent="0.25">
      <c r="A715" s="112"/>
      <c r="B715" s="21" t="s">
        <v>3099</v>
      </c>
      <c r="C715" s="21" t="s">
        <v>3100</v>
      </c>
      <c r="D715" s="21" t="s">
        <v>3072</v>
      </c>
      <c r="E715" s="50" t="b">
        <v>1</v>
      </c>
      <c r="F715" s="72" t="str">
        <f>HYPERLINK("http://nsgreg.nga.mil/genc/view?v=291908&amp;end_month=6&amp;end_day=30&amp;end_year=2019","Ouham")</f>
        <v>Ouham</v>
      </c>
      <c r="G715" s="72" t="str">
        <f>HYPERLINK("http://api.nsgreg.nga.mil/geo-division/GENC/6/3-11/CF-AC","as:GENC:6:3-11:CF-AC")</f>
        <v>as:GENC:6:3-11:CF-AC</v>
      </c>
    </row>
    <row r="716" spans="1:7" x14ac:dyDescent="0.25">
      <c r="A716" s="112"/>
      <c r="B716" s="21" t="s">
        <v>3101</v>
      </c>
      <c r="C716" s="21" t="s">
        <v>3102</v>
      </c>
      <c r="D716" s="21" t="s">
        <v>3072</v>
      </c>
      <c r="E716" s="50" t="b">
        <v>1</v>
      </c>
      <c r="F716" s="72" t="str">
        <f>HYPERLINK("http://nsgreg.nga.mil/genc/view?v=291921&amp;end_month=6&amp;end_day=30&amp;end_year=2019","Ouham-Pendé")</f>
        <v>Ouham-Pendé</v>
      </c>
      <c r="G716" s="72" t="str">
        <f>HYPERLINK("http://api.nsgreg.nga.mil/geo-division/GENC/6/3-11/CF-OP","as:GENC:6:3-11:CF-OP")</f>
        <v>as:GENC:6:3-11:CF-OP</v>
      </c>
    </row>
    <row r="717" spans="1:7" x14ac:dyDescent="0.25">
      <c r="A717" s="112"/>
      <c r="B717" s="21" t="s">
        <v>3103</v>
      </c>
      <c r="C717" s="21" t="s">
        <v>3104</v>
      </c>
      <c r="D717" s="21" t="s">
        <v>3092</v>
      </c>
      <c r="E717" s="50" t="b">
        <v>1</v>
      </c>
      <c r="F717" s="72" t="str">
        <f>HYPERLINK("http://nsgreg.nga.mil/genc/view?v=291922&amp;end_month=6&amp;end_day=30&amp;end_year=2019","Sangha-Mbaéré")</f>
        <v>Sangha-Mbaéré</v>
      </c>
      <c r="G717" s="72" t="str">
        <f>HYPERLINK("http://api.nsgreg.nga.mil/geo-division/GENC/6/3-11/CF-SE","as:GENC:6:3-11:CF-SE")</f>
        <v>as:GENC:6:3-11:CF-SE</v>
      </c>
    </row>
    <row r="718" spans="1:7" x14ac:dyDescent="0.25">
      <c r="A718" s="113"/>
      <c r="B718" s="47" t="s">
        <v>3105</v>
      </c>
      <c r="C718" s="47" t="s">
        <v>3106</v>
      </c>
      <c r="D718" s="47" t="s">
        <v>3072</v>
      </c>
      <c r="E718" s="51" t="b">
        <v>1</v>
      </c>
      <c r="F718" s="73" t="str">
        <f>HYPERLINK("http://nsgreg.nga.mil/genc/view?v=291924&amp;end_month=6&amp;end_day=30&amp;end_year=2019","Vakaga")</f>
        <v>Vakaga</v>
      </c>
      <c r="G718" s="73" t="str">
        <f>HYPERLINK("http://api.nsgreg.nga.mil/geo-division/GENC/6/3-11/CF-VK","as:GENC:6:3-11:CF-VK")</f>
        <v>as:GENC:6:3-11:CF-VK</v>
      </c>
    </row>
    <row r="719" spans="1:7" x14ac:dyDescent="0.25">
      <c r="A719" s="111" t="str">
        <f>HYPERLINK("[#]Codes_for_GE_Names!A51:I51","CHAD")</f>
        <v>CHAD</v>
      </c>
      <c r="B719" s="42" t="s">
        <v>3107</v>
      </c>
      <c r="C719" s="42" t="s">
        <v>3108</v>
      </c>
      <c r="D719" s="42" t="s">
        <v>1975</v>
      </c>
      <c r="E719" s="49" t="b">
        <v>1</v>
      </c>
      <c r="F719" s="74" t="str">
        <f>HYPERLINK("http://nsgreg.nga.mil/genc/view?v=295854&amp;end_month=6&amp;end_day=30&amp;end_year=2019","Barh el Gazel")</f>
        <v>Barh el Gazel</v>
      </c>
      <c r="G719" s="74" t="str">
        <f>HYPERLINK("http://api.nsgreg.nga.mil/geo-division/GENC/6/3-11/TD-BG","as:GENC:6:3-11:TD-BG")</f>
        <v>as:GENC:6:3-11:TD-BG</v>
      </c>
    </row>
    <row r="720" spans="1:7" x14ac:dyDescent="0.25">
      <c r="A720" s="112"/>
      <c r="B720" s="21" t="s">
        <v>3109</v>
      </c>
      <c r="C720" s="21" t="s">
        <v>3110</v>
      </c>
      <c r="D720" s="21" t="s">
        <v>1975</v>
      </c>
      <c r="E720" s="50" t="b">
        <v>1</v>
      </c>
      <c r="F720" s="72" t="str">
        <f>HYPERLINK("http://nsgreg.nga.mil/genc/view?v=295853&amp;end_month=6&amp;end_day=30&amp;end_year=2019","Batha")</f>
        <v>Batha</v>
      </c>
      <c r="G720" s="72" t="str">
        <f>HYPERLINK("http://api.nsgreg.nga.mil/geo-division/GENC/6/3-11/TD-BA","as:GENC:6:3-11:TD-BA")</f>
        <v>as:GENC:6:3-11:TD-BA</v>
      </c>
    </row>
    <row r="721" spans="1:7" x14ac:dyDescent="0.25">
      <c r="A721" s="112"/>
      <c r="B721" s="21" t="s">
        <v>3111</v>
      </c>
      <c r="C721" s="21" t="s">
        <v>3112</v>
      </c>
      <c r="D721" s="21" t="s">
        <v>1975</v>
      </c>
      <c r="E721" s="50" t="b">
        <v>1</v>
      </c>
      <c r="F721" s="72" t="str">
        <f>HYPERLINK("http://nsgreg.nga.mil/genc/view?v=295855&amp;end_month=6&amp;end_day=30&amp;end_year=2019","Borkou")</f>
        <v>Borkou</v>
      </c>
      <c r="G721" s="72" t="str">
        <f>HYPERLINK("http://api.nsgreg.nga.mil/geo-division/GENC/6/3-11/TD-BO","as:GENC:6:3-11:TD-BO")</f>
        <v>as:GENC:6:3-11:TD-BO</v>
      </c>
    </row>
    <row r="722" spans="1:7" x14ac:dyDescent="0.25">
      <c r="A722" s="112"/>
      <c r="B722" s="21" t="s">
        <v>3113</v>
      </c>
      <c r="C722" s="21" t="s">
        <v>3114</v>
      </c>
      <c r="D722" s="21" t="s">
        <v>1975</v>
      </c>
      <c r="E722" s="50" t="b">
        <v>1</v>
      </c>
      <c r="F722" s="72" t="str">
        <f>HYPERLINK("http://nsgreg.nga.mil/genc/view?v=295856&amp;end_month=6&amp;end_day=30&amp;end_year=2019","Chari-Baguirmi")</f>
        <v>Chari-Baguirmi</v>
      </c>
      <c r="G722" s="72" t="str">
        <f>HYPERLINK("http://api.nsgreg.nga.mil/geo-division/GENC/6/3-11/TD-CB","as:GENC:6:3-11:TD-CB")</f>
        <v>as:GENC:6:3-11:TD-CB</v>
      </c>
    </row>
    <row r="723" spans="1:7" x14ac:dyDescent="0.25">
      <c r="A723" s="112"/>
      <c r="B723" s="21" t="s">
        <v>3115</v>
      </c>
      <c r="C723" s="21" t="s">
        <v>3116</v>
      </c>
      <c r="D723" s="21" t="s">
        <v>1975</v>
      </c>
      <c r="E723" s="50" t="b">
        <v>1</v>
      </c>
      <c r="F723" s="72" t="str">
        <f>HYPERLINK("http://nsgreg.nga.mil/genc/view?v=295857&amp;end_month=6&amp;end_day=30&amp;end_year=2019","Ennedi-Est")</f>
        <v>Ennedi-Est</v>
      </c>
      <c r="G723" s="72" t="str">
        <f>HYPERLINK("http://api.nsgreg.nga.mil/geo-division/GENC/6/3-11/TD-EE","as:GENC:6:3-11:TD-EE")</f>
        <v>as:GENC:6:3-11:TD-EE</v>
      </c>
    </row>
    <row r="724" spans="1:7" x14ac:dyDescent="0.25">
      <c r="A724" s="112"/>
      <c r="B724" s="21" t="s">
        <v>3117</v>
      </c>
      <c r="C724" s="21" t="s">
        <v>3118</v>
      </c>
      <c r="D724" s="21" t="s">
        <v>1975</v>
      </c>
      <c r="E724" s="50" t="b">
        <v>1</v>
      </c>
      <c r="F724" s="72" t="str">
        <f>HYPERLINK("http://nsgreg.nga.mil/genc/view?v=295858&amp;end_month=6&amp;end_day=30&amp;end_year=2019","Ennedi-Ouest")</f>
        <v>Ennedi-Ouest</v>
      </c>
      <c r="G724" s="72" t="str">
        <f>HYPERLINK("http://api.nsgreg.nga.mil/geo-division/GENC/6/3-11/TD-EO","as:GENC:6:3-11:TD-EO")</f>
        <v>as:GENC:6:3-11:TD-EO</v>
      </c>
    </row>
    <row r="725" spans="1:7" x14ac:dyDescent="0.25">
      <c r="A725" s="112"/>
      <c r="B725" s="21" t="s">
        <v>3119</v>
      </c>
      <c r="C725" s="21" t="s">
        <v>3120</v>
      </c>
      <c r="D725" s="21" t="s">
        <v>1975</v>
      </c>
      <c r="E725" s="50" t="b">
        <v>1</v>
      </c>
      <c r="F725" s="72" t="str">
        <f>HYPERLINK("http://nsgreg.nga.mil/genc/view?v=295859&amp;end_month=6&amp;end_day=30&amp;end_year=2019","Guéra")</f>
        <v>Guéra</v>
      </c>
      <c r="G725" s="72" t="str">
        <f>HYPERLINK("http://api.nsgreg.nga.mil/geo-division/GENC/6/3-11/TD-GR","as:GENC:6:3-11:TD-GR")</f>
        <v>as:GENC:6:3-11:TD-GR</v>
      </c>
    </row>
    <row r="726" spans="1:7" x14ac:dyDescent="0.25">
      <c r="A726" s="112"/>
      <c r="B726" s="21" t="s">
        <v>3121</v>
      </c>
      <c r="C726" s="21" t="s">
        <v>3122</v>
      </c>
      <c r="D726" s="21" t="s">
        <v>1975</v>
      </c>
      <c r="E726" s="50" t="b">
        <v>1</v>
      </c>
      <c r="F726" s="72" t="str">
        <f>HYPERLINK("http://nsgreg.nga.mil/genc/view?v=295860&amp;end_month=6&amp;end_day=30&amp;end_year=2019","Hadjer-Lamis")</f>
        <v>Hadjer-Lamis</v>
      </c>
      <c r="G726" s="72" t="str">
        <f>HYPERLINK("http://api.nsgreg.nga.mil/geo-division/GENC/6/3-11/TD-HL","as:GENC:6:3-11:TD-HL")</f>
        <v>as:GENC:6:3-11:TD-HL</v>
      </c>
    </row>
    <row r="727" spans="1:7" x14ac:dyDescent="0.25">
      <c r="A727" s="112"/>
      <c r="B727" s="21" t="s">
        <v>3123</v>
      </c>
      <c r="C727" s="21" t="s">
        <v>3124</v>
      </c>
      <c r="D727" s="21" t="s">
        <v>1975</v>
      </c>
      <c r="E727" s="50" t="b">
        <v>1</v>
      </c>
      <c r="F727" s="72" t="str">
        <f>HYPERLINK("http://nsgreg.nga.mil/genc/view?v=295861&amp;end_month=6&amp;end_day=30&amp;end_year=2019","Kanem")</f>
        <v>Kanem</v>
      </c>
      <c r="G727" s="72" t="str">
        <f>HYPERLINK("http://api.nsgreg.nga.mil/geo-division/GENC/6/3-11/TD-KA","as:GENC:6:3-11:TD-KA")</f>
        <v>as:GENC:6:3-11:TD-KA</v>
      </c>
    </row>
    <row r="728" spans="1:7" x14ac:dyDescent="0.25">
      <c r="A728" s="112"/>
      <c r="B728" s="21" t="s">
        <v>3125</v>
      </c>
      <c r="C728" s="21" t="s">
        <v>3126</v>
      </c>
      <c r="D728" s="21" t="s">
        <v>1975</v>
      </c>
      <c r="E728" s="50" t="b">
        <v>1</v>
      </c>
      <c r="F728" s="72" t="str">
        <f>HYPERLINK("http://nsgreg.nga.mil/genc/view?v=295862&amp;end_month=6&amp;end_day=30&amp;end_year=2019","Lac")</f>
        <v>Lac</v>
      </c>
      <c r="G728" s="72" t="str">
        <f>HYPERLINK("http://api.nsgreg.nga.mil/geo-division/GENC/6/3-11/TD-LC","as:GENC:6:3-11:TD-LC")</f>
        <v>as:GENC:6:3-11:TD-LC</v>
      </c>
    </row>
    <row r="729" spans="1:7" x14ac:dyDescent="0.25">
      <c r="A729" s="112"/>
      <c r="B729" s="21" t="s">
        <v>3127</v>
      </c>
      <c r="C729" s="21" t="s">
        <v>3128</v>
      </c>
      <c r="D729" s="21" t="s">
        <v>1975</v>
      </c>
      <c r="E729" s="50" t="b">
        <v>1</v>
      </c>
      <c r="F729" s="72" t="str">
        <f>HYPERLINK("http://nsgreg.nga.mil/genc/view?v=295863&amp;end_month=6&amp;end_day=30&amp;end_year=2019","Logone Occidental")</f>
        <v>Logone Occidental</v>
      </c>
      <c r="G729" s="72" t="str">
        <f>HYPERLINK("http://api.nsgreg.nga.mil/geo-division/GENC/6/3-11/TD-LO","as:GENC:6:3-11:TD-LO")</f>
        <v>as:GENC:6:3-11:TD-LO</v>
      </c>
    </row>
    <row r="730" spans="1:7" x14ac:dyDescent="0.25">
      <c r="A730" s="112"/>
      <c r="B730" s="21" t="s">
        <v>3129</v>
      </c>
      <c r="C730" s="21" t="s">
        <v>3130</v>
      </c>
      <c r="D730" s="21" t="s">
        <v>1975</v>
      </c>
      <c r="E730" s="50" t="b">
        <v>1</v>
      </c>
      <c r="F730" s="72" t="str">
        <f>HYPERLINK("http://nsgreg.nga.mil/genc/view?v=295864&amp;end_month=6&amp;end_day=30&amp;end_year=2019","Logone Oriental")</f>
        <v>Logone Oriental</v>
      </c>
      <c r="G730" s="72" t="str">
        <f>HYPERLINK("http://api.nsgreg.nga.mil/geo-division/GENC/6/3-11/TD-LR","as:GENC:6:3-11:TD-LR")</f>
        <v>as:GENC:6:3-11:TD-LR</v>
      </c>
    </row>
    <row r="731" spans="1:7" x14ac:dyDescent="0.25">
      <c r="A731" s="112"/>
      <c r="B731" s="21" t="s">
        <v>3131</v>
      </c>
      <c r="C731" s="21" t="s">
        <v>3132</v>
      </c>
      <c r="D731" s="21" t="s">
        <v>1975</v>
      </c>
      <c r="E731" s="50" t="b">
        <v>1</v>
      </c>
      <c r="F731" s="72" t="str">
        <f>HYPERLINK("http://nsgreg.nga.mil/genc/view?v=295865&amp;end_month=6&amp;end_day=30&amp;end_year=2019","Mandoul")</f>
        <v>Mandoul</v>
      </c>
      <c r="G731" s="72" t="str">
        <f>HYPERLINK("http://api.nsgreg.nga.mil/geo-division/GENC/6/3-11/TD-MA","as:GENC:6:3-11:TD-MA")</f>
        <v>as:GENC:6:3-11:TD-MA</v>
      </c>
    </row>
    <row r="732" spans="1:7" x14ac:dyDescent="0.25">
      <c r="A732" s="112"/>
      <c r="B732" s="21" t="s">
        <v>3133</v>
      </c>
      <c r="C732" s="21" t="s">
        <v>3134</v>
      </c>
      <c r="D732" s="21" t="s">
        <v>1975</v>
      </c>
      <c r="E732" s="50" t="b">
        <v>1</v>
      </c>
      <c r="F732" s="72" t="str">
        <f>HYPERLINK("http://nsgreg.nga.mil/genc/view?v=295867&amp;end_month=6&amp;end_day=30&amp;end_year=2019","Mayo-Kébbi Est")</f>
        <v>Mayo-Kébbi Est</v>
      </c>
      <c r="G732" s="72" t="str">
        <f>HYPERLINK("http://api.nsgreg.nga.mil/geo-division/GENC/6/3-11/TD-ME","as:GENC:6:3-11:TD-ME")</f>
        <v>as:GENC:6:3-11:TD-ME</v>
      </c>
    </row>
    <row r="733" spans="1:7" x14ac:dyDescent="0.25">
      <c r="A733" s="112"/>
      <c r="B733" s="21" t="s">
        <v>3135</v>
      </c>
      <c r="C733" s="21" t="s">
        <v>3136</v>
      </c>
      <c r="D733" s="21" t="s">
        <v>1975</v>
      </c>
      <c r="E733" s="50" t="b">
        <v>1</v>
      </c>
      <c r="F733" s="72" t="str">
        <f>HYPERLINK("http://nsgreg.nga.mil/genc/view?v=295868&amp;end_month=6&amp;end_day=30&amp;end_year=2019","Mayo-Kébbi Ouest")</f>
        <v>Mayo-Kébbi Ouest</v>
      </c>
      <c r="G733" s="72" t="str">
        <f>HYPERLINK("http://api.nsgreg.nga.mil/geo-division/GENC/6/3-11/TD-MO","as:GENC:6:3-11:TD-MO")</f>
        <v>as:GENC:6:3-11:TD-MO</v>
      </c>
    </row>
    <row r="734" spans="1:7" x14ac:dyDescent="0.25">
      <c r="A734" s="112"/>
      <c r="B734" s="21" t="s">
        <v>3137</v>
      </c>
      <c r="C734" s="21" t="s">
        <v>3138</v>
      </c>
      <c r="D734" s="21" t="s">
        <v>1975</v>
      </c>
      <c r="E734" s="50" t="b">
        <v>1</v>
      </c>
      <c r="F734" s="72" t="str">
        <f>HYPERLINK("http://nsgreg.nga.mil/genc/view?v=295866&amp;end_month=6&amp;end_day=30&amp;end_year=2019","Moyen-Chari")</f>
        <v>Moyen-Chari</v>
      </c>
      <c r="G734" s="72" t="str">
        <f>HYPERLINK("http://api.nsgreg.nga.mil/geo-division/GENC/6/3-11/TD-MC","as:GENC:6:3-11:TD-MC")</f>
        <v>as:GENC:6:3-11:TD-MC</v>
      </c>
    </row>
    <row r="735" spans="1:7" x14ac:dyDescent="0.25">
      <c r="A735" s="112"/>
      <c r="B735" s="21" t="s">
        <v>3139</v>
      </c>
      <c r="C735" s="21" t="s">
        <v>3140</v>
      </c>
      <c r="D735" s="21" t="s">
        <v>1975</v>
      </c>
      <c r="E735" s="50" t="b">
        <v>1</v>
      </c>
      <c r="F735" s="72" t="str">
        <f>HYPERLINK("http://nsgreg.nga.mil/genc/view?v=295870&amp;end_month=6&amp;end_day=30&amp;end_year=2019","Ouaddaï")</f>
        <v>Ouaddaï</v>
      </c>
      <c r="G735" s="72" t="str">
        <f>HYPERLINK("http://api.nsgreg.nga.mil/geo-division/GENC/6/3-11/TD-OD","as:GENC:6:3-11:TD-OD")</f>
        <v>as:GENC:6:3-11:TD-OD</v>
      </c>
    </row>
    <row r="736" spans="1:7" x14ac:dyDescent="0.25">
      <c r="A736" s="112"/>
      <c r="B736" s="21" t="s">
        <v>3141</v>
      </c>
      <c r="C736" s="21" t="s">
        <v>3142</v>
      </c>
      <c r="D736" s="21" t="s">
        <v>1975</v>
      </c>
      <c r="E736" s="50" t="b">
        <v>1</v>
      </c>
      <c r="F736" s="72" t="str">
        <f>HYPERLINK("http://nsgreg.nga.mil/genc/view?v=295871&amp;end_month=6&amp;end_day=30&amp;end_year=2019","Salamat")</f>
        <v>Salamat</v>
      </c>
      <c r="G736" s="72" t="str">
        <f>HYPERLINK("http://api.nsgreg.nga.mil/geo-division/GENC/6/3-11/TD-SA","as:GENC:6:3-11:TD-SA")</f>
        <v>as:GENC:6:3-11:TD-SA</v>
      </c>
    </row>
    <row r="737" spans="1:7" x14ac:dyDescent="0.25">
      <c r="A737" s="112"/>
      <c r="B737" s="21" t="s">
        <v>3143</v>
      </c>
      <c r="C737" s="21" t="s">
        <v>3144</v>
      </c>
      <c r="D737" s="21" t="s">
        <v>1975</v>
      </c>
      <c r="E737" s="50" t="b">
        <v>1</v>
      </c>
      <c r="F737" s="72" t="str">
        <f>HYPERLINK("http://nsgreg.nga.mil/genc/view?v=295872&amp;end_month=6&amp;end_day=30&amp;end_year=2019","Sila")</f>
        <v>Sila</v>
      </c>
      <c r="G737" s="72" t="str">
        <f>HYPERLINK("http://api.nsgreg.nga.mil/geo-division/GENC/6/3-11/TD-SI","as:GENC:6:3-11:TD-SI")</f>
        <v>as:GENC:6:3-11:TD-SI</v>
      </c>
    </row>
    <row r="738" spans="1:7" x14ac:dyDescent="0.25">
      <c r="A738" s="112"/>
      <c r="B738" s="21" t="s">
        <v>3145</v>
      </c>
      <c r="C738" s="21" t="s">
        <v>3146</v>
      </c>
      <c r="D738" s="21" t="s">
        <v>1975</v>
      </c>
      <c r="E738" s="50" t="b">
        <v>1</v>
      </c>
      <c r="F738" s="72" t="str">
        <f>HYPERLINK("http://nsgreg.nga.mil/genc/view?v=295873&amp;end_month=6&amp;end_day=30&amp;end_year=2019","Tandjilé")</f>
        <v>Tandjilé</v>
      </c>
      <c r="G738" s="72" t="str">
        <f>HYPERLINK("http://api.nsgreg.nga.mil/geo-division/GENC/6/3-11/TD-TA","as:GENC:6:3-11:TD-TA")</f>
        <v>as:GENC:6:3-11:TD-TA</v>
      </c>
    </row>
    <row r="739" spans="1:7" x14ac:dyDescent="0.25">
      <c r="A739" s="112"/>
      <c r="B739" s="21" t="s">
        <v>3147</v>
      </c>
      <c r="C739" s="21" t="s">
        <v>3148</v>
      </c>
      <c r="D739" s="21" t="s">
        <v>1975</v>
      </c>
      <c r="E739" s="50" t="b">
        <v>1</v>
      </c>
      <c r="F739" s="72" t="str">
        <f>HYPERLINK("http://nsgreg.nga.mil/genc/view?v=295874&amp;end_month=6&amp;end_day=30&amp;end_year=2019","Tibesti")</f>
        <v>Tibesti</v>
      </c>
      <c r="G739" s="72" t="str">
        <f>HYPERLINK("http://api.nsgreg.nga.mil/geo-division/GENC/6/3-11/TD-TI","as:GENC:6:3-11:TD-TI")</f>
        <v>as:GENC:6:3-11:TD-TI</v>
      </c>
    </row>
    <row r="740" spans="1:7" x14ac:dyDescent="0.25">
      <c r="A740" s="112"/>
      <c r="B740" s="21" t="s">
        <v>3149</v>
      </c>
      <c r="C740" s="21" t="s">
        <v>3150</v>
      </c>
      <c r="D740" s="21" t="s">
        <v>1975</v>
      </c>
      <c r="E740" s="50" t="b">
        <v>1</v>
      </c>
      <c r="F740" s="72" t="str">
        <f>HYPERLINK("http://nsgreg.nga.mil/genc/view?v=295869&amp;end_month=6&amp;end_day=30&amp;end_year=2019","Ville de N’Djaména")</f>
        <v>Ville de N’Djaména</v>
      </c>
      <c r="G740" s="72" t="str">
        <f>HYPERLINK("http://api.nsgreg.nga.mil/geo-division/GENC/6/3-11/TD-ND","as:GENC:6:3-11:TD-ND")</f>
        <v>as:GENC:6:3-11:TD-ND</v>
      </c>
    </row>
    <row r="741" spans="1:7" x14ac:dyDescent="0.25">
      <c r="A741" s="113"/>
      <c r="B741" s="47" t="s">
        <v>3151</v>
      </c>
      <c r="C741" s="47" t="s">
        <v>3152</v>
      </c>
      <c r="D741" s="47" t="s">
        <v>1975</v>
      </c>
      <c r="E741" s="51" t="b">
        <v>1</v>
      </c>
      <c r="F741" s="73" t="str">
        <f>HYPERLINK("http://nsgreg.nga.mil/genc/view?v=295875&amp;end_month=6&amp;end_day=30&amp;end_year=2019","Wadi Fira")</f>
        <v>Wadi Fira</v>
      </c>
      <c r="G741" s="73" t="str">
        <f>HYPERLINK("http://api.nsgreg.nga.mil/geo-division/GENC/6/3-11/TD-WF","as:GENC:6:3-11:TD-WF")</f>
        <v>as:GENC:6:3-11:TD-WF</v>
      </c>
    </row>
    <row r="742" spans="1:7" x14ac:dyDescent="0.25">
      <c r="A742" s="111" t="str">
        <f>HYPERLINK("[#]Codes_for_GE_Names!A52:I52","CHILE")</f>
        <v>CHILE</v>
      </c>
      <c r="B742" s="42" t="s">
        <v>3153</v>
      </c>
      <c r="C742" s="42" t="s">
        <v>3154</v>
      </c>
      <c r="D742" s="42" t="s">
        <v>1975</v>
      </c>
      <c r="E742" s="49" t="b">
        <v>1</v>
      </c>
      <c r="F742" s="74" t="str">
        <f>HYPERLINK("http://nsgreg.nga.mil/genc/view?v=291978&amp;end_month=6&amp;end_day=30&amp;end_year=2019","Antofagasta")</f>
        <v>Antofagasta</v>
      </c>
      <c r="G742" s="74" t="str">
        <f>HYPERLINK("http://api.nsgreg.nga.mil/geo-division/GENC/6/3-11/CL-AN","as:GENC:6:3-11:CL-AN")</f>
        <v>as:GENC:6:3-11:CL-AN</v>
      </c>
    </row>
    <row r="743" spans="1:7" x14ac:dyDescent="0.25">
      <c r="A743" s="112"/>
      <c r="B743" s="21" t="s">
        <v>3155</v>
      </c>
      <c r="C743" s="21" t="s">
        <v>3156</v>
      </c>
      <c r="D743" s="21" t="s">
        <v>1975</v>
      </c>
      <c r="E743" s="50" t="b">
        <v>1</v>
      </c>
      <c r="F743" s="72" t="str">
        <f>HYPERLINK("http://nsgreg.nga.mil/genc/view?v=291980&amp;end_month=6&amp;end_day=30&amp;end_year=2019","Araucanía")</f>
        <v>Araucanía</v>
      </c>
      <c r="G743" s="72" t="str">
        <f>HYPERLINK("http://api.nsgreg.nga.mil/geo-division/GENC/6/3-11/CL-AR","as:GENC:6:3-11:CL-AR")</f>
        <v>as:GENC:6:3-11:CL-AR</v>
      </c>
    </row>
    <row r="744" spans="1:7" x14ac:dyDescent="0.25">
      <c r="A744" s="112"/>
      <c r="B744" s="21" t="s">
        <v>3157</v>
      </c>
      <c r="C744" s="21" t="s">
        <v>3158</v>
      </c>
      <c r="D744" s="21" t="s">
        <v>1975</v>
      </c>
      <c r="E744" s="50" t="b">
        <v>1</v>
      </c>
      <c r="F744" s="72" t="str">
        <f>HYPERLINK("http://nsgreg.nga.mil/genc/view?v=291979&amp;end_month=6&amp;end_day=30&amp;end_year=2019","Arica y Parinacota")</f>
        <v>Arica y Parinacota</v>
      </c>
      <c r="G744" s="72" t="str">
        <f>HYPERLINK("http://api.nsgreg.nga.mil/geo-division/GENC/6/3-11/CL-AP","as:GENC:6:3-11:CL-AP")</f>
        <v>as:GENC:6:3-11:CL-AP</v>
      </c>
    </row>
    <row r="745" spans="1:7" x14ac:dyDescent="0.25">
      <c r="A745" s="112"/>
      <c r="B745" s="21" t="s">
        <v>3159</v>
      </c>
      <c r="C745" s="21" t="s">
        <v>3160</v>
      </c>
      <c r="D745" s="21" t="s">
        <v>1975</v>
      </c>
      <c r="E745" s="50" t="b">
        <v>1</v>
      </c>
      <c r="F745" s="72" t="str">
        <f>HYPERLINK("http://nsgreg.nga.mil/genc/view?v=291981&amp;end_month=6&amp;end_day=30&amp;end_year=2019","Atacama")</f>
        <v>Atacama</v>
      </c>
      <c r="G745" s="72" t="str">
        <f>HYPERLINK("http://api.nsgreg.nga.mil/geo-division/GENC/6/3-11/CL-AT","as:GENC:6:3-11:CL-AT")</f>
        <v>as:GENC:6:3-11:CL-AT</v>
      </c>
    </row>
    <row r="746" spans="1:7" x14ac:dyDescent="0.25">
      <c r="A746" s="112"/>
      <c r="B746" s="21" t="s">
        <v>3161</v>
      </c>
      <c r="C746" s="21" t="s">
        <v>3162</v>
      </c>
      <c r="D746" s="21" t="s">
        <v>1975</v>
      </c>
      <c r="E746" s="50" t="b">
        <v>1</v>
      </c>
      <c r="F746" s="72" t="str">
        <f>HYPERLINK("http://nsgreg.nga.mil/genc/view?v=291977&amp;end_month=6&amp;end_day=30&amp;end_year=2019","Aysén")</f>
        <v>Aysén</v>
      </c>
      <c r="G746" s="72" t="str">
        <f>HYPERLINK("http://api.nsgreg.nga.mil/geo-division/GENC/6/3-11/CL-AI","as:GENC:6:3-11:CL-AI")</f>
        <v>as:GENC:6:3-11:CL-AI</v>
      </c>
    </row>
    <row r="747" spans="1:7" x14ac:dyDescent="0.25">
      <c r="A747" s="112"/>
      <c r="B747" s="21" t="s">
        <v>3163</v>
      </c>
      <c r="C747" s="21" t="s">
        <v>3164</v>
      </c>
      <c r="D747" s="21" t="s">
        <v>1975</v>
      </c>
      <c r="E747" s="50" t="b">
        <v>1</v>
      </c>
      <c r="F747" s="72" t="str">
        <f>HYPERLINK("http://nsgreg.nga.mil/genc/view?v=291982&amp;end_month=6&amp;end_day=30&amp;end_year=2019","Biobío")</f>
        <v>Biobío</v>
      </c>
      <c r="G747" s="72" t="str">
        <f>HYPERLINK("http://api.nsgreg.nga.mil/geo-division/GENC/6/3-11/CL-BI","as:GENC:6:3-11:CL-BI")</f>
        <v>as:GENC:6:3-11:CL-BI</v>
      </c>
    </row>
    <row r="748" spans="1:7" x14ac:dyDescent="0.25">
      <c r="A748" s="112"/>
      <c r="B748" s="21" t="s">
        <v>3165</v>
      </c>
      <c r="C748" s="21" t="s">
        <v>3166</v>
      </c>
      <c r="D748" s="21" t="s">
        <v>1975</v>
      </c>
      <c r="E748" s="50" t="b">
        <v>1</v>
      </c>
      <c r="F748" s="72" t="str">
        <f>HYPERLINK("http://nsgreg.nga.mil/genc/view?v=291983&amp;end_month=6&amp;end_day=30&amp;end_year=2019","Coquimbo")</f>
        <v>Coquimbo</v>
      </c>
      <c r="G748" s="72" t="str">
        <f>HYPERLINK("http://api.nsgreg.nga.mil/geo-division/GENC/6/3-11/CL-CO","as:GENC:6:3-11:CL-CO")</f>
        <v>as:GENC:6:3-11:CL-CO</v>
      </c>
    </row>
    <row r="749" spans="1:7" x14ac:dyDescent="0.25">
      <c r="A749" s="112"/>
      <c r="B749" s="21" t="s">
        <v>3167</v>
      </c>
      <c r="C749" s="21" t="s">
        <v>3168</v>
      </c>
      <c r="D749" s="21" t="s">
        <v>1975</v>
      </c>
      <c r="E749" s="50" t="b">
        <v>1</v>
      </c>
      <c r="F749" s="72" t="str">
        <f>HYPERLINK("http://nsgreg.nga.mil/genc/view?v=291984&amp;end_month=6&amp;end_day=30&amp;end_year=2019","Libertador General Bernardo O’Higgins")</f>
        <v>Libertador General Bernardo O’Higgins</v>
      </c>
      <c r="G749" s="72" t="str">
        <f>HYPERLINK("http://api.nsgreg.nga.mil/geo-division/GENC/6/3-11/CL-LI","as:GENC:6:3-11:CL-LI")</f>
        <v>as:GENC:6:3-11:CL-LI</v>
      </c>
    </row>
    <row r="750" spans="1:7" x14ac:dyDescent="0.25">
      <c r="A750" s="112"/>
      <c r="B750" s="21" t="s">
        <v>3169</v>
      </c>
      <c r="C750" s="21" t="s">
        <v>3170</v>
      </c>
      <c r="D750" s="21" t="s">
        <v>1975</v>
      </c>
      <c r="E750" s="50" t="b">
        <v>1</v>
      </c>
      <c r="F750" s="72" t="str">
        <f>HYPERLINK("http://nsgreg.nga.mil/genc/view?v=291985&amp;end_month=6&amp;end_day=30&amp;end_year=2019","Los Lagos")</f>
        <v>Los Lagos</v>
      </c>
      <c r="G750" s="72" t="str">
        <f>HYPERLINK("http://api.nsgreg.nga.mil/geo-division/GENC/6/3-11/CL-LL","as:GENC:6:3-11:CL-LL")</f>
        <v>as:GENC:6:3-11:CL-LL</v>
      </c>
    </row>
    <row r="751" spans="1:7" x14ac:dyDescent="0.25">
      <c r="A751" s="112"/>
      <c r="B751" s="21" t="s">
        <v>3171</v>
      </c>
      <c r="C751" s="21" t="s">
        <v>3172</v>
      </c>
      <c r="D751" s="21" t="s">
        <v>1975</v>
      </c>
      <c r="E751" s="50" t="b">
        <v>1</v>
      </c>
      <c r="F751" s="72" t="str">
        <f>HYPERLINK("http://nsgreg.nga.mil/genc/view?v=291986&amp;end_month=6&amp;end_day=30&amp;end_year=2019","Los Ríos")</f>
        <v>Los Ríos</v>
      </c>
      <c r="G751" s="72" t="str">
        <f>HYPERLINK("http://api.nsgreg.nga.mil/geo-division/GENC/6/3-11/CL-LR","as:GENC:6:3-11:CL-LR")</f>
        <v>as:GENC:6:3-11:CL-LR</v>
      </c>
    </row>
    <row r="752" spans="1:7" x14ac:dyDescent="0.25">
      <c r="A752" s="112"/>
      <c r="B752" s="21" t="s">
        <v>3173</v>
      </c>
      <c r="C752" s="21" t="s">
        <v>3174</v>
      </c>
      <c r="D752" s="21" t="s">
        <v>1975</v>
      </c>
      <c r="E752" s="50" t="b">
        <v>1</v>
      </c>
      <c r="F752" s="72" t="str">
        <f>HYPERLINK("http://nsgreg.nga.mil/genc/view?v=291987&amp;end_month=6&amp;end_day=30&amp;end_year=2019","Magallanes y de la Antártica Chilena")</f>
        <v>Magallanes y de la Antártica Chilena</v>
      </c>
      <c r="G752" s="72" t="str">
        <f>HYPERLINK("http://api.nsgreg.nga.mil/geo-division/GENC/6/3-11/CL-MA","as:GENC:6:3-11:CL-MA")</f>
        <v>as:GENC:6:3-11:CL-MA</v>
      </c>
    </row>
    <row r="753" spans="1:7" x14ac:dyDescent="0.25">
      <c r="A753" s="112"/>
      <c r="B753" s="21" t="s">
        <v>3175</v>
      </c>
      <c r="C753" s="21" t="s">
        <v>3176</v>
      </c>
      <c r="D753" s="21" t="s">
        <v>1975</v>
      </c>
      <c r="E753" s="50" t="b">
        <v>1</v>
      </c>
      <c r="F753" s="72" t="str">
        <f>HYPERLINK("http://nsgreg.nga.mil/genc/view?v=291988&amp;end_month=6&amp;end_day=30&amp;end_year=2019","Maule")</f>
        <v>Maule</v>
      </c>
      <c r="G753" s="72" t="str">
        <f>HYPERLINK("http://api.nsgreg.nga.mil/geo-division/GENC/6/3-11/CL-ML","as:GENC:6:3-11:CL-ML")</f>
        <v>as:GENC:6:3-11:CL-ML</v>
      </c>
    </row>
    <row r="754" spans="1:7" x14ac:dyDescent="0.25">
      <c r="A754" s="112"/>
      <c r="B754" s="21" t="s">
        <v>3177</v>
      </c>
      <c r="C754" s="21" t="s">
        <v>3178</v>
      </c>
      <c r="D754" s="21" t="s">
        <v>1975</v>
      </c>
      <c r="E754" s="50" t="b">
        <v>1</v>
      </c>
      <c r="F754" s="72" t="str">
        <f>HYPERLINK("http://nsgreg.nga.mil/genc/view?v=291989&amp;end_month=6&amp;end_day=30&amp;end_year=2019","Ñuble")</f>
        <v>Ñuble</v>
      </c>
      <c r="G754" s="72" t="str">
        <f>HYPERLINK("http://api.nsgreg.nga.mil/geo-division/GENC/6/3-11/CL-NB","as:GENC:6:3-11:CL-NB")</f>
        <v>as:GENC:6:3-11:CL-NB</v>
      </c>
    </row>
    <row r="755" spans="1:7" x14ac:dyDescent="0.25">
      <c r="A755" s="112"/>
      <c r="B755" s="21" t="s">
        <v>3179</v>
      </c>
      <c r="C755" s="21" t="s">
        <v>3180</v>
      </c>
      <c r="D755" s="21" t="s">
        <v>1975</v>
      </c>
      <c r="E755" s="50" t="b">
        <v>1</v>
      </c>
      <c r="F755" s="72" t="str">
        <f>HYPERLINK("http://nsgreg.nga.mil/genc/view?v=291990&amp;end_month=6&amp;end_day=30&amp;end_year=2019","Región Metropolitana")</f>
        <v>Región Metropolitana</v>
      </c>
      <c r="G755" s="72" t="str">
        <f>HYPERLINK("http://api.nsgreg.nga.mil/geo-division/GENC/6/3-11/CL-RM","as:GENC:6:3-11:CL-RM")</f>
        <v>as:GENC:6:3-11:CL-RM</v>
      </c>
    </row>
    <row r="756" spans="1:7" x14ac:dyDescent="0.25">
      <c r="A756" s="112"/>
      <c r="B756" s="21" t="s">
        <v>3181</v>
      </c>
      <c r="C756" s="21" t="s">
        <v>3182</v>
      </c>
      <c r="D756" s="21" t="s">
        <v>1975</v>
      </c>
      <c r="E756" s="50" t="b">
        <v>1</v>
      </c>
      <c r="F756" s="72" t="str">
        <f>HYPERLINK("http://nsgreg.nga.mil/genc/view?v=291991&amp;end_month=6&amp;end_day=30&amp;end_year=2019","Tarapacá")</f>
        <v>Tarapacá</v>
      </c>
      <c r="G756" s="72" t="str">
        <f>HYPERLINK("http://api.nsgreg.nga.mil/geo-division/GENC/6/3-11/CL-TA","as:GENC:6:3-11:CL-TA")</f>
        <v>as:GENC:6:3-11:CL-TA</v>
      </c>
    </row>
    <row r="757" spans="1:7" x14ac:dyDescent="0.25">
      <c r="A757" s="113"/>
      <c r="B757" s="47" t="s">
        <v>3183</v>
      </c>
      <c r="C757" s="47" t="s">
        <v>3184</v>
      </c>
      <c r="D757" s="47" t="s">
        <v>1975</v>
      </c>
      <c r="E757" s="51" t="b">
        <v>1</v>
      </c>
      <c r="F757" s="73" t="str">
        <f>HYPERLINK("http://nsgreg.nga.mil/genc/view?v=291992&amp;end_month=6&amp;end_day=30&amp;end_year=2019","Valparaíso")</f>
        <v>Valparaíso</v>
      </c>
      <c r="G757" s="73" t="str">
        <f>HYPERLINK("http://api.nsgreg.nga.mil/geo-division/GENC/6/3-11/CL-VS","as:GENC:6:3-11:CL-VS")</f>
        <v>as:GENC:6:3-11:CL-VS</v>
      </c>
    </row>
    <row r="758" spans="1:7" x14ac:dyDescent="0.25">
      <c r="A758" s="111" t="str">
        <f>HYPERLINK("[#]Codes_for_GE_Names!A53:I53","CHINA")</f>
        <v>CHINA</v>
      </c>
      <c r="B758" s="42" t="s">
        <v>3185</v>
      </c>
      <c r="C758" s="42" t="s">
        <v>3186</v>
      </c>
      <c r="D758" s="42" t="s">
        <v>1668</v>
      </c>
      <c r="E758" s="49" t="b">
        <v>1</v>
      </c>
      <c r="F758" s="74" t="str">
        <f>HYPERLINK("http://nsgreg.nga.mil/genc/view?v=292003&amp;end_month=6&amp;end_day=30&amp;end_year=2019","Anhui")</f>
        <v>Anhui</v>
      </c>
      <c r="G758" s="74" t="str">
        <f>HYPERLINK("http://api.nsgreg.nga.mil/geo-division/GENC/6/3-11/CN-AH","as:GENC:6:3-11:CN-AH")</f>
        <v>as:GENC:6:3-11:CN-AH</v>
      </c>
    </row>
    <row r="759" spans="1:7" x14ac:dyDescent="0.25">
      <c r="A759" s="112"/>
      <c r="B759" s="21" t="s">
        <v>3187</v>
      </c>
      <c r="C759" s="21" t="s">
        <v>3188</v>
      </c>
      <c r="D759" s="21" t="s">
        <v>2505</v>
      </c>
      <c r="E759" s="50" t="b">
        <v>1</v>
      </c>
      <c r="F759" s="72" t="str">
        <f>HYPERLINK("http://nsgreg.nga.mil/genc/view?v=292004&amp;end_month=6&amp;end_day=30&amp;end_year=2019","Beijing")</f>
        <v>Beijing</v>
      </c>
      <c r="G759" s="72" t="str">
        <f>HYPERLINK("http://api.nsgreg.nga.mil/geo-division/GENC/6/3-11/CN-BJ","as:GENC:6:3-11:CN-BJ")</f>
        <v>as:GENC:6:3-11:CN-BJ</v>
      </c>
    </row>
    <row r="760" spans="1:7" x14ac:dyDescent="0.25">
      <c r="A760" s="112"/>
      <c r="B760" s="21" t="s">
        <v>3189</v>
      </c>
      <c r="C760" s="21" t="s">
        <v>3190</v>
      </c>
      <c r="D760" s="21" t="s">
        <v>2505</v>
      </c>
      <c r="E760" s="50" t="b">
        <v>1</v>
      </c>
      <c r="F760" s="72" t="str">
        <f>HYPERLINK("http://nsgreg.nga.mil/genc/view?v=292005&amp;end_month=6&amp;end_day=30&amp;end_year=2019","Chongqing")</f>
        <v>Chongqing</v>
      </c>
      <c r="G760" s="72" t="str">
        <f>HYPERLINK("http://api.nsgreg.nga.mil/geo-division/GENC/6/3-11/CN-CQ","as:GENC:6:3-11:CN-CQ")</f>
        <v>as:GENC:6:3-11:CN-CQ</v>
      </c>
    </row>
    <row r="761" spans="1:7" x14ac:dyDescent="0.25">
      <c r="A761" s="112"/>
      <c r="B761" s="21" t="s">
        <v>3191</v>
      </c>
      <c r="C761" s="21" t="s">
        <v>3192</v>
      </c>
      <c r="D761" s="21" t="s">
        <v>1668</v>
      </c>
      <c r="E761" s="50" t="b">
        <v>1</v>
      </c>
      <c r="F761" s="72" t="str">
        <f>HYPERLINK("http://nsgreg.nga.mil/genc/view?v=292006&amp;end_month=6&amp;end_day=30&amp;end_year=2019","Fujian")</f>
        <v>Fujian</v>
      </c>
      <c r="G761" s="72" t="str">
        <f>HYPERLINK("http://api.nsgreg.nga.mil/geo-division/GENC/6/3-11/CN-FJ","as:GENC:6:3-11:CN-FJ")</f>
        <v>as:GENC:6:3-11:CN-FJ</v>
      </c>
    </row>
    <row r="762" spans="1:7" x14ac:dyDescent="0.25">
      <c r="A762" s="112"/>
      <c r="B762" s="21" t="s">
        <v>3193</v>
      </c>
      <c r="C762" s="21" t="s">
        <v>3194</v>
      </c>
      <c r="D762" s="21" t="s">
        <v>1668</v>
      </c>
      <c r="E762" s="50" t="b">
        <v>1</v>
      </c>
      <c r="F762" s="72" t="str">
        <f>HYPERLINK("http://nsgreg.nga.mil/genc/view?v=292008&amp;end_month=6&amp;end_day=30&amp;end_year=2019","Gansu")</f>
        <v>Gansu</v>
      </c>
      <c r="G762" s="72" t="str">
        <f>HYPERLINK("http://api.nsgreg.nga.mil/geo-division/GENC/6/3-11/CN-GS","as:GENC:6:3-11:CN-GS")</f>
        <v>as:GENC:6:3-11:CN-GS</v>
      </c>
    </row>
    <row r="763" spans="1:7" x14ac:dyDescent="0.25">
      <c r="A763" s="112"/>
      <c r="B763" s="21" t="s">
        <v>3195</v>
      </c>
      <c r="C763" s="21" t="s">
        <v>3196</v>
      </c>
      <c r="D763" s="21" t="s">
        <v>1668</v>
      </c>
      <c r="E763" s="50" t="b">
        <v>1</v>
      </c>
      <c r="F763" s="72" t="str">
        <f>HYPERLINK("http://nsgreg.nga.mil/genc/view?v=292007&amp;end_month=6&amp;end_day=30&amp;end_year=2019","Guangdong")</f>
        <v>Guangdong</v>
      </c>
      <c r="G763" s="72" t="str">
        <f>HYPERLINK("http://api.nsgreg.nga.mil/geo-division/GENC/6/3-11/CN-GD","as:GENC:6:3-11:CN-GD")</f>
        <v>as:GENC:6:3-11:CN-GD</v>
      </c>
    </row>
    <row r="764" spans="1:7" x14ac:dyDescent="0.25">
      <c r="A764" s="112"/>
      <c r="B764" s="21" t="s">
        <v>3197</v>
      </c>
      <c r="C764" s="21" t="s">
        <v>3198</v>
      </c>
      <c r="D764" s="21" t="s">
        <v>3199</v>
      </c>
      <c r="E764" s="50" t="b">
        <v>1</v>
      </c>
      <c r="F764" s="72" t="str">
        <f>HYPERLINK("http://nsgreg.nga.mil/genc/view?v=292009&amp;end_month=6&amp;end_day=30&amp;end_year=2019","Guangxi")</f>
        <v>Guangxi</v>
      </c>
      <c r="G764" s="72" t="str">
        <f>HYPERLINK("http://api.nsgreg.nga.mil/geo-division/GENC/6/3-11/CN-GX","as:GENC:6:3-11:CN-GX")</f>
        <v>as:GENC:6:3-11:CN-GX</v>
      </c>
    </row>
    <row r="765" spans="1:7" x14ac:dyDescent="0.25">
      <c r="A765" s="112"/>
      <c r="B765" s="21" t="s">
        <v>3200</v>
      </c>
      <c r="C765" s="21" t="s">
        <v>3201</v>
      </c>
      <c r="D765" s="21" t="s">
        <v>1668</v>
      </c>
      <c r="E765" s="50" t="b">
        <v>1</v>
      </c>
      <c r="F765" s="72" t="str">
        <f>HYPERLINK("http://nsgreg.nga.mil/genc/view?v=292010&amp;end_month=6&amp;end_day=30&amp;end_year=2019","Guizhou")</f>
        <v>Guizhou</v>
      </c>
      <c r="G765" s="72" t="str">
        <f>HYPERLINK("http://api.nsgreg.nga.mil/geo-division/GENC/6/3-11/CN-GZ","as:GENC:6:3-11:CN-GZ")</f>
        <v>as:GENC:6:3-11:CN-GZ</v>
      </c>
    </row>
    <row r="766" spans="1:7" x14ac:dyDescent="0.25">
      <c r="A766" s="112"/>
      <c r="B766" s="21" t="s">
        <v>3202</v>
      </c>
      <c r="C766" s="21" t="s">
        <v>3203</v>
      </c>
      <c r="D766" s="21" t="s">
        <v>1668</v>
      </c>
      <c r="E766" s="50" t="b">
        <v>1</v>
      </c>
      <c r="F766" s="72" t="str">
        <f>HYPERLINK("http://nsgreg.nga.mil/genc/view?v=292014&amp;end_month=6&amp;end_day=30&amp;end_year=2019","Hainan")</f>
        <v>Hainan</v>
      </c>
      <c r="G766" s="72" t="str">
        <f>HYPERLINK("http://api.nsgreg.nga.mil/geo-division/GENC/6/3-11/CN-HI","as:GENC:6:3-11:CN-HI")</f>
        <v>as:GENC:6:3-11:CN-HI</v>
      </c>
    </row>
    <row r="767" spans="1:7" x14ac:dyDescent="0.25">
      <c r="A767" s="112"/>
      <c r="B767" s="21" t="s">
        <v>3204</v>
      </c>
      <c r="C767" s="21" t="s">
        <v>3205</v>
      </c>
      <c r="D767" s="21" t="s">
        <v>1668</v>
      </c>
      <c r="E767" s="50" t="b">
        <v>1</v>
      </c>
      <c r="F767" s="72" t="str">
        <f>HYPERLINK("http://nsgreg.nga.mil/genc/view?v=292013&amp;end_month=6&amp;end_day=30&amp;end_year=2019","Hebei")</f>
        <v>Hebei</v>
      </c>
      <c r="G767" s="72" t="str">
        <f>HYPERLINK("http://api.nsgreg.nga.mil/geo-division/GENC/6/3-11/CN-HE","as:GENC:6:3-11:CN-HE")</f>
        <v>as:GENC:6:3-11:CN-HE</v>
      </c>
    </row>
    <row r="768" spans="1:7" x14ac:dyDescent="0.25">
      <c r="A768" s="112"/>
      <c r="B768" s="21" t="s">
        <v>3206</v>
      </c>
      <c r="C768" s="21" t="s">
        <v>3207</v>
      </c>
      <c r="D768" s="21" t="s">
        <v>1668</v>
      </c>
      <c r="E768" s="50" t="b">
        <v>1</v>
      </c>
      <c r="F768" s="72" t="str">
        <f>HYPERLINK("http://nsgreg.nga.mil/genc/view?v=292016&amp;end_month=6&amp;end_day=30&amp;end_year=2019","Heilongjiang")</f>
        <v>Heilongjiang</v>
      </c>
      <c r="G768" s="72" t="str">
        <f>HYPERLINK("http://api.nsgreg.nga.mil/geo-division/GENC/6/3-11/CN-HL","as:GENC:6:3-11:CN-HL")</f>
        <v>as:GENC:6:3-11:CN-HL</v>
      </c>
    </row>
    <row r="769" spans="1:7" x14ac:dyDescent="0.25">
      <c r="A769" s="112"/>
      <c r="B769" s="21" t="s">
        <v>3208</v>
      </c>
      <c r="C769" s="21" t="s">
        <v>3209</v>
      </c>
      <c r="D769" s="21" t="s">
        <v>1668</v>
      </c>
      <c r="E769" s="50" t="b">
        <v>1</v>
      </c>
      <c r="F769" s="72" t="str">
        <f>HYPERLINK("http://nsgreg.nga.mil/genc/view?v=292011&amp;end_month=6&amp;end_day=30&amp;end_year=2019","Henan")</f>
        <v>Henan</v>
      </c>
      <c r="G769" s="72" t="str">
        <f>HYPERLINK("http://api.nsgreg.nga.mil/geo-division/GENC/6/3-11/CN-HA","as:GENC:6:3-11:CN-HA")</f>
        <v>as:GENC:6:3-11:CN-HA</v>
      </c>
    </row>
    <row r="770" spans="1:7" x14ac:dyDescent="0.25">
      <c r="A770" s="112"/>
      <c r="B770" s="21" t="s">
        <v>3210</v>
      </c>
      <c r="C770" s="21" t="s">
        <v>3211</v>
      </c>
      <c r="D770" s="21" t="s">
        <v>1668</v>
      </c>
      <c r="E770" s="50" t="b">
        <v>1</v>
      </c>
      <c r="F770" s="72" t="str">
        <f>HYPERLINK("http://nsgreg.nga.mil/genc/view?v=292012&amp;end_month=6&amp;end_day=30&amp;end_year=2019","Hubei")</f>
        <v>Hubei</v>
      </c>
      <c r="G770" s="72" t="str">
        <f>HYPERLINK("http://api.nsgreg.nga.mil/geo-division/GENC/6/3-11/CN-HB","as:GENC:6:3-11:CN-HB")</f>
        <v>as:GENC:6:3-11:CN-HB</v>
      </c>
    </row>
    <row r="771" spans="1:7" x14ac:dyDescent="0.25">
      <c r="A771" s="112"/>
      <c r="B771" s="21" t="s">
        <v>3212</v>
      </c>
      <c r="C771" s="21" t="s">
        <v>3213</v>
      </c>
      <c r="D771" s="21" t="s">
        <v>1668</v>
      </c>
      <c r="E771" s="50" t="b">
        <v>1</v>
      </c>
      <c r="F771" s="72" t="str">
        <f>HYPERLINK("http://nsgreg.nga.mil/genc/view?v=292017&amp;end_month=6&amp;end_day=30&amp;end_year=2019","Hunan")</f>
        <v>Hunan</v>
      </c>
      <c r="G771" s="72" t="str">
        <f>HYPERLINK("http://api.nsgreg.nga.mil/geo-division/GENC/6/3-11/CN-HN","as:GENC:6:3-11:CN-HN")</f>
        <v>as:GENC:6:3-11:CN-HN</v>
      </c>
    </row>
    <row r="772" spans="1:7" x14ac:dyDescent="0.25">
      <c r="A772" s="112"/>
      <c r="B772" s="21" t="s">
        <v>3214</v>
      </c>
      <c r="C772" s="21" t="s">
        <v>3215</v>
      </c>
      <c r="D772" s="21" t="s">
        <v>3199</v>
      </c>
      <c r="E772" s="50" t="b">
        <v>1</v>
      </c>
      <c r="F772" s="72" t="str">
        <f>HYPERLINK("http://nsgreg.nga.mil/genc/view?v=292023&amp;end_month=6&amp;end_day=30&amp;end_year=2019","Inner Mongolia")</f>
        <v>Inner Mongolia</v>
      </c>
      <c r="G772" s="72" t="str">
        <f>HYPERLINK("http://api.nsgreg.nga.mil/geo-division/GENC/6/3-11/CN-NM","as:GENC:6:3-11:CN-NM")</f>
        <v>as:GENC:6:3-11:CN-NM</v>
      </c>
    </row>
    <row r="773" spans="1:7" x14ac:dyDescent="0.25">
      <c r="A773" s="112"/>
      <c r="B773" s="21" t="s">
        <v>3216</v>
      </c>
      <c r="C773" s="21" t="s">
        <v>3217</v>
      </c>
      <c r="D773" s="21" t="s">
        <v>1668</v>
      </c>
      <c r="E773" s="50" t="b">
        <v>1</v>
      </c>
      <c r="F773" s="72" t="str">
        <f>HYPERLINK("http://nsgreg.nga.mil/genc/view?v=292019&amp;end_month=6&amp;end_day=30&amp;end_year=2019","Jiangsu")</f>
        <v>Jiangsu</v>
      </c>
      <c r="G773" s="72" t="str">
        <f>HYPERLINK("http://api.nsgreg.nga.mil/geo-division/GENC/6/3-11/CN-JS","as:GENC:6:3-11:CN-JS")</f>
        <v>as:GENC:6:3-11:CN-JS</v>
      </c>
    </row>
    <row r="774" spans="1:7" x14ac:dyDescent="0.25">
      <c r="A774" s="112"/>
      <c r="B774" s="21" t="s">
        <v>3218</v>
      </c>
      <c r="C774" s="21" t="s">
        <v>3219</v>
      </c>
      <c r="D774" s="21" t="s">
        <v>1668</v>
      </c>
      <c r="E774" s="50" t="b">
        <v>1</v>
      </c>
      <c r="F774" s="72" t="str">
        <f>HYPERLINK("http://nsgreg.nga.mil/genc/view?v=292020&amp;end_month=6&amp;end_day=30&amp;end_year=2019","Jiangxi")</f>
        <v>Jiangxi</v>
      </c>
      <c r="G774" s="72" t="str">
        <f>HYPERLINK("http://api.nsgreg.nga.mil/geo-division/GENC/6/3-11/CN-JX","as:GENC:6:3-11:CN-JX")</f>
        <v>as:GENC:6:3-11:CN-JX</v>
      </c>
    </row>
    <row r="775" spans="1:7" x14ac:dyDescent="0.25">
      <c r="A775" s="112"/>
      <c r="B775" s="21" t="s">
        <v>3220</v>
      </c>
      <c r="C775" s="21" t="s">
        <v>3221</v>
      </c>
      <c r="D775" s="21" t="s">
        <v>1668</v>
      </c>
      <c r="E775" s="50" t="b">
        <v>1</v>
      </c>
      <c r="F775" s="72" t="str">
        <f>HYPERLINK("http://nsgreg.nga.mil/genc/view?v=292018&amp;end_month=6&amp;end_day=30&amp;end_year=2019","Jilin")</f>
        <v>Jilin</v>
      </c>
      <c r="G775" s="72" t="str">
        <f>HYPERLINK("http://api.nsgreg.nga.mil/geo-division/GENC/6/3-11/CN-JL","as:GENC:6:3-11:CN-JL")</f>
        <v>as:GENC:6:3-11:CN-JL</v>
      </c>
    </row>
    <row r="776" spans="1:7" x14ac:dyDescent="0.25">
      <c r="A776" s="112"/>
      <c r="B776" s="21" t="s">
        <v>3222</v>
      </c>
      <c r="C776" s="21" t="s">
        <v>3223</v>
      </c>
      <c r="D776" s="21" t="s">
        <v>1668</v>
      </c>
      <c r="E776" s="50" t="b">
        <v>1</v>
      </c>
      <c r="F776" s="72" t="str">
        <f>HYPERLINK("http://nsgreg.nga.mil/genc/view?v=292021&amp;end_month=6&amp;end_day=30&amp;end_year=2019","Liaoning")</f>
        <v>Liaoning</v>
      </c>
      <c r="G776" s="72" t="str">
        <f>HYPERLINK("http://api.nsgreg.nga.mil/geo-division/GENC/6/3-11/CN-LN","as:GENC:6:3-11:CN-LN")</f>
        <v>as:GENC:6:3-11:CN-LN</v>
      </c>
    </row>
    <row r="777" spans="1:7" x14ac:dyDescent="0.25">
      <c r="A777" s="112"/>
      <c r="B777" s="21" t="s">
        <v>3224</v>
      </c>
      <c r="C777" s="21" t="s">
        <v>3225</v>
      </c>
      <c r="D777" s="21" t="s">
        <v>3199</v>
      </c>
      <c r="E777" s="50" t="b">
        <v>1</v>
      </c>
      <c r="F777" s="72" t="str">
        <f>HYPERLINK("http://nsgreg.nga.mil/genc/view?v=292024&amp;end_month=6&amp;end_day=30&amp;end_year=2019","Ningxia")</f>
        <v>Ningxia</v>
      </c>
      <c r="G777" s="72" t="str">
        <f>HYPERLINK("http://api.nsgreg.nga.mil/geo-division/GENC/6/3-11/CN-NX","as:GENC:6:3-11:CN-NX")</f>
        <v>as:GENC:6:3-11:CN-NX</v>
      </c>
    </row>
    <row r="778" spans="1:7" x14ac:dyDescent="0.25">
      <c r="A778" s="112"/>
      <c r="B778" s="21" t="s">
        <v>3226</v>
      </c>
      <c r="C778" s="21" t="s">
        <v>3227</v>
      </c>
      <c r="D778" s="21" t="s">
        <v>1668</v>
      </c>
      <c r="E778" s="50" t="b">
        <v>1</v>
      </c>
      <c r="F778" s="72" t="str">
        <f>HYPERLINK("http://nsgreg.nga.mil/genc/view?v=292025&amp;end_month=6&amp;end_day=30&amp;end_year=2019","Qinghai")</f>
        <v>Qinghai</v>
      </c>
      <c r="G778" s="72" t="str">
        <f>HYPERLINK("http://api.nsgreg.nga.mil/geo-division/GENC/6/3-11/CN-QH","as:GENC:6:3-11:CN-QH")</f>
        <v>as:GENC:6:3-11:CN-QH</v>
      </c>
    </row>
    <row r="779" spans="1:7" x14ac:dyDescent="0.25">
      <c r="A779" s="112"/>
      <c r="B779" s="21" t="s">
        <v>3228</v>
      </c>
      <c r="C779" s="21" t="s">
        <v>3229</v>
      </c>
      <c r="D779" s="21" t="s">
        <v>1668</v>
      </c>
      <c r="E779" s="50" t="b">
        <v>1</v>
      </c>
      <c r="F779" s="72" t="str">
        <f>HYPERLINK("http://nsgreg.nga.mil/genc/view?v=292029&amp;end_month=6&amp;end_day=30&amp;end_year=2019","Shaanxi")</f>
        <v>Shaanxi</v>
      </c>
      <c r="G779" s="72" t="str">
        <f>HYPERLINK("http://api.nsgreg.nga.mil/geo-division/GENC/6/3-11/CN-SN","as:GENC:6:3-11:CN-SN")</f>
        <v>as:GENC:6:3-11:CN-SN</v>
      </c>
    </row>
    <row r="780" spans="1:7" x14ac:dyDescent="0.25">
      <c r="A780" s="112"/>
      <c r="B780" s="21" t="s">
        <v>3230</v>
      </c>
      <c r="C780" s="21" t="s">
        <v>3231</v>
      </c>
      <c r="D780" s="21" t="s">
        <v>1668</v>
      </c>
      <c r="E780" s="50" t="b">
        <v>1</v>
      </c>
      <c r="F780" s="72" t="str">
        <f>HYPERLINK("http://nsgreg.nga.mil/genc/view?v=292027&amp;end_month=6&amp;end_day=30&amp;end_year=2019","Shandong")</f>
        <v>Shandong</v>
      </c>
      <c r="G780" s="72" t="str">
        <f>HYPERLINK("http://api.nsgreg.nga.mil/geo-division/GENC/6/3-11/CN-SD","as:GENC:6:3-11:CN-SD")</f>
        <v>as:GENC:6:3-11:CN-SD</v>
      </c>
    </row>
    <row r="781" spans="1:7" x14ac:dyDescent="0.25">
      <c r="A781" s="112"/>
      <c r="B781" s="21" t="s">
        <v>3232</v>
      </c>
      <c r="C781" s="21" t="s">
        <v>3233</v>
      </c>
      <c r="D781" s="21" t="s">
        <v>2505</v>
      </c>
      <c r="E781" s="50" t="b">
        <v>1</v>
      </c>
      <c r="F781" s="72" t="str">
        <f>HYPERLINK("http://nsgreg.nga.mil/genc/view?v=292028&amp;end_month=6&amp;end_day=30&amp;end_year=2019","Shanghai")</f>
        <v>Shanghai</v>
      </c>
      <c r="G781" s="72" t="str">
        <f>HYPERLINK("http://api.nsgreg.nga.mil/geo-division/GENC/6/3-11/CN-SH","as:GENC:6:3-11:CN-SH")</f>
        <v>as:GENC:6:3-11:CN-SH</v>
      </c>
    </row>
    <row r="782" spans="1:7" x14ac:dyDescent="0.25">
      <c r="A782" s="112"/>
      <c r="B782" s="21" t="s">
        <v>3234</v>
      </c>
      <c r="C782" s="21" t="s">
        <v>3235</v>
      </c>
      <c r="D782" s="21" t="s">
        <v>1668</v>
      </c>
      <c r="E782" s="50" t="b">
        <v>1</v>
      </c>
      <c r="F782" s="72" t="str">
        <f>HYPERLINK("http://nsgreg.nga.mil/genc/view?v=292030&amp;end_month=6&amp;end_day=30&amp;end_year=2019","Shanxi")</f>
        <v>Shanxi</v>
      </c>
      <c r="G782" s="72" t="str">
        <f>HYPERLINK("http://api.nsgreg.nga.mil/geo-division/GENC/6/3-11/CN-SX","as:GENC:6:3-11:CN-SX")</f>
        <v>as:GENC:6:3-11:CN-SX</v>
      </c>
    </row>
    <row r="783" spans="1:7" x14ac:dyDescent="0.25">
      <c r="A783" s="112"/>
      <c r="B783" s="21" t="s">
        <v>3236</v>
      </c>
      <c r="C783" s="21" t="s">
        <v>3237</v>
      </c>
      <c r="D783" s="21" t="s">
        <v>1668</v>
      </c>
      <c r="E783" s="50" t="b">
        <v>1</v>
      </c>
      <c r="F783" s="72" t="str">
        <f>HYPERLINK("http://nsgreg.nga.mil/genc/view?v=292026&amp;end_month=6&amp;end_day=30&amp;end_year=2019","Sichuan")</f>
        <v>Sichuan</v>
      </c>
      <c r="G783" s="72" t="str">
        <f>HYPERLINK("http://api.nsgreg.nga.mil/geo-division/GENC/6/3-11/CN-SC","as:GENC:6:3-11:CN-SC")</f>
        <v>as:GENC:6:3-11:CN-SC</v>
      </c>
    </row>
    <row r="784" spans="1:7" x14ac:dyDescent="0.25">
      <c r="A784" s="112"/>
      <c r="B784" s="21" t="s">
        <v>3238</v>
      </c>
      <c r="C784" s="21" t="s">
        <v>3239</v>
      </c>
      <c r="D784" s="21" t="s">
        <v>2505</v>
      </c>
      <c r="E784" s="50" t="b">
        <v>1</v>
      </c>
      <c r="F784" s="72" t="str">
        <f>HYPERLINK("http://nsgreg.nga.mil/genc/view?v=292031&amp;end_month=6&amp;end_day=30&amp;end_year=2019","Tianjin")</f>
        <v>Tianjin</v>
      </c>
      <c r="G784" s="72" t="str">
        <f>HYPERLINK("http://api.nsgreg.nga.mil/geo-division/GENC/6/3-11/CN-TJ","as:GENC:6:3-11:CN-TJ")</f>
        <v>as:GENC:6:3-11:CN-TJ</v>
      </c>
    </row>
    <row r="785" spans="1:7" x14ac:dyDescent="0.25">
      <c r="A785" s="112"/>
      <c r="B785" s="21" t="s">
        <v>3240</v>
      </c>
      <c r="C785" s="21" t="s">
        <v>3241</v>
      </c>
      <c r="D785" s="21" t="s">
        <v>3199</v>
      </c>
      <c r="E785" s="50" t="b">
        <v>1</v>
      </c>
      <c r="F785" s="72" t="str">
        <f>HYPERLINK("http://nsgreg.nga.mil/genc/view?v=292034&amp;end_month=6&amp;end_day=30&amp;end_year=2019","Tibet")</f>
        <v>Tibet</v>
      </c>
      <c r="G785" s="72" t="str">
        <f>HYPERLINK("http://api.nsgreg.nga.mil/geo-division/GENC/6/3-11/CN-XZ","as:GENC:6:3-11:CN-XZ")</f>
        <v>as:GENC:6:3-11:CN-XZ</v>
      </c>
    </row>
    <row r="786" spans="1:7" x14ac:dyDescent="0.25">
      <c r="A786" s="112"/>
      <c r="B786" s="21" t="s">
        <v>3242</v>
      </c>
      <c r="C786" s="21" t="s">
        <v>3243</v>
      </c>
      <c r="D786" s="21" t="s">
        <v>3199</v>
      </c>
      <c r="E786" s="50" t="b">
        <v>1</v>
      </c>
      <c r="F786" s="72" t="str">
        <f>HYPERLINK("http://nsgreg.nga.mil/genc/view?v=292033&amp;end_month=6&amp;end_day=30&amp;end_year=2019","Xinjiang")</f>
        <v>Xinjiang</v>
      </c>
      <c r="G786" s="72" t="str">
        <f>HYPERLINK("http://api.nsgreg.nga.mil/geo-division/GENC/6/3-11/CN-XJ","as:GENC:6:3-11:CN-XJ")</f>
        <v>as:GENC:6:3-11:CN-XJ</v>
      </c>
    </row>
    <row r="787" spans="1:7" x14ac:dyDescent="0.25">
      <c r="A787" s="112"/>
      <c r="B787" s="21" t="s">
        <v>3244</v>
      </c>
      <c r="C787" s="21" t="s">
        <v>3245</v>
      </c>
      <c r="D787" s="21" t="s">
        <v>1668</v>
      </c>
      <c r="E787" s="50" t="b">
        <v>1</v>
      </c>
      <c r="F787" s="72" t="str">
        <f>HYPERLINK("http://nsgreg.nga.mil/genc/view?v=292035&amp;end_month=6&amp;end_day=30&amp;end_year=2019","Yunnan")</f>
        <v>Yunnan</v>
      </c>
      <c r="G787" s="72" t="str">
        <f>HYPERLINK("http://api.nsgreg.nga.mil/geo-division/GENC/6/3-11/CN-YN","as:GENC:6:3-11:CN-YN")</f>
        <v>as:GENC:6:3-11:CN-YN</v>
      </c>
    </row>
    <row r="788" spans="1:7" x14ac:dyDescent="0.25">
      <c r="A788" s="113"/>
      <c r="B788" s="47" t="s">
        <v>3246</v>
      </c>
      <c r="C788" s="47" t="s">
        <v>3247</v>
      </c>
      <c r="D788" s="47" t="s">
        <v>1668</v>
      </c>
      <c r="E788" s="51" t="b">
        <v>1</v>
      </c>
      <c r="F788" s="73" t="str">
        <f>HYPERLINK("http://nsgreg.nga.mil/genc/view?v=292036&amp;end_month=6&amp;end_day=30&amp;end_year=2019","Zhejiang")</f>
        <v>Zhejiang</v>
      </c>
      <c r="G788" s="73" t="str">
        <f>HYPERLINK("http://api.nsgreg.nga.mil/geo-division/GENC/6/3-11/CN-ZJ","as:GENC:6:3-11:CN-ZJ")</f>
        <v>as:GENC:6:3-11:CN-ZJ</v>
      </c>
    </row>
    <row r="789" spans="1:7" x14ac:dyDescent="0.25">
      <c r="A789" s="111" t="str">
        <f>HYPERLINK("[#]Codes_for_GE_Names!A57:I57","COLOMBIA")</f>
        <v>COLOMBIA</v>
      </c>
      <c r="B789" s="42" t="s">
        <v>3248</v>
      </c>
      <c r="C789" s="42" t="s">
        <v>2634</v>
      </c>
      <c r="D789" s="42" t="s">
        <v>2478</v>
      </c>
      <c r="E789" s="49" t="b">
        <v>1</v>
      </c>
      <c r="F789" s="74" t="str">
        <f>HYPERLINK("http://nsgreg.nga.mil/genc/view?v=292037&amp;end_month=6&amp;end_day=30&amp;end_year=2019","Amazonas")</f>
        <v>Amazonas</v>
      </c>
      <c r="G789" s="74" t="str">
        <f>HYPERLINK("http://api.nsgreg.nga.mil/geo-division/GENC/6/3-11/CO-AMA","as:GENC:6:3-11:CO-AMA")</f>
        <v>as:GENC:6:3-11:CO-AMA</v>
      </c>
    </row>
    <row r="790" spans="1:7" x14ac:dyDescent="0.25">
      <c r="A790" s="112"/>
      <c r="B790" s="21" t="s">
        <v>3249</v>
      </c>
      <c r="C790" s="21" t="s">
        <v>3250</v>
      </c>
      <c r="D790" s="21" t="s">
        <v>2478</v>
      </c>
      <c r="E790" s="50" t="b">
        <v>1</v>
      </c>
      <c r="F790" s="72" t="str">
        <f>HYPERLINK("http://nsgreg.nga.mil/genc/view?v=292038&amp;end_month=6&amp;end_day=30&amp;end_year=2019","Antioquia")</f>
        <v>Antioquia</v>
      </c>
      <c r="G790" s="72" t="str">
        <f>HYPERLINK("http://api.nsgreg.nga.mil/geo-division/GENC/6/3-11/CO-ANT","as:GENC:6:3-11:CO-ANT")</f>
        <v>as:GENC:6:3-11:CO-ANT</v>
      </c>
    </row>
    <row r="791" spans="1:7" x14ac:dyDescent="0.25">
      <c r="A791" s="112"/>
      <c r="B791" s="21" t="s">
        <v>3251</v>
      </c>
      <c r="C791" s="21" t="s">
        <v>3252</v>
      </c>
      <c r="D791" s="21" t="s">
        <v>2478</v>
      </c>
      <c r="E791" s="50" t="b">
        <v>1</v>
      </c>
      <c r="F791" s="72" t="str">
        <f>HYPERLINK("http://nsgreg.nga.mil/genc/view?v=292039&amp;end_month=6&amp;end_day=30&amp;end_year=2019","Arauca")</f>
        <v>Arauca</v>
      </c>
      <c r="G791" s="72" t="str">
        <f>HYPERLINK("http://api.nsgreg.nga.mil/geo-division/GENC/6/3-11/CO-ARA","as:GENC:6:3-11:CO-ARA")</f>
        <v>as:GENC:6:3-11:CO-ARA</v>
      </c>
    </row>
    <row r="792" spans="1:7" x14ac:dyDescent="0.25">
      <c r="A792" s="112"/>
      <c r="B792" s="21" t="s">
        <v>3253</v>
      </c>
      <c r="C792" s="21" t="s">
        <v>3254</v>
      </c>
      <c r="D792" s="21" t="s">
        <v>2478</v>
      </c>
      <c r="E792" s="50" t="b">
        <v>1</v>
      </c>
      <c r="F792" s="72" t="str">
        <f>HYPERLINK("http://nsgreg.nga.mil/genc/view?v=292040&amp;end_month=6&amp;end_day=30&amp;end_year=2019","Atlántico")</f>
        <v>Atlántico</v>
      </c>
      <c r="G792" s="72" t="str">
        <f>HYPERLINK("http://api.nsgreg.nga.mil/geo-division/GENC/6/3-11/CO-ATL","as:GENC:6:3-11:CO-ATL")</f>
        <v>as:GENC:6:3-11:CO-ATL</v>
      </c>
    </row>
    <row r="793" spans="1:7" x14ac:dyDescent="0.25">
      <c r="A793" s="112"/>
      <c r="B793" s="21" t="s">
        <v>3255</v>
      </c>
      <c r="C793" s="21" t="s">
        <v>3256</v>
      </c>
      <c r="D793" s="21" t="s">
        <v>3257</v>
      </c>
      <c r="E793" s="50" t="b">
        <v>1</v>
      </c>
      <c r="F793" s="72" t="str">
        <f>HYPERLINK("http://nsgreg.nga.mil/genc/view?v=292051&amp;end_month=6&amp;end_day=30&amp;end_year=2019","Bogotá")</f>
        <v>Bogotá</v>
      </c>
      <c r="G793" s="72" t="str">
        <f>HYPERLINK("http://api.nsgreg.nga.mil/geo-division/GENC/6/3-11/CO-DC","as:GENC:6:3-11:CO-DC")</f>
        <v>as:GENC:6:3-11:CO-DC</v>
      </c>
    </row>
    <row r="794" spans="1:7" x14ac:dyDescent="0.25">
      <c r="A794" s="112"/>
      <c r="B794" s="21" t="s">
        <v>3258</v>
      </c>
      <c r="C794" s="21" t="s">
        <v>3259</v>
      </c>
      <c r="D794" s="21" t="s">
        <v>2478</v>
      </c>
      <c r="E794" s="50" t="b">
        <v>1</v>
      </c>
      <c r="F794" s="72" t="str">
        <f>HYPERLINK("http://nsgreg.nga.mil/genc/view?v=292041&amp;end_month=6&amp;end_day=30&amp;end_year=2019","Bolívar")</f>
        <v>Bolívar</v>
      </c>
      <c r="G794" s="72" t="str">
        <f>HYPERLINK("http://api.nsgreg.nga.mil/geo-division/GENC/6/3-11/CO-BOL","as:GENC:6:3-11:CO-BOL")</f>
        <v>as:GENC:6:3-11:CO-BOL</v>
      </c>
    </row>
    <row r="795" spans="1:7" x14ac:dyDescent="0.25">
      <c r="A795" s="112"/>
      <c r="B795" s="21" t="s">
        <v>3260</v>
      </c>
      <c r="C795" s="21" t="s">
        <v>3261</v>
      </c>
      <c r="D795" s="21" t="s">
        <v>2478</v>
      </c>
      <c r="E795" s="50" t="b">
        <v>1</v>
      </c>
      <c r="F795" s="72" t="str">
        <f>HYPERLINK("http://nsgreg.nga.mil/genc/view?v=292042&amp;end_month=6&amp;end_day=30&amp;end_year=2019","Boyacá")</f>
        <v>Boyacá</v>
      </c>
      <c r="G795" s="72" t="str">
        <f>HYPERLINK("http://api.nsgreg.nga.mil/geo-division/GENC/6/3-11/CO-BOY","as:GENC:6:3-11:CO-BOY")</f>
        <v>as:GENC:6:3-11:CO-BOY</v>
      </c>
    </row>
    <row r="796" spans="1:7" x14ac:dyDescent="0.25">
      <c r="A796" s="112"/>
      <c r="B796" s="21" t="s">
        <v>3262</v>
      </c>
      <c r="C796" s="21" t="s">
        <v>3263</v>
      </c>
      <c r="D796" s="21" t="s">
        <v>2478</v>
      </c>
      <c r="E796" s="50" t="b">
        <v>1</v>
      </c>
      <c r="F796" s="72" t="str">
        <f>HYPERLINK("http://nsgreg.nga.mil/genc/view?v=292043&amp;end_month=6&amp;end_day=30&amp;end_year=2019","Caldas")</f>
        <v>Caldas</v>
      </c>
      <c r="G796" s="72" t="str">
        <f>HYPERLINK("http://api.nsgreg.nga.mil/geo-division/GENC/6/3-11/CO-CAL","as:GENC:6:3-11:CO-CAL")</f>
        <v>as:GENC:6:3-11:CO-CAL</v>
      </c>
    </row>
    <row r="797" spans="1:7" x14ac:dyDescent="0.25">
      <c r="A797" s="112"/>
      <c r="B797" s="21" t="s">
        <v>3264</v>
      </c>
      <c r="C797" s="21" t="s">
        <v>3265</v>
      </c>
      <c r="D797" s="21" t="s">
        <v>2478</v>
      </c>
      <c r="E797" s="50" t="b">
        <v>1</v>
      </c>
      <c r="F797" s="72" t="str">
        <f>HYPERLINK("http://nsgreg.nga.mil/genc/view?v=292044&amp;end_month=6&amp;end_day=30&amp;end_year=2019","Caquetá")</f>
        <v>Caquetá</v>
      </c>
      <c r="G797" s="72" t="str">
        <f>HYPERLINK("http://api.nsgreg.nga.mil/geo-division/GENC/6/3-11/CO-CAQ","as:GENC:6:3-11:CO-CAQ")</f>
        <v>as:GENC:6:3-11:CO-CAQ</v>
      </c>
    </row>
    <row r="798" spans="1:7" x14ac:dyDescent="0.25">
      <c r="A798" s="112"/>
      <c r="B798" s="21" t="s">
        <v>3266</v>
      </c>
      <c r="C798" s="21" t="s">
        <v>3267</v>
      </c>
      <c r="D798" s="21" t="s">
        <v>2478</v>
      </c>
      <c r="E798" s="50" t="b">
        <v>1</v>
      </c>
      <c r="F798" s="72" t="str">
        <f>HYPERLINK("http://nsgreg.nga.mil/genc/view?v=292045&amp;end_month=6&amp;end_day=30&amp;end_year=2019","Casanare")</f>
        <v>Casanare</v>
      </c>
      <c r="G798" s="72" t="str">
        <f>HYPERLINK("http://api.nsgreg.nga.mil/geo-division/GENC/6/3-11/CO-CAS","as:GENC:6:3-11:CO-CAS")</f>
        <v>as:GENC:6:3-11:CO-CAS</v>
      </c>
    </row>
    <row r="799" spans="1:7" x14ac:dyDescent="0.25">
      <c r="A799" s="112"/>
      <c r="B799" s="21" t="s">
        <v>3268</v>
      </c>
      <c r="C799" s="21" t="s">
        <v>3269</v>
      </c>
      <c r="D799" s="21" t="s">
        <v>2478</v>
      </c>
      <c r="E799" s="50" t="b">
        <v>1</v>
      </c>
      <c r="F799" s="72" t="str">
        <f>HYPERLINK("http://nsgreg.nga.mil/genc/view?v=292046&amp;end_month=6&amp;end_day=30&amp;end_year=2019","Cauca")</f>
        <v>Cauca</v>
      </c>
      <c r="G799" s="72" t="str">
        <f>HYPERLINK("http://api.nsgreg.nga.mil/geo-division/GENC/6/3-11/CO-CAU","as:GENC:6:3-11:CO-CAU")</f>
        <v>as:GENC:6:3-11:CO-CAU</v>
      </c>
    </row>
    <row r="800" spans="1:7" x14ac:dyDescent="0.25">
      <c r="A800" s="112"/>
      <c r="B800" s="21" t="s">
        <v>3270</v>
      </c>
      <c r="C800" s="21" t="s">
        <v>3271</v>
      </c>
      <c r="D800" s="21" t="s">
        <v>2478</v>
      </c>
      <c r="E800" s="50" t="b">
        <v>1</v>
      </c>
      <c r="F800" s="72" t="str">
        <f>HYPERLINK("http://nsgreg.nga.mil/genc/view?v=292047&amp;end_month=6&amp;end_day=30&amp;end_year=2019","Cesar")</f>
        <v>Cesar</v>
      </c>
      <c r="G800" s="72" t="str">
        <f>HYPERLINK("http://api.nsgreg.nga.mil/geo-division/GENC/6/3-11/CO-CES","as:GENC:6:3-11:CO-CES")</f>
        <v>as:GENC:6:3-11:CO-CES</v>
      </c>
    </row>
    <row r="801" spans="1:7" x14ac:dyDescent="0.25">
      <c r="A801" s="112"/>
      <c r="B801" s="21" t="s">
        <v>3272</v>
      </c>
      <c r="C801" s="21" t="s">
        <v>3273</v>
      </c>
      <c r="D801" s="21" t="s">
        <v>2478</v>
      </c>
      <c r="E801" s="50" t="b">
        <v>1</v>
      </c>
      <c r="F801" s="72" t="str">
        <f>HYPERLINK("http://nsgreg.nga.mil/genc/view?v=292048&amp;end_month=6&amp;end_day=30&amp;end_year=2019","Chocó")</f>
        <v>Chocó</v>
      </c>
      <c r="G801" s="72" t="str">
        <f>HYPERLINK("http://api.nsgreg.nga.mil/geo-division/GENC/6/3-11/CO-CHO","as:GENC:6:3-11:CO-CHO")</f>
        <v>as:GENC:6:3-11:CO-CHO</v>
      </c>
    </row>
    <row r="802" spans="1:7" x14ac:dyDescent="0.25">
      <c r="A802" s="112"/>
      <c r="B802" s="21" t="s">
        <v>3274</v>
      </c>
      <c r="C802" s="21" t="s">
        <v>1936</v>
      </c>
      <c r="D802" s="21" t="s">
        <v>2478</v>
      </c>
      <c r="E802" s="50" t="b">
        <v>1</v>
      </c>
      <c r="F802" s="72" t="str">
        <f>HYPERLINK("http://nsgreg.nga.mil/genc/view?v=292049&amp;end_month=6&amp;end_day=30&amp;end_year=2019","Córdoba")</f>
        <v>Córdoba</v>
      </c>
      <c r="G802" s="72" t="str">
        <f>HYPERLINK("http://api.nsgreg.nga.mil/geo-division/GENC/6/3-11/CO-COR","as:GENC:6:3-11:CO-COR")</f>
        <v>as:GENC:6:3-11:CO-COR</v>
      </c>
    </row>
    <row r="803" spans="1:7" x14ac:dyDescent="0.25">
      <c r="A803" s="112"/>
      <c r="B803" s="21" t="s">
        <v>3275</v>
      </c>
      <c r="C803" s="21" t="s">
        <v>3276</v>
      </c>
      <c r="D803" s="21" t="s">
        <v>2478</v>
      </c>
      <c r="E803" s="50" t="b">
        <v>1</v>
      </c>
      <c r="F803" s="72" t="str">
        <f>HYPERLINK("http://nsgreg.nga.mil/genc/view?v=292050&amp;end_month=6&amp;end_day=30&amp;end_year=2019","Cundinamarca")</f>
        <v>Cundinamarca</v>
      </c>
      <c r="G803" s="72" t="str">
        <f>HYPERLINK("http://api.nsgreg.nga.mil/geo-division/GENC/6/3-11/CO-CUN","as:GENC:6:3-11:CO-CUN")</f>
        <v>as:GENC:6:3-11:CO-CUN</v>
      </c>
    </row>
    <row r="804" spans="1:7" x14ac:dyDescent="0.25">
      <c r="A804" s="112"/>
      <c r="B804" s="21" t="s">
        <v>3277</v>
      </c>
      <c r="C804" s="21" t="s">
        <v>3278</v>
      </c>
      <c r="D804" s="21" t="s">
        <v>2478</v>
      </c>
      <c r="E804" s="50" t="b">
        <v>1</v>
      </c>
      <c r="F804" s="72" t="str">
        <f>HYPERLINK("http://nsgreg.nga.mil/genc/view?v=292052&amp;end_month=6&amp;end_day=30&amp;end_year=2019","Guainía")</f>
        <v>Guainía</v>
      </c>
      <c r="G804" s="72" t="str">
        <f>HYPERLINK("http://api.nsgreg.nga.mil/geo-division/GENC/6/3-11/CO-GUA","as:GENC:6:3-11:CO-GUA")</f>
        <v>as:GENC:6:3-11:CO-GUA</v>
      </c>
    </row>
    <row r="805" spans="1:7" x14ac:dyDescent="0.25">
      <c r="A805" s="112"/>
      <c r="B805" s="21" t="s">
        <v>3279</v>
      </c>
      <c r="C805" s="21" t="s">
        <v>3280</v>
      </c>
      <c r="D805" s="21" t="s">
        <v>2478</v>
      </c>
      <c r="E805" s="50" t="b">
        <v>1</v>
      </c>
      <c r="F805" s="72" t="str">
        <f>HYPERLINK("http://nsgreg.nga.mil/genc/view?v=292053&amp;end_month=6&amp;end_day=30&amp;end_year=2019","Guaviare")</f>
        <v>Guaviare</v>
      </c>
      <c r="G805" s="72" t="str">
        <f>HYPERLINK("http://api.nsgreg.nga.mil/geo-division/GENC/6/3-11/CO-GUV","as:GENC:6:3-11:CO-GUV")</f>
        <v>as:GENC:6:3-11:CO-GUV</v>
      </c>
    </row>
    <row r="806" spans="1:7" x14ac:dyDescent="0.25">
      <c r="A806" s="112"/>
      <c r="B806" s="21" t="s">
        <v>3281</v>
      </c>
      <c r="C806" s="21" t="s">
        <v>3282</v>
      </c>
      <c r="D806" s="21" t="s">
        <v>2478</v>
      </c>
      <c r="E806" s="50" t="b">
        <v>1</v>
      </c>
      <c r="F806" s="72" t="str">
        <f>HYPERLINK("http://nsgreg.nga.mil/genc/view?v=292054&amp;end_month=6&amp;end_day=30&amp;end_year=2019","Huila")</f>
        <v>Huila</v>
      </c>
      <c r="G806" s="72" t="str">
        <f>HYPERLINK("http://api.nsgreg.nga.mil/geo-division/GENC/6/3-11/CO-HUI","as:GENC:6:3-11:CO-HUI")</f>
        <v>as:GENC:6:3-11:CO-HUI</v>
      </c>
    </row>
    <row r="807" spans="1:7" x14ac:dyDescent="0.25">
      <c r="A807" s="112"/>
      <c r="B807" s="21" t="s">
        <v>3283</v>
      </c>
      <c r="C807" s="21" t="s">
        <v>3284</v>
      </c>
      <c r="D807" s="21" t="s">
        <v>2478</v>
      </c>
      <c r="E807" s="50" t="b">
        <v>1</v>
      </c>
      <c r="F807" s="72" t="str">
        <f>HYPERLINK("http://nsgreg.nga.mil/genc/view?v=292055&amp;end_month=6&amp;end_day=30&amp;end_year=2019","La Guajira")</f>
        <v>La Guajira</v>
      </c>
      <c r="G807" s="72" t="str">
        <f>HYPERLINK("http://api.nsgreg.nga.mil/geo-division/GENC/6/3-11/CO-LAG","as:GENC:6:3-11:CO-LAG")</f>
        <v>as:GENC:6:3-11:CO-LAG</v>
      </c>
    </row>
    <row r="808" spans="1:7" x14ac:dyDescent="0.25">
      <c r="A808" s="112"/>
      <c r="B808" s="21" t="s">
        <v>3285</v>
      </c>
      <c r="C808" s="21" t="s">
        <v>3286</v>
      </c>
      <c r="D808" s="21" t="s">
        <v>2478</v>
      </c>
      <c r="E808" s="50" t="b">
        <v>1</v>
      </c>
      <c r="F808" s="72" t="str">
        <f>HYPERLINK("http://nsgreg.nga.mil/genc/view?v=292056&amp;end_month=6&amp;end_day=30&amp;end_year=2019","Magdalena")</f>
        <v>Magdalena</v>
      </c>
      <c r="G808" s="72" t="str">
        <f>HYPERLINK("http://api.nsgreg.nga.mil/geo-division/GENC/6/3-11/CO-MAG","as:GENC:6:3-11:CO-MAG")</f>
        <v>as:GENC:6:3-11:CO-MAG</v>
      </c>
    </row>
    <row r="809" spans="1:7" x14ac:dyDescent="0.25">
      <c r="A809" s="112"/>
      <c r="B809" s="21" t="s">
        <v>3287</v>
      </c>
      <c r="C809" s="21" t="s">
        <v>3288</v>
      </c>
      <c r="D809" s="21" t="s">
        <v>2478</v>
      </c>
      <c r="E809" s="50" t="b">
        <v>1</v>
      </c>
      <c r="F809" s="72" t="str">
        <f>HYPERLINK("http://nsgreg.nga.mil/genc/view?v=292057&amp;end_month=6&amp;end_day=30&amp;end_year=2019","Meta")</f>
        <v>Meta</v>
      </c>
      <c r="G809" s="72" t="str">
        <f>HYPERLINK("http://api.nsgreg.nga.mil/geo-division/GENC/6/3-11/CO-MET","as:GENC:6:3-11:CO-MET")</f>
        <v>as:GENC:6:3-11:CO-MET</v>
      </c>
    </row>
    <row r="810" spans="1:7" x14ac:dyDescent="0.25">
      <c r="A810" s="112"/>
      <c r="B810" s="21" t="s">
        <v>3289</v>
      </c>
      <c r="C810" s="21" t="s">
        <v>3290</v>
      </c>
      <c r="D810" s="21" t="s">
        <v>2478</v>
      </c>
      <c r="E810" s="50" t="b">
        <v>1</v>
      </c>
      <c r="F810" s="72" t="str">
        <f>HYPERLINK("http://nsgreg.nga.mil/genc/view?v=292058&amp;end_month=6&amp;end_day=30&amp;end_year=2019","Nariño")</f>
        <v>Nariño</v>
      </c>
      <c r="G810" s="72" t="str">
        <f>HYPERLINK("http://api.nsgreg.nga.mil/geo-division/GENC/6/3-11/CO-NAR","as:GENC:6:3-11:CO-NAR")</f>
        <v>as:GENC:6:3-11:CO-NAR</v>
      </c>
    </row>
    <row r="811" spans="1:7" x14ac:dyDescent="0.25">
      <c r="A811" s="112"/>
      <c r="B811" s="21" t="s">
        <v>3291</v>
      </c>
      <c r="C811" s="21" t="s">
        <v>3292</v>
      </c>
      <c r="D811" s="21" t="s">
        <v>2478</v>
      </c>
      <c r="E811" s="50" t="b">
        <v>1</v>
      </c>
      <c r="F811" s="72" t="str">
        <f>HYPERLINK("http://nsgreg.nga.mil/genc/view?v=292059&amp;end_month=6&amp;end_day=30&amp;end_year=2019","Norte de Santander")</f>
        <v>Norte de Santander</v>
      </c>
      <c r="G811" s="72" t="str">
        <f>HYPERLINK("http://api.nsgreg.nga.mil/geo-division/GENC/6/3-11/CO-NSA","as:GENC:6:3-11:CO-NSA")</f>
        <v>as:GENC:6:3-11:CO-NSA</v>
      </c>
    </row>
    <row r="812" spans="1:7" x14ac:dyDescent="0.25">
      <c r="A812" s="112"/>
      <c r="B812" s="21" t="s">
        <v>3293</v>
      </c>
      <c r="C812" s="21" t="s">
        <v>3294</v>
      </c>
      <c r="D812" s="21" t="s">
        <v>2478</v>
      </c>
      <c r="E812" s="50" t="b">
        <v>1</v>
      </c>
      <c r="F812" s="72" t="str">
        <f>HYPERLINK("http://nsgreg.nga.mil/genc/view?v=292060&amp;end_month=6&amp;end_day=30&amp;end_year=2019","Putumayo")</f>
        <v>Putumayo</v>
      </c>
      <c r="G812" s="72" t="str">
        <f>HYPERLINK("http://api.nsgreg.nga.mil/geo-division/GENC/6/3-11/CO-PUT","as:GENC:6:3-11:CO-PUT")</f>
        <v>as:GENC:6:3-11:CO-PUT</v>
      </c>
    </row>
    <row r="813" spans="1:7" x14ac:dyDescent="0.25">
      <c r="A813" s="112"/>
      <c r="B813" s="21" t="s">
        <v>3295</v>
      </c>
      <c r="C813" s="21" t="s">
        <v>3296</v>
      </c>
      <c r="D813" s="21" t="s">
        <v>2478</v>
      </c>
      <c r="E813" s="50" t="b">
        <v>1</v>
      </c>
      <c r="F813" s="72" t="str">
        <f>HYPERLINK("http://nsgreg.nga.mil/genc/view?v=292061&amp;end_month=6&amp;end_day=30&amp;end_year=2019","Quindío")</f>
        <v>Quindío</v>
      </c>
      <c r="G813" s="72" t="str">
        <f>HYPERLINK("http://api.nsgreg.nga.mil/geo-division/GENC/6/3-11/CO-QUI","as:GENC:6:3-11:CO-QUI")</f>
        <v>as:GENC:6:3-11:CO-QUI</v>
      </c>
    </row>
    <row r="814" spans="1:7" x14ac:dyDescent="0.25">
      <c r="A814" s="112"/>
      <c r="B814" s="21" t="s">
        <v>3297</v>
      </c>
      <c r="C814" s="21" t="s">
        <v>3298</v>
      </c>
      <c r="D814" s="21" t="s">
        <v>2478</v>
      </c>
      <c r="E814" s="50" t="b">
        <v>1</v>
      </c>
      <c r="F814" s="72" t="str">
        <f>HYPERLINK("http://nsgreg.nga.mil/genc/view?v=292062&amp;end_month=6&amp;end_day=30&amp;end_year=2019","Risaralda")</f>
        <v>Risaralda</v>
      </c>
      <c r="G814" s="72" t="str">
        <f>HYPERLINK("http://api.nsgreg.nga.mil/geo-division/GENC/6/3-11/CO-RIS","as:GENC:6:3-11:CO-RIS")</f>
        <v>as:GENC:6:3-11:CO-RIS</v>
      </c>
    </row>
    <row r="815" spans="1:7" x14ac:dyDescent="0.25">
      <c r="A815" s="112"/>
      <c r="B815" s="21" t="s">
        <v>3299</v>
      </c>
      <c r="C815" s="21" t="s">
        <v>3300</v>
      </c>
      <c r="D815" s="21" t="s">
        <v>2478</v>
      </c>
      <c r="E815" s="50" t="b">
        <v>1</v>
      </c>
      <c r="F815" s="72" t="str">
        <f>HYPERLINK("http://nsgreg.nga.mil/genc/view?v=292064&amp;end_month=6&amp;end_day=30&amp;end_year=2019","San Andrés y Providencia")</f>
        <v>San Andrés y Providencia</v>
      </c>
      <c r="G815" s="72" t="str">
        <f>HYPERLINK("http://api.nsgreg.nga.mil/geo-division/GENC/6/3-11/CO-SAP","as:GENC:6:3-11:CO-SAP")</f>
        <v>as:GENC:6:3-11:CO-SAP</v>
      </c>
    </row>
    <row r="816" spans="1:7" x14ac:dyDescent="0.25">
      <c r="A816" s="112"/>
      <c r="B816" s="21" t="s">
        <v>3301</v>
      </c>
      <c r="C816" s="21" t="s">
        <v>3302</v>
      </c>
      <c r="D816" s="21" t="s">
        <v>2478</v>
      </c>
      <c r="E816" s="50" t="b">
        <v>1</v>
      </c>
      <c r="F816" s="72" t="str">
        <f>HYPERLINK("http://nsgreg.nga.mil/genc/view?v=292063&amp;end_month=6&amp;end_day=30&amp;end_year=2019","Santander")</f>
        <v>Santander</v>
      </c>
      <c r="G816" s="72" t="str">
        <f>HYPERLINK("http://api.nsgreg.nga.mil/geo-division/GENC/6/3-11/CO-SAN","as:GENC:6:3-11:CO-SAN")</f>
        <v>as:GENC:6:3-11:CO-SAN</v>
      </c>
    </row>
    <row r="817" spans="1:7" x14ac:dyDescent="0.25">
      <c r="A817" s="112"/>
      <c r="B817" s="21" t="s">
        <v>3303</v>
      </c>
      <c r="C817" s="21" t="s">
        <v>3304</v>
      </c>
      <c r="D817" s="21" t="s">
        <v>2478</v>
      </c>
      <c r="E817" s="50" t="b">
        <v>1</v>
      </c>
      <c r="F817" s="72" t="str">
        <f>HYPERLINK("http://nsgreg.nga.mil/genc/view?v=292065&amp;end_month=6&amp;end_day=30&amp;end_year=2019","Sucre")</f>
        <v>Sucre</v>
      </c>
      <c r="G817" s="72" t="str">
        <f>HYPERLINK("http://api.nsgreg.nga.mil/geo-division/GENC/6/3-11/CO-SUC","as:GENC:6:3-11:CO-SUC")</f>
        <v>as:GENC:6:3-11:CO-SUC</v>
      </c>
    </row>
    <row r="818" spans="1:7" x14ac:dyDescent="0.25">
      <c r="A818" s="112"/>
      <c r="B818" s="21" t="s">
        <v>3305</v>
      </c>
      <c r="C818" s="21" t="s">
        <v>3306</v>
      </c>
      <c r="D818" s="21" t="s">
        <v>2478</v>
      </c>
      <c r="E818" s="50" t="b">
        <v>1</v>
      </c>
      <c r="F818" s="72" t="str">
        <f>HYPERLINK("http://nsgreg.nga.mil/genc/view?v=292066&amp;end_month=6&amp;end_day=30&amp;end_year=2019","Tolima")</f>
        <v>Tolima</v>
      </c>
      <c r="G818" s="72" t="str">
        <f>HYPERLINK("http://api.nsgreg.nga.mil/geo-division/GENC/6/3-11/CO-TOL","as:GENC:6:3-11:CO-TOL")</f>
        <v>as:GENC:6:3-11:CO-TOL</v>
      </c>
    </row>
    <row r="819" spans="1:7" x14ac:dyDescent="0.25">
      <c r="A819" s="112"/>
      <c r="B819" s="21" t="s">
        <v>3307</v>
      </c>
      <c r="C819" s="21" t="s">
        <v>3308</v>
      </c>
      <c r="D819" s="21" t="s">
        <v>2478</v>
      </c>
      <c r="E819" s="50" t="b">
        <v>1</v>
      </c>
      <c r="F819" s="72" t="str">
        <f>HYPERLINK("http://nsgreg.nga.mil/genc/view?v=292067&amp;end_month=6&amp;end_day=30&amp;end_year=2019","Valle del Cauca")</f>
        <v>Valle del Cauca</v>
      </c>
      <c r="G819" s="72" t="str">
        <f>HYPERLINK("http://api.nsgreg.nga.mil/geo-division/GENC/6/3-11/CO-VAC","as:GENC:6:3-11:CO-VAC")</f>
        <v>as:GENC:6:3-11:CO-VAC</v>
      </c>
    </row>
    <row r="820" spans="1:7" x14ac:dyDescent="0.25">
      <c r="A820" s="112"/>
      <c r="B820" s="21" t="s">
        <v>3309</v>
      </c>
      <c r="C820" s="21" t="s">
        <v>3310</v>
      </c>
      <c r="D820" s="21" t="s">
        <v>2478</v>
      </c>
      <c r="E820" s="50" t="b">
        <v>1</v>
      </c>
      <c r="F820" s="72" t="str">
        <f>HYPERLINK("http://nsgreg.nga.mil/genc/view?v=292068&amp;end_month=6&amp;end_day=30&amp;end_year=2019","Vaupés")</f>
        <v>Vaupés</v>
      </c>
      <c r="G820" s="72" t="str">
        <f>HYPERLINK("http://api.nsgreg.nga.mil/geo-division/GENC/6/3-11/CO-VAU","as:GENC:6:3-11:CO-VAU")</f>
        <v>as:GENC:6:3-11:CO-VAU</v>
      </c>
    </row>
    <row r="821" spans="1:7" x14ac:dyDescent="0.25">
      <c r="A821" s="113"/>
      <c r="B821" s="47" t="s">
        <v>3311</v>
      </c>
      <c r="C821" s="47" t="s">
        <v>3312</v>
      </c>
      <c r="D821" s="47" t="s">
        <v>2478</v>
      </c>
      <c r="E821" s="51" t="b">
        <v>1</v>
      </c>
      <c r="F821" s="73" t="str">
        <f>HYPERLINK("http://nsgreg.nga.mil/genc/view?v=292069&amp;end_month=6&amp;end_day=30&amp;end_year=2019","Vichada")</f>
        <v>Vichada</v>
      </c>
      <c r="G821" s="73" t="str">
        <f>HYPERLINK("http://api.nsgreg.nga.mil/geo-division/GENC/6/3-11/CO-VID","as:GENC:6:3-11:CO-VID")</f>
        <v>as:GENC:6:3-11:CO-VID</v>
      </c>
    </row>
    <row r="822" spans="1:7" x14ac:dyDescent="0.25">
      <c r="A822" s="111" t="str">
        <f>HYPERLINK("[#]Codes_for_GE_Names!A58:I58","COMOROS")</f>
        <v>COMOROS</v>
      </c>
      <c r="B822" s="42" t="s">
        <v>3313</v>
      </c>
      <c r="C822" s="42" t="s">
        <v>3314</v>
      </c>
      <c r="D822" s="42" t="s">
        <v>3315</v>
      </c>
      <c r="E822" s="49" t="b">
        <v>1</v>
      </c>
      <c r="F822" s="74" t="str">
        <f>HYPERLINK("http://nsgreg.nga.mil/genc/view?v=293709&amp;end_month=6&amp;end_day=30&amp;end_year=2019","Anjouan")</f>
        <v>Anjouan</v>
      </c>
      <c r="G822" s="74" t="str">
        <f>HYPERLINK("http://api.nsgreg.nga.mil/geo-division/GENC/6/3-11/KM-A","as:GENC:6:3-11:KM-A")</f>
        <v>as:GENC:6:3-11:KM-A</v>
      </c>
    </row>
    <row r="823" spans="1:7" x14ac:dyDescent="0.25">
      <c r="A823" s="112"/>
      <c r="B823" s="21" t="s">
        <v>3316</v>
      </c>
      <c r="C823" s="21" t="s">
        <v>3317</v>
      </c>
      <c r="D823" s="21" t="s">
        <v>3315</v>
      </c>
      <c r="E823" s="50" t="b">
        <v>1</v>
      </c>
      <c r="F823" s="72" t="str">
        <f>HYPERLINK("http://nsgreg.nga.mil/genc/view?v=293710&amp;end_month=6&amp;end_day=30&amp;end_year=2019","Grande Comore")</f>
        <v>Grande Comore</v>
      </c>
      <c r="G823" s="72" t="str">
        <f>HYPERLINK("http://api.nsgreg.nga.mil/geo-division/GENC/6/3-11/KM-G","as:GENC:6:3-11:KM-G")</f>
        <v>as:GENC:6:3-11:KM-G</v>
      </c>
    </row>
    <row r="824" spans="1:7" x14ac:dyDescent="0.25">
      <c r="A824" s="113"/>
      <c r="B824" s="47" t="s">
        <v>3318</v>
      </c>
      <c r="C824" s="47" t="s">
        <v>3319</v>
      </c>
      <c r="D824" s="47" t="s">
        <v>3315</v>
      </c>
      <c r="E824" s="51" t="b">
        <v>1</v>
      </c>
      <c r="F824" s="73" t="str">
        <f>HYPERLINK("http://nsgreg.nga.mil/genc/view?v=293711&amp;end_month=6&amp;end_day=30&amp;end_year=2019","Mohéli")</f>
        <v>Mohéli</v>
      </c>
      <c r="G824" s="73" t="str">
        <f>HYPERLINK("http://api.nsgreg.nga.mil/geo-division/GENC/6/3-11/KM-M","as:GENC:6:3-11:KM-M")</f>
        <v>as:GENC:6:3-11:KM-M</v>
      </c>
    </row>
    <row r="825" spans="1:7" x14ac:dyDescent="0.25">
      <c r="A825" s="111" t="str">
        <f>HYPERLINK("[#]Codes_for_GE_Names!A59:I59","CONGO (BRAZZAVILLE)")</f>
        <v>CONGO (BRAZZAVILLE)</v>
      </c>
      <c r="B825" s="42" t="s">
        <v>3320</v>
      </c>
      <c r="C825" s="42" t="s">
        <v>3321</v>
      </c>
      <c r="D825" s="42" t="s">
        <v>2478</v>
      </c>
      <c r="E825" s="49" t="b">
        <v>1</v>
      </c>
      <c r="F825" s="74" t="str">
        <f>HYPERLINK("http://nsgreg.nga.mil/genc/view?v=291925&amp;end_month=6&amp;end_day=30&amp;end_year=2019","Bouenza")</f>
        <v>Bouenza</v>
      </c>
      <c r="G825" s="74" t="str">
        <f>HYPERLINK("http://api.nsgreg.nga.mil/geo-division/GENC/6/3-11/CG-11","as:GENC:6:3-11:CG-11")</f>
        <v>as:GENC:6:3-11:CG-11</v>
      </c>
    </row>
    <row r="826" spans="1:7" x14ac:dyDescent="0.25">
      <c r="A826" s="112"/>
      <c r="B826" s="21" t="s">
        <v>3322</v>
      </c>
      <c r="C826" s="21" t="s">
        <v>3323</v>
      </c>
      <c r="D826" s="21" t="s">
        <v>2478</v>
      </c>
      <c r="E826" s="50" t="b">
        <v>1</v>
      </c>
      <c r="F826" s="72" t="str">
        <f>HYPERLINK("http://nsgreg.nga.mil/genc/view?v=291936&amp;end_month=6&amp;end_day=30&amp;end_year=2019","Brazzaville")</f>
        <v>Brazzaville</v>
      </c>
      <c r="G826" s="72" t="str">
        <f>HYPERLINK("http://api.nsgreg.nga.mil/geo-division/GENC/6/3-11/CG-BZV","as:GENC:6:3-11:CG-BZV")</f>
        <v>as:GENC:6:3-11:CG-BZV</v>
      </c>
    </row>
    <row r="827" spans="1:7" x14ac:dyDescent="0.25">
      <c r="A827" s="112"/>
      <c r="B827" s="21" t="s">
        <v>3324</v>
      </c>
      <c r="C827" s="21" t="s">
        <v>3325</v>
      </c>
      <c r="D827" s="21" t="s">
        <v>2478</v>
      </c>
      <c r="E827" s="50" t="b">
        <v>1</v>
      </c>
      <c r="F827" s="72" t="str">
        <f>HYPERLINK("http://nsgreg.nga.mil/genc/view?v=291934&amp;end_month=6&amp;end_day=30&amp;end_year=2019","Cuvette")</f>
        <v>Cuvette</v>
      </c>
      <c r="G827" s="72" t="str">
        <f>HYPERLINK("http://api.nsgreg.nga.mil/geo-division/GENC/6/3-11/CG-8","as:GENC:6:3-11:CG-8")</f>
        <v>as:GENC:6:3-11:CG-8</v>
      </c>
    </row>
    <row r="828" spans="1:7" x14ac:dyDescent="0.25">
      <c r="A828" s="112"/>
      <c r="B828" s="21" t="s">
        <v>3326</v>
      </c>
      <c r="C828" s="21" t="s">
        <v>3327</v>
      </c>
      <c r="D828" s="21" t="s">
        <v>2478</v>
      </c>
      <c r="E828" s="50" t="b">
        <v>1</v>
      </c>
      <c r="F828" s="72" t="str">
        <f>HYPERLINK("http://nsgreg.nga.mil/genc/view?v=291929&amp;end_month=6&amp;end_day=30&amp;end_year=2019","Cuvette-Ouest")</f>
        <v>Cuvette-Ouest</v>
      </c>
      <c r="G828" s="72" t="str">
        <f>HYPERLINK("http://api.nsgreg.nga.mil/geo-division/GENC/6/3-11/CG-15","as:GENC:6:3-11:CG-15")</f>
        <v>as:GENC:6:3-11:CG-15</v>
      </c>
    </row>
    <row r="829" spans="1:7" x14ac:dyDescent="0.25">
      <c r="A829" s="112"/>
      <c r="B829" s="21" t="s">
        <v>3328</v>
      </c>
      <c r="C829" s="21" t="s">
        <v>3329</v>
      </c>
      <c r="D829" s="21" t="s">
        <v>2478</v>
      </c>
      <c r="E829" s="50" t="b">
        <v>1</v>
      </c>
      <c r="F829" s="72" t="str">
        <f>HYPERLINK("http://nsgreg.nga.mil/genc/view?v=291932&amp;end_month=6&amp;end_day=30&amp;end_year=2019","Kouilou")</f>
        <v>Kouilou</v>
      </c>
      <c r="G829" s="72" t="str">
        <f>HYPERLINK("http://api.nsgreg.nga.mil/geo-division/GENC/6/3-11/CG-5","as:GENC:6:3-11:CG-5")</f>
        <v>as:GENC:6:3-11:CG-5</v>
      </c>
    </row>
    <row r="830" spans="1:7" x14ac:dyDescent="0.25">
      <c r="A830" s="112"/>
      <c r="B830" s="21" t="s">
        <v>3330</v>
      </c>
      <c r="C830" s="21" t="s">
        <v>3331</v>
      </c>
      <c r="D830" s="21" t="s">
        <v>2478</v>
      </c>
      <c r="E830" s="50" t="b">
        <v>1</v>
      </c>
      <c r="F830" s="72" t="str">
        <f>HYPERLINK("http://nsgreg.nga.mil/genc/view?v=291931&amp;end_month=6&amp;end_day=30&amp;end_year=2019","Lékoumou")</f>
        <v>Lékoumou</v>
      </c>
      <c r="G830" s="72" t="str">
        <f>HYPERLINK("http://api.nsgreg.nga.mil/geo-division/GENC/6/3-11/CG-2","as:GENC:6:3-11:CG-2")</f>
        <v>as:GENC:6:3-11:CG-2</v>
      </c>
    </row>
    <row r="831" spans="1:7" x14ac:dyDescent="0.25">
      <c r="A831" s="112"/>
      <c r="B831" s="21" t="s">
        <v>3332</v>
      </c>
      <c r="C831" s="21" t="s">
        <v>3333</v>
      </c>
      <c r="D831" s="21" t="s">
        <v>2478</v>
      </c>
      <c r="E831" s="50" t="b">
        <v>1</v>
      </c>
      <c r="F831" s="72" t="str">
        <f>HYPERLINK("http://nsgreg.nga.mil/genc/view?v=291933&amp;end_month=6&amp;end_day=30&amp;end_year=2019","Likouala")</f>
        <v>Likouala</v>
      </c>
      <c r="G831" s="72" t="str">
        <f>HYPERLINK("http://api.nsgreg.nga.mil/geo-division/GENC/6/3-11/CG-7","as:GENC:6:3-11:CG-7")</f>
        <v>as:GENC:6:3-11:CG-7</v>
      </c>
    </row>
    <row r="832" spans="1:7" x14ac:dyDescent="0.25">
      <c r="A832" s="112"/>
      <c r="B832" s="21" t="s">
        <v>3334</v>
      </c>
      <c r="C832" s="21" t="s">
        <v>3335</v>
      </c>
      <c r="D832" s="21" t="s">
        <v>2478</v>
      </c>
      <c r="E832" s="50" t="b">
        <v>1</v>
      </c>
      <c r="F832" s="72" t="str">
        <f>HYPERLINK("http://nsgreg.nga.mil/genc/view?v=291935&amp;end_month=6&amp;end_day=30&amp;end_year=2019","Niari")</f>
        <v>Niari</v>
      </c>
      <c r="G832" s="72" t="str">
        <f>HYPERLINK("http://api.nsgreg.nga.mil/geo-division/GENC/6/3-11/CG-9","as:GENC:6:3-11:CG-9")</f>
        <v>as:GENC:6:3-11:CG-9</v>
      </c>
    </row>
    <row r="833" spans="1:7" x14ac:dyDescent="0.25">
      <c r="A833" s="112"/>
      <c r="B833" s="21" t="s">
        <v>3336</v>
      </c>
      <c r="C833" s="21" t="s">
        <v>3337</v>
      </c>
      <c r="D833" s="21" t="s">
        <v>2478</v>
      </c>
      <c r="E833" s="50" t="b">
        <v>1</v>
      </c>
      <c r="F833" s="72" t="str">
        <f>HYPERLINK("http://nsgreg.nga.mil/genc/view?v=291928&amp;end_month=6&amp;end_day=30&amp;end_year=2019","Plateaux")</f>
        <v>Plateaux</v>
      </c>
      <c r="G833" s="72" t="str">
        <f>HYPERLINK("http://api.nsgreg.nga.mil/geo-division/GENC/6/3-11/CG-14","as:GENC:6:3-11:CG-14")</f>
        <v>as:GENC:6:3-11:CG-14</v>
      </c>
    </row>
    <row r="834" spans="1:7" x14ac:dyDescent="0.25">
      <c r="A834" s="112"/>
      <c r="B834" s="21" t="s">
        <v>3338</v>
      </c>
      <c r="C834" s="21" t="s">
        <v>3339</v>
      </c>
      <c r="D834" s="21" t="s">
        <v>2478</v>
      </c>
      <c r="E834" s="50" t="b">
        <v>1</v>
      </c>
      <c r="F834" s="72" t="str">
        <f>HYPERLINK("http://nsgreg.nga.mil/genc/view?v=291930&amp;end_month=6&amp;end_day=30&amp;end_year=2019","Pointe-Noire")</f>
        <v>Pointe-Noire</v>
      </c>
      <c r="G834" s="72" t="str">
        <f>HYPERLINK("http://api.nsgreg.nga.mil/geo-division/GENC/6/3-11/CG-16","as:GENC:6:3-11:CG-16")</f>
        <v>as:GENC:6:3-11:CG-16</v>
      </c>
    </row>
    <row r="835" spans="1:7" x14ac:dyDescent="0.25">
      <c r="A835" s="112"/>
      <c r="B835" s="21" t="s">
        <v>3340</v>
      </c>
      <c r="C835" s="21" t="s">
        <v>3341</v>
      </c>
      <c r="D835" s="21" t="s">
        <v>2478</v>
      </c>
      <c r="E835" s="50" t="b">
        <v>1</v>
      </c>
      <c r="F835" s="72" t="str">
        <f>HYPERLINK("http://nsgreg.nga.mil/genc/view?v=291926&amp;end_month=6&amp;end_day=30&amp;end_year=2019","Pool")</f>
        <v>Pool</v>
      </c>
      <c r="G835" s="72" t="str">
        <f>HYPERLINK("http://api.nsgreg.nga.mil/geo-division/GENC/6/3-11/CG-12","as:GENC:6:3-11:CG-12")</f>
        <v>as:GENC:6:3-11:CG-12</v>
      </c>
    </row>
    <row r="836" spans="1:7" x14ac:dyDescent="0.25">
      <c r="A836" s="113"/>
      <c r="B836" s="47" t="s">
        <v>3342</v>
      </c>
      <c r="C836" s="47" t="s">
        <v>3343</v>
      </c>
      <c r="D836" s="47" t="s">
        <v>2478</v>
      </c>
      <c r="E836" s="51" t="b">
        <v>1</v>
      </c>
      <c r="F836" s="73" t="str">
        <f>HYPERLINK("http://nsgreg.nga.mil/genc/view?v=291927&amp;end_month=6&amp;end_day=30&amp;end_year=2019","Sangha")</f>
        <v>Sangha</v>
      </c>
      <c r="G836" s="73" t="str">
        <f>HYPERLINK("http://api.nsgreg.nga.mil/geo-division/GENC/6/3-11/CG-13","as:GENC:6:3-11:CG-13")</f>
        <v>as:GENC:6:3-11:CG-13</v>
      </c>
    </row>
    <row r="837" spans="1:7" x14ac:dyDescent="0.25">
      <c r="A837" s="111" t="str">
        <f>HYPERLINK("[#]Codes_for_GE_Names!A60:I60","CONGO (KINSHASA)")</f>
        <v>CONGO (KINSHASA)</v>
      </c>
      <c r="B837" s="42" t="s">
        <v>3344</v>
      </c>
      <c r="C837" s="42" t="s">
        <v>3345</v>
      </c>
      <c r="D837" s="42" t="s">
        <v>1668</v>
      </c>
      <c r="E837" s="49" t="b">
        <v>1</v>
      </c>
      <c r="F837" s="74" t="str">
        <f>HYPERLINK("http://nsgreg.nga.mil/genc/view?v=291883&amp;end_month=6&amp;end_day=30&amp;end_year=2019","Bas-Uélé")</f>
        <v>Bas-Uélé</v>
      </c>
      <c r="G837" s="74" t="str">
        <f>HYPERLINK("http://api.nsgreg.nga.mil/geo-division/GENC/6/3-11/CD-BU","as:GENC:6:3-11:CD-BU")</f>
        <v>as:GENC:6:3-11:CD-BU</v>
      </c>
    </row>
    <row r="838" spans="1:7" x14ac:dyDescent="0.25">
      <c r="A838" s="112"/>
      <c r="B838" s="21" t="s">
        <v>3346</v>
      </c>
      <c r="C838" s="21" t="s">
        <v>3347</v>
      </c>
      <c r="D838" s="21" t="s">
        <v>1668</v>
      </c>
      <c r="E838" s="50" t="b">
        <v>1</v>
      </c>
      <c r="F838" s="72" t="str">
        <f>HYPERLINK("http://nsgreg.nga.mil/genc/view?v=291884&amp;end_month=6&amp;end_day=30&amp;end_year=2019","Équateur")</f>
        <v>Équateur</v>
      </c>
      <c r="G838" s="72" t="str">
        <f>HYPERLINK("http://api.nsgreg.nga.mil/geo-division/GENC/6/3-11/CD-EQ","as:GENC:6:3-11:CD-EQ")</f>
        <v>as:GENC:6:3-11:CD-EQ</v>
      </c>
    </row>
    <row r="839" spans="1:7" x14ac:dyDescent="0.25">
      <c r="A839" s="112"/>
      <c r="B839" s="21" t="s">
        <v>3348</v>
      </c>
      <c r="C839" s="21" t="s">
        <v>3349</v>
      </c>
      <c r="D839" s="21" t="s">
        <v>1668</v>
      </c>
      <c r="E839" s="50" t="b">
        <v>1</v>
      </c>
      <c r="F839" s="72" t="str">
        <f>HYPERLINK("http://nsgreg.nga.mil/genc/view?v=291885&amp;end_month=6&amp;end_day=30&amp;end_year=2019","Haut-Katanga")</f>
        <v>Haut-Katanga</v>
      </c>
      <c r="G839" s="72" t="str">
        <f>HYPERLINK("http://api.nsgreg.nga.mil/geo-division/GENC/6/3-11/CD-HK","as:GENC:6:3-11:CD-HK")</f>
        <v>as:GENC:6:3-11:CD-HK</v>
      </c>
    </row>
    <row r="840" spans="1:7" x14ac:dyDescent="0.25">
      <c r="A840" s="112"/>
      <c r="B840" s="21" t="s">
        <v>3350</v>
      </c>
      <c r="C840" s="21" t="s">
        <v>3351</v>
      </c>
      <c r="D840" s="21" t="s">
        <v>1668</v>
      </c>
      <c r="E840" s="50" t="b">
        <v>1</v>
      </c>
      <c r="F840" s="72" t="str">
        <f>HYPERLINK("http://nsgreg.nga.mil/genc/view?v=291886&amp;end_month=6&amp;end_day=30&amp;end_year=2019","Haut-Lomami")</f>
        <v>Haut-Lomami</v>
      </c>
      <c r="G840" s="72" t="str">
        <f>HYPERLINK("http://api.nsgreg.nga.mil/geo-division/GENC/6/3-11/CD-HL","as:GENC:6:3-11:CD-HL")</f>
        <v>as:GENC:6:3-11:CD-HL</v>
      </c>
    </row>
    <row r="841" spans="1:7" x14ac:dyDescent="0.25">
      <c r="A841" s="112"/>
      <c r="B841" s="21" t="s">
        <v>3352</v>
      </c>
      <c r="C841" s="21" t="s">
        <v>3353</v>
      </c>
      <c r="D841" s="21" t="s">
        <v>1668</v>
      </c>
      <c r="E841" s="50" t="b">
        <v>1</v>
      </c>
      <c r="F841" s="72" t="str">
        <f>HYPERLINK("http://nsgreg.nga.mil/genc/view?v=291887&amp;end_month=6&amp;end_day=30&amp;end_year=2019","Haut-Uélé")</f>
        <v>Haut-Uélé</v>
      </c>
      <c r="G841" s="72" t="str">
        <f>HYPERLINK("http://api.nsgreg.nga.mil/geo-division/GENC/6/3-11/CD-HU","as:GENC:6:3-11:CD-HU")</f>
        <v>as:GENC:6:3-11:CD-HU</v>
      </c>
    </row>
    <row r="842" spans="1:7" x14ac:dyDescent="0.25">
      <c r="A842" s="112"/>
      <c r="B842" s="21" t="s">
        <v>3354</v>
      </c>
      <c r="C842" s="21" t="s">
        <v>3355</v>
      </c>
      <c r="D842" s="21" t="s">
        <v>1668</v>
      </c>
      <c r="E842" s="50" t="b">
        <v>1</v>
      </c>
      <c r="F842" s="72" t="str">
        <f>HYPERLINK("http://nsgreg.nga.mil/genc/view?v=291888&amp;end_month=6&amp;end_day=30&amp;end_year=2019","Ituri")</f>
        <v>Ituri</v>
      </c>
      <c r="G842" s="72" t="str">
        <f>HYPERLINK("http://api.nsgreg.nga.mil/geo-division/GENC/6/3-11/CD-IT","as:GENC:6:3-11:CD-IT")</f>
        <v>as:GENC:6:3-11:CD-IT</v>
      </c>
    </row>
    <row r="843" spans="1:7" x14ac:dyDescent="0.25">
      <c r="A843" s="112"/>
      <c r="B843" s="21" t="s">
        <v>3356</v>
      </c>
      <c r="C843" s="21" t="s">
        <v>3357</v>
      </c>
      <c r="D843" s="21" t="s">
        <v>1668</v>
      </c>
      <c r="E843" s="50" t="b">
        <v>1</v>
      </c>
      <c r="F843" s="72" t="str">
        <f>HYPERLINK("http://nsgreg.nga.mil/genc/view?v=291894&amp;end_month=6&amp;end_day=30&amp;end_year=2019","Kasaï")</f>
        <v>Kasaï</v>
      </c>
      <c r="G843" s="72" t="str">
        <f>HYPERLINK("http://api.nsgreg.nga.mil/geo-division/GENC/6/3-11/CD-KS","as:GENC:6:3-11:CD-KS")</f>
        <v>as:GENC:6:3-11:CD-KS</v>
      </c>
    </row>
    <row r="844" spans="1:7" x14ac:dyDescent="0.25">
      <c r="A844" s="112"/>
      <c r="B844" s="21" t="s">
        <v>3358</v>
      </c>
      <c r="C844" s="21" t="s">
        <v>3359</v>
      </c>
      <c r="D844" s="21" t="s">
        <v>1668</v>
      </c>
      <c r="E844" s="50" t="b">
        <v>1</v>
      </c>
      <c r="F844" s="72" t="str">
        <f>HYPERLINK("http://nsgreg.nga.mil/genc/view?v=291889&amp;end_month=6&amp;end_day=30&amp;end_year=2019","Kasaï Central")</f>
        <v>Kasaï Central</v>
      </c>
      <c r="G844" s="72" t="str">
        <f>HYPERLINK("http://api.nsgreg.nga.mil/geo-division/GENC/6/3-11/CD-KC","as:GENC:6:3-11:CD-KC")</f>
        <v>as:GENC:6:3-11:CD-KC</v>
      </c>
    </row>
    <row r="845" spans="1:7" x14ac:dyDescent="0.25">
      <c r="A845" s="112"/>
      <c r="B845" s="21" t="s">
        <v>3360</v>
      </c>
      <c r="C845" s="21" t="s">
        <v>3361</v>
      </c>
      <c r="D845" s="21" t="s">
        <v>1668</v>
      </c>
      <c r="E845" s="50" t="b">
        <v>1</v>
      </c>
      <c r="F845" s="72" t="str">
        <f>HYPERLINK("http://nsgreg.nga.mil/genc/view?v=291890&amp;end_month=6&amp;end_day=30&amp;end_year=2019","Kasaï Oriental")</f>
        <v>Kasaï Oriental</v>
      </c>
      <c r="G845" s="72" t="str">
        <f>HYPERLINK("http://api.nsgreg.nga.mil/geo-division/GENC/6/3-11/CD-KE","as:GENC:6:3-11:CD-KE")</f>
        <v>as:GENC:6:3-11:CD-KE</v>
      </c>
    </row>
    <row r="846" spans="1:7" x14ac:dyDescent="0.25">
      <c r="A846" s="112"/>
      <c r="B846" s="21" t="s">
        <v>3362</v>
      </c>
      <c r="C846" s="21" t="s">
        <v>3363</v>
      </c>
      <c r="D846" s="21" t="s">
        <v>1996</v>
      </c>
      <c r="E846" s="50" t="b">
        <v>1</v>
      </c>
      <c r="F846" s="72" t="str">
        <f>HYPERLINK("http://nsgreg.nga.mil/genc/view?v=291893&amp;end_month=6&amp;end_day=30&amp;end_year=2019","Kinshasa")</f>
        <v>Kinshasa</v>
      </c>
      <c r="G846" s="72" t="str">
        <f>HYPERLINK("http://api.nsgreg.nga.mil/geo-division/GENC/6/3-11/CD-KN","as:GENC:6:3-11:CD-KN")</f>
        <v>as:GENC:6:3-11:CD-KN</v>
      </c>
    </row>
    <row r="847" spans="1:7" x14ac:dyDescent="0.25">
      <c r="A847" s="112"/>
      <c r="B847" s="21" t="s">
        <v>3364</v>
      </c>
      <c r="C847" s="21" t="s">
        <v>3365</v>
      </c>
      <c r="D847" s="21" t="s">
        <v>1668</v>
      </c>
      <c r="E847" s="50" t="b">
        <v>1</v>
      </c>
      <c r="F847" s="72" t="str">
        <f>HYPERLINK("http://nsgreg.nga.mil/genc/view?v=291882&amp;end_month=6&amp;end_day=30&amp;end_year=2019","Kongo Central")</f>
        <v>Kongo Central</v>
      </c>
      <c r="G847" s="72" t="str">
        <f>HYPERLINK("http://api.nsgreg.nga.mil/geo-division/GENC/6/3-11/CD-BC","as:GENC:6:3-11:CD-BC")</f>
        <v>as:GENC:6:3-11:CD-BC</v>
      </c>
    </row>
    <row r="848" spans="1:7" x14ac:dyDescent="0.25">
      <c r="A848" s="112"/>
      <c r="B848" s="21" t="s">
        <v>3366</v>
      </c>
      <c r="C848" s="21" t="s">
        <v>3367</v>
      </c>
      <c r="D848" s="21" t="s">
        <v>1668</v>
      </c>
      <c r="E848" s="50" t="b">
        <v>1</v>
      </c>
      <c r="F848" s="72" t="str">
        <f>HYPERLINK("http://nsgreg.nga.mil/genc/view?v=291891&amp;end_month=6&amp;end_day=30&amp;end_year=2019","Kwango")</f>
        <v>Kwango</v>
      </c>
      <c r="G848" s="72" t="str">
        <f>HYPERLINK("http://api.nsgreg.nga.mil/geo-division/GENC/6/3-11/CD-KG","as:GENC:6:3-11:CD-KG")</f>
        <v>as:GENC:6:3-11:CD-KG</v>
      </c>
    </row>
    <row r="849" spans="1:7" x14ac:dyDescent="0.25">
      <c r="A849" s="112"/>
      <c r="B849" s="21" t="s">
        <v>3368</v>
      </c>
      <c r="C849" s="21" t="s">
        <v>3369</v>
      </c>
      <c r="D849" s="21" t="s">
        <v>1668</v>
      </c>
      <c r="E849" s="50" t="b">
        <v>1</v>
      </c>
      <c r="F849" s="72" t="str">
        <f>HYPERLINK("http://nsgreg.nga.mil/genc/view?v=291892&amp;end_month=6&amp;end_day=30&amp;end_year=2019","Kwilu")</f>
        <v>Kwilu</v>
      </c>
      <c r="G849" s="72" t="str">
        <f>HYPERLINK("http://api.nsgreg.nga.mil/geo-division/GENC/6/3-11/CD-KL","as:GENC:6:3-11:CD-KL")</f>
        <v>as:GENC:6:3-11:CD-KL</v>
      </c>
    </row>
    <row r="850" spans="1:7" x14ac:dyDescent="0.25">
      <c r="A850" s="112"/>
      <c r="B850" s="21" t="s">
        <v>3370</v>
      </c>
      <c r="C850" s="21" t="s">
        <v>3371</v>
      </c>
      <c r="D850" s="21" t="s">
        <v>1668</v>
      </c>
      <c r="E850" s="50" t="b">
        <v>1</v>
      </c>
      <c r="F850" s="72" t="str">
        <f>HYPERLINK("http://nsgreg.nga.mil/genc/view?v=291895&amp;end_month=6&amp;end_day=30&amp;end_year=2019","Lomami")</f>
        <v>Lomami</v>
      </c>
      <c r="G850" s="72" t="str">
        <f>HYPERLINK("http://api.nsgreg.nga.mil/geo-division/GENC/6/3-11/CD-LO","as:GENC:6:3-11:CD-LO")</f>
        <v>as:GENC:6:3-11:CD-LO</v>
      </c>
    </row>
    <row r="851" spans="1:7" x14ac:dyDescent="0.25">
      <c r="A851" s="112"/>
      <c r="B851" s="21" t="s">
        <v>3372</v>
      </c>
      <c r="C851" s="21" t="s">
        <v>3373</v>
      </c>
      <c r="D851" s="21" t="s">
        <v>1668</v>
      </c>
      <c r="E851" s="50" t="b">
        <v>1</v>
      </c>
      <c r="F851" s="72" t="str">
        <f>HYPERLINK("http://nsgreg.nga.mil/genc/view?v=291896&amp;end_month=6&amp;end_day=30&amp;end_year=2019","Lualaba")</f>
        <v>Lualaba</v>
      </c>
      <c r="G851" s="72" t="str">
        <f>HYPERLINK("http://api.nsgreg.nga.mil/geo-division/GENC/6/3-11/CD-LU","as:GENC:6:3-11:CD-LU")</f>
        <v>as:GENC:6:3-11:CD-LU</v>
      </c>
    </row>
    <row r="852" spans="1:7" x14ac:dyDescent="0.25">
      <c r="A852" s="112"/>
      <c r="B852" s="21" t="s">
        <v>3374</v>
      </c>
      <c r="C852" s="21" t="s">
        <v>3375</v>
      </c>
      <c r="D852" s="21" t="s">
        <v>1668</v>
      </c>
      <c r="E852" s="50" t="b">
        <v>1</v>
      </c>
      <c r="F852" s="72" t="str">
        <f>HYPERLINK("http://nsgreg.nga.mil/genc/view?v=291898&amp;end_month=6&amp;end_day=30&amp;end_year=2019","Mai-Ndombe")</f>
        <v>Mai-Ndombe</v>
      </c>
      <c r="G852" s="72" t="str">
        <f>HYPERLINK("http://api.nsgreg.nga.mil/geo-division/GENC/6/3-11/CD-MN","as:GENC:6:3-11:CD-MN")</f>
        <v>as:GENC:6:3-11:CD-MN</v>
      </c>
    </row>
    <row r="853" spans="1:7" x14ac:dyDescent="0.25">
      <c r="A853" s="112"/>
      <c r="B853" s="21" t="s">
        <v>3376</v>
      </c>
      <c r="C853" s="21" t="s">
        <v>3377</v>
      </c>
      <c r="D853" s="21" t="s">
        <v>1668</v>
      </c>
      <c r="E853" s="50" t="b">
        <v>1</v>
      </c>
      <c r="F853" s="72" t="str">
        <f>HYPERLINK("http://nsgreg.nga.mil/genc/view?v=291897&amp;end_month=6&amp;end_day=30&amp;end_year=2019","Maniema")</f>
        <v>Maniema</v>
      </c>
      <c r="G853" s="72" t="str">
        <f>HYPERLINK("http://api.nsgreg.nga.mil/geo-division/GENC/6/3-11/CD-MA","as:GENC:6:3-11:CD-MA")</f>
        <v>as:GENC:6:3-11:CD-MA</v>
      </c>
    </row>
    <row r="854" spans="1:7" x14ac:dyDescent="0.25">
      <c r="A854" s="112"/>
      <c r="B854" s="21" t="s">
        <v>3378</v>
      </c>
      <c r="C854" s="21" t="s">
        <v>3379</v>
      </c>
      <c r="D854" s="21" t="s">
        <v>1668</v>
      </c>
      <c r="E854" s="50" t="b">
        <v>1</v>
      </c>
      <c r="F854" s="72" t="str">
        <f>HYPERLINK("http://nsgreg.nga.mil/genc/view?v=291899&amp;end_month=6&amp;end_day=30&amp;end_year=2019","Mongala")</f>
        <v>Mongala</v>
      </c>
      <c r="G854" s="72" t="str">
        <f>HYPERLINK("http://api.nsgreg.nga.mil/geo-division/GENC/6/3-11/CD-MO","as:GENC:6:3-11:CD-MO")</f>
        <v>as:GENC:6:3-11:CD-MO</v>
      </c>
    </row>
    <row r="855" spans="1:7" x14ac:dyDescent="0.25">
      <c r="A855" s="112"/>
      <c r="B855" s="21" t="s">
        <v>3380</v>
      </c>
      <c r="C855" s="21" t="s">
        <v>3381</v>
      </c>
      <c r="D855" s="21" t="s">
        <v>1668</v>
      </c>
      <c r="E855" s="50" t="b">
        <v>1</v>
      </c>
      <c r="F855" s="72" t="str">
        <f>HYPERLINK("http://nsgreg.nga.mil/genc/view?v=291900&amp;end_month=6&amp;end_day=30&amp;end_year=2019","Nord-Kivu")</f>
        <v>Nord-Kivu</v>
      </c>
      <c r="G855" s="72" t="str">
        <f>HYPERLINK("http://api.nsgreg.nga.mil/geo-division/GENC/6/3-11/CD-NK","as:GENC:6:3-11:CD-NK")</f>
        <v>as:GENC:6:3-11:CD-NK</v>
      </c>
    </row>
    <row r="856" spans="1:7" x14ac:dyDescent="0.25">
      <c r="A856" s="112"/>
      <c r="B856" s="21" t="s">
        <v>3382</v>
      </c>
      <c r="C856" s="21" t="s">
        <v>3383</v>
      </c>
      <c r="D856" s="21" t="s">
        <v>1668</v>
      </c>
      <c r="E856" s="50" t="b">
        <v>1</v>
      </c>
      <c r="F856" s="72" t="str">
        <f>HYPERLINK("http://nsgreg.nga.mil/genc/view?v=291901&amp;end_month=6&amp;end_day=30&amp;end_year=2019","Nord-Ubangi")</f>
        <v>Nord-Ubangi</v>
      </c>
      <c r="G856" s="72" t="str">
        <f>HYPERLINK("http://api.nsgreg.nga.mil/geo-division/GENC/6/3-11/CD-NU","as:GENC:6:3-11:CD-NU")</f>
        <v>as:GENC:6:3-11:CD-NU</v>
      </c>
    </row>
    <row r="857" spans="1:7" x14ac:dyDescent="0.25">
      <c r="A857" s="112"/>
      <c r="B857" s="21" t="s">
        <v>3384</v>
      </c>
      <c r="C857" s="21" t="s">
        <v>3385</v>
      </c>
      <c r="D857" s="21" t="s">
        <v>1668</v>
      </c>
      <c r="E857" s="50" t="b">
        <v>1</v>
      </c>
      <c r="F857" s="72" t="str">
        <f>HYPERLINK("http://nsgreg.nga.mil/genc/view?v=291902&amp;end_month=6&amp;end_day=30&amp;end_year=2019","Sankuru")</f>
        <v>Sankuru</v>
      </c>
      <c r="G857" s="72" t="str">
        <f>HYPERLINK("http://api.nsgreg.nga.mil/geo-division/GENC/6/3-11/CD-SA","as:GENC:6:3-11:CD-SA")</f>
        <v>as:GENC:6:3-11:CD-SA</v>
      </c>
    </row>
    <row r="858" spans="1:7" x14ac:dyDescent="0.25">
      <c r="A858" s="112"/>
      <c r="B858" s="21" t="s">
        <v>3386</v>
      </c>
      <c r="C858" s="21" t="s">
        <v>3387</v>
      </c>
      <c r="D858" s="21" t="s">
        <v>1668</v>
      </c>
      <c r="E858" s="50" t="b">
        <v>1</v>
      </c>
      <c r="F858" s="72" t="str">
        <f>HYPERLINK("http://nsgreg.nga.mil/genc/view?v=291903&amp;end_month=6&amp;end_day=30&amp;end_year=2019","Sud-Kivu")</f>
        <v>Sud-Kivu</v>
      </c>
      <c r="G858" s="72" t="str">
        <f>HYPERLINK("http://api.nsgreg.nga.mil/geo-division/GENC/6/3-11/CD-SK","as:GENC:6:3-11:CD-SK")</f>
        <v>as:GENC:6:3-11:CD-SK</v>
      </c>
    </row>
    <row r="859" spans="1:7" x14ac:dyDescent="0.25">
      <c r="A859" s="112"/>
      <c r="B859" s="21" t="s">
        <v>3388</v>
      </c>
      <c r="C859" s="21" t="s">
        <v>3389</v>
      </c>
      <c r="D859" s="21" t="s">
        <v>1668</v>
      </c>
      <c r="E859" s="50" t="b">
        <v>1</v>
      </c>
      <c r="F859" s="72" t="str">
        <f>HYPERLINK("http://nsgreg.nga.mil/genc/view?v=291904&amp;end_month=6&amp;end_day=30&amp;end_year=2019","Sud-Ubangi")</f>
        <v>Sud-Ubangi</v>
      </c>
      <c r="G859" s="72" t="str">
        <f>HYPERLINK("http://api.nsgreg.nga.mil/geo-division/GENC/6/3-11/CD-SU","as:GENC:6:3-11:CD-SU")</f>
        <v>as:GENC:6:3-11:CD-SU</v>
      </c>
    </row>
    <row r="860" spans="1:7" x14ac:dyDescent="0.25">
      <c r="A860" s="112"/>
      <c r="B860" s="21" t="s">
        <v>3390</v>
      </c>
      <c r="C860" s="21" t="s">
        <v>3391</v>
      </c>
      <c r="D860" s="21" t="s">
        <v>1668</v>
      </c>
      <c r="E860" s="50" t="b">
        <v>1</v>
      </c>
      <c r="F860" s="72" t="str">
        <f>HYPERLINK("http://nsgreg.nga.mil/genc/view?v=291905&amp;end_month=6&amp;end_day=30&amp;end_year=2019","Tanganyika")</f>
        <v>Tanganyika</v>
      </c>
      <c r="G860" s="72" t="str">
        <f>HYPERLINK("http://api.nsgreg.nga.mil/geo-division/GENC/6/3-11/CD-TA","as:GENC:6:3-11:CD-TA")</f>
        <v>as:GENC:6:3-11:CD-TA</v>
      </c>
    </row>
    <row r="861" spans="1:7" x14ac:dyDescent="0.25">
      <c r="A861" s="112"/>
      <c r="B861" s="21" t="s">
        <v>3392</v>
      </c>
      <c r="C861" s="21" t="s">
        <v>3393</v>
      </c>
      <c r="D861" s="21" t="s">
        <v>1668</v>
      </c>
      <c r="E861" s="50" t="b">
        <v>1</v>
      </c>
      <c r="F861" s="72" t="str">
        <f>HYPERLINK("http://nsgreg.nga.mil/genc/view?v=291906&amp;end_month=6&amp;end_day=30&amp;end_year=2019","Tshopo")</f>
        <v>Tshopo</v>
      </c>
      <c r="G861" s="72" t="str">
        <f>HYPERLINK("http://api.nsgreg.nga.mil/geo-division/GENC/6/3-11/CD-TO","as:GENC:6:3-11:CD-TO")</f>
        <v>as:GENC:6:3-11:CD-TO</v>
      </c>
    </row>
    <row r="862" spans="1:7" x14ac:dyDescent="0.25">
      <c r="A862" s="113"/>
      <c r="B862" s="47" t="s">
        <v>3394</v>
      </c>
      <c r="C862" s="47" t="s">
        <v>3395</v>
      </c>
      <c r="D862" s="47" t="s">
        <v>1668</v>
      </c>
      <c r="E862" s="51" t="b">
        <v>1</v>
      </c>
      <c r="F862" s="73" t="str">
        <f>HYPERLINK("http://nsgreg.nga.mil/genc/view?v=291907&amp;end_month=6&amp;end_day=30&amp;end_year=2019","Tshuapa")</f>
        <v>Tshuapa</v>
      </c>
      <c r="G862" s="73" t="str">
        <f>HYPERLINK("http://api.nsgreg.nga.mil/geo-division/GENC/6/3-11/CD-TU","as:GENC:6:3-11:CD-TU")</f>
        <v>as:GENC:6:3-11:CD-TU</v>
      </c>
    </row>
    <row r="863" spans="1:7" x14ac:dyDescent="0.25">
      <c r="A863" s="111" t="str">
        <f>HYPERLINK("[#]Codes_for_GE_Names!A63:I63","COSTA RICA")</f>
        <v>COSTA RICA</v>
      </c>
      <c r="B863" s="42" t="s">
        <v>3396</v>
      </c>
      <c r="C863" s="42" t="s">
        <v>3397</v>
      </c>
      <c r="D863" s="42" t="s">
        <v>1668</v>
      </c>
      <c r="E863" s="49" t="b">
        <v>1</v>
      </c>
      <c r="F863" s="74" t="str">
        <f>HYPERLINK("http://nsgreg.nga.mil/genc/view?v=292070&amp;end_month=6&amp;end_day=30&amp;end_year=2019","Alajuela")</f>
        <v>Alajuela</v>
      </c>
      <c r="G863" s="74" t="str">
        <f>HYPERLINK("http://api.nsgreg.nga.mil/geo-division/GENC/6/3-11/CR-A","as:GENC:6:3-11:CR-A")</f>
        <v>as:GENC:6:3-11:CR-A</v>
      </c>
    </row>
    <row r="864" spans="1:7" x14ac:dyDescent="0.25">
      <c r="A864" s="112"/>
      <c r="B864" s="21" t="s">
        <v>3398</v>
      </c>
      <c r="C864" s="21" t="s">
        <v>3399</v>
      </c>
      <c r="D864" s="21" t="s">
        <v>1668</v>
      </c>
      <c r="E864" s="50" t="b">
        <v>1</v>
      </c>
      <c r="F864" s="72" t="str">
        <f>HYPERLINK("http://nsgreg.nga.mil/genc/view?v=292071&amp;end_month=6&amp;end_day=30&amp;end_year=2019","Cartago")</f>
        <v>Cartago</v>
      </c>
      <c r="G864" s="72" t="str">
        <f>HYPERLINK("http://api.nsgreg.nga.mil/geo-division/GENC/6/3-11/CR-C","as:GENC:6:3-11:CR-C")</f>
        <v>as:GENC:6:3-11:CR-C</v>
      </c>
    </row>
    <row r="865" spans="1:7" x14ac:dyDescent="0.25">
      <c r="A865" s="112"/>
      <c r="B865" s="21" t="s">
        <v>3400</v>
      </c>
      <c r="C865" s="21" t="s">
        <v>3401</v>
      </c>
      <c r="D865" s="21" t="s">
        <v>1668</v>
      </c>
      <c r="E865" s="50" t="b">
        <v>1</v>
      </c>
      <c r="F865" s="72" t="str">
        <f>HYPERLINK("http://nsgreg.nga.mil/genc/view?v=292072&amp;end_month=6&amp;end_day=30&amp;end_year=2019","Guanacaste")</f>
        <v>Guanacaste</v>
      </c>
      <c r="G865" s="72" t="str">
        <f>HYPERLINK("http://api.nsgreg.nga.mil/geo-division/GENC/6/3-11/CR-G","as:GENC:6:3-11:CR-G")</f>
        <v>as:GENC:6:3-11:CR-G</v>
      </c>
    </row>
    <row r="866" spans="1:7" x14ac:dyDescent="0.25">
      <c r="A866" s="112"/>
      <c r="B866" s="21" t="s">
        <v>3402</v>
      </c>
      <c r="C866" s="21" t="s">
        <v>3403</v>
      </c>
      <c r="D866" s="21" t="s">
        <v>1668</v>
      </c>
      <c r="E866" s="50" t="b">
        <v>1</v>
      </c>
      <c r="F866" s="72" t="str">
        <f>HYPERLINK("http://nsgreg.nga.mil/genc/view?v=292073&amp;end_month=6&amp;end_day=30&amp;end_year=2019","Heredia")</f>
        <v>Heredia</v>
      </c>
      <c r="G866" s="72" t="str">
        <f>HYPERLINK("http://api.nsgreg.nga.mil/geo-division/GENC/6/3-11/CR-H","as:GENC:6:3-11:CR-H")</f>
        <v>as:GENC:6:3-11:CR-H</v>
      </c>
    </row>
    <row r="867" spans="1:7" x14ac:dyDescent="0.25">
      <c r="A867" s="112"/>
      <c r="B867" s="21" t="s">
        <v>3404</v>
      </c>
      <c r="C867" s="21" t="s">
        <v>3405</v>
      </c>
      <c r="D867" s="21" t="s">
        <v>1668</v>
      </c>
      <c r="E867" s="50" t="b">
        <v>1</v>
      </c>
      <c r="F867" s="72" t="str">
        <f>HYPERLINK("http://nsgreg.nga.mil/genc/view?v=292074&amp;end_month=6&amp;end_day=30&amp;end_year=2019","Limón")</f>
        <v>Limón</v>
      </c>
      <c r="G867" s="72" t="str">
        <f>HYPERLINK("http://api.nsgreg.nga.mil/geo-division/GENC/6/3-11/CR-L","as:GENC:6:3-11:CR-L")</f>
        <v>as:GENC:6:3-11:CR-L</v>
      </c>
    </row>
    <row r="868" spans="1:7" x14ac:dyDescent="0.25">
      <c r="A868" s="112"/>
      <c r="B868" s="21" t="s">
        <v>3406</v>
      </c>
      <c r="C868" s="21" t="s">
        <v>3407</v>
      </c>
      <c r="D868" s="21" t="s">
        <v>1668</v>
      </c>
      <c r="E868" s="50" t="b">
        <v>1</v>
      </c>
      <c r="F868" s="72" t="str">
        <f>HYPERLINK("http://nsgreg.nga.mil/genc/view?v=292075&amp;end_month=6&amp;end_day=30&amp;end_year=2019","Puntarenas")</f>
        <v>Puntarenas</v>
      </c>
      <c r="G868" s="72" t="str">
        <f>HYPERLINK("http://api.nsgreg.nga.mil/geo-division/GENC/6/3-11/CR-P","as:GENC:6:3-11:CR-P")</f>
        <v>as:GENC:6:3-11:CR-P</v>
      </c>
    </row>
    <row r="869" spans="1:7" x14ac:dyDescent="0.25">
      <c r="A869" s="113"/>
      <c r="B869" s="47" t="s">
        <v>3408</v>
      </c>
      <c r="C869" s="47" t="s">
        <v>3409</v>
      </c>
      <c r="D869" s="47" t="s">
        <v>1668</v>
      </c>
      <c r="E869" s="51" t="b">
        <v>1</v>
      </c>
      <c r="F869" s="73" t="str">
        <f>HYPERLINK("http://nsgreg.nga.mil/genc/view?v=292076&amp;end_month=6&amp;end_day=30&amp;end_year=2019","San José")</f>
        <v>San José</v>
      </c>
      <c r="G869" s="73" t="str">
        <f>HYPERLINK("http://api.nsgreg.nga.mil/geo-division/GENC/6/3-11/CR-SJ","as:GENC:6:3-11:CR-SJ")</f>
        <v>as:GENC:6:3-11:CR-SJ</v>
      </c>
    </row>
    <row r="870" spans="1:7" x14ac:dyDescent="0.25">
      <c r="A870" s="111" t="str">
        <f>HYPERLINK("[#]Codes_for_GE_Names!A64:I64","CÔTE D’IVOIRE")</f>
        <v>CÔTE D’IVOIRE</v>
      </c>
      <c r="B870" s="42" t="s">
        <v>3410</v>
      </c>
      <c r="C870" s="42" t="s">
        <v>3411</v>
      </c>
      <c r="D870" s="42" t="s">
        <v>3412</v>
      </c>
      <c r="E870" s="49" t="b">
        <v>1</v>
      </c>
      <c r="F870" s="74" t="str">
        <f>HYPERLINK("http://nsgreg.nga.mil/genc/view?v=291963&amp;end_month=6&amp;end_day=30&amp;end_year=2019","Abidjan")</f>
        <v>Abidjan</v>
      </c>
      <c r="G870" s="74" t="str">
        <f>HYPERLINK("http://api.nsgreg.nga.mil/geo-division/GENC/6/3-11/CI-AB","as:GENC:6:3-11:CI-AB")</f>
        <v>as:GENC:6:3-11:CI-AB</v>
      </c>
    </row>
    <row r="871" spans="1:7" x14ac:dyDescent="0.25">
      <c r="A871" s="112"/>
      <c r="B871" s="21" t="s">
        <v>3413</v>
      </c>
      <c r="C871" s="21" t="s">
        <v>3414</v>
      </c>
      <c r="D871" s="21" t="s">
        <v>2035</v>
      </c>
      <c r="E871" s="50" t="b">
        <v>1</v>
      </c>
      <c r="F871" s="72" t="str">
        <f>HYPERLINK("http://nsgreg.nga.mil/genc/view?v=291964&amp;end_month=6&amp;end_day=30&amp;end_year=2019","Bas-Sassandra")</f>
        <v>Bas-Sassandra</v>
      </c>
      <c r="G871" s="72" t="str">
        <f>HYPERLINK("http://api.nsgreg.nga.mil/geo-division/GENC/6/3-11/CI-BS","as:GENC:6:3-11:CI-BS")</f>
        <v>as:GENC:6:3-11:CI-BS</v>
      </c>
    </row>
    <row r="872" spans="1:7" x14ac:dyDescent="0.25">
      <c r="A872" s="112"/>
      <c r="B872" s="21" t="s">
        <v>3415</v>
      </c>
      <c r="C872" s="21" t="s">
        <v>3416</v>
      </c>
      <c r="D872" s="21" t="s">
        <v>2035</v>
      </c>
      <c r="E872" s="50" t="b">
        <v>1</v>
      </c>
      <c r="F872" s="72" t="str">
        <f>HYPERLINK("http://nsgreg.nga.mil/genc/view?v=291965&amp;end_month=6&amp;end_day=30&amp;end_year=2019","Comoé")</f>
        <v>Comoé</v>
      </c>
      <c r="G872" s="72" t="str">
        <f>HYPERLINK("http://api.nsgreg.nga.mil/geo-division/GENC/6/3-11/CI-CM","as:GENC:6:3-11:CI-CM")</f>
        <v>as:GENC:6:3-11:CI-CM</v>
      </c>
    </row>
    <row r="873" spans="1:7" x14ac:dyDescent="0.25">
      <c r="A873" s="112"/>
      <c r="B873" s="21" t="s">
        <v>3417</v>
      </c>
      <c r="C873" s="21" t="s">
        <v>3418</v>
      </c>
      <c r="D873" s="21" t="s">
        <v>2035</v>
      </c>
      <c r="E873" s="50" t="b">
        <v>1</v>
      </c>
      <c r="F873" s="72" t="str">
        <f>HYPERLINK("http://nsgreg.nga.mil/genc/view?v=291966&amp;end_month=6&amp;end_day=30&amp;end_year=2019","Denguélé")</f>
        <v>Denguélé</v>
      </c>
      <c r="G873" s="72" t="str">
        <f>HYPERLINK("http://api.nsgreg.nga.mil/geo-division/GENC/6/3-11/CI-DN","as:GENC:6:3-11:CI-DN")</f>
        <v>as:GENC:6:3-11:CI-DN</v>
      </c>
    </row>
    <row r="874" spans="1:7" x14ac:dyDescent="0.25">
      <c r="A874" s="112"/>
      <c r="B874" s="21" t="s">
        <v>3419</v>
      </c>
      <c r="C874" s="21" t="s">
        <v>3420</v>
      </c>
      <c r="D874" s="21" t="s">
        <v>2035</v>
      </c>
      <c r="E874" s="50" t="b">
        <v>1</v>
      </c>
      <c r="F874" s="72" t="str">
        <f>HYPERLINK("http://nsgreg.nga.mil/genc/view?v=291967&amp;end_month=6&amp;end_day=30&amp;end_year=2019","Gôh-Djiboua")</f>
        <v>Gôh-Djiboua</v>
      </c>
      <c r="G874" s="72" t="str">
        <f>HYPERLINK("http://api.nsgreg.nga.mil/geo-division/GENC/6/3-11/CI-GD","as:GENC:6:3-11:CI-GD")</f>
        <v>as:GENC:6:3-11:CI-GD</v>
      </c>
    </row>
    <row r="875" spans="1:7" x14ac:dyDescent="0.25">
      <c r="A875" s="112"/>
      <c r="B875" s="21" t="s">
        <v>3421</v>
      </c>
      <c r="C875" s="21" t="s">
        <v>3422</v>
      </c>
      <c r="D875" s="21" t="s">
        <v>2035</v>
      </c>
      <c r="E875" s="50" t="b">
        <v>1</v>
      </c>
      <c r="F875" s="72" t="str">
        <f>HYPERLINK("http://nsgreg.nga.mil/genc/view?v=291968&amp;end_month=6&amp;end_day=30&amp;end_year=2019","Lacs")</f>
        <v>Lacs</v>
      </c>
      <c r="G875" s="72" t="str">
        <f>HYPERLINK("http://api.nsgreg.nga.mil/geo-division/GENC/6/3-11/CI-LC","as:GENC:6:3-11:CI-LC")</f>
        <v>as:GENC:6:3-11:CI-LC</v>
      </c>
    </row>
    <row r="876" spans="1:7" x14ac:dyDescent="0.25">
      <c r="A876" s="112"/>
      <c r="B876" s="21" t="s">
        <v>3423</v>
      </c>
      <c r="C876" s="21" t="s">
        <v>3424</v>
      </c>
      <c r="D876" s="21" t="s">
        <v>2035</v>
      </c>
      <c r="E876" s="50" t="b">
        <v>1</v>
      </c>
      <c r="F876" s="72" t="str">
        <f>HYPERLINK("http://nsgreg.nga.mil/genc/view?v=291969&amp;end_month=6&amp;end_day=30&amp;end_year=2019","Lagunes")</f>
        <v>Lagunes</v>
      </c>
      <c r="G876" s="72" t="str">
        <f>HYPERLINK("http://api.nsgreg.nga.mil/geo-division/GENC/6/3-11/CI-LG","as:GENC:6:3-11:CI-LG")</f>
        <v>as:GENC:6:3-11:CI-LG</v>
      </c>
    </row>
    <row r="877" spans="1:7" x14ac:dyDescent="0.25">
      <c r="A877" s="112"/>
      <c r="B877" s="21" t="s">
        <v>3425</v>
      </c>
      <c r="C877" s="21" t="s">
        <v>3426</v>
      </c>
      <c r="D877" s="21" t="s">
        <v>2035</v>
      </c>
      <c r="E877" s="50" t="b">
        <v>1</v>
      </c>
      <c r="F877" s="72" t="str">
        <f>HYPERLINK("http://nsgreg.nga.mil/genc/view?v=291970&amp;end_month=6&amp;end_day=30&amp;end_year=2019","Montagnes")</f>
        <v>Montagnes</v>
      </c>
      <c r="G877" s="72" t="str">
        <f>HYPERLINK("http://api.nsgreg.nga.mil/geo-division/GENC/6/3-11/CI-MG","as:GENC:6:3-11:CI-MG")</f>
        <v>as:GENC:6:3-11:CI-MG</v>
      </c>
    </row>
    <row r="878" spans="1:7" x14ac:dyDescent="0.25">
      <c r="A878" s="112"/>
      <c r="B878" s="21" t="s">
        <v>3427</v>
      </c>
      <c r="C878" s="21" t="s">
        <v>3428</v>
      </c>
      <c r="D878" s="21" t="s">
        <v>2035</v>
      </c>
      <c r="E878" s="50" t="b">
        <v>1</v>
      </c>
      <c r="F878" s="72" t="str">
        <f>HYPERLINK("http://nsgreg.nga.mil/genc/view?v=291971&amp;end_month=6&amp;end_day=30&amp;end_year=2019","Sassandra-Marahoué")</f>
        <v>Sassandra-Marahoué</v>
      </c>
      <c r="G878" s="72" t="str">
        <f>HYPERLINK("http://api.nsgreg.nga.mil/geo-division/GENC/6/3-11/CI-SM","as:GENC:6:3-11:CI-SM")</f>
        <v>as:GENC:6:3-11:CI-SM</v>
      </c>
    </row>
    <row r="879" spans="1:7" x14ac:dyDescent="0.25">
      <c r="A879" s="112"/>
      <c r="B879" s="21" t="s">
        <v>3429</v>
      </c>
      <c r="C879" s="21" t="s">
        <v>3430</v>
      </c>
      <c r="D879" s="21" t="s">
        <v>2035</v>
      </c>
      <c r="E879" s="50" t="b">
        <v>1</v>
      </c>
      <c r="F879" s="72" t="str">
        <f>HYPERLINK("http://nsgreg.nga.mil/genc/view?v=291972&amp;end_month=6&amp;end_day=30&amp;end_year=2019","Savanes")</f>
        <v>Savanes</v>
      </c>
      <c r="G879" s="72" t="str">
        <f>HYPERLINK("http://api.nsgreg.nga.mil/geo-division/GENC/6/3-11/CI-SV","as:GENC:6:3-11:CI-SV")</f>
        <v>as:GENC:6:3-11:CI-SV</v>
      </c>
    </row>
    <row r="880" spans="1:7" x14ac:dyDescent="0.25">
      <c r="A880" s="112"/>
      <c r="B880" s="21" t="s">
        <v>3431</v>
      </c>
      <c r="C880" s="21" t="s">
        <v>3432</v>
      </c>
      <c r="D880" s="21" t="s">
        <v>2035</v>
      </c>
      <c r="E880" s="50" t="b">
        <v>1</v>
      </c>
      <c r="F880" s="72" t="str">
        <f>HYPERLINK("http://nsgreg.nga.mil/genc/view?v=291973&amp;end_month=6&amp;end_day=30&amp;end_year=2019","Vallée du Bandama")</f>
        <v>Vallée du Bandama</v>
      </c>
      <c r="G880" s="72" t="str">
        <f>HYPERLINK("http://api.nsgreg.nga.mil/geo-division/GENC/6/3-11/CI-VB","as:GENC:6:3-11:CI-VB")</f>
        <v>as:GENC:6:3-11:CI-VB</v>
      </c>
    </row>
    <row r="881" spans="1:7" x14ac:dyDescent="0.25">
      <c r="A881" s="112"/>
      <c r="B881" s="21" t="s">
        <v>3433</v>
      </c>
      <c r="C881" s="21" t="s">
        <v>3434</v>
      </c>
      <c r="D881" s="21" t="s">
        <v>2035</v>
      </c>
      <c r="E881" s="50" t="b">
        <v>1</v>
      </c>
      <c r="F881" s="72" t="str">
        <f>HYPERLINK("http://nsgreg.nga.mil/genc/view?v=291974&amp;end_month=6&amp;end_day=30&amp;end_year=2019","Woroba")</f>
        <v>Woroba</v>
      </c>
      <c r="G881" s="72" t="str">
        <f>HYPERLINK("http://api.nsgreg.nga.mil/geo-division/GENC/6/3-11/CI-WR","as:GENC:6:3-11:CI-WR")</f>
        <v>as:GENC:6:3-11:CI-WR</v>
      </c>
    </row>
    <row r="882" spans="1:7" x14ac:dyDescent="0.25">
      <c r="A882" s="112"/>
      <c r="B882" s="21" t="s">
        <v>3435</v>
      </c>
      <c r="C882" s="21" t="s">
        <v>3436</v>
      </c>
      <c r="D882" s="21" t="s">
        <v>3412</v>
      </c>
      <c r="E882" s="50" t="b">
        <v>1</v>
      </c>
      <c r="F882" s="72" t="str">
        <f>HYPERLINK("http://nsgreg.nga.mil/genc/view?v=291975&amp;end_month=6&amp;end_day=30&amp;end_year=2019","Yamoussoukro")</f>
        <v>Yamoussoukro</v>
      </c>
      <c r="G882" s="72" t="str">
        <f>HYPERLINK("http://api.nsgreg.nga.mil/geo-division/GENC/6/3-11/CI-YM","as:GENC:6:3-11:CI-YM")</f>
        <v>as:GENC:6:3-11:CI-YM</v>
      </c>
    </row>
    <row r="883" spans="1:7" x14ac:dyDescent="0.25">
      <c r="A883" s="113"/>
      <c r="B883" s="47" t="s">
        <v>3437</v>
      </c>
      <c r="C883" s="47" t="s">
        <v>3438</v>
      </c>
      <c r="D883" s="47" t="s">
        <v>2035</v>
      </c>
      <c r="E883" s="51" t="b">
        <v>1</v>
      </c>
      <c r="F883" s="73" t="str">
        <f>HYPERLINK("http://nsgreg.nga.mil/genc/view?v=291976&amp;end_month=6&amp;end_day=30&amp;end_year=2019","Zanzan")</f>
        <v>Zanzan</v>
      </c>
      <c r="G883" s="73" t="str">
        <f>HYPERLINK("http://api.nsgreg.nga.mil/geo-division/GENC/6/3-11/CI-ZZ","as:GENC:6:3-11:CI-ZZ")</f>
        <v>as:GENC:6:3-11:CI-ZZ</v>
      </c>
    </row>
    <row r="884" spans="1:7" x14ac:dyDescent="0.25">
      <c r="A884" s="111" t="str">
        <f>HYPERLINK("[#]Codes_for_GE_Names!A65:I65","CROATIA")</f>
        <v>CROATIA</v>
      </c>
      <c r="B884" s="42" t="s">
        <v>3439</v>
      </c>
      <c r="C884" s="42" t="s">
        <v>3440</v>
      </c>
      <c r="D884" s="42" t="s">
        <v>1737</v>
      </c>
      <c r="E884" s="49" t="b">
        <v>1</v>
      </c>
      <c r="F884" s="74" t="str">
        <f>HYPERLINK("http://nsgreg.nga.mil/genc/view?v=293101&amp;end_month=6&amp;end_day=30&amp;end_year=2019","Bjelovarsko-Bilogorska Županija")</f>
        <v>Bjelovarsko-Bilogorska Županija</v>
      </c>
      <c r="G884" s="74" t="str">
        <f>HYPERLINK("http://api.nsgreg.nga.mil/geo-division/GENC/6/3-11/HR-07","as:GENC:6:3-11:HR-07")</f>
        <v>as:GENC:6:3-11:HR-07</v>
      </c>
    </row>
    <row r="885" spans="1:7" x14ac:dyDescent="0.25">
      <c r="A885" s="112"/>
      <c r="B885" s="21" t="s">
        <v>3441</v>
      </c>
      <c r="C885" s="21" t="s">
        <v>3442</v>
      </c>
      <c r="D885" s="21" t="s">
        <v>1737</v>
      </c>
      <c r="E885" s="50" t="b">
        <v>1</v>
      </c>
      <c r="F885" s="72" t="str">
        <f>HYPERLINK("http://nsgreg.nga.mil/genc/view?v=293106&amp;end_month=6&amp;end_day=30&amp;end_year=2019","Brodsko-Posavska Županija")</f>
        <v>Brodsko-Posavska Županija</v>
      </c>
      <c r="G885" s="72" t="str">
        <f>HYPERLINK("http://api.nsgreg.nga.mil/geo-division/GENC/6/3-11/HR-12","as:GENC:6:3-11:HR-12")</f>
        <v>as:GENC:6:3-11:HR-12</v>
      </c>
    </row>
    <row r="886" spans="1:7" x14ac:dyDescent="0.25">
      <c r="A886" s="112"/>
      <c r="B886" s="21" t="s">
        <v>3443</v>
      </c>
      <c r="C886" s="21" t="s">
        <v>3444</v>
      </c>
      <c r="D886" s="21" t="s">
        <v>1737</v>
      </c>
      <c r="E886" s="50" t="b">
        <v>1</v>
      </c>
      <c r="F886" s="72" t="str">
        <f>HYPERLINK("http://nsgreg.nga.mil/genc/view?v=293113&amp;end_month=6&amp;end_day=30&amp;end_year=2019","Dubrovačko-Neretvanska Županija")</f>
        <v>Dubrovačko-Neretvanska Županija</v>
      </c>
      <c r="G886" s="72" t="str">
        <f>HYPERLINK("http://api.nsgreg.nga.mil/geo-division/GENC/6/3-11/HR-19","as:GENC:6:3-11:HR-19")</f>
        <v>as:GENC:6:3-11:HR-19</v>
      </c>
    </row>
    <row r="887" spans="1:7" x14ac:dyDescent="0.25">
      <c r="A887" s="112"/>
      <c r="B887" s="21" t="s">
        <v>3445</v>
      </c>
      <c r="C887" s="21" t="s">
        <v>3446</v>
      </c>
      <c r="D887" s="21" t="s">
        <v>1737</v>
      </c>
      <c r="E887" s="50" t="b">
        <v>1</v>
      </c>
      <c r="F887" s="72" t="str">
        <f>HYPERLINK("http://nsgreg.nga.mil/genc/view?v=293112&amp;end_month=6&amp;end_day=30&amp;end_year=2019","Istarska Županija")</f>
        <v>Istarska Županija</v>
      </c>
      <c r="G887" s="72" t="str">
        <f>HYPERLINK("http://api.nsgreg.nga.mil/geo-division/GENC/6/3-11/HR-18","as:GENC:6:3-11:HR-18")</f>
        <v>as:GENC:6:3-11:HR-18</v>
      </c>
    </row>
    <row r="888" spans="1:7" x14ac:dyDescent="0.25">
      <c r="A888" s="112"/>
      <c r="B888" s="21" t="s">
        <v>3447</v>
      </c>
      <c r="C888" s="21" t="s">
        <v>3448</v>
      </c>
      <c r="D888" s="21" t="s">
        <v>1737</v>
      </c>
      <c r="E888" s="50" t="b">
        <v>1</v>
      </c>
      <c r="F888" s="72" t="str">
        <f>HYPERLINK("http://nsgreg.nga.mil/genc/view?v=293098&amp;end_month=6&amp;end_day=30&amp;end_year=2019","Karlovačka Županija")</f>
        <v>Karlovačka Županija</v>
      </c>
      <c r="G888" s="72" t="str">
        <f>HYPERLINK("http://api.nsgreg.nga.mil/geo-division/GENC/6/3-11/HR-04","as:GENC:6:3-11:HR-04")</f>
        <v>as:GENC:6:3-11:HR-04</v>
      </c>
    </row>
    <row r="889" spans="1:7" x14ac:dyDescent="0.25">
      <c r="A889" s="112"/>
      <c r="B889" s="21" t="s">
        <v>3449</v>
      </c>
      <c r="C889" s="21" t="s">
        <v>3450</v>
      </c>
      <c r="D889" s="21" t="s">
        <v>1737</v>
      </c>
      <c r="E889" s="50" t="b">
        <v>1</v>
      </c>
      <c r="F889" s="72" t="str">
        <f>HYPERLINK("http://nsgreg.nga.mil/genc/view?v=293100&amp;end_month=6&amp;end_day=30&amp;end_year=2019","Koprivničko-Križevačka Županija")</f>
        <v>Koprivničko-Križevačka Županija</v>
      </c>
      <c r="G889" s="72" t="str">
        <f>HYPERLINK("http://api.nsgreg.nga.mil/geo-division/GENC/6/3-11/HR-06","as:GENC:6:3-11:HR-06")</f>
        <v>as:GENC:6:3-11:HR-06</v>
      </c>
    </row>
    <row r="890" spans="1:7" x14ac:dyDescent="0.25">
      <c r="A890" s="112"/>
      <c r="B890" s="21" t="s">
        <v>3451</v>
      </c>
      <c r="C890" s="21" t="s">
        <v>3452</v>
      </c>
      <c r="D890" s="21" t="s">
        <v>1737</v>
      </c>
      <c r="E890" s="50" t="b">
        <v>1</v>
      </c>
      <c r="F890" s="72" t="str">
        <f>HYPERLINK("http://nsgreg.nga.mil/genc/view?v=293096&amp;end_month=6&amp;end_day=30&amp;end_year=2019","Krapinsko-Zagorska Županija")</f>
        <v>Krapinsko-Zagorska Županija</v>
      </c>
      <c r="G890" s="72" t="str">
        <f>HYPERLINK("http://api.nsgreg.nga.mil/geo-division/GENC/6/3-11/HR-02","as:GENC:6:3-11:HR-02")</f>
        <v>as:GENC:6:3-11:HR-02</v>
      </c>
    </row>
    <row r="891" spans="1:7" x14ac:dyDescent="0.25">
      <c r="A891" s="112"/>
      <c r="B891" s="21" t="s">
        <v>3453</v>
      </c>
      <c r="C891" s="21" t="s">
        <v>3454</v>
      </c>
      <c r="D891" s="21" t="s">
        <v>1737</v>
      </c>
      <c r="E891" s="50" t="b">
        <v>1</v>
      </c>
      <c r="F891" s="72" t="str">
        <f>HYPERLINK("http://nsgreg.nga.mil/genc/view?v=293103&amp;end_month=6&amp;end_day=30&amp;end_year=2019","Ličko-Senjska Županija")</f>
        <v>Ličko-Senjska Županija</v>
      </c>
      <c r="G891" s="72" t="str">
        <f>HYPERLINK("http://api.nsgreg.nga.mil/geo-division/GENC/6/3-11/HR-09","as:GENC:6:3-11:HR-09")</f>
        <v>as:GENC:6:3-11:HR-09</v>
      </c>
    </row>
    <row r="892" spans="1:7" x14ac:dyDescent="0.25">
      <c r="A892" s="112"/>
      <c r="B892" s="21" t="s">
        <v>3455</v>
      </c>
      <c r="C892" s="21" t="s">
        <v>3456</v>
      </c>
      <c r="D892" s="21" t="s">
        <v>1737</v>
      </c>
      <c r="E892" s="50" t="b">
        <v>1</v>
      </c>
      <c r="F892" s="72" t="str">
        <f>HYPERLINK("http://nsgreg.nga.mil/genc/view?v=293114&amp;end_month=6&amp;end_day=30&amp;end_year=2019","Međimurska Županija")</f>
        <v>Međimurska Županija</v>
      </c>
      <c r="G892" s="72" t="str">
        <f>HYPERLINK("http://api.nsgreg.nga.mil/geo-division/GENC/6/3-11/HR-20","as:GENC:6:3-11:HR-20")</f>
        <v>as:GENC:6:3-11:HR-20</v>
      </c>
    </row>
    <row r="893" spans="1:7" x14ac:dyDescent="0.25">
      <c r="A893" s="112"/>
      <c r="B893" s="21" t="s">
        <v>3457</v>
      </c>
      <c r="C893" s="21" t="s">
        <v>3458</v>
      </c>
      <c r="D893" s="21" t="s">
        <v>1737</v>
      </c>
      <c r="E893" s="50" t="b">
        <v>1</v>
      </c>
      <c r="F893" s="72" t="str">
        <f>HYPERLINK("http://nsgreg.nga.mil/genc/view?v=293108&amp;end_month=6&amp;end_day=30&amp;end_year=2019","Osječko-Baranjska Županija")</f>
        <v>Osječko-Baranjska Županija</v>
      </c>
      <c r="G893" s="72" t="str">
        <f>HYPERLINK("http://api.nsgreg.nga.mil/geo-division/GENC/6/3-11/HR-14","as:GENC:6:3-11:HR-14")</f>
        <v>as:GENC:6:3-11:HR-14</v>
      </c>
    </row>
    <row r="894" spans="1:7" x14ac:dyDescent="0.25">
      <c r="A894" s="112"/>
      <c r="B894" s="21" t="s">
        <v>3459</v>
      </c>
      <c r="C894" s="21" t="s">
        <v>3460</v>
      </c>
      <c r="D894" s="21" t="s">
        <v>1737</v>
      </c>
      <c r="E894" s="50" t="b">
        <v>1</v>
      </c>
      <c r="F894" s="72" t="str">
        <f>HYPERLINK("http://nsgreg.nga.mil/genc/view?v=293105&amp;end_month=6&amp;end_day=30&amp;end_year=2019","Požeško-Slavonska Županija")</f>
        <v>Požeško-Slavonska Županija</v>
      </c>
      <c r="G894" s="72" t="str">
        <f>HYPERLINK("http://api.nsgreg.nga.mil/geo-division/GENC/6/3-11/HR-11","as:GENC:6:3-11:HR-11")</f>
        <v>as:GENC:6:3-11:HR-11</v>
      </c>
    </row>
    <row r="895" spans="1:7" x14ac:dyDescent="0.25">
      <c r="A895" s="112"/>
      <c r="B895" s="21" t="s">
        <v>3461</v>
      </c>
      <c r="C895" s="21" t="s">
        <v>3462</v>
      </c>
      <c r="D895" s="21" t="s">
        <v>1737</v>
      </c>
      <c r="E895" s="50" t="b">
        <v>1</v>
      </c>
      <c r="F895" s="72" t="str">
        <f>HYPERLINK("http://nsgreg.nga.mil/genc/view?v=293102&amp;end_month=6&amp;end_day=30&amp;end_year=2019","Primorsko-Goranska Županija")</f>
        <v>Primorsko-Goranska Županija</v>
      </c>
      <c r="G895" s="72" t="str">
        <f>HYPERLINK("http://api.nsgreg.nga.mil/geo-division/GENC/6/3-11/HR-08","as:GENC:6:3-11:HR-08")</f>
        <v>as:GENC:6:3-11:HR-08</v>
      </c>
    </row>
    <row r="896" spans="1:7" x14ac:dyDescent="0.25">
      <c r="A896" s="112"/>
      <c r="B896" s="21" t="s">
        <v>3463</v>
      </c>
      <c r="C896" s="21" t="s">
        <v>3464</v>
      </c>
      <c r="D896" s="21" t="s">
        <v>1737</v>
      </c>
      <c r="E896" s="50" t="b">
        <v>1</v>
      </c>
      <c r="F896" s="72" t="str">
        <f>HYPERLINK("http://nsgreg.nga.mil/genc/view?v=293109&amp;end_month=6&amp;end_day=30&amp;end_year=2019","Šibensko-Kninska Županija")</f>
        <v>Šibensko-Kninska Županija</v>
      </c>
      <c r="G896" s="72" t="str">
        <f>HYPERLINK("http://api.nsgreg.nga.mil/geo-division/GENC/6/3-11/HR-15","as:GENC:6:3-11:HR-15")</f>
        <v>as:GENC:6:3-11:HR-15</v>
      </c>
    </row>
    <row r="897" spans="1:7" x14ac:dyDescent="0.25">
      <c r="A897" s="112"/>
      <c r="B897" s="21" t="s">
        <v>3465</v>
      </c>
      <c r="C897" s="21" t="s">
        <v>3466</v>
      </c>
      <c r="D897" s="21" t="s">
        <v>1737</v>
      </c>
      <c r="E897" s="50" t="b">
        <v>1</v>
      </c>
      <c r="F897" s="72" t="str">
        <f>HYPERLINK("http://nsgreg.nga.mil/genc/view?v=293097&amp;end_month=6&amp;end_day=30&amp;end_year=2019","Sisačko-Moslavačka Županija")</f>
        <v>Sisačko-Moslavačka Županija</v>
      </c>
      <c r="G897" s="72" t="str">
        <f>HYPERLINK("http://api.nsgreg.nga.mil/geo-division/GENC/6/3-11/HR-03","as:GENC:6:3-11:HR-03")</f>
        <v>as:GENC:6:3-11:HR-03</v>
      </c>
    </row>
    <row r="898" spans="1:7" x14ac:dyDescent="0.25">
      <c r="A898" s="112"/>
      <c r="B898" s="21" t="s">
        <v>3467</v>
      </c>
      <c r="C898" s="21" t="s">
        <v>3468</v>
      </c>
      <c r="D898" s="21" t="s">
        <v>1737</v>
      </c>
      <c r="E898" s="50" t="b">
        <v>1</v>
      </c>
      <c r="F898" s="72" t="str">
        <f>HYPERLINK("http://nsgreg.nga.mil/genc/view?v=293111&amp;end_month=6&amp;end_day=30&amp;end_year=2019","Splitsko-Dalmatinska Županija")</f>
        <v>Splitsko-Dalmatinska Županija</v>
      </c>
      <c r="G898" s="72" t="str">
        <f>HYPERLINK("http://api.nsgreg.nga.mil/geo-division/GENC/6/3-11/HR-17","as:GENC:6:3-11:HR-17")</f>
        <v>as:GENC:6:3-11:HR-17</v>
      </c>
    </row>
    <row r="899" spans="1:7" x14ac:dyDescent="0.25">
      <c r="A899" s="112"/>
      <c r="B899" s="21" t="s">
        <v>3469</v>
      </c>
      <c r="C899" s="21" t="s">
        <v>3470</v>
      </c>
      <c r="D899" s="21" t="s">
        <v>1737</v>
      </c>
      <c r="E899" s="50" t="b">
        <v>1</v>
      </c>
      <c r="F899" s="72" t="str">
        <f>HYPERLINK("http://nsgreg.nga.mil/genc/view?v=293099&amp;end_month=6&amp;end_day=30&amp;end_year=2019","Varaždinska Županija")</f>
        <v>Varaždinska Županija</v>
      </c>
      <c r="G899" s="72" t="str">
        <f>HYPERLINK("http://api.nsgreg.nga.mil/geo-division/GENC/6/3-11/HR-05","as:GENC:6:3-11:HR-05")</f>
        <v>as:GENC:6:3-11:HR-05</v>
      </c>
    </row>
    <row r="900" spans="1:7" x14ac:dyDescent="0.25">
      <c r="A900" s="112"/>
      <c r="B900" s="21" t="s">
        <v>3471</v>
      </c>
      <c r="C900" s="21" t="s">
        <v>3472</v>
      </c>
      <c r="D900" s="21" t="s">
        <v>1737</v>
      </c>
      <c r="E900" s="50" t="b">
        <v>1</v>
      </c>
      <c r="F900" s="72" t="str">
        <f>HYPERLINK("http://nsgreg.nga.mil/genc/view?v=293104&amp;end_month=6&amp;end_day=30&amp;end_year=2019","Virovitičko-Podravska Županija")</f>
        <v>Virovitičko-Podravska Županija</v>
      </c>
      <c r="G900" s="72" t="str">
        <f>HYPERLINK("http://api.nsgreg.nga.mil/geo-division/GENC/6/3-11/HR-10","as:GENC:6:3-11:HR-10")</f>
        <v>as:GENC:6:3-11:HR-10</v>
      </c>
    </row>
    <row r="901" spans="1:7" x14ac:dyDescent="0.25">
      <c r="A901" s="112"/>
      <c r="B901" s="21" t="s">
        <v>3473</v>
      </c>
      <c r="C901" s="21" t="s">
        <v>3474</v>
      </c>
      <c r="D901" s="21" t="s">
        <v>1737</v>
      </c>
      <c r="E901" s="50" t="b">
        <v>1</v>
      </c>
      <c r="F901" s="72" t="str">
        <f>HYPERLINK("http://nsgreg.nga.mil/genc/view?v=293110&amp;end_month=6&amp;end_day=30&amp;end_year=2019","Vukovarsko-Srijemska Županija")</f>
        <v>Vukovarsko-Srijemska Županija</v>
      </c>
      <c r="G901" s="72" t="str">
        <f>HYPERLINK("http://api.nsgreg.nga.mil/geo-division/GENC/6/3-11/HR-16","as:GENC:6:3-11:HR-16")</f>
        <v>as:GENC:6:3-11:HR-16</v>
      </c>
    </row>
    <row r="902" spans="1:7" x14ac:dyDescent="0.25">
      <c r="A902" s="112"/>
      <c r="B902" s="21" t="s">
        <v>3475</v>
      </c>
      <c r="C902" s="21" t="s">
        <v>3476</v>
      </c>
      <c r="D902" s="21" t="s">
        <v>1737</v>
      </c>
      <c r="E902" s="50" t="b">
        <v>1</v>
      </c>
      <c r="F902" s="72" t="str">
        <f>HYPERLINK("http://nsgreg.nga.mil/genc/view?v=293107&amp;end_month=6&amp;end_day=30&amp;end_year=2019","Zadarska Županija")</f>
        <v>Zadarska Županija</v>
      </c>
      <c r="G902" s="72" t="str">
        <f>HYPERLINK("http://api.nsgreg.nga.mil/geo-division/GENC/6/3-11/HR-13","as:GENC:6:3-11:HR-13")</f>
        <v>as:GENC:6:3-11:HR-13</v>
      </c>
    </row>
    <row r="903" spans="1:7" x14ac:dyDescent="0.25">
      <c r="A903" s="112"/>
      <c r="B903" s="21" t="s">
        <v>3477</v>
      </c>
      <c r="C903" s="21" t="s">
        <v>3478</v>
      </c>
      <c r="D903" s="21" t="s">
        <v>1996</v>
      </c>
      <c r="E903" s="50" t="b">
        <v>1</v>
      </c>
      <c r="F903" s="72" t="str">
        <f>HYPERLINK("http://nsgreg.nga.mil/genc/view?v=293115&amp;end_month=6&amp;end_day=30&amp;end_year=2019","Zagreb, Grad")</f>
        <v>Zagreb, Grad</v>
      </c>
      <c r="G903" s="72" t="str">
        <f>HYPERLINK("http://api.nsgreg.nga.mil/geo-division/GENC/6/3-11/HR-21","as:GENC:6:3-11:HR-21")</f>
        <v>as:GENC:6:3-11:HR-21</v>
      </c>
    </row>
    <row r="904" spans="1:7" x14ac:dyDescent="0.25">
      <c r="A904" s="113"/>
      <c r="B904" s="47" t="s">
        <v>3479</v>
      </c>
      <c r="C904" s="47" t="s">
        <v>3480</v>
      </c>
      <c r="D904" s="47" t="s">
        <v>1737</v>
      </c>
      <c r="E904" s="51" t="b">
        <v>1</v>
      </c>
      <c r="F904" s="73" t="str">
        <f>HYPERLINK("http://nsgreg.nga.mil/genc/view?v=293095&amp;end_month=6&amp;end_day=30&amp;end_year=2019","Zagrebačka Županija")</f>
        <v>Zagrebačka Županija</v>
      </c>
      <c r="G904" s="73" t="str">
        <f>HYPERLINK("http://api.nsgreg.nga.mil/geo-division/GENC/6/3-11/HR-01","as:GENC:6:3-11:HR-01")</f>
        <v>as:GENC:6:3-11:HR-01</v>
      </c>
    </row>
    <row r="905" spans="1:7" x14ac:dyDescent="0.25">
      <c r="A905" s="111" t="str">
        <f>HYPERLINK("[#]Codes_for_GE_Names!A66:I66","CUBA")</f>
        <v>CUBA</v>
      </c>
      <c r="B905" s="42" t="s">
        <v>3481</v>
      </c>
      <c r="C905" s="42" t="s">
        <v>3482</v>
      </c>
      <c r="D905" s="42" t="s">
        <v>1668</v>
      </c>
      <c r="E905" s="49" t="b">
        <v>1</v>
      </c>
      <c r="F905" s="74" t="str">
        <f>HYPERLINK("http://nsgreg.nga.mil/genc/view?v=292090&amp;end_month=6&amp;end_day=30&amp;end_year=2019","Artemisa")</f>
        <v>Artemisa</v>
      </c>
      <c r="G905" s="74" t="str">
        <f>HYPERLINK("http://api.nsgreg.nga.mil/geo-division/GENC/6/3-11/CU-15","as:GENC:6:3-11:CU-15")</f>
        <v>as:GENC:6:3-11:CU-15</v>
      </c>
    </row>
    <row r="906" spans="1:7" x14ac:dyDescent="0.25">
      <c r="A906" s="112"/>
      <c r="B906" s="21" t="s">
        <v>3483</v>
      </c>
      <c r="C906" s="21" t="s">
        <v>3484</v>
      </c>
      <c r="D906" s="21" t="s">
        <v>1668</v>
      </c>
      <c r="E906" s="50" t="b">
        <v>1</v>
      </c>
      <c r="F906" s="72" t="str">
        <f>HYPERLINK("http://nsgreg.nga.mil/genc/view?v=292084&amp;end_month=6&amp;end_day=30&amp;end_year=2019","Camagüey")</f>
        <v>Camagüey</v>
      </c>
      <c r="G906" s="72" t="str">
        <f>HYPERLINK("http://api.nsgreg.nga.mil/geo-division/GENC/6/3-11/CU-09","as:GENC:6:3-11:CU-09")</f>
        <v>as:GENC:6:3-11:CU-09</v>
      </c>
    </row>
    <row r="907" spans="1:7" x14ac:dyDescent="0.25">
      <c r="A907" s="112"/>
      <c r="B907" s="21" t="s">
        <v>3485</v>
      </c>
      <c r="C907" s="21" t="s">
        <v>3486</v>
      </c>
      <c r="D907" s="21" t="s">
        <v>1668</v>
      </c>
      <c r="E907" s="50" t="b">
        <v>1</v>
      </c>
      <c r="F907" s="72" t="str">
        <f>HYPERLINK("http://nsgreg.nga.mil/genc/view?v=292083&amp;end_month=6&amp;end_day=30&amp;end_year=2019","Ciego de Ávila")</f>
        <v>Ciego de Ávila</v>
      </c>
      <c r="G907" s="72" t="str">
        <f>HYPERLINK("http://api.nsgreg.nga.mil/geo-division/GENC/6/3-11/CU-08","as:GENC:6:3-11:CU-08")</f>
        <v>as:GENC:6:3-11:CU-08</v>
      </c>
    </row>
    <row r="908" spans="1:7" x14ac:dyDescent="0.25">
      <c r="A908" s="112"/>
      <c r="B908" s="21" t="s">
        <v>3487</v>
      </c>
      <c r="C908" s="21" t="s">
        <v>3488</v>
      </c>
      <c r="D908" s="21" t="s">
        <v>1668</v>
      </c>
      <c r="E908" s="50" t="b">
        <v>1</v>
      </c>
      <c r="F908" s="72" t="str">
        <f>HYPERLINK("http://nsgreg.nga.mil/genc/view?v=292081&amp;end_month=6&amp;end_day=30&amp;end_year=2019","Cienfuegos")</f>
        <v>Cienfuegos</v>
      </c>
      <c r="G908" s="72" t="str">
        <f>HYPERLINK("http://api.nsgreg.nga.mil/geo-division/GENC/6/3-11/CU-06","as:GENC:6:3-11:CU-06")</f>
        <v>as:GENC:6:3-11:CU-06</v>
      </c>
    </row>
    <row r="909" spans="1:7" x14ac:dyDescent="0.25">
      <c r="A909" s="112"/>
      <c r="B909" s="21" t="s">
        <v>3489</v>
      </c>
      <c r="C909" s="21" t="s">
        <v>3490</v>
      </c>
      <c r="D909" s="21" t="s">
        <v>1668</v>
      </c>
      <c r="E909" s="50" t="b">
        <v>1</v>
      </c>
      <c r="F909" s="72" t="str">
        <f>HYPERLINK("http://nsgreg.nga.mil/genc/view?v=292087&amp;end_month=6&amp;end_day=30&amp;end_year=2019","Granma")</f>
        <v>Granma</v>
      </c>
      <c r="G909" s="72" t="str">
        <f>HYPERLINK("http://api.nsgreg.nga.mil/geo-division/GENC/6/3-11/CU-12","as:GENC:6:3-11:CU-12")</f>
        <v>as:GENC:6:3-11:CU-12</v>
      </c>
    </row>
    <row r="910" spans="1:7" x14ac:dyDescent="0.25">
      <c r="A910" s="112"/>
      <c r="B910" s="21" t="s">
        <v>3491</v>
      </c>
      <c r="C910" s="21" t="s">
        <v>3492</v>
      </c>
      <c r="D910" s="21" t="s">
        <v>1668</v>
      </c>
      <c r="E910" s="50" t="b">
        <v>1</v>
      </c>
      <c r="F910" s="72" t="str">
        <f>HYPERLINK("http://nsgreg.nga.mil/genc/view?v=292089&amp;end_month=6&amp;end_day=30&amp;end_year=2019","Guantánamo")</f>
        <v>Guantánamo</v>
      </c>
      <c r="G910" s="72" t="str">
        <f>HYPERLINK("http://api.nsgreg.nga.mil/geo-division/GENC/6/3-11/CU-14","as:GENC:6:3-11:CU-14")</f>
        <v>as:GENC:6:3-11:CU-14</v>
      </c>
    </row>
    <row r="911" spans="1:7" x14ac:dyDescent="0.25">
      <c r="A911" s="112"/>
      <c r="B911" s="21" t="s">
        <v>3493</v>
      </c>
      <c r="C911" s="21" t="s">
        <v>3494</v>
      </c>
      <c r="D911" s="21" t="s">
        <v>1668</v>
      </c>
      <c r="E911" s="50" t="b">
        <v>1</v>
      </c>
      <c r="F911" s="72" t="str">
        <f>HYPERLINK("http://nsgreg.nga.mil/genc/view?v=292086&amp;end_month=6&amp;end_day=30&amp;end_year=2019","Holguín")</f>
        <v>Holguín</v>
      </c>
      <c r="G911" s="72" t="str">
        <f>HYPERLINK("http://api.nsgreg.nga.mil/geo-division/GENC/6/3-11/CU-11","as:GENC:6:3-11:CU-11")</f>
        <v>as:GENC:6:3-11:CU-11</v>
      </c>
    </row>
    <row r="912" spans="1:7" x14ac:dyDescent="0.25">
      <c r="A912" s="112"/>
      <c r="B912" s="21" t="s">
        <v>3495</v>
      </c>
      <c r="C912" s="21" t="s">
        <v>3496</v>
      </c>
      <c r="D912" s="21" t="s">
        <v>2581</v>
      </c>
      <c r="E912" s="50" t="b">
        <v>1</v>
      </c>
      <c r="F912" s="72" t="str">
        <f>HYPERLINK("http://nsgreg.nga.mil/genc/view?v=292092&amp;end_month=6&amp;end_day=30&amp;end_year=2019","Isla de la Juventud")</f>
        <v>Isla de la Juventud</v>
      </c>
      <c r="G912" s="72" t="str">
        <f>HYPERLINK("http://api.nsgreg.nga.mil/geo-division/GENC/6/3-11/CU-99","as:GENC:6:3-11:CU-99")</f>
        <v>as:GENC:6:3-11:CU-99</v>
      </c>
    </row>
    <row r="913" spans="1:7" x14ac:dyDescent="0.25">
      <c r="A913" s="112"/>
      <c r="B913" s="21" t="s">
        <v>3497</v>
      </c>
      <c r="C913" s="21" t="s">
        <v>3498</v>
      </c>
      <c r="D913" s="21" t="s">
        <v>1668</v>
      </c>
      <c r="E913" s="50" t="b">
        <v>1</v>
      </c>
      <c r="F913" s="72" t="str">
        <f>HYPERLINK("http://nsgreg.nga.mil/genc/view?v=292078&amp;end_month=6&amp;end_day=30&amp;end_year=2019","La Habana")</f>
        <v>La Habana</v>
      </c>
      <c r="G913" s="72" t="str">
        <f>HYPERLINK("http://api.nsgreg.nga.mil/geo-division/GENC/6/3-11/CU-03","as:GENC:6:3-11:CU-03")</f>
        <v>as:GENC:6:3-11:CU-03</v>
      </c>
    </row>
    <row r="914" spans="1:7" x14ac:dyDescent="0.25">
      <c r="A914" s="112"/>
      <c r="B914" s="21" t="s">
        <v>3499</v>
      </c>
      <c r="C914" s="21" t="s">
        <v>3500</v>
      </c>
      <c r="D914" s="21" t="s">
        <v>1668</v>
      </c>
      <c r="E914" s="50" t="b">
        <v>1</v>
      </c>
      <c r="F914" s="72" t="str">
        <f>HYPERLINK("http://nsgreg.nga.mil/genc/view?v=292085&amp;end_month=6&amp;end_day=30&amp;end_year=2019","Las Tunas")</f>
        <v>Las Tunas</v>
      </c>
      <c r="G914" s="72" t="str">
        <f>HYPERLINK("http://api.nsgreg.nga.mil/geo-division/GENC/6/3-11/CU-10","as:GENC:6:3-11:CU-10")</f>
        <v>as:GENC:6:3-11:CU-10</v>
      </c>
    </row>
    <row r="915" spans="1:7" x14ac:dyDescent="0.25">
      <c r="A915" s="112"/>
      <c r="B915" s="21" t="s">
        <v>3501</v>
      </c>
      <c r="C915" s="21" t="s">
        <v>3502</v>
      </c>
      <c r="D915" s="21" t="s">
        <v>1668</v>
      </c>
      <c r="E915" s="50" t="b">
        <v>1</v>
      </c>
      <c r="F915" s="72" t="str">
        <f>HYPERLINK("http://nsgreg.nga.mil/genc/view?v=292079&amp;end_month=6&amp;end_day=30&amp;end_year=2019","Matanzas")</f>
        <v>Matanzas</v>
      </c>
      <c r="G915" s="72" t="str">
        <f>HYPERLINK("http://api.nsgreg.nga.mil/geo-division/GENC/6/3-11/CU-04","as:GENC:6:3-11:CU-04")</f>
        <v>as:GENC:6:3-11:CU-04</v>
      </c>
    </row>
    <row r="916" spans="1:7" x14ac:dyDescent="0.25">
      <c r="A916" s="112"/>
      <c r="B916" s="21" t="s">
        <v>3503</v>
      </c>
      <c r="C916" s="21" t="s">
        <v>3504</v>
      </c>
      <c r="D916" s="21" t="s">
        <v>1668</v>
      </c>
      <c r="E916" s="50" t="b">
        <v>1</v>
      </c>
      <c r="F916" s="72" t="str">
        <f>HYPERLINK("http://nsgreg.nga.mil/genc/view?v=292091&amp;end_month=6&amp;end_day=30&amp;end_year=2019","Mayabeque")</f>
        <v>Mayabeque</v>
      </c>
      <c r="G916" s="72" t="str">
        <f>HYPERLINK("http://api.nsgreg.nga.mil/geo-division/GENC/6/3-11/CU-16","as:GENC:6:3-11:CU-16")</f>
        <v>as:GENC:6:3-11:CU-16</v>
      </c>
    </row>
    <row r="917" spans="1:7" x14ac:dyDescent="0.25">
      <c r="A917" s="112"/>
      <c r="B917" s="21" t="s">
        <v>3505</v>
      </c>
      <c r="C917" s="21" t="s">
        <v>3506</v>
      </c>
      <c r="D917" s="21" t="s">
        <v>1668</v>
      </c>
      <c r="E917" s="50" t="b">
        <v>1</v>
      </c>
      <c r="F917" s="72" t="str">
        <f>HYPERLINK("http://nsgreg.nga.mil/genc/view?v=292077&amp;end_month=6&amp;end_day=30&amp;end_year=2019","Pinar del Río")</f>
        <v>Pinar del Río</v>
      </c>
      <c r="G917" s="72" t="str">
        <f>HYPERLINK("http://api.nsgreg.nga.mil/geo-division/GENC/6/3-11/CU-01","as:GENC:6:3-11:CU-01")</f>
        <v>as:GENC:6:3-11:CU-01</v>
      </c>
    </row>
    <row r="918" spans="1:7" x14ac:dyDescent="0.25">
      <c r="A918" s="112"/>
      <c r="B918" s="21" t="s">
        <v>3507</v>
      </c>
      <c r="C918" s="21" t="s">
        <v>3508</v>
      </c>
      <c r="D918" s="21" t="s">
        <v>1668</v>
      </c>
      <c r="E918" s="50" t="b">
        <v>1</v>
      </c>
      <c r="F918" s="72" t="str">
        <f>HYPERLINK("http://nsgreg.nga.mil/genc/view?v=292082&amp;end_month=6&amp;end_day=30&amp;end_year=2019","Sancti Spíritus")</f>
        <v>Sancti Spíritus</v>
      </c>
      <c r="G918" s="72" t="str">
        <f>HYPERLINK("http://api.nsgreg.nga.mil/geo-division/GENC/6/3-11/CU-07","as:GENC:6:3-11:CU-07")</f>
        <v>as:GENC:6:3-11:CU-07</v>
      </c>
    </row>
    <row r="919" spans="1:7" x14ac:dyDescent="0.25">
      <c r="A919" s="112"/>
      <c r="B919" s="21" t="s">
        <v>3509</v>
      </c>
      <c r="C919" s="21" t="s">
        <v>3510</v>
      </c>
      <c r="D919" s="21" t="s">
        <v>1668</v>
      </c>
      <c r="E919" s="50" t="b">
        <v>1</v>
      </c>
      <c r="F919" s="72" t="str">
        <f>HYPERLINK("http://nsgreg.nga.mil/genc/view?v=292088&amp;end_month=6&amp;end_day=30&amp;end_year=2019","Santiago de Cuba")</f>
        <v>Santiago de Cuba</v>
      </c>
      <c r="G919" s="72" t="str">
        <f>HYPERLINK("http://api.nsgreg.nga.mil/geo-division/GENC/6/3-11/CU-13","as:GENC:6:3-11:CU-13")</f>
        <v>as:GENC:6:3-11:CU-13</v>
      </c>
    </row>
    <row r="920" spans="1:7" x14ac:dyDescent="0.25">
      <c r="A920" s="113"/>
      <c r="B920" s="47" t="s">
        <v>3511</v>
      </c>
      <c r="C920" s="47" t="s">
        <v>3512</v>
      </c>
      <c r="D920" s="47" t="s">
        <v>1668</v>
      </c>
      <c r="E920" s="51" t="b">
        <v>1</v>
      </c>
      <c r="F920" s="73" t="str">
        <f>HYPERLINK("http://nsgreg.nga.mil/genc/view?v=292080&amp;end_month=6&amp;end_day=30&amp;end_year=2019","Villa Clara")</f>
        <v>Villa Clara</v>
      </c>
      <c r="G920" s="73" t="str">
        <f>HYPERLINK("http://api.nsgreg.nga.mil/geo-division/GENC/6/3-11/CU-05","as:GENC:6:3-11:CU-05")</f>
        <v>as:GENC:6:3-11:CU-05</v>
      </c>
    </row>
    <row r="921" spans="1:7" x14ac:dyDescent="0.25">
      <c r="A921" s="111" t="str">
        <f>HYPERLINK("[#]Codes_for_GE_Names!A68:I68","CYPRUS")</f>
        <v>CYPRUS</v>
      </c>
      <c r="B921" s="42" t="s">
        <v>3513</v>
      </c>
      <c r="C921" s="42" t="s">
        <v>3514</v>
      </c>
      <c r="D921" s="42" t="s">
        <v>2035</v>
      </c>
      <c r="E921" s="49" t="b">
        <v>1</v>
      </c>
      <c r="F921" s="74" t="str">
        <f>HYPERLINK("http://nsgreg.nga.mil/genc/view?v=292120&amp;end_month=6&amp;end_day=30&amp;end_year=2019","Ammóchostos")</f>
        <v>Ammóchostos</v>
      </c>
      <c r="G921" s="74" t="str">
        <f>HYPERLINK("http://api.nsgreg.nga.mil/geo-division/GENC/6/3-11/CY-04","as:GENC:6:3-11:CY-04")</f>
        <v>as:GENC:6:3-11:CY-04</v>
      </c>
    </row>
    <row r="922" spans="1:7" x14ac:dyDescent="0.25">
      <c r="A922" s="112"/>
      <c r="B922" s="21" t="s">
        <v>3515</v>
      </c>
      <c r="C922" s="21" t="s">
        <v>3516</v>
      </c>
      <c r="D922" s="21" t="s">
        <v>2035</v>
      </c>
      <c r="E922" s="50" t="b">
        <v>1</v>
      </c>
      <c r="F922" s="72" t="str">
        <f>HYPERLINK("http://nsgreg.nga.mil/genc/view?v=292122&amp;end_month=6&amp;end_day=30&amp;end_year=2019","Kerýneia")</f>
        <v>Kerýneia</v>
      </c>
      <c r="G922" s="72" t="str">
        <f>HYPERLINK("http://api.nsgreg.nga.mil/geo-division/GENC/6/3-11/CY-06","as:GENC:6:3-11:CY-06")</f>
        <v>as:GENC:6:3-11:CY-06</v>
      </c>
    </row>
    <row r="923" spans="1:7" x14ac:dyDescent="0.25">
      <c r="A923" s="112"/>
      <c r="B923" s="21" t="s">
        <v>3517</v>
      </c>
      <c r="C923" s="21" t="s">
        <v>3518</v>
      </c>
      <c r="D923" s="21" t="s">
        <v>2035</v>
      </c>
      <c r="E923" s="50" t="b">
        <v>1</v>
      </c>
      <c r="F923" s="72" t="str">
        <f>HYPERLINK("http://nsgreg.nga.mil/genc/view?v=292119&amp;end_month=6&amp;end_day=30&amp;end_year=2019","Lárnaka")</f>
        <v>Lárnaka</v>
      </c>
      <c r="G923" s="72" t="str">
        <f>HYPERLINK("http://api.nsgreg.nga.mil/geo-division/GENC/6/3-11/CY-03","as:GENC:6:3-11:CY-03")</f>
        <v>as:GENC:6:3-11:CY-03</v>
      </c>
    </row>
    <row r="924" spans="1:7" x14ac:dyDescent="0.25">
      <c r="A924" s="112"/>
      <c r="B924" s="21" t="s">
        <v>3519</v>
      </c>
      <c r="C924" s="21" t="s">
        <v>3520</v>
      </c>
      <c r="D924" s="21" t="s">
        <v>2035</v>
      </c>
      <c r="E924" s="50" t="b">
        <v>1</v>
      </c>
      <c r="F924" s="72" t="str">
        <f>HYPERLINK("http://nsgreg.nga.mil/genc/view?v=292117&amp;end_month=6&amp;end_day=30&amp;end_year=2019","Lefkosía")</f>
        <v>Lefkosía</v>
      </c>
      <c r="G924" s="72" t="str">
        <f>HYPERLINK("http://api.nsgreg.nga.mil/geo-division/GENC/6/3-11/CY-01","as:GENC:6:3-11:CY-01")</f>
        <v>as:GENC:6:3-11:CY-01</v>
      </c>
    </row>
    <row r="925" spans="1:7" x14ac:dyDescent="0.25">
      <c r="A925" s="112"/>
      <c r="B925" s="21" t="s">
        <v>3521</v>
      </c>
      <c r="C925" s="21" t="s">
        <v>3522</v>
      </c>
      <c r="D925" s="21" t="s">
        <v>2035</v>
      </c>
      <c r="E925" s="50" t="b">
        <v>1</v>
      </c>
      <c r="F925" s="72" t="str">
        <f>HYPERLINK("http://nsgreg.nga.mil/genc/view?v=292118&amp;end_month=6&amp;end_day=30&amp;end_year=2019","Lemesós")</f>
        <v>Lemesós</v>
      </c>
      <c r="G925" s="72" t="str">
        <f>HYPERLINK("http://api.nsgreg.nga.mil/geo-division/GENC/6/3-11/CY-02","as:GENC:6:3-11:CY-02")</f>
        <v>as:GENC:6:3-11:CY-02</v>
      </c>
    </row>
    <row r="926" spans="1:7" x14ac:dyDescent="0.25">
      <c r="A926" s="113"/>
      <c r="B926" s="47" t="s">
        <v>3523</v>
      </c>
      <c r="C926" s="47" t="s">
        <v>3524</v>
      </c>
      <c r="D926" s="47" t="s">
        <v>2035</v>
      </c>
      <c r="E926" s="51" t="b">
        <v>1</v>
      </c>
      <c r="F926" s="73" t="str">
        <f>HYPERLINK("http://nsgreg.nga.mil/genc/view?v=292121&amp;end_month=6&amp;end_day=30&amp;end_year=2019","Páfos")</f>
        <v>Páfos</v>
      </c>
      <c r="G926" s="73" t="str">
        <f>HYPERLINK("http://api.nsgreg.nga.mil/geo-division/GENC/6/3-11/CY-05","as:GENC:6:3-11:CY-05")</f>
        <v>as:GENC:6:3-11:CY-05</v>
      </c>
    </row>
    <row r="927" spans="1:7" x14ac:dyDescent="0.25">
      <c r="A927" s="111" t="str">
        <f>HYPERLINK("[#]Codes_for_GE_Names!A69:I69","CZECHIA")</f>
        <v>CZECHIA</v>
      </c>
      <c r="B927" s="42" t="s">
        <v>3525</v>
      </c>
      <c r="C927" s="42" t="s">
        <v>3526</v>
      </c>
      <c r="D927" s="42" t="s">
        <v>1975</v>
      </c>
      <c r="E927" s="49" t="b">
        <v>1</v>
      </c>
      <c r="F927" s="74" t="str">
        <f>HYPERLINK("http://nsgreg.nga.mil/genc/view?v=292137&amp;end_month=6&amp;end_day=30&amp;end_year=2019","Jihočeský Kraj ")</f>
        <v xml:space="preserve">Jihočeský Kraj </v>
      </c>
      <c r="G927" s="74" t="str">
        <f>HYPERLINK("http://api.nsgreg.nga.mil/geo-division/GENC/6/3-11/CZ-31","as:GENC:6:3-11:CZ-31")</f>
        <v>as:GENC:6:3-11:CZ-31</v>
      </c>
    </row>
    <row r="928" spans="1:7" x14ac:dyDescent="0.25">
      <c r="A928" s="112"/>
      <c r="B928" s="21" t="s">
        <v>3527</v>
      </c>
      <c r="C928" s="21" t="s">
        <v>3528</v>
      </c>
      <c r="D928" s="76" t="s">
        <v>2035</v>
      </c>
      <c r="E928" s="77" t="b">
        <v>0</v>
      </c>
      <c r="F928" s="72" t="str">
        <f>HYPERLINK("http://nsgreg.nga.mil/genc/view?v=292138&amp;end_month=6&amp;end_day=30&amp;end_year=2019","České Budějovice")</f>
        <v>České Budějovice</v>
      </c>
      <c r="G928" s="72" t="str">
        <f>HYPERLINK("http://api.nsgreg.nga.mil/geo-division/GENC/6/3-11/CZ-311","as:GENC:6:3-11:CZ-311")</f>
        <v>as:GENC:6:3-11:CZ-311</v>
      </c>
    </row>
    <row r="929" spans="1:7" x14ac:dyDescent="0.25">
      <c r="A929" s="112"/>
      <c r="B929" s="21" t="s">
        <v>3529</v>
      </c>
      <c r="C929" s="21" t="s">
        <v>3530</v>
      </c>
      <c r="D929" s="76" t="s">
        <v>2035</v>
      </c>
      <c r="E929" s="77" t="b">
        <v>0</v>
      </c>
      <c r="F929" s="72" t="str">
        <f>HYPERLINK("http://nsgreg.nga.mil/genc/view?v=292139&amp;end_month=6&amp;end_day=30&amp;end_year=2019","Český Krumlov")</f>
        <v>Český Krumlov</v>
      </c>
      <c r="G929" s="72" t="str">
        <f>HYPERLINK("http://api.nsgreg.nga.mil/geo-division/GENC/6/3-11/CZ-312","as:GENC:6:3-11:CZ-312")</f>
        <v>as:GENC:6:3-11:CZ-312</v>
      </c>
    </row>
    <row r="930" spans="1:7" x14ac:dyDescent="0.25">
      <c r="A930" s="112"/>
      <c r="B930" s="21" t="s">
        <v>3531</v>
      </c>
      <c r="C930" s="21" t="s">
        <v>3532</v>
      </c>
      <c r="D930" s="76" t="s">
        <v>2035</v>
      </c>
      <c r="E930" s="77" t="b">
        <v>0</v>
      </c>
      <c r="F930" s="72" t="str">
        <f>HYPERLINK("http://nsgreg.nga.mil/genc/view?v=292140&amp;end_month=6&amp;end_day=30&amp;end_year=2019","Jindřichův Hradec")</f>
        <v>Jindřichův Hradec</v>
      </c>
      <c r="G930" s="72" t="str">
        <f>HYPERLINK("http://api.nsgreg.nga.mil/geo-division/GENC/6/3-11/CZ-313","as:GENC:6:3-11:CZ-313")</f>
        <v>as:GENC:6:3-11:CZ-313</v>
      </c>
    </row>
    <row r="931" spans="1:7" x14ac:dyDescent="0.25">
      <c r="A931" s="112"/>
      <c r="B931" s="21" t="s">
        <v>3533</v>
      </c>
      <c r="C931" s="21" t="s">
        <v>3534</v>
      </c>
      <c r="D931" s="76" t="s">
        <v>2035</v>
      </c>
      <c r="E931" s="77" t="b">
        <v>0</v>
      </c>
      <c r="F931" s="72" t="str">
        <f>HYPERLINK("http://nsgreg.nga.mil/genc/view?v=292141&amp;end_month=6&amp;end_day=30&amp;end_year=2019","Písek")</f>
        <v>Písek</v>
      </c>
      <c r="G931" s="72" t="str">
        <f>HYPERLINK("http://api.nsgreg.nga.mil/geo-division/GENC/6/3-11/CZ-314","as:GENC:6:3-11:CZ-314")</f>
        <v>as:GENC:6:3-11:CZ-314</v>
      </c>
    </row>
    <row r="932" spans="1:7" x14ac:dyDescent="0.25">
      <c r="A932" s="112"/>
      <c r="B932" s="21" t="s">
        <v>3535</v>
      </c>
      <c r="C932" s="21" t="s">
        <v>3536</v>
      </c>
      <c r="D932" s="76" t="s">
        <v>2035</v>
      </c>
      <c r="E932" s="77" t="b">
        <v>0</v>
      </c>
      <c r="F932" s="72" t="str">
        <f>HYPERLINK("http://nsgreg.nga.mil/genc/view?v=292142&amp;end_month=6&amp;end_day=30&amp;end_year=2019","Prachatice")</f>
        <v>Prachatice</v>
      </c>
      <c r="G932" s="72" t="str">
        <f>HYPERLINK("http://api.nsgreg.nga.mil/geo-division/GENC/6/3-11/CZ-315","as:GENC:6:3-11:CZ-315")</f>
        <v>as:GENC:6:3-11:CZ-315</v>
      </c>
    </row>
    <row r="933" spans="1:7" x14ac:dyDescent="0.25">
      <c r="A933" s="112"/>
      <c r="B933" s="21" t="s">
        <v>3537</v>
      </c>
      <c r="C933" s="21" t="s">
        <v>3538</v>
      </c>
      <c r="D933" s="76" t="s">
        <v>2035</v>
      </c>
      <c r="E933" s="77" t="b">
        <v>0</v>
      </c>
      <c r="F933" s="72" t="str">
        <f>HYPERLINK("http://nsgreg.nga.mil/genc/view?v=292143&amp;end_month=6&amp;end_day=30&amp;end_year=2019","Strakonice")</f>
        <v>Strakonice</v>
      </c>
      <c r="G933" s="72" t="str">
        <f>HYPERLINK("http://api.nsgreg.nga.mil/geo-division/GENC/6/3-11/CZ-316","as:GENC:6:3-11:CZ-316")</f>
        <v>as:GENC:6:3-11:CZ-316</v>
      </c>
    </row>
    <row r="934" spans="1:7" x14ac:dyDescent="0.25">
      <c r="A934" s="112"/>
      <c r="B934" s="21" t="s">
        <v>3539</v>
      </c>
      <c r="C934" s="21" t="s">
        <v>3540</v>
      </c>
      <c r="D934" s="76" t="s">
        <v>2035</v>
      </c>
      <c r="E934" s="77" t="b">
        <v>0</v>
      </c>
      <c r="F934" s="72" t="str">
        <f>HYPERLINK("http://nsgreg.nga.mil/genc/view?v=292144&amp;end_month=6&amp;end_day=30&amp;end_year=2019","Tábor")</f>
        <v>Tábor</v>
      </c>
      <c r="G934" s="72" t="str">
        <f>HYPERLINK("http://api.nsgreg.nga.mil/geo-division/GENC/6/3-11/CZ-317","as:GENC:6:3-11:CZ-317")</f>
        <v>as:GENC:6:3-11:CZ-317</v>
      </c>
    </row>
    <row r="935" spans="1:7" x14ac:dyDescent="0.25">
      <c r="A935" s="112"/>
      <c r="B935" s="21" t="s">
        <v>3541</v>
      </c>
      <c r="C935" s="21" t="s">
        <v>3542</v>
      </c>
      <c r="D935" s="21" t="s">
        <v>1975</v>
      </c>
      <c r="E935" s="50" t="b">
        <v>1</v>
      </c>
      <c r="F935" s="72" t="str">
        <f>HYPERLINK("http://nsgreg.nga.mil/genc/view?v=292187&amp;end_month=6&amp;end_day=30&amp;end_year=2019","Jihomoravský Kraj")</f>
        <v>Jihomoravský Kraj</v>
      </c>
      <c r="G935" s="72" t="str">
        <f>HYPERLINK("http://api.nsgreg.nga.mil/geo-division/GENC/6/3-11/CZ-64","as:GENC:6:3-11:CZ-64")</f>
        <v>as:GENC:6:3-11:CZ-64</v>
      </c>
    </row>
    <row r="936" spans="1:7" x14ac:dyDescent="0.25">
      <c r="A936" s="112"/>
      <c r="B936" s="21" t="s">
        <v>3543</v>
      </c>
      <c r="C936" s="21" t="s">
        <v>3544</v>
      </c>
      <c r="D936" s="76" t="s">
        <v>2035</v>
      </c>
      <c r="E936" s="77" t="b">
        <v>0</v>
      </c>
      <c r="F936" s="72" t="str">
        <f>HYPERLINK("http://nsgreg.nga.mil/genc/view?v=292188&amp;end_month=6&amp;end_day=30&amp;end_year=2019","Blansko")</f>
        <v>Blansko</v>
      </c>
      <c r="G936" s="72" t="str">
        <f>HYPERLINK("http://api.nsgreg.nga.mil/geo-division/GENC/6/3-11/CZ-641","as:GENC:6:3-11:CZ-641")</f>
        <v>as:GENC:6:3-11:CZ-641</v>
      </c>
    </row>
    <row r="937" spans="1:7" x14ac:dyDescent="0.25">
      <c r="A937" s="112"/>
      <c r="B937" s="21" t="s">
        <v>3545</v>
      </c>
      <c r="C937" s="21" t="s">
        <v>3546</v>
      </c>
      <c r="D937" s="76" t="s">
        <v>2035</v>
      </c>
      <c r="E937" s="77" t="b">
        <v>0</v>
      </c>
      <c r="F937" s="72" t="str">
        <f>HYPERLINK("http://nsgreg.nga.mil/genc/view?v=292191&amp;end_month=6&amp;end_day=30&amp;end_year=2019","Břeclav")</f>
        <v>Břeclav</v>
      </c>
      <c r="G937" s="72" t="str">
        <f>HYPERLINK("http://api.nsgreg.nga.mil/geo-division/GENC/6/3-11/CZ-644","as:GENC:6:3-11:CZ-644")</f>
        <v>as:GENC:6:3-11:CZ-644</v>
      </c>
    </row>
    <row r="938" spans="1:7" x14ac:dyDescent="0.25">
      <c r="A938" s="112"/>
      <c r="B938" s="21" t="s">
        <v>3547</v>
      </c>
      <c r="C938" s="21" t="s">
        <v>3548</v>
      </c>
      <c r="D938" s="76" t="s">
        <v>2035</v>
      </c>
      <c r="E938" s="77" t="b">
        <v>0</v>
      </c>
      <c r="F938" s="72" t="str">
        <f>HYPERLINK("http://nsgreg.nga.mil/genc/view?v=292190&amp;end_month=6&amp;end_day=30&amp;end_year=2019","Brno-Venkov")</f>
        <v>Brno-Venkov</v>
      </c>
      <c r="G938" s="72" t="str">
        <f>HYPERLINK("http://api.nsgreg.nga.mil/geo-division/GENC/6/3-11/CZ-643","as:GENC:6:3-11:CZ-643")</f>
        <v>as:GENC:6:3-11:CZ-643</v>
      </c>
    </row>
    <row r="939" spans="1:7" x14ac:dyDescent="0.25">
      <c r="A939" s="112"/>
      <c r="B939" s="21" t="s">
        <v>3549</v>
      </c>
      <c r="C939" s="21" t="s">
        <v>3550</v>
      </c>
      <c r="D939" s="76" t="s">
        <v>2035</v>
      </c>
      <c r="E939" s="77" t="b">
        <v>0</v>
      </c>
      <c r="F939" s="72" t="str">
        <f>HYPERLINK("http://nsgreg.nga.mil/genc/view?v=292192&amp;end_month=6&amp;end_day=30&amp;end_year=2019","Hodonín")</f>
        <v>Hodonín</v>
      </c>
      <c r="G939" s="72" t="str">
        <f>HYPERLINK("http://api.nsgreg.nga.mil/geo-division/GENC/6/3-11/CZ-645","as:GENC:6:3-11:CZ-645")</f>
        <v>as:GENC:6:3-11:CZ-645</v>
      </c>
    </row>
    <row r="940" spans="1:7" x14ac:dyDescent="0.25">
      <c r="A940" s="112"/>
      <c r="B940" s="21" t="s">
        <v>3551</v>
      </c>
      <c r="C940" s="21" t="s">
        <v>3552</v>
      </c>
      <c r="D940" s="76" t="s">
        <v>2035</v>
      </c>
      <c r="E940" s="77" t="b">
        <v>0</v>
      </c>
      <c r="F940" s="72" t="str">
        <f>HYPERLINK("http://nsgreg.nga.mil/genc/view?v=292189&amp;end_month=6&amp;end_day=30&amp;end_year=2019","Město Brno")</f>
        <v>Město Brno</v>
      </c>
      <c r="G940" s="72" t="str">
        <f>HYPERLINK("http://api.nsgreg.nga.mil/geo-division/GENC/6/3-11/CZ-642","as:GENC:6:3-11:CZ-642")</f>
        <v>as:GENC:6:3-11:CZ-642</v>
      </c>
    </row>
    <row r="941" spans="1:7" x14ac:dyDescent="0.25">
      <c r="A941" s="112"/>
      <c r="B941" s="21" t="s">
        <v>3553</v>
      </c>
      <c r="C941" s="21" t="s">
        <v>3554</v>
      </c>
      <c r="D941" s="76" t="s">
        <v>2035</v>
      </c>
      <c r="E941" s="77" t="b">
        <v>0</v>
      </c>
      <c r="F941" s="72" t="str">
        <f>HYPERLINK("http://nsgreg.nga.mil/genc/view?v=292193&amp;end_month=6&amp;end_day=30&amp;end_year=2019","Vyškov")</f>
        <v>Vyškov</v>
      </c>
      <c r="G941" s="72" t="str">
        <f>HYPERLINK("http://api.nsgreg.nga.mil/geo-division/GENC/6/3-11/CZ-646","as:GENC:6:3-11:CZ-646")</f>
        <v>as:GENC:6:3-11:CZ-646</v>
      </c>
    </row>
    <row r="942" spans="1:7" x14ac:dyDescent="0.25">
      <c r="A942" s="112"/>
      <c r="B942" s="21" t="s">
        <v>3555</v>
      </c>
      <c r="C942" s="21" t="s">
        <v>3556</v>
      </c>
      <c r="D942" s="76" t="s">
        <v>2035</v>
      </c>
      <c r="E942" s="77" t="b">
        <v>0</v>
      </c>
      <c r="F942" s="72" t="str">
        <f>HYPERLINK("http://nsgreg.nga.mil/genc/view?v=292194&amp;end_month=6&amp;end_day=30&amp;end_year=2019","Znojmo")</f>
        <v>Znojmo</v>
      </c>
      <c r="G942" s="72" t="str">
        <f>HYPERLINK("http://api.nsgreg.nga.mil/geo-division/GENC/6/3-11/CZ-647","as:GENC:6:3-11:CZ-647")</f>
        <v>as:GENC:6:3-11:CZ-647</v>
      </c>
    </row>
    <row r="943" spans="1:7" x14ac:dyDescent="0.25">
      <c r="A943" s="112"/>
      <c r="B943" s="21" t="s">
        <v>3557</v>
      </c>
      <c r="C943" s="21" t="s">
        <v>3558</v>
      </c>
      <c r="D943" s="21" t="s">
        <v>1975</v>
      </c>
      <c r="E943" s="50" t="b">
        <v>1</v>
      </c>
      <c r="F943" s="72" t="str">
        <f>HYPERLINK("http://nsgreg.nga.mil/genc/view?v=292153&amp;end_month=6&amp;end_day=30&amp;end_year=2019","Karlovarský Kraj")</f>
        <v>Karlovarský Kraj</v>
      </c>
      <c r="G943" s="72" t="str">
        <f>HYPERLINK("http://api.nsgreg.nga.mil/geo-division/GENC/6/3-11/CZ-41","as:GENC:6:3-11:CZ-41")</f>
        <v>as:GENC:6:3-11:CZ-41</v>
      </c>
    </row>
    <row r="944" spans="1:7" x14ac:dyDescent="0.25">
      <c r="A944" s="112"/>
      <c r="B944" s="21" t="s">
        <v>3559</v>
      </c>
      <c r="C944" s="21" t="s">
        <v>3560</v>
      </c>
      <c r="D944" s="76" t="s">
        <v>2035</v>
      </c>
      <c r="E944" s="77" t="b">
        <v>0</v>
      </c>
      <c r="F944" s="72" t="str">
        <f>HYPERLINK("http://nsgreg.nga.mil/genc/view?v=292154&amp;end_month=6&amp;end_day=30&amp;end_year=2019","Cheb")</f>
        <v>Cheb</v>
      </c>
      <c r="G944" s="72" t="str">
        <f>HYPERLINK("http://api.nsgreg.nga.mil/geo-division/GENC/6/3-11/CZ-411","as:GENC:6:3-11:CZ-411")</f>
        <v>as:GENC:6:3-11:CZ-411</v>
      </c>
    </row>
    <row r="945" spans="1:7" x14ac:dyDescent="0.25">
      <c r="A945" s="112"/>
      <c r="B945" s="21" t="s">
        <v>3561</v>
      </c>
      <c r="C945" s="21" t="s">
        <v>3562</v>
      </c>
      <c r="D945" s="76" t="s">
        <v>2035</v>
      </c>
      <c r="E945" s="77" t="b">
        <v>0</v>
      </c>
      <c r="F945" s="72" t="str">
        <f>HYPERLINK("http://nsgreg.nga.mil/genc/view?v=292155&amp;end_month=6&amp;end_day=30&amp;end_year=2019","Karlovy Vary")</f>
        <v>Karlovy Vary</v>
      </c>
      <c r="G945" s="72" t="str">
        <f>HYPERLINK("http://api.nsgreg.nga.mil/geo-division/GENC/6/3-11/CZ-412","as:GENC:6:3-11:CZ-412")</f>
        <v>as:GENC:6:3-11:CZ-412</v>
      </c>
    </row>
    <row r="946" spans="1:7" x14ac:dyDescent="0.25">
      <c r="A946" s="112"/>
      <c r="B946" s="21" t="s">
        <v>3563</v>
      </c>
      <c r="C946" s="21" t="s">
        <v>3564</v>
      </c>
      <c r="D946" s="76" t="s">
        <v>2035</v>
      </c>
      <c r="E946" s="77" t="b">
        <v>0</v>
      </c>
      <c r="F946" s="72" t="str">
        <f>HYPERLINK("http://nsgreg.nga.mil/genc/view?v=292156&amp;end_month=6&amp;end_day=30&amp;end_year=2019","Sokolov")</f>
        <v>Sokolov</v>
      </c>
      <c r="G946" s="72" t="str">
        <f>HYPERLINK("http://api.nsgreg.nga.mil/geo-division/GENC/6/3-11/CZ-413","as:GENC:6:3-11:CZ-413")</f>
        <v>as:GENC:6:3-11:CZ-413</v>
      </c>
    </row>
    <row r="947" spans="1:7" x14ac:dyDescent="0.25">
      <c r="A947" s="112"/>
      <c r="B947" s="21" t="s">
        <v>3565</v>
      </c>
      <c r="C947" s="21" t="s">
        <v>3566</v>
      </c>
      <c r="D947" s="21" t="s">
        <v>1975</v>
      </c>
      <c r="E947" s="50" t="b">
        <v>1</v>
      </c>
      <c r="F947" s="72" t="str">
        <f>HYPERLINK("http://nsgreg.nga.mil/genc/view?v=292170&amp;end_month=6&amp;end_day=30&amp;end_year=2019","Královéhradecký Kraj")</f>
        <v>Královéhradecký Kraj</v>
      </c>
      <c r="G947" s="72" t="str">
        <f>HYPERLINK("http://api.nsgreg.nga.mil/geo-division/GENC/6/3-11/CZ-52","as:GENC:6:3-11:CZ-52")</f>
        <v>as:GENC:6:3-11:CZ-52</v>
      </c>
    </row>
    <row r="948" spans="1:7" x14ac:dyDescent="0.25">
      <c r="A948" s="112"/>
      <c r="B948" s="21" t="s">
        <v>3567</v>
      </c>
      <c r="C948" s="21" t="s">
        <v>3568</v>
      </c>
      <c r="D948" s="76" t="s">
        <v>2035</v>
      </c>
      <c r="E948" s="77" t="b">
        <v>0</v>
      </c>
      <c r="F948" s="72" t="str">
        <f>HYPERLINK("http://nsgreg.nga.mil/genc/view?v=292171&amp;end_month=6&amp;end_day=30&amp;end_year=2019","Hradec Králové")</f>
        <v>Hradec Králové</v>
      </c>
      <c r="G948" s="72" t="str">
        <f>HYPERLINK("http://api.nsgreg.nga.mil/geo-division/GENC/6/3-11/CZ-521","as:GENC:6:3-11:CZ-521")</f>
        <v>as:GENC:6:3-11:CZ-521</v>
      </c>
    </row>
    <row r="949" spans="1:7" x14ac:dyDescent="0.25">
      <c r="A949" s="112"/>
      <c r="B949" s="21" t="s">
        <v>3569</v>
      </c>
      <c r="C949" s="21" t="s">
        <v>3570</v>
      </c>
      <c r="D949" s="76" t="s">
        <v>2035</v>
      </c>
      <c r="E949" s="77" t="b">
        <v>0</v>
      </c>
      <c r="F949" s="72" t="str">
        <f>HYPERLINK("http://nsgreg.nga.mil/genc/view?v=292172&amp;end_month=6&amp;end_day=30&amp;end_year=2019","Jičín")</f>
        <v>Jičín</v>
      </c>
      <c r="G949" s="72" t="str">
        <f>HYPERLINK("http://api.nsgreg.nga.mil/geo-division/GENC/6/3-11/CZ-522","as:GENC:6:3-11:CZ-522")</f>
        <v>as:GENC:6:3-11:CZ-522</v>
      </c>
    </row>
    <row r="950" spans="1:7" x14ac:dyDescent="0.25">
      <c r="A950" s="112"/>
      <c r="B950" s="21" t="s">
        <v>3571</v>
      </c>
      <c r="C950" s="21" t="s">
        <v>3572</v>
      </c>
      <c r="D950" s="76" t="s">
        <v>2035</v>
      </c>
      <c r="E950" s="77" t="b">
        <v>0</v>
      </c>
      <c r="F950" s="72" t="str">
        <f>HYPERLINK("http://nsgreg.nga.mil/genc/view?v=292173&amp;end_month=6&amp;end_day=30&amp;end_year=2019","Náchod")</f>
        <v>Náchod</v>
      </c>
      <c r="G950" s="72" t="str">
        <f>HYPERLINK("http://api.nsgreg.nga.mil/geo-division/GENC/6/3-11/CZ-523","as:GENC:6:3-11:CZ-523")</f>
        <v>as:GENC:6:3-11:CZ-523</v>
      </c>
    </row>
    <row r="951" spans="1:7" x14ac:dyDescent="0.25">
      <c r="A951" s="112"/>
      <c r="B951" s="21" t="s">
        <v>3573</v>
      </c>
      <c r="C951" s="21" t="s">
        <v>3574</v>
      </c>
      <c r="D951" s="76" t="s">
        <v>2035</v>
      </c>
      <c r="E951" s="77" t="b">
        <v>0</v>
      </c>
      <c r="F951" s="72" t="str">
        <f>HYPERLINK("http://nsgreg.nga.mil/genc/view?v=292174&amp;end_month=6&amp;end_day=30&amp;end_year=2019","Rychnov nad Kněžnou")</f>
        <v>Rychnov nad Kněžnou</v>
      </c>
      <c r="G951" s="72" t="str">
        <f>HYPERLINK("http://api.nsgreg.nga.mil/geo-division/GENC/6/3-11/CZ-524","as:GENC:6:3-11:CZ-524")</f>
        <v>as:GENC:6:3-11:CZ-524</v>
      </c>
    </row>
    <row r="952" spans="1:7" x14ac:dyDescent="0.25">
      <c r="A952" s="112"/>
      <c r="B952" s="21" t="s">
        <v>3575</v>
      </c>
      <c r="C952" s="21" t="s">
        <v>3576</v>
      </c>
      <c r="D952" s="76" t="s">
        <v>2035</v>
      </c>
      <c r="E952" s="77" t="b">
        <v>0</v>
      </c>
      <c r="F952" s="72" t="str">
        <f>HYPERLINK("http://nsgreg.nga.mil/genc/view?v=292175&amp;end_month=6&amp;end_day=30&amp;end_year=2019","Trutnov")</f>
        <v>Trutnov</v>
      </c>
      <c r="G952" s="72" t="str">
        <f>HYPERLINK("http://api.nsgreg.nga.mil/geo-division/GENC/6/3-11/CZ-525","as:GENC:6:3-11:CZ-525")</f>
        <v>as:GENC:6:3-11:CZ-525</v>
      </c>
    </row>
    <row r="953" spans="1:7" x14ac:dyDescent="0.25">
      <c r="A953" s="112"/>
      <c r="B953" s="21" t="s">
        <v>3577</v>
      </c>
      <c r="C953" s="21" t="s">
        <v>3578</v>
      </c>
      <c r="D953" s="21" t="s">
        <v>1975</v>
      </c>
      <c r="E953" s="50" t="b">
        <v>1</v>
      </c>
      <c r="F953" s="72" t="str">
        <f>HYPERLINK("http://nsgreg.nga.mil/genc/view?v=292165&amp;end_month=6&amp;end_day=30&amp;end_year=2019","Liberecký Kraj")</f>
        <v>Liberecký Kraj</v>
      </c>
      <c r="G953" s="72" t="str">
        <f>HYPERLINK("http://api.nsgreg.nga.mil/geo-division/GENC/6/3-11/CZ-51","as:GENC:6:3-11:CZ-51")</f>
        <v>as:GENC:6:3-11:CZ-51</v>
      </c>
    </row>
    <row r="954" spans="1:7" x14ac:dyDescent="0.25">
      <c r="A954" s="112"/>
      <c r="B954" s="21" t="s">
        <v>3579</v>
      </c>
      <c r="C954" s="21" t="s">
        <v>3580</v>
      </c>
      <c r="D954" s="76" t="s">
        <v>2035</v>
      </c>
      <c r="E954" s="77" t="b">
        <v>0</v>
      </c>
      <c r="F954" s="72" t="str">
        <f>HYPERLINK("http://nsgreg.nga.mil/genc/view?v=292166&amp;end_month=6&amp;end_day=30&amp;end_year=2019","Česká Lípa")</f>
        <v>Česká Lípa</v>
      </c>
      <c r="G954" s="72" t="str">
        <f>HYPERLINK("http://api.nsgreg.nga.mil/geo-division/GENC/6/3-11/CZ-511","as:GENC:6:3-11:CZ-511")</f>
        <v>as:GENC:6:3-11:CZ-511</v>
      </c>
    </row>
    <row r="955" spans="1:7" x14ac:dyDescent="0.25">
      <c r="A955" s="112"/>
      <c r="B955" s="21" t="s">
        <v>3581</v>
      </c>
      <c r="C955" s="21" t="s">
        <v>3582</v>
      </c>
      <c r="D955" s="76" t="s">
        <v>2035</v>
      </c>
      <c r="E955" s="77" t="b">
        <v>0</v>
      </c>
      <c r="F955" s="72" t="str">
        <f>HYPERLINK("http://nsgreg.nga.mil/genc/view?v=292167&amp;end_month=6&amp;end_day=30&amp;end_year=2019","Jablonec nad Nisou")</f>
        <v>Jablonec nad Nisou</v>
      </c>
      <c r="G955" s="72" t="str">
        <f>HYPERLINK("http://api.nsgreg.nga.mil/geo-division/GENC/6/3-11/CZ-512","as:GENC:6:3-11:CZ-512")</f>
        <v>as:GENC:6:3-11:CZ-512</v>
      </c>
    </row>
    <row r="956" spans="1:7" x14ac:dyDescent="0.25">
      <c r="A956" s="112"/>
      <c r="B956" s="21" t="s">
        <v>3583</v>
      </c>
      <c r="C956" s="21" t="s">
        <v>3584</v>
      </c>
      <c r="D956" s="76" t="s">
        <v>2035</v>
      </c>
      <c r="E956" s="77" t="b">
        <v>0</v>
      </c>
      <c r="F956" s="72" t="str">
        <f>HYPERLINK("http://nsgreg.nga.mil/genc/view?v=292168&amp;end_month=6&amp;end_day=30&amp;end_year=2019","Liberec")</f>
        <v>Liberec</v>
      </c>
      <c r="G956" s="72" t="str">
        <f>HYPERLINK("http://api.nsgreg.nga.mil/geo-division/GENC/6/3-11/CZ-513","as:GENC:6:3-11:CZ-513")</f>
        <v>as:GENC:6:3-11:CZ-513</v>
      </c>
    </row>
    <row r="957" spans="1:7" x14ac:dyDescent="0.25">
      <c r="A957" s="112"/>
      <c r="B957" s="21" t="s">
        <v>3585</v>
      </c>
      <c r="C957" s="21" t="s">
        <v>3586</v>
      </c>
      <c r="D957" s="76" t="s">
        <v>2035</v>
      </c>
      <c r="E957" s="77" t="b">
        <v>0</v>
      </c>
      <c r="F957" s="72" t="str">
        <f>HYPERLINK("http://nsgreg.nga.mil/genc/view?v=292169&amp;end_month=6&amp;end_day=30&amp;end_year=2019","Semily")</f>
        <v>Semily</v>
      </c>
      <c r="G957" s="72" t="str">
        <f>HYPERLINK("http://api.nsgreg.nga.mil/geo-division/GENC/6/3-11/CZ-514","as:GENC:6:3-11:CZ-514")</f>
        <v>as:GENC:6:3-11:CZ-514</v>
      </c>
    </row>
    <row r="958" spans="1:7" x14ac:dyDescent="0.25">
      <c r="A958" s="112"/>
      <c r="B958" s="21" t="s">
        <v>3587</v>
      </c>
      <c r="C958" s="21" t="s">
        <v>3588</v>
      </c>
      <c r="D958" s="21" t="s">
        <v>1975</v>
      </c>
      <c r="E958" s="50" t="b">
        <v>1</v>
      </c>
      <c r="F958" s="72" t="str">
        <f>HYPERLINK("http://nsgreg.nga.mil/genc/view?v=292206&amp;end_month=6&amp;end_day=30&amp;end_year=2019","Moravskoslezský Kraj ")</f>
        <v xml:space="preserve">Moravskoslezský Kraj </v>
      </c>
      <c r="G958" s="72" t="str">
        <f>HYPERLINK("http://api.nsgreg.nga.mil/geo-division/GENC/6/3-11/CZ-80","as:GENC:6:3-11:CZ-80")</f>
        <v>as:GENC:6:3-11:CZ-80</v>
      </c>
    </row>
    <row r="959" spans="1:7" x14ac:dyDescent="0.25">
      <c r="A959" s="112"/>
      <c r="B959" s="21" t="s">
        <v>3589</v>
      </c>
      <c r="C959" s="21" t="s">
        <v>3590</v>
      </c>
      <c r="D959" s="76" t="s">
        <v>2035</v>
      </c>
      <c r="E959" s="77" t="b">
        <v>0</v>
      </c>
      <c r="F959" s="72" t="str">
        <f>HYPERLINK("http://nsgreg.nga.mil/genc/view?v=292207&amp;end_month=6&amp;end_day=30&amp;end_year=2019","Bruntál")</f>
        <v>Bruntál</v>
      </c>
      <c r="G959" s="72" t="str">
        <f>HYPERLINK("http://api.nsgreg.nga.mil/geo-division/GENC/6/3-11/CZ-801","as:GENC:6:3-11:CZ-801")</f>
        <v>as:GENC:6:3-11:CZ-801</v>
      </c>
    </row>
    <row r="960" spans="1:7" x14ac:dyDescent="0.25">
      <c r="A960" s="112"/>
      <c r="B960" s="21" t="s">
        <v>3591</v>
      </c>
      <c r="C960" s="21" t="s">
        <v>3592</v>
      </c>
      <c r="D960" s="76" t="s">
        <v>2035</v>
      </c>
      <c r="E960" s="77" t="b">
        <v>0</v>
      </c>
      <c r="F960" s="72" t="str">
        <f>HYPERLINK("http://nsgreg.nga.mil/genc/view?v=292208&amp;end_month=6&amp;end_day=30&amp;end_year=2019","Frýdek-Místek")</f>
        <v>Frýdek-Místek</v>
      </c>
      <c r="G960" s="72" t="str">
        <f>HYPERLINK("http://api.nsgreg.nga.mil/geo-division/GENC/6/3-11/CZ-802","as:GENC:6:3-11:CZ-802")</f>
        <v>as:GENC:6:3-11:CZ-802</v>
      </c>
    </row>
    <row r="961" spans="1:7" x14ac:dyDescent="0.25">
      <c r="A961" s="112"/>
      <c r="B961" s="21" t="s">
        <v>3593</v>
      </c>
      <c r="C961" s="21" t="s">
        <v>3594</v>
      </c>
      <c r="D961" s="76" t="s">
        <v>2035</v>
      </c>
      <c r="E961" s="77" t="b">
        <v>0</v>
      </c>
      <c r="F961" s="72" t="str">
        <f>HYPERLINK("http://nsgreg.nga.mil/genc/view?v=292209&amp;end_month=6&amp;end_day=30&amp;end_year=2019","Karviná")</f>
        <v>Karviná</v>
      </c>
      <c r="G961" s="72" t="str">
        <f>HYPERLINK("http://api.nsgreg.nga.mil/geo-division/GENC/6/3-11/CZ-803","as:GENC:6:3-11:CZ-803")</f>
        <v>as:GENC:6:3-11:CZ-803</v>
      </c>
    </row>
    <row r="962" spans="1:7" x14ac:dyDescent="0.25">
      <c r="A962" s="112"/>
      <c r="B962" s="21" t="s">
        <v>3595</v>
      </c>
      <c r="C962" s="21" t="s">
        <v>3596</v>
      </c>
      <c r="D962" s="76" t="s">
        <v>2035</v>
      </c>
      <c r="E962" s="77" t="b">
        <v>0</v>
      </c>
      <c r="F962" s="72" t="str">
        <f>HYPERLINK("http://nsgreg.nga.mil/genc/view?v=292210&amp;end_month=6&amp;end_day=30&amp;end_year=2019","Nový Jičín")</f>
        <v>Nový Jičín</v>
      </c>
      <c r="G962" s="72" t="str">
        <f>HYPERLINK("http://api.nsgreg.nga.mil/geo-division/GENC/6/3-11/CZ-804","as:GENC:6:3-11:CZ-804")</f>
        <v>as:GENC:6:3-11:CZ-804</v>
      </c>
    </row>
    <row r="963" spans="1:7" x14ac:dyDescent="0.25">
      <c r="A963" s="112"/>
      <c r="B963" s="21" t="s">
        <v>3597</v>
      </c>
      <c r="C963" s="21" t="s">
        <v>3598</v>
      </c>
      <c r="D963" s="76" t="s">
        <v>2035</v>
      </c>
      <c r="E963" s="77" t="b">
        <v>0</v>
      </c>
      <c r="F963" s="72" t="str">
        <f>HYPERLINK("http://nsgreg.nga.mil/genc/view?v=292211&amp;end_month=6&amp;end_day=30&amp;end_year=2019","Opava")</f>
        <v>Opava</v>
      </c>
      <c r="G963" s="72" t="str">
        <f>HYPERLINK("http://api.nsgreg.nga.mil/geo-division/GENC/6/3-11/CZ-805","as:GENC:6:3-11:CZ-805")</f>
        <v>as:GENC:6:3-11:CZ-805</v>
      </c>
    </row>
    <row r="964" spans="1:7" x14ac:dyDescent="0.25">
      <c r="A964" s="112"/>
      <c r="B964" s="21" t="s">
        <v>3599</v>
      </c>
      <c r="C964" s="21" t="s">
        <v>3600</v>
      </c>
      <c r="D964" s="76" t="s">
        <v>2035</v>
      </c>
      <c r="E964" s="77" t="b">
        <v>0</v>
      </c>
      <c r="F964" s="72" t="str">
        <f>HYPERLINK("http://nsgreg.nga.mil/genc/view?v=292212&amp;end_month=6&amp;end_day=30&amp;end_year=2019","Ostrava-Město")</f>
        <v>Ostrava-Město</v>
      </c>
      <c r="G964" s="72" t="str">
        <f>HYPERLINK("http://api.nsgreg.nga.mil/geo-division/GENC/6/3-11/CZ-806","as:GENC:6:3-11:CZ-806")</f>
        <v>as:GENC:6:3-11:CZ-806</v>
      </c>
    </row>
    <row r="965" spans="1:7" x14ac:dyDescent="0.25">
      <c r="A965" s="112"/>
      <c r="B965" s="21" t="s">
        <v>3601</v>
      </c>
      <c r="C965" s="21" t="s">
        <v>3602</v>
      </c>
      <c r="D965" s="21" t="s">
        <v>1975</v>
      </c>
      <c r="E965" s="50" t="b">
        <v>1</v>
      </c>
      <c r="F965" s="72" t="str">
        <f>HYPERLINK("http://nsgreg.nga.mil/genc/view?v=292195&amp;end_month=6&amp;end_day=30&amp;end_year=2019","Olomoucký Kraj")</f>
        <v>Olomoucký Kraj</v>
      </c>
      <c r="G965" s="72" t="str">
        <f>HYPERLINK("http://api.nsgreg.nga.mil/geo-division/GENC/6/3-11/CZ-71","as:GENC:6:3-11:CZ-71")</f>
        <v>as:GENC:6:3-11:CZ-71</v>
      </c>
    </row>
    <row r="966" spans="1:7" x14ac:dyDescent="0.25">
      <c r="A966" s="112"/>
      <c r="B966" s="21" t="s">
        <v>3603</v>
      </c>
      <c r="C966" s="21" t="s">
        <v>3604</v>
      </c>
      <c r="D966" s="76" t="s">
        <v>2035</v>
      </c>
      <c r="E966" s="77" t="b">
        <v>0</v>
      </c>
      <c r="F966" s="72" t="str">
        <f>HYPERLINK("http://nsgreg.nga.mil/genc/view?v=292196&amp;end_month=6&amp;end_day=30&amp;end_year=2019","Jeseník")</f>
        <v>Jeseník</v>
      </c>
      <c r="G966" s="72" t="str">
        <f>HYPERLINK("http://api.nsgreg.nga.mil/geo-division/GENC/6/3-11/CZ-711","as:GENC:6:3-11:CZ-711")</f>
        <v>as:GENC:6:3-11:CZ-711</v>
      </c>
    </row>
    <row r="967" spans="1:7" x14ac:dyDescent="0.25">
      <c r="A967" s="112"/>
      <c r="B967" s="21" t="s">
        <v>3605</v>
      </c>
      <c r="C967" s="21" t="s">
        <v>3606</v>
      </c>
      <c r="D967" s="76" t="s">
        <v>2035</v>
      </c>
      <c r="E967" s="77" t="b">
        <v>0</v>
      </c>
      <c r="F967" s="72" t="str">
        <f>HYPERLINK("http://nsgreg.nga.mil/genc/view?v=292197&amp;end_month=6&amp;end_day=30&amp;end_year=2019","Olomouc")</f>
        <v>Olomouc</v>
      </c>
      <c r="G967" s="72" t="str">
        <f>HYPERLINK("http://api.nsgreg.nga.mil/geo-division/GENC/6/3-11/CZ-712","as:GENC:6:3-11:CZ-712")</f>
        <v>as:GENC:6:3-11:CZ-712</v>
      </c>
    </row>
    <row r="968" spans="1:7" x14ac:dyDescent="0.25">
      <c r="A968" s="112"/>
      <c r="B968" s="21" t="s">
        <v>3607</v>
      </c>
      <c r="C968" s="21" t="s">
        <v>3608</v>
      </c>
      <c r="D968" s="76" t="s">
        <v>2035</v>
      </c>
      <c r="E968" s="77" t="b">
        <v>0</v>
      </c>
      <c r="F968" s="72" t="str">
        <f>HYPERLINK("http://nsgreg.nga.mil/genc/view?v=292199&amp;end_month=6&amp;end_day=30&amp;end_year=2019","Přerov")</f>
        <v>Přerov</v>
      </c>
      <c r="G968" s="72" t="str">
        <f>HYPERLINK("http://api.nsgreg.nga.mil/geo-division/GENC/6/3-11/CZ-714","as:GENC:6:3-11:CZ-714")</f>
        <v>as:GENC:6:3-11:CZ-714</v>
      </c>
    </row>
    <row r="969" spans="1:7" x14ac:dyDescent="0.25">
      <c r="A969" s="112"/>
      <c r="B969" s="21" t="s">
        <v>3609</v>
      </c>
      <c r="C969" s="21" t="s">
        <v>3610</v>
      </c>
      <c r="D969" s="76" t="s">
        <v>2035</v>
      </c>
      <c r="E969" s="77" t="b">
        <v>0</v>
      </c>
      <c r="F969" s="72" t="str">
        <f>HYPERLINK("http://nsgreg.nga.mil/genc/view?v=292198&amp;end_month=6&amp;end_day=30&amp;end_year=2019","Prostějov")</f>
        <v>Prostějov</v>
      </c>
      <c r="G969" s="72" t="str">
        <f>HYPERLINK("http://api.nsgreg.nga.mil/geo-division/GENC/6/3-11/CZ-713","as:GENC:6:3-11:CZ-713")</f>
        <v>as:GENC:6:3-11:CZ-713</v>
      </c>
    </row>
    <row r="970" spans="1:7" x14ac:dyDescent="0.25">
      <c r="A970" s="112"/>
      <c r="B970" s="21" t="s">
        <v>3611</v>
      </c>
      <c r="C970" s="21" t="s">
        <v>3612</v>
      </c>
      <c r="D970" s="76" t="s">
        <v>2035</v>
      </c>
      <c r="E970" s="77" t="b">
        <v>0</v>
      </c>
      <c r="F970" s="72" t="str">
        <f>HYPERLINK("http://nsgreg.nga.mil/genc/view?v=292200&amp;end_month=6&amp;end_day=30&amp;end_year=2019","Šumperk")</f>
        <v>Šumperk</v>
      </c>
      <c r="G970" s="72" t="str">
        <f>HYPERLINK("http://api.nsgreg.nga.mil/geo-division/GENC/6/3-11/CZ-715","as:GENC:6:3-11:CZ-715")</f>
        <v>as:GENC:6:3-11:CZ-715</v>
      </c>
    </row>
    <row r="971" spans="1:7" x14ac:dyDescent="0.25">
      <c r="A971" s="112"/>
      <c r="B971" s="21" t="s">
        <v>3613</v>
      </c>
      <c r="C971" s="21" t="s">
        <v>3614</v>
      </c>
      <c r="D971" s="21" t="s">
        <v>1975</v>
      </c>
      <c r="E971" s="50" t="b">
        <v>1</v>
      </c>
      <c r="F971" s="72" t="str">
        <f>HYPERLINK("http://nsgreg.nga.mil/genc/view?v=292176&amp;end_month=6&amp;end_day=30&amp;end_year=2019","Pardubický Kraj")</f>
        <v>Pardubický Kraj</v>
      </c>
      <c r="G971" s="72" t="str">
        <f>HYPERLINK("http://api.nsgreg.nga.mil/geo-division/GENC/6/3-11/CZ-53","as:GENC:6:3-11:CZ-53")</f>
        <v>as:GENC:6:3-11:CZ-53</v>
      </c>
    </row>
    <row r="972" spans="1:7" x14ac:dyDescent="0.25">
      <c r="A972" s="112"/>
      <c r="B972" s="21" t="s">
        <v>3615</v>
      </c>
      <c r="C972" s="21" t="s">
        <v>3616</v>
      </c>
      <c r="D972" s="76" t="s">
        <v>2035</v>
      </c>
      <c r="E972" s="77" t="b">
        <v>0</v>
      </c>
      <c r="F972" s="72" t="str">
        <f>HYPERLINK("http://nsgreg.nga.mil/genc/view?v=292177&amp;end_month=6&amp;end_day=30&amp;end_year=2019","Chrudim")</f>
        <v>Chrudim</v>
      </c>
      <c r="G972" s="72" t="str">
        <f>HYPERLINK("http://api.nsgreg.nga.mil/geo-division/GENC/6/3-11/CZ-531","as:GENC:6:3-11:CZ-531")</f>
        <v>as:GENC:6:3-11:CZ-531</v>
      </c>
    </row>
    <row r="973" spans="1:7" x14ac:dyDescent="0.25">
      <c r="A973" s="112"/>
      <c r="B973" s="21" t="s">
        <v>3617</v>
      </c>
      <c r="C973" s="21" t="s">
        <v>3618</v>
      </c>
      <c r="D973" s="76" t="s">
        <v>2035</v>
      </c>
      <c r="E973" s="77" t="b">
        <v>0</v>
      </c>
      <c r="F973" s="72" t="str">
        <f>HYPERLINK("http://nsgreg.nga.mil/genc/view?v=292178&amp;end_month=6&amp;end_day=30&amp;end_year=2019","Pardubice")</f>
        <v>Pardubice</v>
      </c>
      <c r="G973" s="72" t="str">
        <f>HYPERLINK("http://api.nsgreg.nga.mil/geo-division/GENC/6/3-11/CZ-532","as:GENC:6:3-11:CZ-532")</f>
        <v>as:GENC:6:3-11:CZ-532</v>
      </c>
    </row>
    <row r="974" spans="1:7" x14ac:dyDescent="0.25">
      <c r="A974" s="112"/>
      <c r="B974" s="21" t="s">
        <v>3619</v>
      </c>
      <c r="C974" s="21" t="s">
        <v>3620</v>
      </c>
      <c r="D974" s="76" t="s">
        <v>2035</v>
      </c>
      <c r="E974" s="77" t="b">
        <v>0</v>
      </c>
      <c r="F974" s="72" t="str">
        <f>HYPERLINK("http://nsgreg.nga.mil/genc/view?v=292179&amp;end_month=6&amp;end_day=30&amp;end_year=2019","Svitavy")</f>
        <v>Svitavy</v>
      </c>
      <c r="G974" s="72" t="str">
        <f>HYPERLINK("http://api.nsgreg.nga.mil/geo-division/GENC/6/3-11/CZ-533","as:GENC:6:3-11:CZ-533")</f>
        <v>as:GENC:6:3-11:CZ-533</v>
      </c>
    </row>
    <row r="975" spans="1:7" x14ac:dyDescent="0.25">
      <c r="A975" s="112"/>
      <c r="B975" s="21" t="s">
        <v>3621</v>
      </c>
      <c r="C975" s="21" t="s">
        <v>3622</v>
      </c>
      <c r="D975" s="76" t="s">
        <v>2035</v>
      </c>
      <c r="E975" s="77" t="b">
        <v>0</v>
      </c>
      <c r="F975" s="72" t="str">
        <f>HYPERLINK("http://nsgreg.nga.mil/genc/view?v=292180&amp;end_month=6&amp;end_day=30&amp;end_year=2019","Ústí nad Orlicí")</f>
        <v>Ústí nad Orlicí</v>
      </c>
      <c r="G975" s="72" t="str">
        <f>HYPERLINK("http://api.nsgreg.nga.mil/geo-division/GENC/6/3-11/CZ-534","as:GENC:6:3-11:CZ-534")</f>
        <v>as:GENC:6:3-11:CZ-534</v>
      </c>
    </row>
    <row r="976" spans="1:7" x14ac:dyDescent="0.25">
      <c r="A976" s="112"/>
      <c r="B976" s="21" t="s">
        <v>3623</v>
      </c>
      <c r="C976" s="21" t="s">
        <v>3624</v>
      </c>
      <c r="D976" s="21" t="s">
        <v>1975</v>
      </c>
      <c r="E976" s="50" t="b">
        <v>1</v>
      </c>
      <c r="F976" s="72" t="str">
        <f>HYPERLINK("http://nsgreg.nga.mil/genc/view?v=292145&amp;end_month=6&amp;end_day=30&amp;end_year=2019","Plzeňský Kraj")</f>
        <v>Plzeňský Kraj</v>
      </c>
      <c r="G976" s="72" t="str">
        <f>HYPERLINK("http://api.nsgreg.nga.mil/geo-division/GENC/6/3-11/CZ-32","as:GENC:6:3-11:CZ-32")</f>
        <v>as:GENC:6:3-11:CZ-32</v>
      </c>
    </row>
    <row r="977" spans="1:7" x14ac:dyDescent="0.25">
      <c r="A977" s="112"/>
      <c r="B977" s="21" t="s">
        <v>3625</v>
      </c>
      <c r="C977" s="21" t="s">
        <v>3626</v>
      </c>
      <c r="D977" s="76" t="s">
        <v>2035</v>
      </c>
      <c r="E977" s="77" t="b">
        <v>0</v>
      </c>
      <c r="F977" s="72" t="str">
        <f>HYPERLINK("http://nsgreg.nga.mil/genc/view?v=292146&amp;end_month=6&amp;end_day=30&amp;end_year=2019","Domažlice")</f>
        <v>Domažlice</v>
      </c>
      <c r="G977" s="72" t="str">
        <f>HYPERLINK("http://api.nsgreg.nga.mil/geo-division/GENC/6/3-11/CZ-321","as:GENC:6:3-11:CZ-321")</f>
        <v>as:GENC:6:3-11:CZ-321</v>
      </c>
    </row>
    <row r="978" spans="1:7" x14ac:dyDescent="0.25">
      <c r="A978" s="112"/>
      <c r="B978" s="21" t="s">
        <v>3627</v>
      </c>
      <c r="C978" s="21" t="s">
        <v>3628</v>
      </c>
      <c r="D978" s="76" t="s">
        <v>2035</v>
      </c>
      <c r="E978" s="77" t="b">
        <v>0</v>
      </c>
      <c r="F978" s="72" t="str">
        <f>HYPERLINK("http://nsgreg.nga.mil/genc/view?v=292147&amp;end_month=6&amp;end_day=30&amp;end_year=2019","Klatovy")</f>
        <v>Klatovy</v>
      </c>
      <c r="G978" s="72" t="str">
        <f>HYPERLINK("http://api.nsgreg.nga.mil/geo-division/GENC/6/3-11/CZ-322","as:GENC:6:3-11:CZ-322")</f>
        <v>as:GENC:6:3-11:CZ-322</v>
      </c>
    </row>
    <row r="979" spans="1:7" x14ac:dyDescent="0.25">
      <c r="A979" s="112"/>
      <c r="B979" s="21" t="s">
        <v>3629</v>
      </c>
      <c r="C979" s="21" t="s">
        <v>3630</v>
      </c>
      <c r="D979" s="76" t="s">
        <v>2035</v>
      </c>
      <c r="E979" s="77" t="b">
        <v>0</v>
      </c>
      <c r="F979" s="72" t="str">
        <f>HYPERLINK("http://nsgreg.nga.mil/genc/view?v=292149&amp;end_month=6&amp;end_day=30&amp;end_year=2019","Plzeň-Jih")</f>
        <v>Plzeň-Jih</v>
      </c>
      <c r="G979" s="72" t="str">
        <f>HYPERLINK("http://api.nsgreg.nga.mil/geo-division/GENC/6/3-11/CZ-324","as:GENC:6:3-11:CZ-324")</f>
        <v>as:GENC:6:3-11:CZ-324</v>
      </c>
    </row>
    <row r="980" spans="1:7" x14ac:dyDescent="0.25">
      <c r="A980" s="112"/>
      <c r="B980" s="21" t="s">
        <v>3631</v>
      </c>
      <c r="C980" s="21" t="s">
        <v>3632</v>
      </c>
      <c r="D980" s="76" t="s">
        <v>2035</v>
      </c>
      <c r="E980" s="77" t="b">
        <v>0</v>
      </c>
      <c r="F980" s="72" t="str">
        <f>HYPERLINK("http://nsgreg.nga.mil/genc/view?v=292148&amp;end_month=6&amp;end_day=30&amp;end_year=2019","Plzeň-Město")</f>
        <v>Plzeň-Město</v>
      </c>
      <c r="G980" s="72" t="str">
        <f>HYPERLINK("http://api.nsgreg.nga.mil/geo-division/GENC/6/3-11/CZ-323","as:GENC:6:3-11:CZ-323")</f>
        <v>as:GENC:6:3-11:CZ-323</v>
      </c>
    </row>
    <row r="981" spans="1:7" x14ac:dyDescent="0.25">
      <c r="A981" s="112"/>
      <c r="B981" s="21" t="s">
        <v>3633</v>
      </c>
      <c r="C981" s="21" t="s">
        <v>3634</v>
      </c>
      <c r="D981" s="76" t="s">
        <v>2035</v>
      </c>
      <c r="E981" s="77" t="b">
        <v>0</v>
      </c>
      <c r="F981" s="72" t="str">
        <f>HYPERLINK("http://nsgreg.nga.mil/genc/view?v=292150&amp;end_month=6&amp;end_day=30&amp;end_year=2019","Plzeň-Sever")</f>
        <v>Plzeň-Sever</v>
      </c>
      <c r="G981" s="72" t="str">
        <f>HYPERLINK("http://api.nsgreg.nga.mil/geo-division/GENC/6/3-11/CZ-325","as:GENC:6:3-11:CZ-325")</f>
        <v>as:GENC:6:3-11:CZ-325</v>
      </c>
    </row>
    <row r="982" spans="1:7" x14ac:dyDescent="0.25">
      <c r="A982" s="112"/>
      <c r="B982" s="21" t="s">
        <v>3635</v>
      </c>
      <c r="C982" s="21" t="s">
        <v>3636</v>
      </c>
      <c r="D982" s="76" t="s">
        <v>2035</v>
      </c>
      <c r="E982" s="77" t="b">
        <v>0</v>
      </c>
      <c r="F982" s="72" t="str">
        <f>HYPERLINK("http://nsgreg.nga.mil/genc/view?v=292151&amp;end_month=6&amp;end_day=30&amp;end_year=2019","Rokycany")</f>
        <v>Rokycany</v>
      </c>
      <c r="G982" s="72" t="str">
        <f>HYPERLINK("http://api.nsgreg.nga.mil/geo-division/GENC/6/3-11/CZ-326","as:GENC:6:3-11:CZ-326")</f>
        <v>as:GENC:6:3-11:CZ-326</v>
      </c>
    </row>
    <row r="983" spans="1:7" x14ac:dyDescent="0.25">
      <c r="A983" s="112"/>
      <c r="B983" s="21" t="s">
        <v>3637</v>
      </c>
      <c r="C983" s="21" t="s">
        <v>3638</v>
      </c>
      <c r="D983" s="76" t="s">
        <v>2035</v>
      </c>
      <c r="E983" s="77" t="b">
        <v>0</v>
      </c>
      <c r="F983" s="72" t="str">
        <f>HYPERLINK("http://nsgreg.nga.mil/genc/view?v=292152&amp;end_month=6&amp;end_day=30&amp;end_year=2019","Tachov")</f>
        <v>Tachov</v>
      </c>
      <c r="G983" s="72" t="str">
        <f>HYPERLINK("http://api.nsgreg.nga.mil/geo-division/GENC/6/3-11/CZ-327","as:GENC:6:3-11:CZ-327")</f>
        <v>as:GENC:6:3-11:CZ-327</v>
      </c>
    </row>
    <row r="984" spans="1:7" x14ac:dyDescent="0.25">
      <c r="A984" s="112"/>
      <c r="B984" s="21" t="s">
        <v>3639</v>
      </c>
      <c r="C984" s="21" t="s">
        <v>3640</v>
      </c>
      <c r="D984" s="21" t="s">
        <v>3641</v>
      </c>
      <c r="E984" s="50" t="b">
        <v>1</v>
      </c>
      <c r="F984" s="72" t="str">
        <f>HYPERLINK("http://nsgreg.nga.mil/genc/view?v=292123&amp;end_month=6&amp;end_day=30&amp;end_year=2019","Praha, Hlavní Město")</f>
        <v>Praha, Hlavní Město</v>
      </c>
      <c r="G984" s="72" t="str">
        <f>HYPERLINK("http://api.nsgreg.nga.mil/geo-division/GENC/6/3-11/CZ-10","as:GENC:6:3-11:CZ-10")</f>
        <v>as:GENC:6:3-11:CZ-10</v>
      </c>
    </row>
    <row r="985" spans="1:7" x14ac:dyDescent="0.25">
      <c r="A985" s="112"/>
      <c r="B985" s="21" t="s">
        <v>3642</v>
      </c>
      <c r="C985" s="21" t="s">
        <v>3643</v>
      </c>
      <c r="D985" s="21" t="s">
        <v>1975</v>
      </c>
      <c r="E985" s="50" t="b">
        <v>1</v>
      </c>
      <c r="F985" s="72" t="str">
        <f>HYPERLINK("http://nsgreg.nga.mil/genc/view?v=292124&amp;end_month=6&amp;end_day=30&amp;end_year=2019","Středočeský Kraj")</f>
        <v>Středočeský Kraj</v>
      </c>
      <c r="G985" s="72" t="str">
        <f>HYPERLINK("http://api.nsgreg.nga.mil/geo-division/GENC/6/3-11/CZ-20","as:GENC:6:3-11:CZ-20")</f>
        <v>as:GENC:6:3-11:CZ-20</v>
      </c>
    </row>
    <row r="986" spans="1:7" x14ac:dyDescent="0.25">
      <c r="A986" s="112"/>
      <c r="B986" s="21" t="s">
        <v>3644</v>
      </c>
      <c r="C986" s="21" t="s">
        <v>3645</v>
      </c>
      <c r="D986" s="76" t="s">
        <v>2035</v>
      </c>
      <c r="E986" s="77" t="b">
        <v>0</v>
      </c>
      <c r="F986" s="72" t="str">
        <f>HYPERLINK("http://nsgreg.nga.mil/genc/view?v=292125&amp;end_month=6&amp;end_day=30&amp;end_year=2019","Benešov")</f>
        <v>Benešov</v>
      </c>
      <c r="G986" s="72" t="str">
        <f>HYPERLINK("http://api.nsgreg.nga.mil/geo-division/GENC/6/3-11/CZ-201","as:GENC:6:3-11:CZ-201")</f>
        <v>as:GENC:6:3-11:CZ-201</v>
      </c>
    </row>
    <row r="987" spans="1:7" x14ac:dyDescent="0.25">
      <c r="A987" s="112"/>
      <c r="B987" s="21" t="s">
        <v>3646</v>
      </c>
      <c r="C987" s="21" t="s">
        <v>3647</v>
      </c>
      <c r="D987" s="76" t="s">
        <v>2035</v>
      </c>
      <c r="E987" s="77" t="b">
        <v>0</v>
      </c>
      <c r="F987" s="72" t="str">
        <f>HYPERLINK("http://nsgreg.nga.mil/genc/view?v=292126&amp;end_month=6&amp;end_day=30&amp;end_year=2019","Beroun")</f>
        <v>Beroun</v>
      </c>
      <c r="G987" s="72" t="str">
        <f>HYPERLINK("http://api.nsgreg.nga.mil/geo-division/GENC/6/3-11/CZ-202","as:GENC:6:3-11:CZ-202")</f>
        <v>as:GENC:6:3-11:CZ-202</v>
      </c>
    </row>
    <row r="988" spans="1:7" x14ac:dyDescent="0.25">
      <c r="A988" s="112"/>
      <c r="B988" s="21" t="s">
        <v>3648</v>
      </c>
      <c r="C988" s="21" t="s">
        <v>3649</v>
      </c>
      <c r="D988" s="76" t="s">
        <v>2035</v>
      </c>
      <c r="E988" s="77" t="b">
        <v>0</v>
      </c>
      <c r="F988" s="72" t="str">
        <f>HYPERLINK("http://nsgreg.nga.mil/genc/view?v=292127&amp;end_month=6&amp;end_day=30&amp;end_year=2019","Kladno")</f>
        <v>Kladno</v>
      </c>
      <c r="G988" s="72" t="str">
        <f>HYPERLINK("http://api.nsgreg.nga.mil/geo-division/GENC/6/3-11/CZ-203","as:GENC:6:3-11:CZ-203")</f>
        <v>as:GENC:6:3-11:CZ-203</v>
      </c>
    </row>
    <row r="989" spans="1:7" x14ac:dyDescent="0.25">
      <c r="A989" s="112"/>
      <c r="B989" s="21" t="s">
        <v>3650</v>
      </c>
      <c r="C989" s="21" t="s">
        <v>3651</v>
      </c>
      <c r="D989" s="76" t="s">
        <v>2035</v>
      </c>
      <c r="E989" s="77" t="b">
        <v>0</v>
      </c>
      <c r="F989" s="72" t="str">
        <f>HYPERLINK("http://nsgreg.nga.mil/genc/view?v=292128&amp;end_month=6&amp;end_day=30&amp;end_year=2019","Kolín")</f>
        <v>Kolín</v>
      </c>
      <c r="G989" s="72" t="str">
        <f>HYPERLINK("http://api.nsgreg.nga.mil/geo-division/GENC/6/3-11/CZ-204","as:GENC:6:3-11:CZ-204")</f>
        <v>as:GENC:6:3-11:CZ-204</v>
      </c>
    </row>
    <row r="990" spans="1:7" x14ac:dyDescent="0.25">
      <c r="A990" s="112"/>
      <c r="B990" s="21" t="s">
        <v>3652</v>
      </c>
      <c r="C990" s="21" t="s">
        <v>3653</v>
      </c>
      <c r="D990" s="76" t="s">
        <v>2035</v>
      </c>
      <c r="E990" s="77" t="b">
        <v>0</v>
      </c>
      <c r="F990" s="72" t="str">
        <f>HYPERLINK("http://nsgreg.nga.mil/genc/view?v=292129&amp;end_month=6&amp;end_day=30&amp;end_year=2019","Kutná Hora")</f>
        <v>Kutná Hora</v>
      </c>
      <c r="G990" s="72" t="str">
        <f>HYPERLINK("http://api.nsgreg.nga.mil/geo-division/GENC/6/3-11/CZ-205","as:GENC:6:3-11:CZ-205")</f>
        <v>as:GENC:6:3-11:CZ-205</v>
      </c>
    </row>
    <row r="991" spans="1:7" x14ac:dyDescent="0.25">
      <c r="A991" s="112"/>
      <c r="B991" s="21" t="s">
        <v>3654</v>
      </c>
      <c r="C991" s="21" t="s">
        <v>3655</v>
      </c>
      <c r="D991" s="76" t="s">
        <v>2035</v>
      </c>
      <c r="E991" s="77" t="b">
        <v>0</v>
      </c>
      <c r="F991" s="72" t="str">
        <f>HYPERLINK("http://nsgreg.nga.mil/genc/view?v=292130&amp;end_month=6&amp;end_day=30&amp;end_year=2019","Mělník")</f>
        <v>Mělník</v>
      </c>
      <c r="G991" s="72" t="str">
        <f>HYPERLINK("http://api.nsgreg.nga.mil/geo-division/GENC/6/3-11/CZ-206","as:GENC:6:3-11:CZ-206")</f>
        <v>as:GENC:6:3-11:CZ-206</v>
      </c>
    </row>
    <row r="992" spans="1:7" x14ac:dyDescent="0.25">
      <c r="A992" s="112"/>
      <c r="B992" s="21" t="s">
        <v>3656</v>
      </c>
      <c r="C992" s="21" t="s">
        <v>3657</v>
      </c>
      <c r="D992" s="76" t="s">
        <v>2035</v>
      </c>
      <c r="E992" s="77" t="b">
        <v>0</v>
      </c>
      <c r="F992" s="72" t="str">
        <f>HYPERLINK("http://nsgreg.nga.mil/genc/view?v=292131&amp;end_month=6&amp;end_day=30&amp;end_year=2019","Mladá Boleslav")</f>
        <v>Mladá Boleslav</v>
      </c>
      <c r="G992" s="72" t="str">
        <f>HYPERLINK("http://api.nsgreg.nga.mil/geo-division/GENC/6/3-11/CZ-207","as:GENC:6:3-11:CZ-207")</f>
        <v>as:GENC:6:3-11:CZ-207</v>
      </c>
    </row>
    <row r="993" spans="1:7" x14ac:dyDescent="0.25">
      <c r="A993" s="112"/>
      <c r="B993" s="21" t="s">
        <v>3658</v>
      </c>
      <c r="C993" s="21" t="s">
        <v>3659</v>
      </c>
      <c r="D993" s="76" t="s">
        <v>2035</v>
      </c>
      <c r="E993" s="77" t="b">
        <v>0</v>
      </c>
      <c r="F993" s="72" t="str">
        <f>HYPERLINK("http://nsgreg.nga.mil/genc/view?v=292132&amp;end_month=6&amp;end_day=30&amp;end_year=2019","Nymburk")</f>
        <v>Nymburk</v>
      </c>
      <c r="G993" s="72" t="str">
        <f>HYPERLINK("http://api.nsgreg.nga.mil/geo-division/GENC/6/3-11/CZ-208","as:GENC:6:3-11:CZ-208")</f>
        <v>as:GENC:6:3-11:CZ-208</v>
      </c>
    </row>
    <row r="994" spans="1:7" x14ac:dyDescent="0.25">
      <c r="A994" s="112"/>
      <c r="B994" s="21" t="s">
        <v>3660</v>
      </c>
      <c r="C994" s="21" t="s">
        <v>3661</v>
      </c>
      <c r="D994" s="76" t="s">
        <v>2035</v>
      </c>
      <c r="E994" s="77" t="b">
        <v>0</v>
      </c>
      <c r="F994" s="72" t="str">
        <f>HYPERLINK("http://nsgreg.nga.mil/genc/view?v=292133&amp;end_month=6&amp;end_day=30&amp;end_year=2019","Praha-Východ")</f>
        <v>Praha-Východ</v>
      </c>
      <c r="G994" s="72" t="str">
        <f>HYPERLINK("http://api.nsgreg.nga.mil/geo-division/GENC/6/3-11/CZ-209","as:GENC:6:3-11:CZ-209")</f>
        <v>as:GENC:6:3-11:CZ-209</v>
      </c>
    </row>
    <row r="995" spans="1:7" x14ac:dyDescent="0.25">
      <c r="A995" s="112"/>
      <c r="B995" s="21" t="s">
        <v>3662</v>
      </c>
      <c r="C995" s="21" t="s">
        <v>3663</v>
      </c>
      <c r="D995" s="76" t="s">
        <v>2035</v>
      </c>
      <c r="E995" s="77" t="b">
        <v>0</v>
      </c>
      <c r="F995" s="72" t="str">
        <f>HYPERLINK("http://nsgreg.nga.mil/genc/view?v=292134&amp;end_month=6&amp;end_day=30&amp;end_year=2019","Praha-Západ")</f>
        <v>Praha-Západ</v>
      </c>
      <c r="G995" s="72" t="str">
        <f>HYPERLINK("http://api.nsgreg.nga.mil/geo-division/GENC/6/3-11/CZ-20A","as:GENC:6:3-11:CZ-20A")</f>
        <v>as:GENC:6:3-11:CZ-20A</v>
      </c>
    </row>
    <row r="996" spans="1:7" x14ac:dyDescent="0.25">
      <c r="A996" s="112"/>
      <c r="B996" s="21" t="s">
        <v>3664</v>
      </c>
      <c r="C996" s="21" t="s">
        <v>3665</v>
      </c>
      <c r="D996" s="76" t="s">
        <v>2035</v>
      </c>
      <c r="E996" s="77" t="b">
        <v>0</v>
      </c>
      <c r="F996" s="72" t="str">
        <f>HYPERLINK("http://nsgreg.nga.mil/genc/view?v=292135&amp;end_month=6&amp;end_day=30&amp;end_year=2019","Příbram")</f>
        <v>Příbram</v>
      </c>
      <c r="G996" s="72" t="str">
        <f>HYPERLINK("http://api.nsgreg.nga.mil/geo-division/GENC/6/3-11/CZ-20B","as:GENC:6:3-11:CZ-20B")</f>
        <v>as:GENC:6:3-11:CZ-20B</v>
      </c>
    </row>
    <row r="997" spans="1:7" x14ac:dyDescent="0.25">
      <c r="A997" s="112"/>
      <c r="B997" s="21" t="s">
        <v>3666</v>
      </c>
      <c r="C997" s="21" t="s">
        <v>3667</v>
      </c>
      <c r="D997" s="76" t="s">
        <v>2035</v>
      </c>
      <c r="E997" s="77" t="b">
        <v>0</v>
      </c>
      <c r="F997" s="72" t="str">
        <f>HYPERLINK("http://nsgreg.nga.mil/genc/view?v=292136&amp;end_month=6&amp;end_day=30&amp;end_year=2019","Rakovník")</f>
        <v>Rakovník</v>
      </c>
      <c r="G997" s="72" t="str">
        <f>HYPERLINK("http://api.nsgreg.nga.mil/geo-division/GENC/6/3-11/CZ-20C","as:GENC:6:3-11:CZ-20C")</f>
        <v>as:GENC:6:3-11:CZ-20C</v>
      </c>
    </row>
    <row r="998" spans="1:7" x14ac:dyDescent="0.25">
      <c r="A998" s="112"/>
      <c r="B998" s="21" t="s">
        <v>3668</v>
      </c>
      <c r="C998" s="21" t="s">
        <v>3669</v>
      </c>
      <c r="D998" s="21" t="s">
        <v>1975</v>
      </c>
      <c r="E998" s="50" t="b">
        <v>1</v>
      </c>
      <c r="F998" s="72" t="str">
        <f>HYPERLINK("http://nsgreg.nga.mil/genc/view?v=292157&amp;end_month=6&amp;end_day=30&amp;end_year=2019","Ústecký Kraj")</f>
        <v>Ústecký Kraj</v>
      </c>
      <c r="G998" s="72" t="str">
        <f>HYPERLINK("http://api.nsgreg.nga.mil/geo-division/GENC/6/3-11/CZ-42","as:GENC:6:3-11:CZ-42")</f>
        <v>as:GENC:6:3-11:CZ-42</v>
      </c>
    </row>
    <row r="999" spans="1:7" x14ac:dyDescent="0.25">
      <c r="A999" s="112"/>
      <c r="B999" s="21" t="s">
        <v>3670</v>
      </c>
      <c r="C999" s="21" t="s">
        <v>3671</v>
      </c>
      <c r="D999" s="76" t="s">
        <v>2035</v>
      </c>
      <c r="E999" s="77" t="b">
        <v>0</v>
      </c>
      <c r="F999" s="72" t="str">
        <f>HYPERLINK("http://nsgreg.nga.mil/genc/view?v=292159&amp;end_month=6&amp;end_day=30&amp;end_year=2019","Chomutov")</f>
        <v>Chomutov</v>
      </c>
      <c r="G999" s="72" t="str">
        <f>HYPERLINK("http://api.nsgreg.nga.mil/geo-division/GENC/6/3-11/CZ-422","as:GENC:6:3-11:CZ-422")</f>
        <v>as:GENC:6:3-11:CZ-422</v>
      </c>
    </row>
    <row r="1000" spans="1:7" x14ac:dyDescent="0.25">
      <c r="A1000" s="112"/>
      <c r="B1000" s="21" t="s">
        <v>3672</v>
      </c>
      <c r="C1000" s="21" t="s">
        <v>3673</v>
      </c>
      <c r="D1000" s="76" t="s">
        <v>2035</v>
      </c>
      <c r="E1000" s="77" t="b">
        <v>0</v>
      </c>
      <c r="F1000" s="72" t="str">
        <f>HYPERLINK("http://nsgreg.nga.mil/genc/view?v=292158&amp;end_month=6&amp;end_day=30&amp;end_year=2019","Děčín")</f>
        <v>Děčín</v>
      </c>
      <c r="G1000" s="72" t="str">
        <f>HYPERLINK("http://api.nsgreg.nga.mil/geo-division/GENC/6/3-11/CZ-421","as:GENC:6:3-11:CZ-421")</f>
        <v>as:GENC:6:3-11:CZ-421</v>
      </c>
    </row>
    <row r="1001" spans="1:7" x14ac:dyDescent="0.25">
      <c r="A1001" s="112"/>
      <c r="B1001" s="21" t="s">
        <v>3674</v>
      </c>
      <c r="C1001" s="21" t="s">
        <v>3675</v>
      </c>
      <c r="D1001" s="76" t="s">
        <v>2035</v>
      </c>
      <c r="E1001" s="77" t="b">
        <v>0</v>
      </c>
      <c r="F1001" s="72" t="str">
        <f>HYPERLINK("http://nsgreg.nga.mil/genc/view?v=292160&amp;end_month=6&amp;end_day=30&amp;end_year=2019","Litoměřice")</f>
        <v>Litoměřice</v>
      </c>
      <c r="G1001" s="72" t="str">
        <f>HYPERLINK("http://api.nsgreg.nga.mil/geo-division/GENC/6/3-11/CZ-423","as:GENC:6:3-11:CZ-423")</f>
        <v>as:GENC:6:3-11:CZ-423</v>
      </c>
    </row>
    <row r="1002" spans="1:7" x14ac:dyDescent="0.25">
      <c r="A1002" s="112"/>
      <c r="B1002" s="21" t="s">
        <v>3676</v>
      </c>
      <c r="C1002" s="21" t="s">
        <v>3677</v>
      </c>
      <c r="D1002" s="76" t="s">
        <v>2035</v>
      </c>
      <c r="E1002" s="77" t="b">
        <v>0</v>
      </c>
      <c r="F1002" s="72" t="str">
        <f>HYPERLINK("http://nsgreg.nga.mil/genc/view?v=292161&amp;end_month=6&amp;end_day=30&amp;end_year=2019","Louny")</f>
        <v>Louny</v>
      </c>
      <c r="G1002" s="72" t="str">
        <f>HYPERLINK("http://api.nsgreg.nga.mil/geo-division/GENC/6/3-11/CZ-424","as:GENC:6:3-11:CZ-424")</f>
        <v>as:GENC:6:3-11:CZ-424</v>
      </c>
    </row>
    <row r="1003" spans="1:7" x14ac:dyDescent="0.25">
      <c r="A1003" s="112"/>
      <c r="B1003" s="21" t="s">
        <v>3678</v>
      </c>
      <c r="C1003" s="21" t="s">
        <v>3679</v>
      </c>
      <c r="D1003" s="76" t="s">
        <v>2035</v>
      </c>
      <c r="E1003" s="77" t="b">
        <v>0</v>
      </c>
      <c r="F1003" s="72" t="str">
        <f>HYPERLINK("http://nsgreg.nga.mil/genc/view?v=292162&amp;end_month=6&amp;end_day=30&amp;end_year=2019","Most")</f>
        <v>Most</v>
      </c>
      <c r="G1003" s="72" t="str">
        <f>HYPERLINK("http://api.nsgreg.nga.mil/geo-division/GENC/6/3-11/CZ-425","as:GENC:6:3-11:CZ-425")</f>
        <v>as:GENC:6:3-11:CZ-425</v>
      </c>
    </row>
    <row r="1004" spans="1:7" x14ac:dyDescent="0.25">
      <c r="A1004" s="112"/>
      <c r="B1004" s="21" t="s">
        <v>3680</v>
      </c>
      <c r="C1004" s="21" t="s">
        <v>3681</v>
      </c>
      <c r="D1004" s="76" t="s">
        <v>2035</v>
      </c>
      <c r="E1004" s="77" t="b">
        <v>0</v>
      </c>
      <c r="F1004" s="72" t="str">
        <f>HYPERLINK("http://nsgreg.nga.mil/genc/view?v=292163&amp;end_month=6&amp;end_day=30&amp;end_year=2019","Teplice")</f>
        <v>Teplice</v>
      </c>
      <c r="G1004" s="72" t="str">
        <f>HYPERLINK("http://api.nsgreg.nga.mil/geo-division/GENC/6/3-11/CZ-426","as:GENC:6:3-11:CZ-426")</f>
        <v>as:GENC:6:3-11:CZ-426</v>
      </c>
    </row>
    <row r="1005" spans="1:7" x14ac:dyDescent="0.25">
      <c r="A1005" s="112"/>
      <c r="B1005" s="21" t="s">
        <v>3682</v>
      </c>
      <c r="C1005" s="21" t="s">
        <v>3683</v>
      </c>
      <c r="D1005" s="76" t="s">
        <v>2035</v>
      </c>
      <c r="E1005" s="77" t="b">
        <v>0</v>
      </c>
      <c r="F1005" s="72" t="str">
        <f>HYPERLINK("http://nsgreg.nga.mil/genc/view?v=292164&amp;end_month=6&amp;end_day=30&amp;end_year=2019","Ústí nad Labem")</f>
        <v>Ústí nad Labem</v>
      </c>
      <c r="G1005" s="72" t="str">
        <f>HYPERLINK("http://api.nsgreg.nga.mil/geo-division/GENC/6/3-11/CZ-427","as:GENC:6:3-11:CZ-427")</f>
        <v>as:GENC:6:3-11:CZ-427</v>
      </c>
    </row>
    <row r="1006" spans="1:7" x14ac:dyDescent="0.25">
      <c r="A1006" s="112"/>
      <c r="B1006" s="21" t="s">
        <v>3684</v>
      </c>
      <c r="C1006" s="21" t="s">
        <v>3685</v>
      </c>
      <c r="D1006" s="21" t="s">
        <v>1975</v>
      </c>
      <c r="E1006" s="50" t="b">
        <v>1</v>
      </c>
      <c r="F1006" s="72" t="str">
        <f>HYPERLINK("http://nsgreg.nga.mil/genc/view?v=292181&amp;end_month=6&amp;end_day=30&amp;end_year=2019","Vysočina")</f>
        <v>Vysočina</v>
      </c>
      <c r="G1006" s="72" t="str">
        <f>HYPERLINK("http://api.nsgreg.nga.mil/geo-division/GENC/6/3-11/CZ-63","as:GENC:6:3-11:CZ-63")</f>
        <v>as:GENC:6:3-11:CZ-63</v>
      </c>
    </row>
    <row r="1007" spans="1:7" x14ac:dyDescent="0.25">
      <c r="A1007" s="112"/>
      <c r="B1007" s="21" t="s">
        <v>3686</v>
      </c>
      <c r="C1007" s="21" t="s">
        <v>3687</v>
      </c>
      <c r="D1007" s="76" t="s">
        <v>2035</v>
      </c>
      <c r="E1007" s="77" t="b">
        <v>0</v>
      </c>
      <c r="F1007" s="72" t="str">
        <f>HYPERLINK("http://nsgreg.nga.mil/genc/view?v=292182&amp;end_month=6&amp;end_day=30&amp;end_year=2019","Havlíčkův Brod")</f>
        <v>Havlíčkův Brod</v>
      </c>
      <c r="G1007" s="72" t="str">
        <f>HYPERLINK("http://api.nsgreg.nga.mil/geo-division/GENC/6/3-11/CZ-631","as:GENC:6:3-11:CZ-631")</f>
        <v>as:GENC:6:3-11:CZ-631</v>
      </c>
    </row>
    <row r="1008" spans="1:7" x14ac:dyDescent="0.25">
      <c r="A1008" s="112"/>
      <c r="B1008" s="21" t="s">
        <v>3688</v>
      </c>
      <c r="C1008" s="21" t="s">
        <v>3689</v>
      </c>
      <c r="D1008" s="76" t="s">
        <v>2035</v>
      </c>
      <c r="E1008" s="77" t="b">
        <v>0</v>
      </c>
      <c r="F1008" s="72" t="str">
        <f>HYPERLINK("http://nsgreg.nga.mil/genc/view?v=292183&amp;end_month=6&amp;end_day=30&amp;end_year=2019","Jihlava")</f>
        <v>Jihlava</v>
      </c>
      <c r="G1008" s="72" t="str">
        <f>HYPERLINK("http://api.nsgreg.nga.mil/geo-division/GENC/6/3-11/CZ-632","as:GENC:6:3-11:CZ-632")</f>
        <v>as:GENC:6:3-11:CZ-632</v>
      </c>
    </row>
    <row r="1009" spans="1:7" x14ac:dyDescent="0.25">
      <c r="A1009" s="112"/>
      <c r="B1009" s="21" t="s">
        <v>3690</v>
      </c>
      <c r="C1009" s="21" t="s">
        <v>3691</v>
      </c>
      <c r="D1009" s="76" t="s">
        <v>2035</v>
      </c>
      <c r="E1009" s="77" t="b">
        <v>0</v>
      </c>
      <c r="F1009" s="72" t="str">
        <f>HYPERLINK("http://nsgreg.nga.mil/genc/view?v=292184&amp;end_month=6&amp;end_day=30&amp;end_year=2019","Pelhřimov")</f>
        <v>Pelhřimov</v>
      </c>
      <c r="G1009" s="72" t="str">
        <f>HYPERLINK("http://api.nsgreg.nga.mil/geo-division/GENC/6/3-11/CZ-633","as:GENC:6:3-11:CZ-633")</f>
        <v>as:GENC:6:3-11:CZ-633</v>
      </c>
    </row>
    <row r="1010" spans="1:7" x14ac:dyDescent="0.25">
      <c r="A1010" s="112"/>
      <c r="B1010" s="21" t="s">
        <v>3692</v>
      </c>
      <c r="C1010" s="21" t="s">
        <v>3693</v>
      </c>
      <c r="D1010" s="76" t="s">
        <v>2035</v>
      </c>
      <c r="E1010" s="77" t="b">
        <v>0</v>
      </c>
      <c r="F1010" s="72" t="str">
        <f>HYPERLINK("http://nsgreg.nga.mil/genc/view?v=292185&amp;end_month=6&amp;end_day=30&amp;end_year=2019","Třebíč")</f>
        <v>Třebíč</v>
      </c>
      <c r="G1010" s="72" t="str">
        <f>HYPERLINK("http://api.nsgreg.nga.mil/geo-division/GENC/6/3-11/CZ-634","as:GENC:6:3-11:CZ-634")</f>
        <v>as:GENC:6:3-11:CZ-634</v>
      </c>
    </row>
    <row r="1011" spans="1:7" x14ac:dyDescent="0.25">
      <c r="A1011" s="112"/>
      <c r="B1011" s="21" t="s">
        <v>3694</v>
      </c>
      <c r="C1011" s="21" t="s">
        <v>3695</v>
      </c>
      <c r="D1011" s="76" t="s">
        <v>2035</v>
      </c>
      <c r="E1011" s="77" t="b">
        <v>0</v>
      </c>
      <c r="F1011" s="72" t="str">
        <f>HYPERLINK("http://nsgreg.nga.mil/genc/view?v=292186&amp;end_month=6&amp;end_day=30&amp;end_year=2019","Žd’ár nad Sázavou")</f>
        <v>Žd’ár nad Sázavou</v>
      </c>
      <c r="G1011" s="72" t="str">
        <f>HYPERLINK("http://api.nsgreg.nga.mil/geo-division/GENC/6/3-11/CZ-635","as:GENC:6:3-11:CZ-635")</f>
        <v>as:GENC:6:3-11:CZ-635</v>
      </c>
    </row>
    <row r="1012" spans="1:7" x14ac:dyDescent="0.25">
      <c r="A1012" s="112"/>
      <c r="B1012" s="21" t="s">
        <v>3696</v>
      </c>
      <c r="C1012" s="21" t="s">
        <v>3697</v>
      </c>
      <c r="D1012" s="21" t="s">
        <v>1975</v>
      </c>
      <c r="E1012" s="50" t="b">
        <v>1</v>
      </c>
      <c r="F1012" s="72" t="str">
        <f>HYPERLINK("http://nsgreg.nga.mil/genc/view?v=292201&amp;end_month=6&amp;end_day=30&amp;end_year=2019","Zlínský Kraj")</f>
        <v>Zlínský Kraj</v>
      </c>
      <c r="G1012" s="72" t="str">
        <f>HYPERLINK("http://api.nsgreg.nga.mil/geo-division/GENC/6/3-11/CZ-72","as:GENC:6:3-11:CZ-72")</f>
        <v>as:GENC:6:3-11:CZ-72</v>
      </c>
    </row>
    <row r="1013" spans="1:7" x14ac:dyDescent="0.25">
      <c r="A1013" s="112"/>
      <c r="B1013" s="21" t="s">
        <v>3698</v>
      </c>
      <c r="C1013" s="21" t="s">
        <v>3699</v>
      </c>
      <c r="D1013" s="76" t="s">
        <v>2035</v>
      </c>
      <c r="E1013" s="77" t="b">
        <v>0</v>
      </c>
      <c r="F1013" s="72" t="str">
        <f>HYPERLINK("http://nsgreg.nga.mil/genc/view?v=292202&amp;end_month=6&amp;end_day=30&amp;end_year=2019","Kroměříž")</f>
        <v>Kroměříž</v>
      </c>
      <c r="G1013" s="72" t="str">
        <f>HYPERLINK("http://api.nsgreg.nga.mil/geo-division/GENC/6/3-11/CZ-721","as:GENC:6:3-11:CZ-721")</f>
        <v>as:GENC:6:3-11:CZ-721</v>
      </c>
    </row>
    <row r="1014" spans="1:7" x14ac:dyDescent="0.25">
      <c r="A1014" s="112"/>
      <c r="B1014" s="21" t="s">
        <v>3700</v>
      </c>
      <c r="C1014" s="21" t="s">
        <v>3701</v>
      </c>
      <c r="D1014" s="76" t="s">
        <v>2035</v>
      </c>
      <c r="E1014" s="77" t="b">
        <v>0</v>
      </c>
      <c r="F1014" s="72" t="str">
        <f>HYPERLINK("http://nsgreg.nga.mil/genc/view?v=292203&amp;end_month=6&amp;end_day=30&amp;end_year=2019","Uherské Hradiště")</f>
        <v>Uherské Hradiště</v>
      </c>
      <c r="G1014" s="72" t="str">
        <f>HYPERLINK("http://api.nsgreg.nga.mil/geo-division/GENC/6/3-11/CZ-722","as:GENC:6:3-11:CZ-722")</f>
        <v>as:GENC:6:3-11:CZ-722</v>
      </c>
    </row>
    <row r="1015" spans="1:7" x14ac:dyDescent="0.25">
      <c r="A1015" s="112"/>
      <c r="B1015" s="21" t="s">
        <v>3702</v>
      </c>
      <c r="C1015" s="21" t="s">
        <v>3703</v>
      </c>
      <c r="D1015" s="76" t="s">
        <v>2035</v>
      </c>
      <c r="E1015" s="77" t="b">
        <v>0</v>
      </c>
      <c r="F1015" s="72" t="str">
        <f>HYPERLINK("http://nsgreg.nga.mil/genc/view?v=292204&amp;end_month=6&amp;end_day=30&amp;end_year=2019","Vsetín")</f>
        <v>Vsetín</v>
      </c>
      <c r="G1015" s="72" t="str">
        <f>HYPERLINK("http://api.nsgreg.nga.mil/geo-division/GENC/6/3-11/CZ-723","as:GENC:6:3-11:CZ-723")</f>
        <v>as:GENC:6:3-11:CZ-723</v>
      </c>
    </row>
    <row r="1016" spans="1:7" x14ac:dyDescent="0.25">
      <c r="A1016" s="113"/>
      <c r="B1016" s="47" t="s">
        <v>3704</v>
      </c>
      <c r="C1016" s="47" t="s">
        <v>3705</v>
      </c>
      <c r="D1016" s="78" t="s">
        <v>2035</v>
      </c>
      <c r="E1016" s="79" t="b">
        <v>0</v>
      </c>
      <c r="F1016" s="73" t="str">
        <f>HYPERLINK("http://nsgreg.nga.mil/genc/view?v=292205&amp;end_month=6&amp;end_day=30&amp;end_year=2019","Zlín")</f>
        <v>Zlín</v>
      </c>
      <c r="G1016" s="73" t="str">
        <f>HYPERLINK("http://api.nsgreg.nga.mil/geo-division/GENC/6/3-11/CZ-724","as:GENC:6:3-11:CZ-724")</f>
        <v>as:GENC:6:3-11:CZ-724</v>
      </c>
    </row>
    <row r="1017" spans="1:7" x14ac:dyDescent="0.25">
      <c r="A1017" s="111" t="str">
        <f>HYPERLINK("[#]Codes_for_GE_Names!A70:I70","DENMARK")</f>
        <v>DENMARK</v>
      </c>
      <c r="B1017" s="42" t="s">
        <v>3706</v>
      </c>
      <c r="C1017" s="42" t="s">
        <v>3707</v>
      </c>
      <c r="D1017" s="42" t="s">
        <v>1975</v>
      </c>
      <c r="E1017" s="49" t="b">
        <v>1</v>
      </c>
      <c r="F1017" s="74" t="str">
        <f>HYPERLINK("http://nsgreg.nga.mil/genc/view?v=292238&amp;end_month=6&amp;end_day=30&amp;end_year=2019","Hovedstaden")</f>
        <v>Hovedstaden</v>
      </c>
      <c r="G1017" s="74" t="str">
        <f>HYPERLINK("http://api.nsgreg.nga.mil/geo-division/GENC/6/3-11/DK-84","as:GENC:6:3-11:DK-84")</f>
        <v>as:GENC:6:3-11:DK-84</v>
      </c>
    </row>
    <row r="1018" spans="1:7" x14ac:dyDescent="0.25">
      <c r="A1018" s="112"/>
      <c r="B1018" s="21" t="s">
        <v>3708</v>
      </c>
      <c r="C1018" s="21" t="s">
        <v>3709</v>
      </c>
      <c r="D1018" s="21" t="s">
        <v>1975</v>
      </c>
      <c r="E1018" s="50" t="b">
        <v>1</v>
      </c>
      <c r="F1018" s="72" t="str">
        <f>HYPERLINK("http://nsgreg.nga.mil/genc/view?v=292236&amp;end_month=6&amp;end_day=30&amp;end_year=2019","Midtjylland")</f>
        <v>Midtjylland</v>
      </c>
      <c r="G1018" s="72" t="str">
        <f>HYPERLINK("http://api.nsgreg.nga.mil/geo-division/GENC/6/3-11/DK-82","as:GENC:6:3-11:DK-82")</f>
        <v>as:GENC:6:3-11:DK-82</v>
      </c>
    </row>
    <row r="1019" spans="1:7" x14ac:dyDescent="0.25">
      <c r="A1019" s="112"/>
      <c r="B1019" s="21" t="s">
        <v>3710</v>
      </c>
      <c r="C1019" s="21" t="s">
        <v>3711</v>
      </c>
      <c r="D1019" s="21" t="s">
        <v>1975</v>
      </c>
      <c r="E1019" s="50" t="b">
        <v>1</v>
      </c>
      <c r="F1019" s="72" t="str">
        <f>HYPERLINK("http://nsgreg.nga.mil/genc/view?v=292235&amp;end_month=6&amp;end_day=30&amp;end_year=2019","Nordjylland")</f>
        <v>Nordjylland</v>
      </c>
      <c r="G1019" s="72" t="str">
        <f>HYPERLINK("http://api.nsgreg.nga.mil/geo-division/GENC/6/3-11/DK-81","as:GENC:6:3-11:DK-81")</f>
        <v>as:GENC:6:3-11:DK-81</v>
      </c>
    </row>
    <row r="1020" spans="1:7" x14ac:dyDescent="0.25">
      <c r="A1020" s="112"/>
      <c r="B1020" s="21" t="s">
        <v>3712</v>
      </c>
      <c r="C1020" s="21" t="s">
        <v>3713</v>
      </c>
      <c r="D1020" s="21" t="s">
        <v>1975</v>
      </c>
      <c r="E1020" s="50" t="b">
        <v>1</v>
      </c>
      <c r="F1020" s="72" t="str">
        <f>HYPERLINK("http://nsgreg.nga.mil/genc/view?v=292239&amp;end_month=6&amp;end_day=30&amp;end_year=2019","Sjælland")</f>
        <v>Sjælland</v>
      </c>
      <c r="G1020" s="72" t="str">
        <f>HYPERLINK("http://api.nsgreg.nga.mil/geo-division/GENC/6/3-11/DK-85","as:GENC:6:3-11:DK-85")</f>
        <v>as:GENC:6:3-11:DK-85</v>
      </c>
    </row>
    <row r="1021" spans="1:7" x14ac:dyDescent="0.25">
      <c r="A1021" s="113"/>
      <c r="B1021" s="47" t="s">
        <v>3714</v>
      </c>
      <c r="C1021" s="47" t="s">
        <v>3715</v>
      </c>
      <c r="D1021" s="47" t="s">
        <v>1975</v>
      </c>
      <c r="E1021" s="51" t="b">
        <v>1</v>
      </c>
      <c r="F1021" s="73" t="str">
        <f>HYPERLINK("http://nsgreg.nga.mil/genc/view?v=292237&amp;end_month=6&amp;end_day=30&amp;end_year=2019","Syddanmark")</f>
        <v>Syddanmark</v>
      </c>
      <c r="G1021" s="73" t="str">
        <f>HYPERLINK("http://api.nsgreg.nga.mil/geo-division/GENC/6/3-11/DK-83","as:GENC:6:3-11:DK-83")</f>
        <v>as:GENC:6:3-11:DK-83</v>
      </c>
    </row>
    <row r="1022" spans="1:7" x14ac:dyDescent="0.25">
      <c r="A1022" s="111" t="str">
        <f>HYPERLINK("[#]Codes_for_GE_Names!A73:I73","DJIBOUTI")</f>
        <v>DJIBOUTI</v>
      </c>
      <c r="B1022" s="42" t="s">
        <v>3716</v>
      </c>
      <c r="C1022" s="42" t="s">
        <v>3717</v>
      </c>
      <c r="D1022" s="42" t="s">
        <v>1975</v>
      </c>
      <c r="E1022" s="49" t="b">
        <v>1</v>
      </c>
      <c r="F1022" s="74" t="str">
        <f>HYPERLINK("http://nsgreg.nga.mil/genc/view?v=292230&amp;end_month=6&amp;end_day=30&amp;end_year=2019","Ali Sabieh")</f>
        <v>Ali Sabieh</v>
      </c>
      <c r="G1022" s="74" t="str">
        <f>HYPERLINK("http://api.nsgreg.nga.mil/geo-division/GENC/6/3-11/DJ-AS","as:GENC:6:3-11:DJ-AS")</f>
        <v>as:GENC:6:3-11:DJ-AS</v>
      </c>
    </row>
    <row r="1023" spans="1:7" x14ac:dyDescent="0.25">
      <c r="A1023" s="112"/>
      <c r="B1023" s="21" t="s">
        <v>3718</v>
      </c>
      <c r="C1023" s="21" t="s">
        <v>3719</v>
      </c>
      <c r="D1023" s="21" t="s">
        <v>1975</v>
      </c>
      <c r="E1023" s="50" t="b">
        <v>1</v>
      </c>
      <c r="F1023" s="72" t="str">
        <f>HYPERLINK("http://nsgreg.nga.mil/genc/view?v=292229&amp;end_month=6&amp;end_day=30&amp;end_year=2019","Arta")</f>
        <v>Arta</v>
      </c>
      <c r="G1023" s="72" t="str">
        <f>HYPERLINK("http://api.nsgreg.nga.mil/geo-division/GENC/6/3-11/DJ-AR","as:GENC:6:3-11:DJ-AR")</f>
        <v>as:GENC:6:3-11:DJ-AR</v>
      </c>
    </row>
    <row r="1024" spans="1:7" x14ac:dyDescent="0.25">
      <c r="A1024" s="112"/>
      <c r="B1024" s="21" t="s">
        <v>3720</v>
      </c>
      <c r="C1024" s="21" t="s">
        <v>3721</v>
      </c>
      <c r="D1024" s="21" t="s">
        <v>1975</v>
      </c>
      <c r="E1024" s="50" t="b">
        <v>1</v>
      </c>
      <c r="F1024" s="72" t="str">
        <f>HYPERLINK("http://nsgreg.nga.mil/genc/view?v=292231&amp;end_month=6&amp;end_day=30&amp;end_year=2019","Dikhil")</f>
        <v>Dikhil</v>
      </c>
      <c r="G1024" s="72" t="str">
        <f>HYPERLINK("http://api.nsgreg.nga.mil/geo-division/GENC/6/3-11/DJ-DI","as:GENC:6:3-11:DJ-DI")</f>
        <v>as:GENC:6:3-11:DJ-DI</v>
      </c>
    </row>
    <row r="1025" spans="1:7" x14ac:dyDescent="0.25">
      <c r="A1025" s="112"/>
      <c r="B1025" s="21" t="s">
        <v>3722</v>
      </c>
      <c r="C1025" s="21" t="s">
        <v>471</v>
      </c>
      <c r="D1025" s="21" t="s">
        <v>1996</v>
      </c>
      <c r="E1025" s="50" t="b">
        <v>1</v>
      </c>
      <c r="F1025" s="72" t="str">
        <f>HYPERLINK("http://nsgreg.nga.mil/genc/view?v=292232&amp;end_month=6&amp;end_day=30&amp;end_year=2019","Djibouti")</f>
        <v>Djibouti</v>
      </c>
      <c r="G1025" s="72" t="str">
        <f>HYPERLINK("http://api.nsgreg.nga.mil/geo-division/GENC/6/3-11/DJ-DJ","as:GENC:6:3-11:DJ-DJ")</f>
        <v>as:GENC:6:3-11:DJ-DJ</v>
      </c>
    </row>
    <row r="1026" spans="1:7" x14ac:dyDescent="0.25">
      <c r="A1026" s="112"/>
      <c r="B1026" s="21" t="s">
        <v>3723</v>
      </c>
      <c r="C1026" s="21" t="s">
        <v>3724</v>
      </c>
      <c r="D1026" s="21" t="s">
        <v>1975</v>
      </c>
      <c r="E1026" s="50" t="b">
        <v>1</v>
      </c>
      <c r="F1026" s="72" t="str">
        <f>HYPERLINK("http://nsgreg.nga.mil/genc/view?v=292233&amp;end_month=6&amp;end_day=30&amp;end_year=2019","Obock")</f>
        <v>Obock</v>
      </c>
      <c r="G1026" s="72" t="str">
        <f>HYPERLINK("http://api.nsgreg.nga.mil/geo-division/GENC/6/3-11/DJ-OB","as:GENC:6:3-11:DJ-OB")</f>
        <v>as:GENC:6:3-11:DJ-OB</v>
      </c>
    </row>
    <row r="1027" spans="1:7" x14ac:dyDescent="0.25">
      <c r="A1027" s="113"/>
      <c r="B1027" s="47" t="s">
        <v>3725</v>
      </c>
      <c r="C1027" s="47" t="s">
        <v>3726</v>
      </c>
      <c r="D1027" s="47" t="s">
        <v>1975</v>
      </c>
      <c r="E1027" s="51" t="b">
        <v>1</v>
      </c>
      <c r="F1027" s="73" t="str">
        <f>HYPERLINK("http://nsgreg.nga.mil/genc/view?v=292234&amp;end_month=6&amp;end_day=30&amp;end_year=2019","Tadjourah")</f>
        <v>Tadjourah</v>
      </c>
      <c r="G1027" s="73" t="str">
        <f>HYPERLINK("http://api.nsgreg.nga.mil/geo-division/GENC/6/3-11/DJ-TA","as:GENC:6:3-11:DJ-TA")</f>
        <v>as:GENC:6:3-11:DJ-TA</v>
      </c>
    </row>
    <row r="1028" spans="1:7" x14ac:dyDescent="0.25">
      <c r="A1028" s="111" t="str">
        <f>HYPERLINK("[#]Codes_for_GE_Names!A74:I74","DOMINICA")</f>
        <v>DOMINICA</v>
      </c>
      <c r="B1028" s="42" t="s">
        <v>3727</v>
      </c>
      <c r="C1028" s="42" t="s">
        <v>2410</v>
      </c>
      <c r="D1028" s="42" t="s">
        <v>1858</v>
      </c>
      <c r="E1028" s="49" t="b">
        <v>1</v>
      </c>
      <c r="F1028" s="74" t="str">
        <f>HYPERLINK("http://nsgreg.nga.mil/genc/view?v=292240&amp;end_month=6&amp;end_day=30&amp;end_year=2019","Saint Andrew")</f>
        <v>Saint Andrew</v>
      </c>
      <c r="G1028" s="74" t="str">
        <f>HYPERLINK("http://api.nsgreg.nga.mil/geo-division/GENC/6/3-11/DM-02","as:GENC:6:3-11:DM-02")</f>
        <v>as:GENC:6:3-11:DM-02</v>
      </c>
    </row>
    <row r="1029" spans="1:7" x14ac:dyDescent="0.25">
      <c r="A1029" s="112"/>
      <c r="B1029" s="21" t="s">
        <v>3728</v>
      </c>
      <c r="C1029" s="21" t="s">
        <v>3729</v>
      </c>
      <c r="D1029" s="21" t="s">
        <v>1858</v>
      </c>
      <c r="E1029" s="50" t="b">
        <v>1</v>
      </c>
      <c r="F1029" s="72" t="str">
        <f>HYPERLINK("http://nsgreg.nga.mil/genc/view?v=292241&amp;end_month=6&amp;end_day=30&amp;end_year=2019","Saint David")</f>
        <v>Saint David</v>
      </c>
      <c r="G1029" s="72" t="str">
        <f>HYPERLINK("http://api.nsgreg.nga.mil/geo-division/GENC/6/3-11/DM-03","as:GENC:6:3-11:DM-03")</f>
        <v>as:GENC:6:3-11:DM-03</v>
      </c>
    </row>
    <row r="1030" spans="1:7" x14ac:dyDescent="0.25">
      <c r="A1030" s="112"/>
      <c r="B1030" s="21" t="s">
        <v>3730</v>
      </c>
      <c r="C1030" s="21" t="s">
        <v>1913</v>
      </c>
      <c r="D1030" s="21" t="s">
        <v>1858</v>
      </c>
      <c r="E1030" s="50" t="b">
        <v>1</v>
      </c>
      <c r="F1030" s="72" t="str">
        <f>HYPERLINK("http://nsgreg.nga.mil/genc/view?v=292242&amp;end_month=6&amp;end_day=30&amp;end_year=2019","Saint George")</f>
        <v>Saint George</v>
      </c>
      <c r="G1030" s="72" t="str">
        <f>HYPERLINK("http://api.nsgreg.nga.mil/geo-division/GENC/6/3-11/DM-04","as:GENC:6:3-11:DM-04")</f>
        <v>as:GENC:6:3-11:DM-04</v>
      </c>
    </row>
    <row r="1031" spans="1:7" x14ac:dyDescent="0.25">
      <c r="A1031" s="112"/>
      <c r="B1031" s="21" t="s">
        <v>3731</v>
      </c>
      <c r="C1031" s="21" t="s">
        <v>1915</v>
      </c>
      <c r="D1031" s="21" t="s">
        <v>1858</v>
      </c>
      <c r="E1031" s="50" t="b">
        <v>1</v>
      </c>
      <c r="F1031" s="72" t="str">
        <f>HYPERLINK("http://nsgreg.nga.mil/genc/view?v=292243&amp;end_month=6&amp;end_day=30&amp;end_year=2019","Saint John")</f>
        <v>Saint John</v>
      </c>
      <c r="G1031" s="72" t="str">
        <f>HYPERLINK("http://api.nsgreg.nga.mil/geo-division/GENC/6/3-11/DM-05","as:GENC:6:3-11:DM-05")</f>
        <v>as:GENC:6:3-11:DM-05</v>
      </c>
    </row>
    <row r="1032" spans="1:7" x14ac:dyDescent="0.25">
      <c r="A1032" s="112"/>
      <c r="B1032" s="21" t="s">
        <v>3732</v>
      </c>
      <c r="C1032" s="21" t="s">
        <v>2416</v>
      </c>
      <c r="D1032" s="21" t="s">
        <v>1858</v>
      </c>
      <c r="E1032" s="50" t="b">
        <v>1</v>
      </c>
      <c r="F1032" s="72" t="str">
        <f>HYPERLINK("http://nsgreg.nga.mil/genc/view?v=292244&amp;end_month=6&amp;end_day=30&amp;end_year=2019","Saint Joseph")</f>
        <v>Saint Joseph</v>
      </c>
      <c r="G1032" s="72" t="str">
        <f>HYPERLINK("http://api.nsgreg.nga.mil/geo-division/GENC/6/3-11/DM-06","as:GENC:6:3-11:DM-06")</f>
        <v>as:GENC:6:3-11:DM-06</v>
      </c>
    </row>
    <row r="1033" spans="1:7" x14ac:dyDescent="0.25">
      <c r="A1033" s="112"/>
      <c r="B1033" s="21" t="s">
        <v>3733</v>
      </c>
      <c r="C1033" s="21" t="s">
        <v>3734</v>
      </c>
      <c r="D1033" s="21" t="s">
        <v>1858</v>
      </c>
      <c r="E1033" s="50" t="b">
        <v>1</v>
      </c>
      <c r="F1033" s="72" t="str">
        <f>HYPERLINK("http://nsgreg.nga.mil/genc/view?v=292245&amp;end_month=6&amp;end_day=30&amp;end_year=2019","Saint Luke")</f>
        <v>Saint Luke</v>
      </c>
      <c r="G1033" s="72" t="str">
        <f>HYPERLINK("http://api.nsgreg.nga.mil/geo-division/GENC/6/3-11/DM-07","as:GENC:6:3-11:DM-07")</f>
        <v>as:GENC:6:3-11:DM-07</v>
      </c>
    </row>
    <row r="1034" spans="1:7" x14ac:dyDescent="0.25">
      <c r="A1034" s="112"/>
      <c r="B1034" s="21" t="s">
        <v>3735</v>
      </c>
      <c r="C1034" s="21" t="s">
        <v>3736</v>
      </c>
      <c r="D1034" s="21" t="s">
        <v>1858</v>
      </c>
      <c r="E1034" s="50" t="b">
        <v>1</v>
      </c>
      <c r="F1034" s="72" t="str">
        <f>HYPERLINK("http://nsgreg.nga.mil/genc/view?v=292246&amp;end_month=6&amp;end_day=30&amp;end_year=2019","Saint Mark")</f>
        <v>Saint Mark</v>
      </c>
      <c r="G1034" s="72" t="str">
        <f>HYPERLINK("http://api.nsgreg.nga.mil/geo-division/GENC/6/3-11/DM-08","as:GENC:6:3-11:DM-08")</f>
        <v>as:GENC:6:3-11:DM-08</v>
      </c>
    </row>
    <row r="1035" spans="1:7" x14ac:dyDescent="0.25">
      <c r="A1035" s="112"/>
      <c r="B1035" s="21" t="s">
        <v>3737</v>
      </c>
      <c r="C1035" s="21" t="s">
        <v>3738</v>
      </c>
      <c r="D1035" s="21" t="s">
        <v>1858</v>
      </c>
      <c r="E1035" s="50" t="b">
        <v>1</v>
      </c>
      <c r="F1035" s="72" t="str">
        <f>HYPERLINK("http://nsgreg.nga.mil/genc/view?v=292247&amp;end_month=6&amp;end_day=30&amp;end_year=2019","Saint Patrick")</f>
        <v>Saint Patrick</v>
      </c>
      <c r="G1035" s="72" t="str">
        <f>HYPERLINK("http://api.nsgreg.nga.mil/geo-division/GENC/6/3-11/DM-09","as:GENC:6:3-11:DM-09")</f>
        <v>as:GENC:6:3-11:DM-09</v>
      </c>
    </row>
    <row r="1036" spans="1:7" x14ac:dyDescent="0.25">
      <c r="A1036" s="112"/>
      <c r="B1036" s="21" t="s">
        <v>3739</v>
      </c>
      <c r="C1036" s="21" t="s">
        <v>1919</v>
      </c>
      <c r="D1036" s="21" t="s">
        <v>1858</v>
      </c>
      <c r="E1036" s="50" t="b">
        <v>1</v>
      </c>
      <c r="F1036" s="72" t="str">
        <f>HYPERLINK("http://nsgreg.nga.mil/genc/view?v=292248&amp;end_month=6&amp;end_day=30&amp;end_year=2019","Saint Paul")</f>
        <v>Saint Paul</v>
      </c>
      <c r="G1036" s="72" t="str">
        <f>HYPERLINK("http://api.nsgreg.nga.mil/geo-division/GENC/6/3-11/DM-10","as:GENC:6:3-11:DM-10")</f>
        <v>as:GENC:6:3-11:DM-10</v>
      </c>
    </row>
    <row r="1037" spans="1:7" x14ac:dyDescent="0.25">
      <c r="A1037" s="113"/>
      <c r="B1037" s="47" t="s">
        <v>3740</v>
      </c>
      <c r="C1037" s="47" t="s">
        <v>1921</v>
      </c>
      <c r="D1037" s="47" t="s">
        <v>1858</v>
      </c>
      <c r="E1037" s="51" t="b">
        <v>1</v>
      </c>
      <c r="F1037" s="73" t="str">
        <f>HYPERLINK("http://nsgreg.nga.mil/genc/view?v=292249&amp;end_month=6&amp;end_day=30&amp;end_year=2019","Saint Peter")</f>
        <v>Saint Peter</v>
      </c>
      <c r="G1037" s="73" t="str">
        <f>HYPERLINK("http://api.nsgreg.nga.mil/geo-division/GENC/6/3-11/DM-11","as:GENC:6:3-11:DM-11")</f>
        <v>as:GENC:6:3-11:DM-11</v>
      </c>
    </row>
    <row r="1038" spans="1:7" x14ac:dyDescent="0.25">
      <c r="A1038" s="111" t="str">
        <f>HYPERLINK("[#]Codes_for_GE_Names!A75:I75","DOMINICAN REPUBLIC")</f>
        <v>DOMINICAN REPUBLIC</v>
      </c>
      <c r="B1038" s="42" t="s">
        <v>3741</v>
      </c>
      <c r="C1038" s="42" t="s">
        <v>3742</v>
      </c>
      <c r="D1038" s="42" t="s">
        <v>1975</v>
      </c>
      <c r="E1038" s="49" t="b">
        <v>1</v>
      </c>
      <c r="F1038" s="74" t="str">
        <f>HYPERLINK("http://nsgreg.nga.mil/genc/view?v=292282&amp;end_month=6&amp;end_day=30&amp;end_year=2019","Cibao Nordeste")</f>
        <v>Cibao Nordeste</v>
      </c>
      <c r="G1038" s="74" t="str">
        <f>HYPERLINK("http://api.nsgreg.nga.mil/geo-division/GENC/6/3-11/DO-33","as:GENC:6:3-11:DO-33")</f>
        <v>as:GENC:6:3-11:DO-33</v>
      </c>
    </row>
    <row r="1039" spans="1:7" x14ac:dyDescent="0.25">
      <c r="A1039" s="112"/>
      <c r="B1039" s="21" t="s">
        <v>3743</v>
      </c>
      <c r="C1039" s="21" t="s">
        <v>3744</v>
      </c>
      <c r="D1039" s="76" t="s">
        <v>1668</v>
      </c>
      <c r="E1039" s="77" t="b">
        <v>0</v>
      </c>
      <c r="F1039" s="72" t="str">
        <f>HYPERLINK("http://nsgreg.nga.mil/genc/view?v=292255&amp;end_month=6&amp;end_day=30&amp;end_year=2019","Duarte")</f>
        <v>Duarte</v>
      </c>
      <c r="G1039" s="72" t="str">
        <f>HYPERLINK("http://api.nsgreg.nga.mil/geo-division/GENC/6/3-11/DO-06","as:GENC:6:3-11:DO-06")</f>
        <v>as:GENC:6:3-11:DO-06</v>
      </c>
    </row>
    <row r="1040" spans="1:7" x14ac:dyDescent="0.25">
      <c r="A1040" s="112"/>
      <c r="B1040" s="21" t="s">
        <v>3745</v>
      </c>
      <c r="C1040" s="21" t="s">
        <v>3746</v>
      </c>
      <c r="D1040" s="76" t="s">
        <v>1668</v>
      </c>
      <c r="E1040" s="77" t="b">
        <v>0</v>
      </c>
      <c r="F1040" s="72" t="str">
        <f>HYPERLINK("http://nsgreg.nga.mil/genc/view?v=292268&amp;end_month=6&amp;end_day=30&amp;end_year=2019","Hermanas Mirabal")</f>
        <v>Hermanas Mirabal</v>
      </c>
      <c r="G1040" s="72" t="str">
        <f>HYPERLINK("http://api.nsgreg.nga.mil/geo-division/GENC/6/3-11/DO-19","as:GENC:6:3-11:DO-19")</f>
        <v>as:GENC:6:3-11:DO-19</v>
      </c>
    </row>
    <row r="1041" spans="1:7" x14ac:dyDescent="0.25">
      <c r="A1041" s="112"/>
      <c r="B1041" s="21" t="s">
        <v>3747</v>
      </c>
      <c r="C1041" s="21" t="s">
        <v>3748</v>
      </c>
      <c r="D1041" s="76" t="s">
        <v>1668</v>
      </c>
      <c r="E1041" s="77" t="b">
        <v>0</v>
      </c>
      <c r="F1041" s="72" t="str">
        <f>HYPERLINK("http://nsgreg.nga.mil/genc/view?v=292263&amp;end_month=6&amp;end_day=30&amp;end_year=2019","María Trinidad Sánchez")</f>
        <v>María Trinidad Sánchez</v>
      </c>
      <c r="G1041" s="72" t="str">
        <f>HYPERLINK("http://api.nsgreg.nga.mil/geo-division/GENC/6/3-11/DO-14","as:GENC:6:3-11:DO-14")</f>
        <v>as:GENC:6:3-11:DO-14</v>
      </c>
    </row>
    <row r="1042" spans="1:7" x14ac:dyDescent="0.25">
      <c r="A1042" s="112"/>
      <c r="B1042" s="21" t="s">
        <v>3749</v>
      </c>
      <c r="C1042" s="21" t="s">
        <v>3750</v>
      </c>
      <c r="D1042" s="76" t="s">
        <v>1668</v>
      </c>
      <c r="E1042" s="77" t="b">
        <v>0</v>
      </c>
      <c r="F1042" s="72" t="str">
        <f>HYPERLINK("http://nsgreg.nga.mil/genc/view?v=292269&amp;end_month=6&amp;end_day=30&amp;end_year=2019","Samaná")</f>
        <v>Samaná</v>
      </c>
      <c r="G1042" s="72" t="str">
        <f>HYPERLINK("http://api.nsgreg.nga.mil/geo-division/GENC/6/3-11/DO-20","as:GENC:6:3-11:DO-20")</f>
        <v>as:GENC:6:3-11:DO-20</v>
      </c>
    </row>
    <row r="1043" spans="1:7" x14ac:dyDescent="0.25">
      <c r="A1043" s="112"/>
      <c r="B1043" s="21" t="s">
        <v>3751</v>
      </c>
      <c r="C1043" s="21" t="s">
        <v>3752</v>
      </c>
      <c r="D1043" s="21" t="s">
        <v>1975</v>
      </c>
      <c r="E1043" s="50" t="b">
        <v>1</v>
      </c>
      <c r="F1043" s="72" t="str">
        <f>HYPERLINK("http://nsgreg.nga.mil/genc/view?v=292283&amp;end_month=6&amp;end_day=30&amp;end_year=2019","Cibao Noroeste")</f>
        <v>Cibao Noroeste</v>
      </c>
      <c r="G1043" s="72" t="str">
        <f>HYPERLINK("http://api.nsgreg.nga.mil/geo-division/GENC/6/3-11/DO-34","as:GENC:6:3-11:DO-34")</f>
        <v>as:GENC:6:3-11:DO-34</v>
      </c>
    </row>
    <row r="1044" spans="1:7" x14ac:dyDescent="0.25">
      <c r="A1044" s="112"/>
      <c r="B1044" s="21" t="s">
        <v>3753</v>
      </c>
      <c r="C1044" s="21" t="s">
        <v>3754</v>
      </c>
      <c r="D1044" s="76" t="s">
        <v>1668</v>
      </c>
      <c r="E1044" s="77" t="b">
        <v>0</v>
      </c>
      <c r="F1044" s="72" t="str">
        <f>HYPERLINK("http://nsgreg.nga.mil/genc/view?v=292254&amp;end_month=6&amp;end_day=30&amp;end_year=2019","Dajabón")</f>
        <v>Dajabón</v>
      </c>
      <c r="G1044" s="72" t="str">
        <f>HYPERLINK("http://api.nsgreg.nga.mil/geo-division/GENC/6/3-11/DO-05","as:GENC:6:3-11:DO-05")</f>
        <v>as:GENC:6:3-11:DO-05</v>
      </c>
    </row>
    <row r="1045" spans="1:7" x14ac:dyDescent="0.25">
      <c r="A1045" s="112"/>
      <c r="B1045" s="21" t="s">
        <v>3755</v>
      </c>
      <c r="C1045" s="21" t="s">
        <v>3756</v>
      </c>
      <c r="D1045" s="76" t="s">
        <v>1668</v>
      </c>
      <c r="E1045" s="77" t="b">
        <v>0</v>
      </c>
      <c r="F1045" s="72" t="str">
        <f>HYPERLINK("http://nsgreg.nga.mil/genc/view?v=292264&amp;end_month=6&amp;end_day=30&amp;end_year=2019","Monte Cristi")</f>
        <v>Monte Cristi</v>
      </c>
      <c r="G1045" s="72" t="str">
        <f>HYPERLINK("http://api.nsgreg.nga.mil/geo-division/GENC/6/3-11/DO-15","as:GENC:6:3-11:DO-15")</f>
        <v>as:GENC:6:3-11:DO-15</v>
      </c>
    </row>
    <row r="1046" spans="1:7" x14ac:dyDescent="0.25">
      <c r="A1046" s="112"/>
      <c r="B1046" s="21" t="s">
        <v>3757</v>
      </c>
      <c r="C1046" s="21" t="s">
        <v>3758</v>
      </c>
      <c r="D1046" s="76" t="s">
        <v>1668</v>
      </c>
      <c r="E1046" s="77" t="b">
        <v>0</v>
      </c>
      <c r="F1046" s="72" t="str">
        <f>HYPERLINK("http://nsgreg.nga.mil/genc/view?v=292275&amp;end_month=6&amp;end_day=30&amp;end_year=2019","Santiago Rodríguez")</f>
        <v>Santiago Rodríguez</v>
      </c>
      <c r="G1046" s="72" t="str">
        <f>HYPERLINK("http://api.nsgreg.nga.mil/geo-division/GENC/6/3-11/DO-26","as:GENC:6:3-11:DO-26")</f>
        <v>as:GENC:6:3-11:DO-26</v>
      </c>
    </row>
    <row r="1047" spans="1:7" x14ac:dyDescent="0.25">
      <c r="A1047" s="112"/>
      <c r="B1047" s="21" t="s">
        <v>3759</v>
      </c>
      <c r="C1047" s="21" t="s">
        <v>3760</v>
      </c>
      <c r="D1047" s="76" t="s">
        <v>1668</v>
      </c>
      <c r="E1047" s="77" t="b">
        <v>0</v>
      </c>
      <c r="F1047" s="72" t="str">
        <f>HYPERLINK("http://nsgreg.nga.mil/genc/view?v=292276&amp;end_month=6&amp;end_day=30&amp;end_year=2019","Valverde")</f>
        <v>Valverde</v>
      </c>
      <c r="G1047" s="72" t="str">
        <f>HYPERLINK("http://api.nsgreg.nga.mil/geo-division/GENC/6/3-11/DO-27","as:GENC:6:3-11:DO-27")</f>
        <v>as:GENC:6:3-11:DO-27</v>
      </c>
    </row>
    <row r="1048" spans="1:7" x14ac:dyDescent="0.25">
      <c r="A1048" s="112"/>
      <c r="B1048" s="21" t="s">
        <v>3761</v>
      </c>
      <c r="C1048" s="21" t="s">
        <v>3762</v>
      </c>
      <c r="D1048" s="21" t="s">
        <v>1975</v>
      </c>
      <c r="E1048" s="50" t="b">
        <v>1</v>
      </c>
      <c r="F1048" s="72" t="str">
        <f>HYPERLINK("http://nsgreg.nga.mil/genc/view?v=292284&amp;end_month=6&amp;end_day=30&amp;end_year=2019","Cibao Norte")</f>
        <v>Cibao Norte</v>
      </c>
      <c r="G1048" s="72" t="str">
        <f>HYPERLINK("http://api.nsgreg.nga.mil/geo-division/GENC/6/3-11/DO-35","as:GENC:6:3-11:DO-35")</f>
        <v>as:GENC:6:3-11:DO-35</v>
      </c>
    </row>
    <row r="1049" spans="1:7" x14ac:dyDescent="0.25">
      <c r="A1049" s="112"/>
      <c r="B1049" s="21" t="s">
        <v>3763</v>
      </c>
      <c r="C1049" s="21" t="s">
        <v>3764</v>
      </c>
      <c r="D1049" s="76" t="s">
        <v>1668</v>
      </c>
      <c r="E1049" s="77" t="b">
        <v>0</v>
      </c>
      <c r="F1049" s="72" t="str">
        <f>HYPERLINK("http://nsgreg.nga.mil/genc/view?v=292258&amp;end_month=6&amp;end_day=30&amp;end_year=2019","Espaillat")</f>
        <v>Espaillat</v>
      </c>
      <c r="G1049" s="72" t="str">
        <f>HYPERLINK("http://api.nsgreg.nga.mil/geo-division/GENC/6/3-11/DO-09","as:GENC:6:3-11:DO-09")</f>
        <v>as:GENC:6:3-11:DO-09</v>
      </c>
    </row>
    <row r="1050" spans="1:7" x14ac:dyDescent="0.25">
      <c r="A1050" s="112"/>
      <c r="B1050" s="21" t="s">
        <v>3765</v>
      </c>
      <c r="C1050" s="21" t="s">
        <v>3766</v>
      </c>
      <c r="D1050" s="76" t="s">
        <v>1668</v>
      </c>
      <c r="E1050" s="77" t="b">
        <v>0</v>
      </c>
      <c r="F1050" s="72" t="str">
        <f>HYPERLINK("http://nsgreg.nga.mil/genc/view?v=292267&amp;end_month=6&amp;end_day=30&amp;end_year=2019","Puerto Plata")</f>
        <v>Puerto Plata</v>
      </c>
      <c r="G1050" s="72" t="str">
        <f>HYPERLINK("http://api.nsgreg.nga.mil/geo-division/GENC/6/3-11/DO-18","as:GENC:6:3-11:DO-18")</f>
        <v>as:GENC:6:3-11:DO-18</v>
      </c>
    </row>
    <row r="1051" spans="1:7" x14ac:dyDescent="0.25">
      <c r="A1051" s="112"/>
      <c r="B1051" s="21" t="s">
        <v>3767</v>
      </c>
      <c r="C1051" s="21" t="s">
        <v>3768</v>
      </c>
      <c r="D1051" s="76" t="s">
        <v>1668</v>
      </c>
      <c r="E1051" s="77" t="b">
        <v>0</v>
      </c>
      <c r="F1051" s="72" t="str">
        <f>HYPERLINK("http://nsgreg.nga.mil/genc/view?v=292274&amp;end_month=6&amp;end_day=30&amp;end_year=2019","Santiago")</f>
        <v>Santiago</v>
      </c>
      <c r="G1051" s="72" t="str">
        <f>HYPERLINK("http://api.nsgreg.nga.mil/geo-division/GENC/6/3-11/DO-25","as:GENC:6:3-11:DO-25")</f>
        <v>as:GENC:6:3-11:DO-25</v>
      </c>
    </row>
    <row r="1052" spans="1:7" x14ac:dyDescent="0.25">
      <c r="A1052" s="112"/>
      <c r="B1052" s="21" t="s">
        <v>3769</v>
      </c>
      <c r="C1052" s="21" t="s">
        <v>3770</v>
      </c>
      <c r="D1052" s="21" t="s">
        <v>1975</v>
      </c>
      <c r="E1052" s="50" t="b">
        <v>1</v>
      </c>
      <c r="F1052" s="72" t="str">
        <f>HYPERLINK("http://nsgreg.nga.mil/genc/view?v=292285&amp;end_month=6&amp;end_day=30&amp;end_year=2019","Cibao Sur")</f>
        <v>Cibao Sur</v>
      </c>
      <c r="G1052" s="72" t="str">
        <f>HYPERLINK("http://api.nsgreg.nga.mil/geo-division/GENC/6/3-11/DO-36","as:GENC:6:3-11:DO-36")</f>
        <v>as:GENC:6:3-11:DO-36</v>
      </c>
    </row>
    <row r="1053" spans="1:7" x14ac:dyDescent="0.25">
      <c r="A1053" s="112"/>
      <c r="B1053" s="21" t="s">
        <v>3771</v>
      </c>
      <c r="C1053" s="21" t="s">
        <v>3772</v>
      </c>
      <c r="D1053" s="76" t="s">
        <v>1668</v>
      </c>
      <c r="E1053" s="77" t="b">
        <v>0</v>
      </c>
      <c r="F1053" s="72" t="str">
        <f>HYPERLINK("http://nsgreg.nga.mil/genc/view?v=292262&amp;end_month=6&amp;end_day=30&amp;end_year=2019","La Vega")</f>
        <v>La Vega</v>
      </c>
      <c r="G1053" s="72" t="str">
        <f>HYPERLINK("http://api.nsgreg.nga.mil/geo-division/GENC/6/3-11/DO-13","as:GENC:6:3-11:DO-13")</f>
        <v>as:GENC:6:3-11:DO-13</v>
      </c>
    </row>
    <row r="1054" spans="1:7" x14ac:dyDescent="0.25">
      <c r="A1054" s="112"/>
      <c r="B1054" s="21" t="s">
        <v>3773</v>
      </c>
      <c r="C1054" s="21" t="s">
        <v>3774</v>
      </c>
      <c r="D1054" s="76" t="s">
        <v>1668</v>
      </c>
      <c r="E1054" s="77" t="b">
        <v>0</v>
      </c>
      <c r="F1054" s="72" t="str">
        <f>HYPERLINK("http://nsgreg.nga.mil/genc/view?v=292277&amp;end_month=6&amp;end_day=30&amp;end_year=2019","Monseñor Nouel")</f>
        <v>Monseñor Nouel</v>
      </c>
      <c r="G1054" s="72" t="str">
        <f>HYPERLINK("http://api.nsgreg.nga.mil/geo-division/GENC/6/3-11/DO-28","as:GENC:6:3-11:DO-28")</f>
        <v>as:GENC:6:3-11:DO-28</v>
      </c>
    </row>
    <row r="1055" spans="1:7" x14ac:dyDescent="0.25">
      <c r="A1055" s="112"/>
      <c r="B1055" s="21" t="s">
        <v>3775</v>
      </c>
      <c r="C1055" s="21" t="s">
        <v>3776</v>
      </c>
      <c r="D1055" s="76" t="s">
        <v>1668</v>
      </c>
      <c r="E1055" s="77" t="b">
        <v>0</v>
      </c>
      <c r="F1055" s="72" t="str">
        <f>HYPERLINK("http://nsgreg.nga.mil/genc/view?v=292273&amp;end_month=6&amp;end_day=30&amp;end_year=2019","Sánchez Ramírez")</f>
        <v>Sánchez Ramírez</v>
      </c>
      <c r="G1055" s="72" t="str">
        <f>HYPERLINK("http://api.nsgreg.nga.mil/geo-division/GENC/6/3-11/DO-24","as:GENC:6:3-11:DO-24")</f>
        <v>as:GENC:6:3-11:DO-24</v>
      </c>
    </row>
    <row r="1056" spans="1:7" x14ac:dyDescent="0.25">
      <c r="A1056" s="112"/>
      <c r="B1056" s="21" t="s">
        <v>3777</v>
      </c>
      <c r="C1056" s="21" t="s">
        <v>3778</v>
      </c>
      <c r="D1056" s="21" t="s">
        <v>1975</v>
      </c>
      <c r="E1056" s="50" t="b">
        <v>1</v>
      </c>
      <c r="F1056" s="72" t="str">
        <f>HYPERLINK("http://nsgreg.nga.mil/genc/view?v=292286&amp;end_month=6&amp;end_day=30&amp;end_year=2019","El Valle")</f>
        <v>El Valle</v>
      </c>
      <c r="G1056" s="72" t="str">
        <f>HYPERLINK("http://api.nsgreg.nga.mil/geo-division/GENC/6/3-11/DO-37","as:GENC:6:3-11:DO-37")</f>
        <v>as:GENC:6:3-11:DO-37</v>
      </c>
    </row>
    <row r="1057" spans="1:7" x14ac:dyDescent="0.25">
      <c r="A1057" s="112"/>
      <c r="B1057" s="21" t="s">
        <v>3779</v>
      </c>
      <c r="C1057" s="21" t="s">
        <v>3780</v>
      </c>
      <c r="D1057" s="76" t="s">
        <v>1668</v>
      </c>
      <c r="E1057" s="77" t="b">
        <v>0</v>
      </c>
      <c r="F1057" s="72" t="str">
        <f>HYPERLINK("http://nsgreg.nga.mil/genc/view?v=292256&amp;end_month=6&amp;end_day=30&amp;end_year=2019","Elías Piña")</f>
        <v>Elías Piña</v>
      </c>
      <c r="G1057" s="72" t="str">
        <f>HYPERLINK("http://api.nsgreg.nga.mil/geo-division/GENC/6/3-11/DO-07","as:GENC:6:3-11:DO-07")</f>
        <v>as:GENC:6:3-11:DO-07</v>
      </c>
    </row>
    <row r="1058" spans="1:7" x14ac:dyDescent="0.25">
      <c r="A1058" s="112"/>
      <c r="B1058" s="21" t="s">
        <v>3781</v>
      </c>
      <c r="C1058" s="21" t="s">
        <v>3782</v>
      </c>
      <c r="D1058" s="76" t="s">
        <v>1668</v>
      </c>
      <c r="E1058" s="77" t="b">
        <v>0</v>
      </c>
      <c r="F1058" s="72" t="str">
        <f>HYPERLINK("http://nsgreg.nga.mil/genc/view?v=292271&amp;end_month=6&amp;end_day=30&amp;end_year=2019","San Juan")</f>
        <v>San Juan</v>
      </c>
      <c r="G1058" s="72" t="str">
        <f>HYPERLINK("http://api.nsgreg.nga.mil/geo-division/GENC/6/3-11/DO-22","as:GENC:6:3-11:DO-22")</f>
        <v>as:GENC:6:3-11:DO-22</v>
      </c>
    </row>
    <row r="1059" spans="1:7" x14ac:dyDescent="0.25">
      <c r="A1059" s="112"/>
      <c r="B1059" s="21" t="s">
        <v>3783</v>
      </c>
      <c r="C1059" s="21" t="s">
        <v>3784</v>
      </c>
      <c r="D1059" s="21" t="s">
        <v>1975</v>
      </c>
      <c r="E1059" s="50" t="b">
        <v>1</v>
      </c>
      <c r="F1059" s="72" t="str">
        <f>HYPERLINK("http://nsgreg.nga.mil/genc/view?v=292287&amp;end_month=6&amp;end_day=30&amp;end_year=2019","Enriquillo")</f>
        <v>Enriquillo</v>
      </c>
      <c r="G1059" s="72" t="str">
        <f>HYPERLINK("http://api.nsgreg.nga.mil/geo-division/GENC/6/3-11/DO-38","as:GENC:6:3-11:DO-38")</f>
        <v>as:GENC:6:3-11:DO-38</v>
      </c>
    </row>
    <row r="1060" spans="1:7" x14ac:dyDescent="0.25">
      <c r="A1060" s="112"/>
      <c r="B1060" s="21" t="s">
        <v>3785</v>
      </c>
      <c r="C1060" s="21" t="s">
        <v>3786</v>
      </c>
      <c r="D1060" s="76" t="s">
        <v>1668</v>
      </c>
      <c r="E1060" s="77" t="b">
        <v>0</v>
      </c>
      <c r="F1060" s="72" t="str">
        <f>HYPERLINK("http://nsgreg.nga.mil/genc/view?v=292252&amp;end_month=6&amp;end_day=30&amp;end_year=2019","Baoruco")</f>
        <v>Baoruco</v>
      </c>
      <c r="G1060" s="72" t="str">
        <f>HYPERLINK("http://api.nsgreg.nga.mil/geo-division/GENC/6/3-11/DO-03","as:GENC:6:3-11:DO-03")</f>
        <v>as:GENC:6:3-11:DO-03</v>
      </c>
    </row>
    <row r="1061" spans="1:7" x14ac:dyDescent="0.25">
      <c r="A1061" s="112"/>
      <c r="B1061" s="21" t="s">
        <v>3787</v>
      </c>
      <c r="C1061" s="21" t="s">
        <v>3788</v>
      </c>
      <c r="D1061" s="76" t="s">
        <v>1668</v>
      </c>
      <c r="E1061" s="77" t="b">
        <v>0</v>
      </c>
      <c r="F1061" s="72" t="str">
        <f>HYPERLINK("http://nsgreg.nga.mil/genc/view?v=292253&amp;end_month=6&amp;end_day=30&amp;end_year=2019","Barahona")</f>
        <v>Barahona</v>
      </c>
      <c r="G1061" s="72" t="str">
        <f>HYPERLINK("http://api.nsgreg.nga.mil/geo-division/GENC/6/3-11/DO-04","as:GENC:6:3-11:DO-04")</f>
        <v>as:GENC:6:3-11:DO-04</v>
      </c>
    </row>
    <row r="1062" spans="1:7" x14ac:dyDescent="0.25">
      <c r="A1062" s="112"/>
      <c r="B1062" s="21" t="s">
        <v>3789</v>
      </c>
      <c r="C1062" s="21" t="s">
        <v>3790</v>
      </c>
      <c r="D1062" s="76" t="s">
        <v>1668</v>
      </c>
      <c r="E1062" s="77" t="b">
        <v>0</v>
      </c>
      <c r="F1062" s="72" t="str">
        <f>HYPERLINK("http://nsgreg.nga.mil/genc/view?v=292259&amp;end_month=6&amp;end_day=30&amp;end_year=2019","Independencia")</f>
        <v>Independencia</v>
      </c>
      <c r="G1062" s="72" t="str">
        <f>HYPERLINK("http://api.nsgreg.nga.mil/geo-division/GENC/6/3-11/DO-10","as:GENC:6:3-11:DO-10")</f>
        <v>as:GENC:6:3-11:DO-10</v>
      </c>
    </row>
    <row r="1063" spans="1:7" x14ac:dyDescent="0.25">
      <c r="A1063" s="112"/>
      <c r="B1063" s="21" t="s">
        <v>3791</v>
      </c>
      <c r="C1063" s="21" t="s">
        <v>3792</v>
      </c>
      <c r="D1063" s="76" t="s">
        <v>1668</v>
      </c>
      <c r="E1063" s="77" t="b">
        <v>0</v>
      </c>
      <c r="F1063" s="72" t="str">
        <f>HYPERLINK("http://nsgreg.nga.mil/genc/view?v=292265&amp;end_month=6&amp;end_day=30&amp;end_year=2019","Pedernales")</f>
        <v>Pedernales</v>
      </c>
      <c r="G1063" s="72" t="str">
        <f>HYPERLINK("http://api.nsgreg.nga.mil/geo-division/GENC/6/3-11/DO-16","as:GENC:6:3-11:DO-16")</f>
        <v>as:GENC:6:3-11:DO-16</v>
      </c>
    </row>
    <row r="1064" spans="1:7" x14ac:dyDescent="0.25">
      <c r="A1064" s="112"/>
      <c r="B1064" s="21" t="s">
        <v>3793</v>
      </c>
      <c r="C1064" s="21" t="s">
        <v>3794</v>
      </c>
      <c r="D1064" s="21" t="s">
        <v>1975</v>
      </c>
      <c r="E1064" s="50" t="b">
        <v>1</v>
      </c>
      <c r="F1064" s="72" t="str">
        <f>HYPERLINK("http://nsgreg.nga.mil/genc/view?v=292288&amp;end_month=6&amp;end_day=30&amp;end_year=2019","Higuamo")</f>
        <v>Higuamo</v>
      </c>
      <c r="G1064" s="72" t="str">
        <f>HYPERLINK("http://api.nsgreg.nga.mil/geo-division/GENC/6/3-11/DO-39","as:GENC:6:3-11:DO-39")</f>
        <v>as:GENC:6:3-11:DO-39</v>
      </c>
    </row>
    <row r="1065" spans="1:7" x14ac:dyDescent="0.25">
      <c r="A1065" s="112"/>
      <c r="B1065" s="21" t="s">
        <v>3795</v>
      </c>
      <c r="C1065" s="21" t="s">
        <v>3796</v>
      </c>
      <c r="D1065" s="76" t="s">
        <v>1668</v>
      </c>
      <c r="E1065" s="77" t="b">
        <v>0</v>
      </c>
      <c r="F1065" s="72" t="str">
        <f>HYPERLINK("http://nsgreg.nga.mil/genc/view?v=292279&amp;end_month=6&amp;end_day=30&amp;end_year=2019","Hato Mayor")</f>
        <v>Hato Mayor</v>
      </c>
      <c r="G1065" s="72" t="str">
        <f>HYPERLINK("http://api.nsgreg.nga.mil/geo-division/GENC/6/3-11/DO-30","as:GENC:6:3-11:DO-30")</f>
        <v>as:GENC:6:3-11:DO-30</v>
      </c>
    </row>
    <row r="1066" spans="1:7" x14ac:dyDescent="0.25">
      <c r="A1066" s="112"/>
      <c r="B1066" s="21" t="s">
        <v>3797</v>
      </c>
      <c r="C1066" s="21" t="s">
        <v>3798</v>
      </c>
      <c r="D1066" s="76" t="s">
        <v>1668</v>
      </c>
      <c r="E1066" s="77" t="b">
        <v>0</v>
      </c>
      <c r="F1066" s="72" t="str">
        <f>HYPERLINK("http://nsgreg.nga.mil/genc/view?v=292278&amp;end_month=6&amp;end_day=30&amp;end_year=2019","Monte Plata")</f>
        <v>Monte Plata</v>
      </c>
      <c r="G1066" s="72" t="str">
        <f>HYPERLINK("http://api.nsgreg.nga.mil/geo-division/GENC/6/3-11/DO-29","as:GENC:6:3-11:DO-29")</f>
        <v>as:GENC:6:3-11:DO-29</v>
      </c>
    </row>
    <row r="1067" spans="1:7" x14ac:dyDescent="0.25">
      <c r="A1067" s="112"/>
      <c r="B1067" s="21" t="s">
        <v>3799</v>
      </c>
      <c r="C1067" s="21" t="s">
        <v>3800</v>
      </c>
      <c r="D1067" s="76" t="s">
        <v>1668</v>
      </c>
      <c r="E1067" s="77" t="b">
        <v>0</v>
      </c>
      <c r="F1067" s="72" t="str">
        <f>HYPERLINK("http://nsgreg.nga.mil/genc/view?v=292272&amp;end_month=6&amp;end_day=30&amp;end_year=2019","San Pedro de Macorís")</f>
        <v>San Pedro de Macorís</v>
      </c>
      <c r="G1067" s="72" t="str">
        <f>HYPERLINK("http://api.nsgreg.nga.mil/geo-division/GENC/6/3-11/DO-23","as:GENC:6:3-11:DO-23")</f>
        <v>as:GENC:6:3-11:DO-23</v>
      </c>
    </row>
    <row r="1068" spans="1:7" x14ac:dyDescent="0.25">
      <c r="A1068" s="112"/>
      <c r="B1068" s="21" t="s">
        <v>3801</v>
      </c>
      <c r="C1068" s="21" t="s">
        <v>3802</v>
      </c>
      <c r="D1068" s="21" t="s">
        <v>1975</v>
      </c>
      <c r="E1068" s="50" t="b">
        <v>1</v>
      </c>
      <c r="F1068" s="72" t="str">
        <f>HYPERLINK("http://nsgreg.nga.mil/genc/view?v=292289&amp;end_month=6&amp;end_day=30&amp;end_year=2019","Ozama")</f>
        <v>Ozama</v>
      </c>
      <c r="G1068" s="72" t="str">
        <f>HYPERLINK("http://api.nsgreg.nga.mil/geo-division/GENC/6/3-11/DO-40","as:GENC:6:3-11:DO-40")</f>
        <v>as:GENC:6:3-11:DO-40</v>
      </c>
    </row>
    <row r="1069" spans="1:7" x14ac:dyDescent="0.25">
      <c r="A1069" s="112"/>
      <c r="B1069" s="21" t="s">
        <v>3803</v>
      </c>
      <c r="C1069" s="21" t="s">
        <v>3804</v>
      </c>
      <c r="D1069" s="76" t="s">
        <v>2035</v>
      </c>
      <c r="E1069" s="77" t="b">
        <v>0</v>
      </c>
      <c r="F1069" s="72" t="str">
        <f>HYPERLINK("http://nsgreg.nga.mil/genc/view?v=292250&amp;end_month=6&amp;end_day=30&amp;end_year=2019","Distrito Nacional")</f>
        <v>Distrito Nacional</v>
      </c>
      <c r="G1069" s="72" t="str">
        <f>HYPERLINK("http://api.nsgreg.nga.mil/geo-division/GENC/6/3-11/DO-01","as:GENC:6:3-11:DO-01")</f>
        <v>as:GENC:6:3-11:DO-01</v>
      </c>
    </row>
    <row r="1070" spans="1:7" x14ac:dyDescent="0.25">
      <c r="A1070" s="112"/>
      <c r="B1070" s="21" t="s">
        <v>3805</v>
      </c>
      <c r="C1070" s="21" t="s">
        <v>3806</v>
      </c>
      <c r="D1070" s="76" t="s">
        <v>1668</v>
      </c>
      <c r="E1070" s="77" t="b">
        <v>0</v>
      </c>
      <c r="F1070" s="72" t="str">
        <f>HYPERLINK("http://nsgreg.nga.mil/genc/view?v=292281&amp;end_month=6&amp;end_day=30&amp;end_year=2019","Santo Domingo")</f>
        <v>Santo Domingo</v>
      </c>
      <c r="G1070" s="72" t="str">
        <f>HYPERLINK("http://api.nsgreg.nga.mil/geo-division/GENC/6/3-11/DO-32","as:GENC:6:3-11:DO-32")</f>
        <v>as:GENC:6:3-11:DO-32</v>
      </c>
    </row>
    <row r="1071" spans="1:7" x14ac:dyDescent="0.25">
      <c r="A1071" s="112"/>
      <c r="B1071" s="21" t="s">
        <v>3807</v>
      </c>
      <c r="C1071" s="21" t="s">
        <v>3808</v>
      </c>
      <c r="D1071" s="21" t="s">
        <v>1975</v>
      </c>
      <c r="E1071" s="50" t="b">
        <v>1</v>
      </c>
      <c r="F1071" s="72" t="str">
        <f>HYPERLINK("http://nsgreg.nga.mil/genc/view?v=292290&amp;end_month=6&amp;end_day=30&amp;end_year=2019","Valdesia")</f>
        <v>Valdesia</v>
      </c>
      <c r="G1071" s="72" t="str">
        <f>HYPERLINK("http://api.nsgreg.nga.mil/geo-division/GENC/6/3-11/DO-41","as:GENC:6:3-11:DO-41")</f>
        <v>as:GENC:6:3-11:DO-41</v>
      </c>
    </row>
    <row r="1072" spans="1:7" x14ac:dyDescent="0.25">
      <c r="A1072" s="112"/>
      <c r="B1072" s="21" t="s">
        <v>3809</v>
      </c>
      <c r="C1072" s="21" t="s">
        <v>3810</v>
      </c>
      <c r="D1072" s="76" t="s">
        <v>1668</v>
      </c>
      <c r="E1072" s="77" t="b">
        <v>0</v>
      </c>
      <c r="F1072" s="72" t="str">
        <f>HYPERLINK("http://nsgreg.nga.mil/genc/view?v=292251&amp;end_month=6&amp;end_day=30&amp;end_year=2019","Azua")</f>
        <v>Azua</v>
      </c>
      <c r="G1072" s="72" t="str">
        <f>HYPERLINK("http://api.nsgreg.nga.mil/geo-division/GENC/6/3-11/DO-02","as:GENC:6:3-11:DO-02")</f>
        <v>as:GENC:6:3-11:DO-02</v>
      </c>
    </row>
    <row r="1073" spans="1:7" x14ac:dyDescent="0.25">
      <c r="A1073" s="112"/>
      <c r="B1073" s="21" t="s">
        <v>3811</v>
      </c>
      <c r="C1073" s="21" t="s">
        <v>3812</v>
      </c>
      <c r="D1073" s="76" t="s">
        <v>1668</v>
      </c>
      <c r="E1073" s="77" t="b">
        <v>0</v>
      </c>
      <c r="F1073" s="72" t="str">
        <f>HYPERLINK("http://nsgreg.nga.mil/genc/view?v=292266&amp;end_month=6&amp;end_day=30&amp;end_year=2019","Peravia")</f>
        <v>Peravia</v>
      </c>
      <c r="G1073" s="72" t="str">
        <f>HYPERLINK("http://api.nsgreg.nga.mil/geo-division/GENC/6/3-11/DO-17","as:GENC:6:3-11:DO-17")</f>
        <v>as:GENC:6:3-11:DO-17</v>
      </c>
    </row>
    <row r="1074" spans="1:7" x14ac:dyDescent="0.25">
      <c r="A1074" s="112"/>
      <c r="B1074" s="21" t="s">
        <v>3813</v>
      </c>
      <c r="C1074" s="21" t="s">
        <v>3814</v>
      </c>
      <c r="D1074" s="76" t="s">
        <v>1668</v>
      </c>
      <c r="E1074" s="77" t="b">
        <v>0</v>
      </c>
      <c r="F1074" s="72" t="str">
        <f>HYPERLINK("http://nsgreg.nga.mil/genc/view?v=292270&amp;end_month=6&amp;end_day=30&amp;end_year=2019","San Cristóbal")</f>
        <v>San Cristóbal</v>
      </c>
      <c r="G1074" s="72" t="str">
        <f>HYPERLINK("http://api.nsgreg.nga.mil/geo-division/GENC/6/3-11/DO-21","as:GENC:6:3-11:DO-21")</f>
        <v>as:GENC:6:3-11:DO-21</v>
      </c>
    </row>
    <row r="1075" spans="1:7" x14ac:dyDescent="0.25">
      <c r="A1075" s="112"/>
      <c r="B1075" s="21" t="s">
        <v>3815</v>
      </c>
      <c r="C1075" s="21" t="s">
        <v>3816</v>
      </c>
      <c r="D1075" s="76" t="s">
        <v>1668</v>
      </c>
      <c r="E1075" s="77" t="b">
        <v>0</v>
      </c>
      <c r="F1075" s="72" t="str">
        <f>HYPERLINK("http://nsgreg.nga.mil/genc/view?v=292280&amp;end_month=6&amp;end_day=30&amp;end_year=2019","San José de Ocoa")</f>
        <v>San José de Ocoa</v>
      </c>
      <c r="G1075" s="72" t="str">
        <f>HYPERLINK("http://api.nsgreg.nga.mil/geo-division/GENC/6/3-11/DO-31","as:GENC:6:3-11:DO-31")</f>
        <v>as:GENC:6:3-11:DO-31</v>
      </c>
    </row>
    <row r="1076" spans="1:7" x14ac:dyDescent="0.25">
      <c r="A1076" s="112"/>
      <c r="B1076" s="21" t="s">
        <v>3817</v>
      </c>
      <c r="C1076" s="21" t="s">
        <v>3818</v>
      </c>
      <c r="D1076" s="21" t="s">
        <v>1975</v>
      </c>
      <c r="E1076" s="50" t="b">
        <v>1</v>
      </c>
      <c r="F1076" s="72" t="str">
        <f>HYPERLINK("http://nsgreg.nga.mil/genc/view?v=292291&amp;end_month=6&amp;end_day=30&amp;end_year=2019","Yuma")</f>
        <v>Yuma</v>
      </c>
      <c r="G1076" s="72" t="str">
        <f>HYPERLINK("http://api.nsgreg.nga.mil/geo-division/GENC/6/3-11/DO-42","as:GENC:6:3-11:DO-42")</f>
        <v>as:GENC:6:3-11:DO-42</v>
      </c>
    </row>
    <row r="1077" spans="1:7" x14ac:dyDescent="0.25">
      <c r="A1077" s="112"/>
      <c r="B1077" s="21" t="s">
        <v>3819</v>
      </c>
      <c r="C1077" s="21" t="s">
        <v>3820</v>
      </c>
      <c r="D1077" s="76" t="s">
        <v>1668</v>
      </c>
      <c r="E1077" s="77" t="b">
        <v>0</v>
      </c>
      <c r="F1077" s="72" t="str">
        <f>HYPERLINK("http://nsgreg.nga.mil/genc/view?v=292257&amp;end_month=6&amp;end_day=30&amp;end_year=2019","El Seibo")</f>
        <v>El Seibo</v>
      </c>
      <c r="G1077" s="72" t="str">
        <f>HYPERLINK("http://api.nsgreg.nga.mil/geo-division/GENC/6/3-11/DO-08","as:GENC:6:3-11:DO-08")</f>
        <v>as:GENC:6:3-11:DO-08</v>
      </c>
    </row>
    <row r="1078" spans="1:7" x14ac:dyDescent="0.25">
      <c r="A1078" s="112"/>
      <c r="B1078" s="21" t="s">
        <v>3821</v>
      </c>
      <c r="C1078" s="21" t="s">
        <v>3822</v>
      </c>
      <c r="D1078" s="76" t="s">
        <v>1668</v>
      </c>
      <c r="E1078" s="77" t="b">
        <v>0</v>
      </c>
      <c r="F1078" s="72" t="str">
        <f>HYPERLINK("http://nsgreg.nga.mil/genc/view?v=292260&amp;end_month=6&amp;end_day=30&amp;end_year=2019","La Altagracia")</f>
        <v>La Altagracia</v>
      </c>
      <c r="G1078" s="72" t="str">
        <f>HYPERLINK("http://api.nsgreg.nga.mil/geo-division/GENC/6/3-11/DO-11","as:GENC:6:3-11:DO-11")</f>
        <v>as:GENC:6:3-11:DO-11</v>
      </c>
    </row>
    <row r="1079" spans="1:7" x14ac:dyDescent="0.25">
      <c r="A1079" s="113"/>
      <c r="B1079" s="47" t="s">
        <v>3823</v>
      </c>
      <c r="C1079" s="47" t="s">
        <v>3824</v>
      </c>
      <c r="D1079" s="78" t="s">
        <v>1668</v>
      </c>
      <c r="E1079" s="79" t="b">
        <v>0</v>
      </c>
      <c r="F1079" s="73" t="str">
        <f>HYPERLINK("http://nsgreg.nga.mil/genc/view?v=292261&amp;end_month=6&amp;end_day=30&amp;end_year=2019","La Romana")</f>
        <v>La Romana</v>
      </c>
      <c r="G1079" s="73" t="str">
        <f>HYPERLINK("http://api.nsgreg.nga.mil/geo-division/GENC/6/3-11/DO-12","as:GENC:6:3-11:DO-12")</f>
        <v>as:GENC:6:3-11:DO-12</v>
      </c>
    </row>
    <row r="1080" spans="1:7" x14ac:dyDescent="0.25">
      <c r="A1080" s="111" t="str">
        <f>HYPERLINK("[#]Codes_for_GE_Names!A76:I76","ECUADOR")</f>
        <v>ECUADOR</v>
      </c>
      <c r="B1080" s="42" t="s">
        <v>3825</v>
      </c>
      <c r="C1080" s="42" t="s">
        <v>3826</v>
      </c>
      <c r="D1080" s="42" t="s">
        <v>1668</v>
      </c>
      <c r="E1080" s="49" t="b">
        <v>1</v>
      </c>
      <c r="F1080" s="74" t="str">
        <f>HYPERLINK("http://nsgreg.nga.mil/genc/view?v=292340&amp;end_month=6&amp;end_day=30&amp;end_year=2019","Azuay")</f>
        <v>Azuay</v>
      </c>
      <c r="G1080" s="74" t="str">
        <f>HYPERLINK("http://api.nsgreg.nga.mil/geo-division/GENC/6/3-11/EC-A","as:GENC:6:3-11:EC-A")</f>
        <v>as:GENC:6:3-11:EC-A</v>
      </c>
    </row>
    <row r="1081" spans="1:7" x14ac:dyDescent="0.25">
      <c r="A1081" s="112"/>
      <c r="B1081" s="21" t="s">
        <v>3827</v>
      </c>
      <c r="C1081" s="21" t="s">
        <v>3259</v>
      </c>
      <c r="D1081" s="21" t="s">
        <v>1668</v>
      </c>
      <c r="E1081" s="50" t="b">
        <v>1</v>
      </c>
      <c r="F1081" s="72" t="str">
        <f>HYPERLINK("http://nsgreg.nga.mil/genc/view?v=292341&amp;end_month=6&amp;end_day=30&amp;end_year=2019","Bolívar")</f>
        <v>Bolívar</v>
      </c>
      <c r="G1081" s="72" t="str">
        <f>HYPERLINK("http://api.nsgreg.nga.mil/geo-division/GENC/6/3-11/EC-B","as:GENC:6:3-11:EC-B")</f>
        <v>as:GENC:6:3-11:EC-B</v>
      </c>
    </row>
    <row r="1082" spans="1:7" x14ac:dyDescent="0.25">
      <c r="A1082" s="112"/>
      <c r="B1082" s="21" t="s">
        <v>3828</v>
      </c>
      <c r="C1082" s="21" t="s">
        <v>3829</v>
      </c>
      <c r="D1082" s="21" t="s">
        <v>1668</v>
      </c>
      <c r="E1082" s="50" t="b">
        <v>1</v>
      </c>
      <c r="F1082" s="72" t="str">
        <f>HYPERLINK("http://nsgreg.nga.mil/genc/view?v=292345&amp;end_month=6&amp;end_day=30&amp;end_year=2019","Cañar")</f>
        <v>Cañar</v>
      </c>
      <c r="G1082" s="72" t="str">
        <f>HYPERLINK("http://api.nsgreg.nga.mil/geo-division/GENC/6/3-11/EC-F","as:GENC:6:3-11:EC-F")</f>
        <v>as:GENC:6:3-11:EC-F</v>
      </c>
    </row>
    <row r="1083" spans="1:7" x14ac:dyDescent="0.25">
      <c r="A1083" s="112"/>
      <c r="B1083" s="21" t="s">
        <v>3830</v>
      </c>
      <c r="C1083" s="21" t="s">
        <v>3831</v>
      </c>
      <c r="D1083" s="21" t="s">
        <v>1668</v>
      </c>
      <c r="E1083" s="50" t="b">
        <v>1</v>
      </c>
      <c r="F1083" s="72" t="str">
        <f>HYPERLINK("http://nsgreg.nga.mil/genc/view?v=292342&amp;end_month=6&amp;end_day=30&amp;end_year=2019","Carchi")</f>
        <v>Carchi</v>
      </c>
      <c r="G1083" s="72" t="str">
        <f>HYPERLINK("http://api.nsgreg.nga.mil/geo-division/GENC/6/3-11/EC-C","as:GENC:6:3-11:EC-C")</f>
        <v>as:GENC:6:3-11:EC-C</v>
      </c>
    </row>
    <row r="1084" spans="1:7" x14ac:dyDescent="0.25">
      <c r="A1084" s="112"/>
      <c r="B1084" s="21" t="s">
        <v>3832</v>
      </c>
      <c r="C1084" s="21" t="s">
        <v>3833</v>
      </c>
      <c r="D1084" s="21" t="s">
        <v>1668</v>
      </c>
      <c r="E1084" s="50" t="b">
        <v>1</v>
      </c>
      <c r="F1084" s="72" t="str">
        <f>HYPERLINK("http://nsgreg.nga.mil/genc/view?v=292347&amp;end_month=6&amp;end_day=30&amp;end_year=2019","Chimborazo")</f>
        <v>Chimborazo</v>
      </c>
      <c r="G1084" s="72" t="str">
        <f>HYPERLINK("http://api.nsgreg.nga.mil/geo-division/GENC/6/3-11/EC-H","as:GENC:6:3-11:EC-H")</f>
        <v>as:GENC:6:3-11:EC-H</v>
      </c>
    </row>
    <row r="1085" spans="1:7" x14ac:dyDescent="0.25">
      <c r="A1085" s="112"/>
      <c r="B1085" s="21" t="s">
        <v>3834</v>
      </c>
      <c r="C1085" s="21" t="s">
        <v>3835</v>
      </c>
      <c r="D1085" s="21" t="s">
        <v>1668</v>
      </c>
      <c r="E1085" s="50" t="b">
        <v>1</v>
      </c>
      <c r="F1085" s="72" t="str">
        <f>HYPERLINK("http://nsgreg.nga.mil/genc/view?v=292361&amp;end_month=6&amp;end_day=30&amp;end_year=2019","Cotopaxi")</f>
        <v>Cotopaxi</v>
      </c>
      <c r="G1085" s="72" t="str">
        <f>HYPERLINK("http://api.nsgreg.nga.mil/geo-division/GENC/6/3-11/EC-X","as:GENC:6:3-11:EC-X")</f>
        <v>as:GENC:6:3-11:EC-X</v>
      </c>
    </row>
    <row r="1086" spans="1:7" x14ac:dyDescent="0.25">
      <c r="A1086" s="112"/>
      <c r="B1086" s="21" t="s">
        <v>3836</v>
      </c>
      <c r="C1086" s="21" t="s">
        <v>3837</v>
      </c>
      <c r="D1086" s="21" t="s">
        <v>1668</v>
      </c>
      <c r="E1086" s="50" t="b">
        <v>1</v>
      </c>
      <c r="F1086" s="72" t="str">
        <f>HYPERLINK("http://nsgreg.nga.mil/genc/view?v=292352&amp;end_month=6&amp;end_day=30&amp;end_year=2019","El Oro")</f>
        <v>El Oro</v>
      </c>
      <c r="G1086" s="72" t="str">
        <f>HYPERLINK("http://api.nsgreg.nga.mil/geo-division/GENC/6/3-11/EC-O","as:GENC:6:3-11:EC-O")</f>
        <v>as:GENC:6:3-11:EC-O</v>
      </c>
    </row>
    <row r="1087" spans="1:7" x14ac:dyDescent="0.25">
      <c r="A1087" s="112"/>
      <c r="B1087" s="21" t="s">
        <v>3838</v>
      </c>
      <c r="C1087" s="21" t="s">
        <v>3839</v>
      </c>
      <c r="D1087" s="21" t="s">
        <v>1668</v>
      </c>
      <c r="E1087" s="50" t="b">
        <v>1</v>
      </c>
      <c r="F1087" s="72" t="str">
        <f>HYPERLINK("http://nsgreg.nga.mil/genc/view?v=292344&amp;end_month=6&amp;end_day=30&amp;end_year=2019","Esmeraldas")</f>
        <v>Esmeraldas</v>
      </c>
      <c r="G1087" s="72" t="str">
        <f>HYPERLINK("http://api.nsgreg.nga.mil/geo-division/GENC/6/3-11/EC-E","as:GENC:6:3-11:EC-E")</f>
        <v>as:GENC:6:3-11:EC-E</v>
      </c>
    </row>
    <row r="1088" spans="1:7" x14ac:dyDescent="0.25">
      <c r="A1088" s="112"/>
      <c r="B1088" s="21" t="s">
        <v>3840</v>
      </c>
      <c r="C1088" s="21" t="s">
        <v>3841</v>
      </c>
      <c r="D1088" s="21" t="s">
        <v>1668</v>
      </c>
      <c r="E1088" s="50" t="b">
        <v>1</v>
      </c>
      <c r="F1088" s="72" t="str">
        <f>HYPERLINK("http://nsgreg.nga.mil/genc/view?v=292360&amp;end_month=6&amp;end_day=30&amp;end_year=2019","Galápagos")</f>
        <v>Galápagos</v>
      </c>
      <c r="G1088" s="72" t="str">
        <f>HYPERLINK("http://api.nsgreg.nga.mil/geo-division/GENC/6/3-11/EC-W","as:GENC:6:3-11:EC-W")</f>
        <v>as:GENC:6:3-11:EC-W</v>
      </c>
    </row>
    <row r="1089" spans="1:7" x14ac:dyDescent="0.25">
      <c r="A1089" s="112"/>
      <c r="B1089" s="21" t="s">
        <v>3842</v>
      </c>
      <c r="C1089" s="21" t="s">
        <v>3843</v>
      </c>
      <c r="D1089" s="21" t="s">
        <v>1668</v>
      </c>
      <c r="E1089" s="50" t="b">
        <v>1</v>
      </c>
      <c r="F1089" s="72" t="str">
        <f>HYPERLINK("http://nsgreg.nga.mil/genc/view?v=292346&amp;end_month=6&amp;end_day=30&amp;end_year=2019","Guayas")</f>
        <v>Guayas</v>
      </c>
      <c r="G1089" s="72" t="str">
        <f>HYPERLINK("http://api.nsgreg.nga.mil/geo-division/GENC/6/3-11/EC-G","as:GENC:6:3-11:EC-G")</f>
        <v>as:GENC:6:3-11:EC-G</v>
      </c>
    </row>
    <row r="1090" spans="1:7" x14ac:dyDescent="0.25">
      <c r="A1090" s="112"/>
      <c r="B1090" s="21" t="s">
        <v>3844</v>
      </c>
      <c r="C1090" s="21" t="s">
        <v>3845</v>
      </c>
      <c r="D1090" s="21" t="s">
        <v>1668</v>
      </c>
      <c r="E1090" s="50" t="b">
        <v>1</v>
      </c>
      <c r="F1090" s="72" t="str">
        <f>HYPERLINK("http://nsgreg.nga.mil/genc/view?v=292348&amp;end_month=6&amp;end_day=30&amp;end_year=2019","Imbabura")</f>
        <v>Imbabura</v>
      </c>
      <c r="G1090" s="72" t="str">
        <f>HYPERLINK("http://api.nsgreg.nga.mil/geo-division/GENC/6/3-11/EC-I","as:GENC:6:3-11:EC-I")</f>
        <v>as:GENC:6:3-11:EC-I</v>
      </c>
    </row>
    <row r="1091" spans="1:7" x14ac:dyDescent="0.25">
      <c r="A1091" s="112"/>
      <c r="B1091" s="21" t="s">
        <v>3846</v>
      </c>
      <c r="C1091" s="21" t="s">
        <v>3847</v>
      </c>
      <c r="D1091" s="21" t="s">
        <v>1668</v>
      </c>
      <c r="E1091" s="50" t="b">
        <v>1</v>
      </c>
      <c r="F1091" s="72" t="str">
        <f>HYPERLINK("http://nsgreg.nga.mil/genc/view?v=292349&amp;end_month=6&amp;end_day=30&amp;end_year=2019","Loja")</f>
        <v>Loja</v>
      </c>
      <c r="G1091" s="72" t="str">
        <f>HYPERLINK("http://api.nsgreg.nga.mil/geo-division/GENC/6/3-11/EC-L","as:GENC:6:3-11:EC-L")</f>
        <v>as:GENC:6:3-11:EC-L</v>
      </c>
    </row>
    <row r="1092" spans="1:7" x14ac:dyDescent="0.25">
      <c r="A1092" s="112"/>
      <c r="B1092" s="21" t="s">
        <v>3848</v>
      </c>
      <c r="C1092" s="21" t="s">
        <v>3172</v>
      </c>
      <c r="D1092" s="21" t="s">
        <v>1668</v>
      </c>
      <c r="E1092" s="50" t="b">
        <v>1</v>
      </c>
      <c r="F1092" s="72" t="str">
        <f>HYPERLINK("http://nsgreg.nga.mil/genc/view?v=292354&amp;end_month=6&amp;end_day=30&amp;end_year=2019","Los Ríos")</f>
        <v>Los Ríos</v>
      </c>
      <c r="G1092" s="72" t="str">
        <f>HYPERLINK("http://api.nsgreg.nga.mil/geo-division/GENC/6/3-11/EC-R","as:GENC:6:3-11:EC-R")</f>
        <v>as:GENC:6:3-11:EC-R</v>
      </c>
    </row>
    <row r="1093" spans="1:7" x14ac:dyDescent="0.25">
      <c r="A1093" s="112"/>
      <c r="B1093" s="21" t="s">
        <v>3849</v>
      </c>
      <c r="C1093" s="21" t="s">
        <v>3850</v>
      </c>
      <c r="D1093" s="21" t="s">
        <v>1668</v>
      </c>
      <c r="E1093" s="50" t="b">
        <v>1</v>
      </c>
      <c r="F1093" s="72" t="str">
        <f>HYPERLINK("http://nsgreg.nga.mil/genc/view?v=292350&amp;end_month=6&amp;end_day=30&amp;end_year=2019","Manabí")</f>
        <v>Manabí</v>
      </c>
      <c r="G1093" s="72" t="str">
        <f>HYPERLINK("http://api.nsgreg.nga.mil/geo-division/GENC/6/3-11/EC-M","as:GENC:6:3-11:EC-M")</f>
        <v>as:GENC:6:3-11:EC-M</v>
      </c>
    </row>
    <row r="1094" spans="1:7" x14ac:dyDescent="0.25">
      <c r="A1094" s="112"/>
      <c r="B1094" s="21" t="s">
        <v>3851</v>
      </c>
      <c r="C1094" s="21" t="s">
        <v>3852</v>
      </c>
      <c r="D1094" s="21" t="s">
        <v>1668</v>
      </c>
      <c r="E1094" s="50" t="b">
        <v>1</v>
      </c>
      <c r="F1094" s="72" t="str">
        <f>HYPERLINK("http://nsgreg.nga.mil/genc/view?v=292355&amp;end_month=6&amp;end_day=30&amp;end_year=2019","Morona-Santiago")</f>
        <v>Morona-Santiago</v>
      </c>
      <c r="G1094" s="72" t="str">
        <f>HYPERLINK("http://api.nsgreg.nga.mil/geo-division/GENC/6/3-11/EC-S","as:GENC:6:3-11:EC-S")</f>
        <v>as:GENC:6:3-11:EC-S</v>
      </c>
    </row>
    <row r="1095" spans="1:7" x14ac:dyDescent="0.25">
      <c r="A1095" s="112"/>
      <c r="B1095" s="21" t="s">
        <v>3853</v>
      </c>
      <c r="C1095" s="21" t="s">
        <v>3854</v>
      </c>
      <c r="D1095" s="21" t="s">
        <v>1668</v>
      </c>
      <c r="E1095" s="50" t="b">
        <v>1</v>
      </c>
      <c r="F1095" s="72" t="str">
        <f>HYPERLINK("http://nsgreg.nga.mil/genc/view?v=292351&amp;end_month=6&amp;end_day=30&amp;end_year=2019","Napo")</f>
        <v>Napo</v>
      </c>
      <c r="G1095" s="72" t="str">
        <f>HYPERLINK("http://api.nsgreg.nga.mil/geo-division/GENC/6/3-11/EC-N","as:GENC:6:3-11:EC-N")</f>
        <v>as:GENC:6:3-11:EC-N</v>
      </c>
    </row>
    <row r="1096" spans="1:7" x14ac:dyDescent="0.25">
      <c r="A1096" s="112"/>
      <c r="B1096" s="21" t="s">
        <v>3855</v>
      </c>
      <c r="C1096" s="21" t="s">
        <v>3856</v>
      </c>
      <c r="D1096" s="21" t="s">
        <v>1668</v>
      </c>
      <c r="E1096" s="50" t="b">
        <v>1</v>
      </c>
      <c r="F1096" s="72" t="str">
        <f>HYPERLINK("http://nsgreg.nga.mil/genc/view?v=292343&amp;end_month=6&amp;end_day=30&amp;end_year=2019","Orellana")</f>
        <v>Orellana</v>
      </c>
      <c r="G1096" s="72" t="str">
        <f>HYPERLINK("http://api.nsgreg.nga.mil/geo-division/GENC/6/3-11/EC-D","as:GENC:6:3-11:EC-D")</f>
        <v>as:GENC:6:3-11:EC-D</v>
      </c>
    </row>
    <row r="1097" spans="1:7" x14ac:dyDescent="0.25">
      <c r="A1097" s="112"/>
      <c r="B1097" s="21" t="s">
        <v>3857</v>
      </c>
      <c r="C1097" s="21" t="s">
        <v>3858</v>
      </c>
      <c r="D1097" s="21" t="s">
        <v>1668</v>
      </c>
      <c r="E1097" s="50" t="b">
        <v>1</v>
      </c>
      <c r="F1097" s="72" t="str">
        <f>HYPERLINK("http://nsgreg.nga.mil/genc/view?v=292362&amp;end_month=6&amp;end_day=30&amp;end_year=2019","Pastaza")</f>
        <v>Pastaza</v>
      </c>
      <c r="G1097" s="72" t="str">
        <f>HYPERLINK("http://api.nsgreg.nga.mil/geo-division/GENC/6/3-11/EC-Y","as:GENC:6:3-11:EC-Y")</f>
        <v>as:GENC:6:3-11:EC-Y</v>
      </c>
    </row>
    <row r="1098" spans="1:7" x14ac:dyDescent="0.25">
      <c r="A1098" s="112"/>
      <c r="B1098" s="21" t="s">
        <v>3859</v>
      </c>
      <c r="C1098" s="21" t="s">
        <v>3860</v>
      </c>
      <c r="D1098" s="21" t="s">
        <v>1668</v>
      </c>
      <c r="E1098" s="50" t="b">
        <v>1</v>
      </c>
      <c r="F1098" s="72" t="str">
        <f>HYPERLINK("http://nsgreg.nga.mil/genc/view?v=292353&amp;end_month=6&amp;end_day=30&amp;end_year=2019","Pichincha")</f>
        <v>Pichincha</v>
      </c>
      <c r="G1098" s="72" t="str">
        <f>HYPERLINK("http://api.nsgreg.nga.mil/geo-division/GENC/6/3-11/EC-P","as:GENC:6:3-11:EC-P")</f>
        <v>as:GENC:6:3-11:EC-P</v>
      </c>
    </row>
    <row r="1099" spans="1:7" x14ac:dyDescent="0.25">
      <c r="A1099" s="112"/>
      <c r="B1099" s="21" t="s">
        <v>3861</v>
      </c>
      <c r="C1099" s="21" t="s">
        <v>3862</v>
      </c>
      <c r="D1099" s="21" t="s">
        <v>1668</v>
      </c>
      <c r="E1099" s="50" t="b">
        <v>1</v>
      </c>
      <c r="F1099" s="72" t="str">
        <f>HYPERLINK("http://nsgreg.nga.mil/genc/view?v=292357&amp;end_month=6&amp;end_day=30&amp;end_year=2019","Santa Elena")</f>
        <v>Santa Elena</v>
      </c>
      <c r="G1099" s="72" t="str">
        <f>HYPERLINK("http://api.nsgreg.nga.mil/geo-division/GENC/6/3-11/EC-SE","as:GENC:6:3-11:EC-SE")</f>
        <v>as:GENC:6:3-11:EC-SE</v>
      </c>
    </row>
    <row r="1100" spans="1:7" x14ac:dyDescent="0.25">
      <c r="A1100" s="112"/>
      <c r="B1100" s="21" t="s">
        <v>3863</v>
      </c>
      <c r="C1100" s="21" t="s">
        <v>3864</v>
      </c>
      <c r="D1100" s="21" t="s">
        <v>1668</v>
      </c>
      <c r="E1100" s="50" t="b">
        <v>1</v>
      </c>
      <c r="F1100" s="72" t="str">
        <f>HYPERLINK("http://nsgreg.nga.mil/genc/view?v=292356&amp;end_month=6&amp;end_day=30&amp;end_year=2019","Santo Domingo de los Tsáchilas")</f>
        <v>Santo Domingo de los Tsáchilas</v>
      </c>
      <c r="G1100" s="72" t="str">
        <f>HYPERLINK("http://api.nsgreg.nga.mil/geo-division/GENC/6/3-11/EC-SD","as:GENC:6:3-11:EC-SD")</f>
        <v>as:GENC:6:3-11:EC-SD</v>
      </c>
    </row>
    <row r="1101" spans="1:7" x14ac:dyDescent="0.25">
      <c r="A1101" s="112"/>
      <c r="B1101" s="21" t="s">
        <v>3865</v>
      </c>
      <c r="C1101" s="21" t="s">
        <v>3866</v>
      </c>
      <c r="D1101" s="21" t="s">
        <v>1668</v>
      </c>
      <c r="E1101" s="50" t="b">
        <v>1</v>
      </c>
      <c r="F1101" s="72" t="str">
        <f>HYPERLINK("http://nsgreg.nga.mil/genc/view?v=292359&amp;end_month=6&amp;end_day=30&amp;end_year=2019","Sucumbíos")</f>
        <v>Sucumbíos</v>
      </c>
      <c r="G1101" s="72" t="str">
        <f>HYPERLINK("http://api.nsgreg.nga.mil/geo-division/GENC/6/3-11/EC-U","as:GENC:6:3-11:EC-U")</f>
        <v>as:GENC:6:3-11:EC-U</v>
      </c>
    </row>
    <row r="1102" spans="1:7" x14ac:dyDescent="0.25">
      <c r="A1102" s="112"/>
      <c r="B1102" s="21" t="s">
        <v>3867</v>
      </c>
      <c r="C1102" s="21" t="s">
        <v>3868</v>
      </c>
      <c r="D1102" s="21" t="s">
        <v>1668</v>
      </c>
      <c r="E1102" s="50" t="b">
        <v>1</v>
      </c>
      <c r="F1102" s="72" t="str">
        <f>HYPERLINK("http://nsgreg.nga.mil/genc/view?v=292358&amp;end_month=6&amp;end_day=30&amp;end_year=2019","Tungurahua")</f>
        <v>Tungurahua</v>
      </c>
      <c r="G1102" s="72" t="str">
        <f>HYPERLINK("http://api.nsgreg.nga.mil/geo-division/GENC/6/3-11/EC-T","as:GENC:6:3-11:EC-T")</f>
        <v>as:GENC:6:3-11:EC-T</v>
      </c>
    </row>
    <row r="1103" spans="1:7" x14ac:dyDescent="0.25">
      <c r="A1103" s="113"/>
      <c r="B1103" s="47" t="s">
        <v>3869</v>
      </c>
      <c r="C1103" s="47" t="s">
        <v>3870</v>
      </c>
      <c r="D1103" s="47" t="s">
        <v>1668</v>
      </c>
      <c r="E1103" s="51" t="b">
        <v>1</v>
      </c>
      <c r="F1103" s="73" t="str">
        <f>HYPERLINK("http://nsgreg.nga.mil/genc/view?v=292363&amp;end_month=6&amp;end_day=30&amp;end_year=2019","Zamora-Chinchipe")</f>
        <v>Zamora-Chinchipe</v>
      </c>
      <c r="G1103" s="73" t="str">
        <f>HYPERLINK("http://api.nsgreg.nga.mil/geo-division/GENC/6/3-11/EC-Z","as:GENC:6:3-11:EC-Z")</f>
        <v>as:GENC:6:3-11:EC-Z</v>
      </c>
    </row>
    <row r="1104" spans="1:7" x14ac:dyDescent="0.25">
      <c r="A1104" s="111" t="str">
        <f>HYPERLINK("[#]Codes_for_GE_Names!A77:I77","EGYPT")</f>
        <v>EGYPT</v>
      </c>
      <c r="B1104" s="42" t="s">
        <v>3871</v>
      </c>
      <c r="C1104" s="42" t="s">
        <v>3872</v>
      </c>
      <c r="D1104" s="42" t="s">
        <v>2255</v>
      </c>
      <c r="E1104" s="49" t="b">
        <v>1</v>
      </c>
      <c r="F1104" s="74" t="str">
        <f>HYPERLINK("http://nsgreg.nga.mil/genc/view?v=292386&amp;end_month=6&amp;end_day=30&amp;end_year=2019","Ad Daqahlīyah")</f>
        <v>Ad Daqahlīyah</v>
      </c>
      <c r="G1104" s="74" t="str">
        <f>HYPERLINK("http://api.nsgreg.nga.mil/geo-division/GENC/6/3-11/EG-DK","as:GENC:6:3-11:EG-DK")</f>
        <v>as:GENC:6:3-11:EG-DK</v>
      </c>
    </row>
    <row r="1105" spans="1:7" x14ac:dyDescent="0.25">
      <c r="A1105" s="112"/>
      <c r="B1105" s="21" t="s">
        <v>3873</v>
      </c>
      <c r="C1105" s="21" t="s">
        <v>3874</v>
      </c>
      <c r="D1105" s="21" t="s">
        <v>2255</v>
      </c>
      <c r="E1105" s="50" t="b">
        <v>1</v>
      </c>
      <c r="F1105" s="72" t="str">
        <f>HYPERLINK("http://nsgreg.nga.mil/genc/view?v=292382&amp;end_month=6&amp;end_day=30&amp;end_year=2019","Al Baḩr al Aḩmar")</f>
        <v>Al Baḩr al Aḩmar</v>
      </c>
      <c r="G1105" s="72" t="str">
        <f>HYPERLINK("http://api.nsgreg.nga.mil/geo-division/GENC/6/3-11/EG-BA","as:GENC:6:3-11:EG-BA")</f>
        <v>as:GENC:6:3-11:EG-BA</v>
      </c>
    </row>
    <row r="1106" spans="1:7" x14ac:dyDescent="0.25">
      <c r="A1106" s="112"/>
      <c r="B1106" s="21" t="s">
        <v>3875</v>
      </c>
      <c r="C1106" s="21" t="s">
        <v>3876</v>
      </c>
      <c r="D1106" s="21" t="s">
        <v>2255</v>
      </c>
      <c r="E1106" s="50" t="b">
        <v>1</v>
      </c>
      <c r="F1106" s="72" t="str">
        <f>HYPERLINK("http://nsgreg.nga.mil/genc/view?v=292383&amp;end_month=6&amp;end_day=30&amp;end_year=2019","Al Buḩayrah")</f>
        <v>Al Buḩayrah</v>
      </c>
      <c r="G1106" s="72" t="str">
        <f>HYPERLINK("http://api.nsgreg.nga.mil/geo-division/GENC/6/3-11/EG-BH","as:GENC:6:3-11:EG-BH")</f>
        <v>as:GENC:6:3-11:EG-BH</v>
      </c>
    </row>
    <row r="1107" spans="1:7" x14ac:dyDescent="0.25">
      <c r="A1107" s="112"/>
      <c r="B1107" s="21" t="s">
        <v>3877</v>
      </c>
      <c r="C1107" s="21" t="s">
        <v>3878</v>
      </c>
      <c r="D1107" s="21" t="s">
        <v>2255</v>
      </c>
      <c r="E1107" s="50" t="b">
        <v>1</v>
      </c>
      <c r="F1107" s="72" t="str">
        <f>HYPERLINK("http://nsgreg.nga.mil/genc/view?v=292388&amp;end_month=6&amp;end_day=30&amp;end_year=2019","Al Fayyūm")</f>
        <v>Al Fayyūm</v>
      </c>
      <c r="G1107" s="72" t="str">
        <f>HYPERLINK("http://api.nsgreg.nga.mil/geo-division/GENC/6/3-11/EG-FYM","as:GENC:6:3-11:EG-FYM")</f>
        <v>as:GENC:6:3-11:EG-FYM</v>
      </c>
    </row>
    <row r="1108" spans="1:7" x14ac:dyDescent="0.25">
      <c r="A1108" s="112"/>
      <c r="B1108" s="21" t="s">
        <v>3879</v>
      </c>
      <c r="C1108" s="21" t="s">
        <v>3880</v>
      </c>
      <c r="D1108" s="21" t="s">
        <v>2255</v>
      </c>
      <c r="E1108" s="50" t="b">
        <v>1</v>
      </c>
      <c r="F1108" s="72" t="str">
        <f>HYPERLINK("http://nsgreg.nga.mil/genc/view?v=292389&amp;end_month=6&amp;end_day=30&amp;end_year=2019","Al Gharbīyah")</f>
        <v>Al Gharbīyah</v>
      </c>
      <c r="G1108" s="72" t="str">
        <f>HYPERLINK("http://api.nsgreg.nga.mil/geo-division/GENC/6/3-11/EG-GH","as:GENC:6:3-11:EG-GH")</f>
        <v>as:GENC:6:3-11:EG-GH</v>
      </c>
    </row>
    <row r="1109" spans="1:7" x14ac:dyDescent="0.25">
      <c r="A1109" s="112"/>
      <c r="B1109" s="21" t="s">
        <v>3881</v>
      </c>
      <c r="C1109" s="21" t="s">
        <v>3882</v>
      </c>
      <c r="D1109" s="21" t="s">
        <v>2255</v>
      </c>
      <c r="E1109" s="50" t="b">
        <v>1</v>
      </c>
      <c r="F1109" s="72" t="str">
        <f>HYPERLINK("http://nsgreg.nga.mil/genc/view?v=292379&amp;end_month=6&amp;end_day=30&amp;end_year=2019","Al Iskandarīyah")</f>
        <v>Al Iskandarīyah</v>
      </c>
      <c r="G1109" s="72" t="str">
        <f>HYPERLINK("http://api.nsgreg.nga.mil/geo-division/GENC/6/3-11/EG-ALX","as:GENC:6:3-11:EG-ALX")</f>
        <v>as:GENC:6:3-11:EG-ALX</v>
      </c>
    </row>
    <row r="1110" spans="1:7" x14ac:dyDescent="0.25">
      <c r="A1110" s="112"/>
      <c r="B1110" s="21" t="s">
        <v>3883</v>
      </c>
      <c r="C1110" s="21" t="s">
        <v>3884</v>
      </c>
      <c r="D1110" s="21" t="s">
        <v>2255</v>
      </c>
      <c r="E1110" s="50" t="b">
        <v>1</v>
      </c>
      <c r="F1110" s="72" t="str">
        <f>HYPERLINK("http://nsgreg.nga.mil/genc/view?v=292391&amp;end_month=6&amp;end_day=30&amp;end_year=2019","Al Ismā‘īlīyah")</f>
        <v>Al Ismā‘īlīyah</v>
      </c>
      <c r="G1110" s="72" t="str">
        <f>HYPERLINK("http://api.nsgreg.nga.mil/geo-division/GENC/6/3-11/EG-IS","as:GENC:6:3-11:EG-IS")</f>
        <v>as:GENC:6:3-11:EG-IS</v>
      </c>
    </row>
    <row r="1111" spans="1:7" x14ac:dyDescent="0.25">
      <c r="A1111" s="112"/>
      <c r="B1111" s="21" t="s">
        <v>3885</v>
      </c>
      <c r="C1111" s="21" t="s">
        <v>3886</v>
      </c>
      <c r="D1111" s="21" t="s">
        <v>2255</v>
      </c>
      <c r="E1111" s="50" t="b">
        <v>1</v>
      </c>
      <c r="F1111" s="72" t="str">
        <f>HYPERLINK("http://nsgreg.nga.mil/genc/view?v=292390&amp;end_month=6&amp;end_day=30&amp;end_year=2019","Al Jīzah")</f>
        <v>Al Jīzah</v>
      </c>
      <c r="G1111" s="72" t="str">
        <f>HYPERLINK("http://api.nsgreg.nga.mil/geo-division/GENC/6/3-11/EG-GZ","as:GENC:6:3-11:EG-GZ")</f>
        <v>as:GENC:6:3-11:EG-GZ</v>
      </c>
    </row>
    <row r="1112" spans="1:7" x14ac:dyDescent="0.25">
      <c r="A1112" s="112"/>
      <c r="B1112" s="21" t="s">
        <v>3887</v>
      </c>
      <c r="C1112" s="21" t="s">
        <v>3888</v>
      </c>
      <c r="D1112" s="21" t="s">
        <v>2255</v>
      </c>
      <c r="E1112" s="50" t="b">
        <v>1</v>
      </c>
      <c r="F1112" s="72" t="str">
        <f>HYPERLINK("http://nsgreg.nga.mil/genc/view?v=292398&amp;end_month=6&amp;end_day=30&amp;end_year=2019","Al Minūfīyah")</f>
        <v>Al Minūfīyah</v>
      </c>
      <c r="G1112" s="72" t="str">
        <f>HYPERLINK("http://api.nsgreg.nga.mil/geo-division/GENC/6/3-11/EG-MNF","as:GENC:6:3-11:EG-MNF")</f>
        <v>as:GENC:6:3-11:EG-MNF</v>
      </c>
    </row>
    <row r="1113" spans="1:7" x14ac:dyDescent="0.25">
      <c r="A1113" s="112"/>
      <c r="B1113" s="21" t="s">
        <v>3889</v>
      </c>
      <c r="C1113" s="21" t="s">
        <v>3890</v>
      </c>
      <c r="D1113" s="21" t="s">
        <v>2255</v>
      </c>
      <c r="E1113" s="50" t="b">
        <v>1</v>
      </c>
      <c r="F1113" s="72" t="str">
        <f>HYPERLINK("http://nsgreg.nga.mil/genc/view?v=292397&amp;end_month=6&amp;end_day=30&amp;end_year=2019","Al Minyā")</f>
        <v>Al Minyā</v>
      </c>
      <c r="G1113" s="72" t="str">
        <f>HYPERLINK("http://api.nsgreg.nga.mil/geo-division/GENC/6/3-11/EG-MN","as:GENC:6:3-11:EG-MN")</f>
        <v>as:GENC:6:3-11:EG-MN</v>
      </c>
    </row>
    <row r="1114" spans="1:7" x14ac:dyDescent="0.25">
      <c r="A1114" s="112"/>
      <c r="B1114" s="21" t="s">
        <v>3891</v>
      </c>
      <c r="C1114" s="21" t="s">
        <v>3892</v>
      </c>
      <c r="D1114" s="21" t="s">
        <v>2255</v>
      </c>
      <c r="E1114" s="50" t="b">
        <v>1</v>
      </c>
      <c r="F1114" s="72" t="str">
        <f>HYPERLINK("http://nsgreg.nga.mil/genc/view?v=292385&amp;end_month=6&amp;end_day=30&amp;end_year=2019","Al Qāhirah")</f>
        <v>Al Qāhirah</v>
      </c>
      <c r="G1114" s="72" t="str">
        <f>HYPERLINK("http://api.nsgreg.nga.mil/geo-division/GENC/6/3-11/EG-C","as:GENC:6:3-11:EG-C")</f>
        <v>as:GENC:6:3-11:EG-C</v>
      </c>
    </row>
    <row r="1115" spans="1:7" x14ac:dyDescent="0.25">
      <c r="A1115" s="112"/>
      <c r="B1115" s="21" t="s">
        <v>3893</v>
      </c>
      <c r="C1115" s="21" t="s">
        <v>3894</v>
      </c>
      <c r="D1115" s="21" t="s">
        <v>2255</v>
      </c>
      <c r="E1115" s="50" t="b">
        <v>1</v>
      </c>
      <c r="F1115" s="72" t="str">
        <f>HYPERLINK("http://nsgreg.nga.mil/genc/view?v=292393&amp;end_month=6&amp;end_day=30&amp;end_year=2019","Al Qalyūbīyah")</f>
        <v>Al Qalyūbīyah</v>
      </c>
      <c r="G1115" s="72" t="str">
        <f>HYPERLINK("http://api.nsgreg.nga.mil/geo-division/GENC/6/3-11/EG-KB","as:GENC:6:3-11:EG-KB")</f>
        <v>as:GENC:6:3-11:EG-KB</v>
      </c>
    </row>
    <row r="1116" spans="1:7" x14ac:dyDescent="0.25">
      <c r="A1116" s="112"/>
      <c r="B1116" s="21" t="s">
        <v>3895</v>
      </c>
      <c r="C1116" s="21" t="s">
        <v>3896</v>
      </c>
      <c r="D1116" s="21" t="s">
        <v>2255</v>
      </c>
      <c r="E1116" s="50" t="b">
        <v>1</v>
      </c>
      <c r="F1116" s="72" t="str">
        <f>HYPERLINK("http://nsgreg.nga.mil/genc/view?v=292396&amp;end_month=6&amp;end_day=30&amp;end_year=2019","Al Uqşur")</f>
        <v>Al Uqşur</v>
      </c>
      <c r="G1116" s="72" t="str">
        <f>HYPERLINK("http://api.nsgreg.nga.mil/geo-division/GENC/6/3-11/EG-LX","as:GENC:6:3-11:EG-LX")</f>
        <v>as:GENC:6:3-11:EG-LX</v>
      </c>
    </row>
    <row r="1117" spans="1:7" x14ac:dyDescent="0.25">
      <c r="A1117" s="112"/>
      <c r="B1117" s="21" t="s">
        <v>3897</v>
      </c>
      <c r="C1117" s="21" t="s">
        <v>3898</v>
      </c>
      <c r="D1117" s="21" t="s">
        <v>2255</v>
      </c>
      <c r="E1117" s="50" t="b">
        <v>1</v>
      </c>
      <c r="F1117" s="72" t="str">
        <f>HYPERLINK("http://nsgreg.nga.mil/genc/view?v=292405&amp;end_month=6&amp;end_day=30&amp;end_year=2019","Al Wādī al Jadīd")</f>
        <v>Al Wādī al Jadīd</v>
      </c>
      <c r="G1117" s="72" t="str">
        <f>HYPERLINK("http://api.nsgreg.nga.mil/geo-division/GENC/6/3-11/EG-WAD","as:GENC:6:3-11:EG-WAD")</f>
        <v>as:GENC:6:3-11:EG-WAD</v>
      </c>
    </row>
    <row r="1118" spans="1:7" x14ac:dyDescent="0.25">
      <c r="A1118" s="112"/>
      <c r="B1118" s="21" t="s">
        <v>3899</v>
      </c>
      <c r="C1118" s="21" t="s">
        <v>3900</v>
      </c>
      <c r="D1118" s="21" t="s">
        <v>2255</v>
      </c>
      <c r="E1118" s="50" t="b">
        <v>1</v>
      </c>
      <c r="F1118" s="72" t="str">
        <f>HYPERLINK("http://nsgreg.nga.mil/genc/view?v=292402&amp;end_month=6&amp;end_day=30&amp;end_year=2019","Ash Sharqīyah")</f>
        <v>Ash Sharqīyah</v>
      </c>
      <c r="G1118" s="72" t="str">
        <f>HYPERLINK("http://api.nsgreg.nga.mil/geo-division/GENC/6/3-11/EG-SHR","as:GENC:6:3-11:EG-SHR")</f>
        <v>as:GENC:6:3-11:EG-SHR</v>
      </c>
    </row>
    <row r="1119" spans="1:7" x14ac:dyDescent="0.25">
      <c r="A1119" s="112"/>
      <c r="B1119" s="21" t="s">
        <v>3901</v>
      </c>
      <c r="C1119" s="21" t="s">
        <v>3902</v>
      </c>
      <c r="D1119" s="21" t="s">
        <v>2255</v>
      </c>
      <c r="E1119" s="50" t="b">
        <v>1</v>
      </c>
      <c r="F1119" s="72" t="str">
        <f>HYPERLINK("http://nsgreg.nga.mil/genc/view?v=292404&amp;end_month=6&amp;end_day=30&amp;end_year=2019","As Suways")</f>
        <v>As Suways</v>
      </c>
      <c r="G1119" s="72" t="str">
        <f>HYPERLINK("http://api.nsgreg.nga.mil/geo-division/GENC/6/3-11/EG-SUZ","as:GENC:6:3-11:EG-SUZ")</f>
        <v>as:GENC:6:3-11:EG-SUZ</v>
      </c>
    </row>
    <row r="1120" spans="1:7" x14ac:dyDescent="0.25">
      <c r="A1120" s="112"/>
      <c r="B1120" s="21" t="s">
        <v>3903</v>
      </c>
      <c r="C1120" s="21" t="s">
        <v>3904</v>
      </c>
      <c r="D1120" s="21" t="s">
        <v>2255</v>
      </c>
      <c r="E1120" s="50" t="b">
        <v>1</v>
      </c>
      <c r="F1120" s="72" t="str">
        <f>HYPERLINK("http://nsgreg.nga.mil/genc/view?v=292380&amp;end_month=6&amp;end_day=30&amp;end_year=2019","Aswān")</f>
        <v>Aswān</v>
      </c>
      <c r="G1120" s="72" t="str">
        <f>HYPERLINK("http://api.nsgreg.nga.mil/geo-division/GENC/6/3-11/EG-ASN","as:GENC:6:3-11:EG-ASN")</f>
        <v>as:GENC:6:3-11:EG-ASN</v>
      </c>
    </row>
    <row r="1121" spans="1:7" x14ac:dyDescent="0.25">
      <c r="A1121" s="112"/>
      <c r="B1121" s="21" t="s">
        <v>3905</v>
      </c>
      <c r="C1121" s="21" t="s">
        <v>3906</v>
      </c>
      <c r="D1121" s="21" t="s">
        <v>2255</v>
      </c>
      <c r="E1121" s="50" t="b">
        <v>1</v>
      </c>
      <c r="F1121" s="72" t="str">
        <f>HYPERLINK("http://nsgreg.nga.mil/genc/view?v=292381&amp;end_month=6&amp;end_day=30&amp;end_year=2019","Asyūţ")</f>
        <v>Asyūţ</v>
      </c>
      <c r="G1121" s="72" t="str">
        <f>HYPERLINK("http://api.nsgreg.nga.mil/geo-division/GENC/6/3-11/EG-AST","as:GENC:6:3-11:EG-AST")</f>
        <v>as:GENC:6:3-11:EG-AST</v>
      </c>
    </row>
    <row r="1122" spans="1:7" x14ac:dyDescent="0.25">
      <c r="A1122" s="112"/>
      <c r="B1122" s="21" t="s">
        <v>3907</v>
      </c>
      <c r="C1122" s="21" t="s">
        <v>3908</v>
      </c>
      <c r="D1122" s="21" t="s">
        <v>2255</v>
      </c>
      <c r="E1122" s="50" t="b">
        <v>1</v>
      </c>
      <c r="F1122" s="72" t="str">
        <f>HYPERLINK("http://nsgreg.nga.mil/genc/view?v=292384&amp;end_month=6&amp;end_day=30&amp;end_year=2019","Banī Suwayf")</f>
        <v>Banī Suwayf</v>
      </c>
      <c r="G1122" s="72" t="str">
        <f>HYPERLINK("http://api.nsgreg.nga.mil/geo-division/GENC/6/3-11/EG-BNS","as:GENC:6:3-11:EG-BNS")</f>
        <v>as:GENC:6:3-11:EG-BNS</v>
      </c>
    </row>
    <row r="1123" spans="1:7" x14ac:dyDescent="0.25">
      <c r="A1123" s="112"/>
      <c r="B1123" s="21" t="s">
        <v>3909</v>
      </c>
      <c r="C1123" s="21" t="s">
        <v>3910</v>
      </c>
      <c r="D1123" s="21" t="s">
        <v>2255</v>
      </c>
      <c r="E1123" s="50" t="b">
        <v>1</v>
      </c>
      <c r="F1123" s="72" t="str">
        <f>HYPERLINK("http://nsgreg.nga.mil/genc/view?v=292400&amp;end_month=6&amp;end_day=30&amp;end_year=2019","Būr Sa‘īd")</f>
        <v>Būr Sa‘īd</v>
      </c>
      <c r="G1123" s="72" t="str">
        <f>HYPERLINK("http://api.nsgreg.nga.mil/geo-division/GENC/6/3-11/EG-PTS","as:GENC:6:3-11:EG-PTS")</f>
        <v>as:GENC:6:3-11:EG-PTS</v>
      </c>
    </row>
    <row r="1124" spans="1:7" x14ac:dyDescent="0.25">
      <c r="A1124" s="112"/>
      <c r="B1124" s="21" t="s">
        <v>3911</v>
      </c>
      <c r="C1124" s="21" t="s">
        <v>3912</v>
      </c>
      <c r="D1124" s="21" t="s">
        <v>2255</v>
      </c>
      <c r="E1124" s="50" t="b">
        <v>1</v>
      </c>
      <c r="F1124" s="72" t="str">
        <f>HYPERLINK("http://nsgreg.nga.mil/genc/view?v=292387&amp;end_month=6&amp;end_day=30&amp;end_year=2019","Dumyāţ")</f>
        <v>Dumyāţ</v>
      </c>
      <c r="G1124" s="72" t="str">
        <f>HYPERLINK("http://api.nsgreg.nga.mil/geo-division/GENC/6/3-11/EG-DT","as:GENC:6:3-11:EG-DT")</f>
        <v>as:GENC:6:3-11:EG-DT</v>
      </c>
    </row>
    <row r="1125" spans="1:7" x14ac:dyDescent="0.25">
      <c r="A1125" s="112"/>
      <c r="B1125" s="21" t="s">
        <v>3913</v>
      </c>
      <c r="C1125" s="21" t="s">
        <v>3914</v>
      </c>
      <c r="D1125" s="21" t="s">
        <v>2255</v>
      </c>
      <c r="E1125" s="50" t="b">
        <v>1</v>
      </c>
      <c r="F1125" s="72" t="str">
        <f>HYPERLINK("http://nsgreg.nga.mil/genc/view?v=292392&amp;end_month=6&amp;end_day=30&amp;end_year=2019","Janūb Sīnā’")</f>
        <v>Janūb Sīnā’</v>
      </c>
      <c r="G1125" s="72" t="str">
        <f>HYPERLINK("http://api.nsgreg.nga.mil/geo-division/GENC/6/3-11/EG-JS","as:GENC:6:3-11:EG-JS")</f>
        <v>as:GENC:6:3-11:EG-JS</v>
      </c>
    </row>
    <row r="1126" spans="1:7" x14ac:dyDescent="0.25">
      <c r="A1126" s="112"/>
      <c r="B1126" s="21" t="s">
        <v>3915</v>
      </c>
      <c r="C1126" s="21" t="s">
        <v>3916</v>
      </c>
      <c r="D1126" s="21" t="s">
        <v>2255</v>
      </c>
      <c r="E1126" s="50" t="b">
        <v>1</v>
      </c>
      <c r="F1126" s="72" t="str">
        <f>HYPERLINK("http://nsgreg.nga.mil/genc/view?v=292394&amp;end_month=6&amp;end_day=30&amp;end_year=2019","Kafr ash Shaykh")</f>
        <v>Kafr ash Shaykh</v>
      </c>
      <c r="G1126" s="72" t="str">
        <f>HYPERLINK("http://api.nsgreg.nga.mil/geo-division/GENC/6/3-11/EG-KFS","as:GENC:6:3-11:EG-KFS")</f>
        <v>as:GENC:6:3-11:EG-KFS</v>
      </c>
    </row>
    <row r="1127" spans="1:7" x14ac:dyDescent="0.25">
      <c r="A1127" s="112"/>
      <c r="B1127" s="21" t="s">
        <v>3917</v>
      </c>
      <c r="C1127" s="21" t="s">
        <v>3918</v>
      </c>
      <c r="D1127" s="21" t="s">
        <v>2255</v>
      </c>
      <c r="E1127" s="50" t="b">
        <v>1</v>
      </c>
      <c r="F1127" s="72" t="str">
        <f>HYPERLINK("http://nsgreg.nga.mil/genc/view?v=292399&amp;end_month=6&amp;end_day=30&amp;end_year=2019","Maţrūḩ")</f>
        <v>Maţrūḩ</v>
      </c>
      <c r="G1127" s="72" t="str">
        <f>HYPERLINK("http://api.nsgreg.nga.mil/geo-division/GENC/6/3-11/EG-MT","as:GENC:6:3-11:EG-MT")</f>
        <v>as:GENC:6:3-11:EG-MT</v>
      </c>
    </row>
    <row r="1128" spans="1:7" x14ac:dyDescent="0.25">
      <c r="A1128" s="112"/>
      <c r="B1128" s="21" t="s">
        <v>3919</v>
      </c>
      <c r="C1128" s="21" t="s">
        <v>3920</v>
      </c>
      <c r="D1128" s="21" t="s">
        <v>2255</v>
      </c>
      <c r="E1128" s="50" t="b">
        <v>1</v>
      </c>
      <c r="F1128" s="72" t="str">
        <f>HYPERLINK("http://nsgreg.nga.mil/genc/view?v=292395&amp;end_month=6&amp;end_day=30&amp;end_year=2019","Qinā")</f>
        <v>Qinā</v>
      </c>
      <c r="G1128" s="72" t="str">
        <f>HYPERLINK("http://api.nsgreg.nga.mil/geo-division/GENC/6/3-11/EG-KN","as:GENC:6:3-11:EG-KN")</f>
        <v>as:GENC:6:3-11:EG-KN</v>
      </c>
    </row>
    <row r="1129" spans="1:7" x14ac:dyDescent="0.25">
      <c r="A1129" s="112"/>
      <c r="B1129" s="21" t="s">
        <v>3921</v>
      </c>
      <c r="C1129" s="21" t="s">
        <v>3922</v>
      </c>
      <c r="D1129" s="21" t="s">
        <v>2255</v>
      </c>
      <c r="E1129" s="50" t="b">
        <v>1</v>
      </c>
      <c r="F1129" s="72" t="str">
        <f>HYPERLINK("http://nsgreg.nga.mil/genc/view?v=292403&amp;end_month=6&amp;end_day=30&amp;end_year=2019","Shamāl Sīnā’")</f>
        <v>Shamāl Sīnā’</v>
      </c>
      <c r="G1129" s="72" t="str">
        <f>HYPERLINK("http://api.nsgreg.nga.mil/geo-division/GENC/6/3-11/EG-SIN","as:GENC:6:3-11:EG-SIN")</f>
        <v>as:GENC:6:3-11:EG-SIN</v>
      </c>
    </row>
    <row r="1130" spans="1:7" x14ac:dyDescent="0.25">
      <c r="A1130" s="113"/>
      <c r="B1130" s="47" t="s">
        <v>3923</v>
      </c>
      <c r="C1130" s="47" t="s">
        <v>3924</v>
      </c>
      <c r="D1130" s="47" t="s">
        <v>2255</v>
      </c>
      <c r="E1130" s="51" t="b">
        <v>1</v>
      </c>
      <c r="F1130" s="73" t="str">
        <f>HYPERLINK("http://nsgreg.nga.mil/genc/view?v=292401&amp;end_month=6&amp;end_day=30&amp;end_year=2019","Sūhāj")</f>
        <v>Sūhāj</v>
      </c>
      <c r="G1130" s="73" t="str">
        <f>HYPERLINK("http://api.nsgreg.nga.mil/geo-division/GENC/6/3-11/EG-SHG","as:GENC:6:3-11:EG-SHG")</f>
        <v>as:GENC:6:3-11:EG-SHG</v>
      </c>
    </row>
    <row r="1131" spans="1:7" x14ac:dyDescent="0.25">
      <c r="A1131" s="111" t="str">
        <f>HYPERLINK("[#]Codes_for_GE_Names!A78:I78","EL SALVADOR")</f>
        <v>EL SALVADOR</v>
      </c>
      <c r="B1131" s="42" t="s">
        <v>3925</v>
      </c>
      <c r="C1131" s="42" t="s">
        <v>3926</v>
      </c>
      <c r="D1131" s="42" t="s">
        <v>2478</v>
      </c>
      <c r="E1131" s="49" t="b">
        <v>1</v>
      </c>
      <c r="F1131" s="74" t="str">
        <f>HYPERLINK("http://nsgreg.nga.mil/genc/view?v=295821&amp;end_month=6&amp;end_day=30&amp;end_year=2019","Ahuachapán")</f>
        <v>Ahuachapán</v>
      </c>
      <c r="G1131" s="74" t="str">
        <f>HYPERLINK("http://api.nsgreg.nga.mil/geo-division/GENC/6/3-11/SV-AH","as:GENC:6:3-11:SV-AH")</f>
        <v>as:GENC:6:3-11:SV-AH</v>
      </c>
    </row>
    <row r="1132" spans="1:7" x14ac:dyDescent="0.25">
      <c r="A1132" s="112"/>
      <c r="B1132" s="21" t="s">
        <v>3927</v>
      </c>
      <c r="C1132" s="21" t="s">
        <v>3928</v>
      </c>
      <c r="D1132" s="21" t="s">
        <v>2478</v>
      </c>
      <c r="E1132" s="50" t="b">
        <v>1</v>
      </c>
      <c r="F1132" s="72" t="str">
        <f>HYPERLINK("http://nsgreg.nga.mil/genc/view?v=295822&amp;end_month=6&amp;end_day=30&amp;end_year=2019","Cabañas")</f>
        <v>Cabañas</v>
      </c>
      <c r="G1132" s="72" t="str">
        <f>HYPERLINK("http://api.nsgreg.nga.mil/geo-division/GENC/6/3-11/SV-CA","as:GENC:6:3-11:SV-CA")</f>
        <v>as:GENC:6:3-11:SV-CA</v>
      </c>
    </row>
    <row r="1133" spans="1:7" x14ac:dyDescent="0.25">
      <c r="A1133" s="112"/>
      <c r="B1133" s="21" t="s">
        <v>3929</v>
      </c>
      <c r="C1133" s="21" t="s">
        <v>3930</v>
      </c>
      <c r="D1133" s="21" t="s">
        <v>2478</v>
      </c>
      <c r="E1133" s="50" t="b">
        <v>1</v>
      </c>
      <c r="F1133" s="72" t="str">
        <f>HYPERLINK("http://nsgreg.nga.mil/genc/view?v=295823&amp;end_month=6&amp;end_day=30&amp;end_year=2019","Chalatenango")</f>
        <v>Chalatenango</v>
      </c>
      <c r="G1133" s="72" t="str">
        <f>HYPERLINK("http://api.nsgreg.nga.mil/geo-division/GENC/6/3-11/SV-CH","as:GENC:6:3-11:SV-CH")</f>
        <v>as:GENC:6:3-11:SV-CH</v>
      </c>
    </row>
    <row r="1134" spans="1:7" x14ac:dyDescent="0.25">
      <c r="A1134" s="112"/>
      <c r="B1134" s="21" t="s">
        <v>3931</v>
      </c>
      <c r="C1134" s="21" t="s">
        <v>3932</v>
      </c>
      <c r="D1134" s="21" t="s">
        <v>2478</v>
      </c>
      <c r="E1134" s="50" t="b">
        <v>1</v>
      </c>
      <c r="F1134" s="72" t="str">
        <f>HYPERLINK("http://nsgreg.nga.mil/genc/view?v=295824&amp;end_month=6&amp;end_day=30&amp;end_year=2019","Cuscatlán")</f>
        <v>Cuscatlán</v>
      </c>
      <c r="G1134" s="72" t="str">
        <f>HYPERLINK("http://api.nsgreg.nga.mil/geo-division/GENC/6/3-11/SV-CU","as:GENC:6:3-11:SV-CU")</f>
        <v>as:GENC:6:3-11:SV-CU</v>
      </c>
    </row>
    <row r="1135" spans="1:7" x14ac:dyDescent="0.25">
      <c r="A1135" s="112"/>
      <c r="B1135" s="21" t="s">
        <v>3933</v>
      </c>
      <c r="C1135" s="21" t="s">
        <v>3934</v>
      </c>
      <c r="D1135" s="21" t="s">
        <v>2478</v>
      </c>
      <c r="E1135" s="50" t="b">
        <v>1</v>
      </c>
      <c r="F1135" s="72" t="str">
        <f>HYPERLINK("http://nsgreg.nga.mil/genc/view?v=295825&amp;end_month=6&amp;end_day=30&amp;end_year=2019","La Libertad")</f>
        <v>La Libertad</v>
      </c>
      <c r="G1135" s="72" t="str">
        <f>HYPERLINK("http://api.nsgreg.nga.mil/geo-division/GENC/6/3-11/SV-LI","as:GENC:6:3-11:SV-LI")</f>
        <v>as:GENC:6:3-11:SV-LI</v>
      </c>
    </row>
    <row r="1136" spans="1:7" x14ac:dyDescent="0.25">
      <c r="A1136" s="112"/>
      <c r="B1136" s="21" t="s">
        <v>3935</v>
      </c>
      <c r="C1136" s="21" t="s">
        <v>2569</v>
      </c>
      <c r="D1136" s="21" t="s">
        <v>2478</v>
      </c>
      <c r="E1136" s="50" t="b">
        <v>1</v>
      </c>
      <c r="F1136" s="72" t="str">
        <f>HYPERLINK("http://nsgreg.nga.mil/genc/view?v=295827&amp;end_month=6&amp;end_day=30&amp;end_year=2019","La Paz")</f>
        <v>La Paz</v>
      </c>
      <c r="G1136" s="72" t="str">
        <f>HYPERLINK("http://api.nsgreg.nga.mil/geo-division/GENC/6/3-11/SV-PA","as:GENC:6:3-11:SV-PA")</f>
        <v>as:GENC:6:3-11:SV-PA</v>
      </c>
    </row>
    <row r="1137" spans="1:7" x14ac:dyDescent="0.25">
      <c r="A1137" s="112"/>
      <c r="B1137" s="21" t="s">
        <v>3936</v>
      </c>
      <c r="C1137" s="21" t="s">
        <v>3937</v>
      </c>
      <c r="D1137" s="21" t="s">
        <v>2478</v>
      </c>
      <c r="E1137" s="50" t="b">
        <v>1</v>
      </c>
      <c r="F1137" s="72" t="str">
        <f>HYPERLINK("http://nsgreg.nga.mil/genc/view?v=295833&amp;end_month=6&amp;end_day=30&amp;end_year=2019","La Unión")</f>
        <v>La Unión</v>
      </c>
      <c r="G1137" s="72" t="str">
        <f>HYPERLINK("http://api.nsgreg.nga.mil/geo-division/GENC/6/3-11/SV-UN","as:GENC:6:3-11:SV-UN")</f>
        <v>as:GENC:6:3-11:SV-UN</v>
      </c>
    </row>
    <row r="1138" spans="1:7" x14ac:dyDescent="0.25">
      <c r="A1138" s="112"/>
      <c r="B1138" s="21" t="s">
        <v>3938</v>
      </c>
      <c r="C1138" s="21" t="s">
        <v>3939</v>
      </c>
      <c r="D1138" s="21" t="s">
        <v>2478</v>
      </c>
      <c r="E1138" s="50" t="b">
        <v>1</v>
      </c>
      <c r="F1138" s="72" t="str">
        <f>HYPERLINK("http://nsgreg.nga.mil/genc/view?v=295826&amp;end_month=6&amp;end_day=30&amp;end_year=2019","Morazán")</f>
        <v>Morazán</v>
      </c>
      <c r="G1138" s="72" t="str">
        <f>HYPERLINK("http://api.nsgreg.nga.mil/geo-division/GENC/6/3-11/SV-MO","as:GENC:6:3-11:SV-MO")</f>
        <v>as:GENC:6:3-11:SV-MO</v>
      </c>
    </row>
    <row r="1139" spans="1:7" x14ac:dyDescent="0.25">
      <c r="A1139" s="112"/>
      <c r="B1139" s="21" t="s">
        <v>3940</v>
      </c>
      <c r="C1139" s="21" t="s">
        <v>3941</v>
      </c>
      <c r="D1139" s="21" t="s">
        <v>2478</v>
      </c>
      <c r="E1139" s="50" t="b">
        <v>1</v>
      </c>
      <c r="F1139" s="72" t="str">
        <f>HYPERLINK("http://nsgreg.nga.mil/genc/view?v=295829&amp;end_month=6&amp;end_day=30&amp;end_year=2019","San Miguel")</f>
        <v>San Miguel</v>
      </c>
      <c r="G1139" s="72" t="str">
        <f>HYPERLINK("http://api.nsgreg.nga.mil/geo-division/GENC/6/3-11/SV-SM","as:GENC:6:3-11:SV-SM")</f>
        <v>as:GENC:6:3-11:SV-SM</v>
      </c>
    </row>
    <row r="1140" spans="1:7" x14ac:dyDescent="0.25">
      <c r="A1140" s="112"/>
      <c r="B1140" s="21" t="s">
        <v>3942</v>
      </c>
      <c r="C1140" s="21" t="s">
        <v>2242</v>
      </c>
      <c r="D1140" s="21" t="s">
        <v>2478</v>
      </c>
      <c r="E1140" s="50" t="b">
        <v>1</v>
      </c>
      <c r="F1140" s="72" t="str">
        <f>HYPERLINK("http://nsgreg.nga.mil/genc/view?v=295831&amp;end_month=6&amp;end_day=30&amp;end_year=2019","San Salvador")</f>
        <v>San Salvador</v>
      </c>
      <c r="G1140" s="72" t="str">
        <f>HYPERLINK("http://api.nsgreg.nga.mil/geo-division/GENC/6/3-11/SV-SS","as:GENC:6:3-11:SV-SS")</f>
        <v>as:GENC:6:3-11:SV-SS</v>
      </c>
    </row>
    <row r="1141" spans="1:7" x14ac:dyDescent="0.25">
      <c r="A1141" s="112"/>
      <c r="B1141" s="21" t="s">
        <v>3943</v>
      </c>
      <c r="C1141" s="21" t="s">
        <v>3944</v>
      </c>
      <c r="D1141" s="21" t="s">
        <v>2478</v>
      </c>
      <c r="E1141" s="50" t="b">
        <v>1</v>
      </c>
      <c r="F1141" s="72" t="str">
        <f>HYPERLINK("http://nsgreg.nga.mil/genc/view?v=295828&amp;end_month=6&amp;end_day=30&amp;end_year=2019","Santa Ana")</f>
        <v>Santa Ana</v>
      </c>
      <c r="G1141" s="72" t="str">
        <f>HYPERLINK("http://api.nsgreg.nga.mil/geo-division/GENC/6/3-11/SV-SA","as:GENC:6:3-11:SV-SA")</f>
        <v>as:GENC:6:3-11:SV-SA</v>
      </c>
    </row>
    <row r="1142" spans="1:7" x14ac:dyDescent="0.25">
      <c r="A1142" s="112"/>
      <c r="B1142" s="21" t="s">
        <v>3945</v>
      </c>
      <c r="C1142" s="21" t="s">
        <v>3946</v>
      </c>
      <c r="D1142" s="21" t="s">
        <v>2478</v>
      </c>
      <c r="E1142" s="50" t="b">
        <v>1</v>
      </c>
      <c r="F1142" s="72" t="str">
        <f>HYPERLINK("http://nsgreg.nga.mil/genc/view?v=295832&amp;end_month=6&amp;end_day=30&amp;end_year=2019","San Vicente")</f>
        <v>San Vicente</v>
      </c>
      <c r="G1142" s="72" t="str">
        <f>HYPERLINK("http://api.nsgreg.nga.mil/geo-division/GENC/6/3-11/SV-SV","as:GENC:6:3-11:SV-SV")</f>
        <v>as:GENC:6:3-11:SV-SV</v>
      </c>
    </row>
    <row r="1143" spans="1:7" x14ac:dyDescent="0.25">
      <c r="A1143" s="112"/>
      <c r="B1143" s="21" t="s">
        <v>3947</v>
      </c>
      <c r="C1143" s="21" t="s">
        <v>3948</v>
      </c>
      <c r="D1143" s="21" t="s">
        <v>2478</v>
      </c>
      <c r="E1143" s="50" t="b">
        <v>1</v>
      </c>
      <c r="F1143" s="72" t="str">
        <f>HYPERLINK("http://nsgreg.nga.mil/genc/view?v=295830&amp;end_month=6&amp;end_day=30&amp;end_year=2019","Sonsonate")</f>
        <v>Sonsonate</v>
      </c>
      <c r="G1143" s="72" t="str">
        <f>HYPERLINK("http://api.nsgreg.nga.mil/geo-division/GENC/6/3-11/SV-SO","as:GENC:6:3-11:SV-SO")</f>
        <v>as:GENC:6:3-11:SV-SO</v>
      </c>
    </row>
    <row r="1144" spans="1:7" x14ac:dyDescent="0.25">
      <c r="A1144" s="113"/>
      <c r="B1144" s="47" t="s">
        <v>3949</v>
      </c>
      <c r="C1144" s="47" t="s">
        <v>3950</v>
      </c>
      <c r="D1144" s="47" t="s">
        <v>2478</v>
      </c>
      <c r="E1144" s="51" t="b">
        <v>1</v>
      </c>
      <c r="F1144" s="73" t="str">
        <f>HYPERLINK("http://nsgreg.nga.mil/genc/view?v=295834&amp;end_month=6&amp;end_day=30&amp;end_year=2019","Usulután")</f>
        <v>Usulután</v>
      </c>
      <c r="G1144" s="73" t="str">
        <f>HYPERLINK("http://api.nsgreg.nga.mil/geo-division/GENC/6/3-11/SV-US","as:GENC:6:3-11:SV-US")</f>
        <v>as:GENC:6:3-11:SV-US</v>
      </c>
    </row>
    <row r="1145" spans="1:7" x14ac:dyDescent="0.25">
      <c r="A1145" s="111" t="str">
        <f>HYPERLINK("[#]Codes_for_GE_Names!A85:I85","EQUATORIAL GUINEA")</f>
        <v>EQUATORIAL GUINEA</v>
      </c>
      <c r="B1145" s="42" t="s">
        <v>3951</v>
      </c>
      <c r="C1145" s="42" t="s">
        <v>3952</v>
      </c>
      <c r="D1145" s="80" t="s">
        <v>1975</v>
      </c>
      <c r="E1145" s="81" t="b">
        <v>0</v>
      </c>
      <c r="F1145" s="74" t="str">
        <f>HYPERLINK("http://nsgreg.nga.mil/genc/view?v=293013&amp;end_month=6&amp;end_day=30&amp;end_year=2019","Región Continental")</f>
        <v>Región Continental</v>
      </c>
      <c r="G1145" s="74" t="str">
        <f>HYPERLINK("http://api.nsgreg.nga.mil/geo-division/GENC/6/3-11/GQ-C","as:GENC:6:3-11:GQ-C")</f>
        <v>as:GENC:6:3-11:GQ-C</v>
      </c>
    </row>
    <row r="1146" spans="1:7" x14ac:dyDescent="0.25">
      <c r="A1146" s="112"/>
      <c r="B1146" s="21" t="s">
        <v>3953</v>
      </c>
      <c r="C1146" s="21" t="s">
        <v>3954</v>
      </c>
      <c r="D1146" s="21" t="s">
        <v>1668</v>
      </c>
      <c r="E1146" s="50" t="b">
        <v>1</v>
      </c>
      <c r="F1146" s="72" t="str">
        <f>HYPERLINK("http://nsgreg.nga.mil/genc/view?v=293014&amp;end_month=6&amp;end_day=30&amp;end_year=2019","Centro Sur")</f>
        <v>Centro Sur</v>
      </c>
      <c r="G1146" s="72" t="str">
        <f>HYPERLINK("http://api.nsgreg.nga.mil/geo-division/GENC/6/3-11/GQ-CS","as:GENC:6:3-11:GQ-CS")</f>
        <v>as:GENC:6:3-11:GQ-CS</v>
      </c>
    </row>
    <row r="1147" spans="1:7" x14ac:dyDescent="0.25">
      <c r="A1147" s="112"/>
      <c r="B1147" s="21" t="s">
        <v>3955</v>
      </c>
      <c r="C1147" s="21" t="s">
        <v>3956</v>
      </c>
      <c r="D1147" s="21" t="s">
        <v>1668</v>
      </c>
      <c r="E1147" s="50" t="b">
        <v>1</v>
      </c>
      <c r="F1147" s="72" t="str">
        <f>HYPERLINK("http://nsgreg.nga.mil/genc/view?v=293016&amp;end_month=6&amp;end_day=30&amp;end_year=2019","Kié-Ntem")</f>
        <v>Kié-Ntem</v>
      </c>
      <c r="G1147" s="72" t="str">
        <f>HYPERLINK("http://api.nsgreg.nga.mil/geo-division/GENC/6/3-11/GQ-KN","as:GENC:6:3-11:GQ-KN")</f>
        <v>as:GENC:6:3-11:GQ-KN</v>
      </c>
    </row>
    <row r="1148" spans="1:7" x14ac:dyDescent="0.25">
      <c r="A1148" s="112"/>
      <c r="B1148" s="21" t="s">
        <v>3957</v>
      </c>
      <c r="C1148" s="21" t="s">
        <v>3958</v>
      </c>
      <c r="D1148" s="21" t="s">
        <v>1668</v>
      </c>
      <c r="E1148" s="50" t="b">
        <v>1</v>
      </c>
      <c r="F1148" s="72" t="str">
        <f>HYPERLINK("http://nsgreg.nga.mil/genc/view?v=293017&amp;end_month=6&amp;end_day=30&amp;end_year=2019","Litoral")</f>
        <v>Litoral</v>
      </c>
      <c r="G1148" s="72" t="str">
        <f>HYPERLINK("http://api.nsgreg.nga.mil/geo-division/GENC/6/3-11/GQ-LI","as:GENC:6:3-11:GQ-LI")</f>
        <v>as:GENC:6:3-11:GQ-LI</v>
      </c>
    </row>
    <row r="1149" spans="1:7" x14ac:dyDescent="0.25">
      <c r="A1149" s="112"/>
      <c r="B1149" s="21" t="s">
        <v>3959</v>
      </c>
      <c r="C1149" s="21" t="s">
        <v>3960</v>
      </c>
      <c r="D1149" s="21" t="s">
        <v>1668</v>
      </c>
      <c r="E1149" s="50" t="b">
        <v>1</v>
      </c>
      <c r="F1149" s="72" t="str">
        <f>HYPERLINK("http://nsgreg.nga.mil/genc/view?v=293018&amp;end_month=6&amp;end_day=30&amp;end_year=2019","Wele-Nzas")</f>
        <v>Wele-Nzas</v>
      </c>
      <c r="G1149" s="72" t="str">
        <f>HYPERLINK("http://api.nsgreg.nga.mil/geo-division/GENC/6/3-11/GQ-WN","as:GENC:6:3-11:GQ-WN")</f>
        <v>as:GENC:6:3-11:GQ-WN</v>
      </c>
    </row>
    <row r="1150" spans="1:7" x14ac:dyDescent="0.25">
      <c r="A1150" s="112"/>
      <c r="B1150" s="21" t="s">
        <v>3961</v>
      </c>
      <c r="C1150" s="21" t="s">
        <v>3962</v>
      </c>
      <c r="D1150" s="76" t="s">
        <v>1975</v>
      </c>
      <c r="E1150" s="77" t="b">
        <v>0</v>
      </c>
      <c r="F1150" s="72" t="str">
        <f>HYPERLINK("http://nsgreg.nga.mil/genc/view?v=293015&amp;end_month=6&amp;end_day=30&amp;end_year=2019","Región Insular")</f>
        <v>Región Insular</v>
      </c>
      <c r="G1150" s="72" t="str">
        <f>HYPERLINK("http://api.nsgreg.nga.mil/geo-division/GENC/6/3-11/GQ-I","as:GENC:6:3-11:GQ-I")</f>
        <v>as:GENC:6:3-11:GQ-I</v>
      </c>
    </row>
    <row r="1151" spans="1:7" x14ac:dyDescent="0.25">
      <c r="A1151" s="112"/>
      <c r="B1151" s="21" t="s">
        <v>3963</v>
      </c>
      <c r="C1151" s="21" t="s">
        <v>3964</v>
      </c>
      <c r="D1151" s="21" t="s">
        <v>1668</v>
      </c>
      <c r="E1151" s="50" t="b">
        <v>1</v>
      </c>
      <c r="F1151" s="72" t="str">
        <f>HYPERLINK("http://nsgreg.nga.mil/genc/view?v=293010&amp;end_month=6&amp;end_day=30&amp;end_year=2019","Annobón")</f>
        <v>Annobón</v>
      </c>
      <c r="G1151" s="72" t="str">
        <f>HYPERLINK("http://api.nsgreg.nga.mil/geo-division/GENC/6/3-11/GQ-AN","as:GENC:6:3-11:GQ-AN")</f>
        <v>as:GENC:6:3-11:GQ-AN</v>
      </c>
    </row>
    <row r="1152" spans="1:7" x14ac:dyDescent="0.25">
      <c r="A1152" s="112"/>
      <c r="B1152" s="21" t="s">
        <v>3965</v>
      </c>
      <c r="C1152" s="21" t="s">
        <v>3966</v>
      </c>
      <c r="D1152" s="21" t="s">
        <v>1668</v>
      </c>
      <c r="E1152" s="50" t="b">
        <v>1</v>
      </c>
      <c r="F1152" s="72" t="str">
        <f>HYPERLINK("http://nsgreg.nga.mil/genc/view?v=293011&amp;end_month=6&amp;end_day=30&amp;end_year=2019","Bioko Norte")</f>
        <v>Bioko Norte</v>
      </c>
      <c r="G1152" s="72" t="str">
        <f>HYPERLINK("http://api.nsgreg.nga.mil/geo-division/GENC/6/3-11/GQ-BN","as:GENC:6:3-11:GQ-BN")</f>
        <v>as:GENC:6:3-11:GQ-BN</v>
      </c>
    </row>
    <row r="1153" spans="1:7" x14ac:dyDescent="0.25">
      <c r="A1153" s="113"/>
      <c r="B1153" s="47" t="s">
        <v>3967</v>
      </c>
      <c r="C1153" s="47" t="s">
        <v>3968</v>
      </c>
      <c r="D1153" s="47" t="s">
        <v>1668</v>
      </c>
      <c r="E1153" s="51" t="b">
        <v>1</v>
      </c>
      <c r="F1153" s="73" t="str">
        <f>HYPERLINK("http://nsgreg.nga.mil/genc/view?v=293012&amp;end_month=6&amp;end_day=30&amp;end_year=2019","Bioko Sur")</f>
        <v>Bioko Sur</v>
      </c>
      <c r="G1153" s="73" t="str">
        <f>HYPERLINK("http://api.nsgreg.nga.mil/geo-division/GENC/6/3-11/GQ-BS","as:GENC:6:3-11:GQ-BS")</f>
        <v>as:GENC:6:3-11:GQ-BS</v>
      </c>
    </row>
    <row r="1154" spans="1:7" x14ac:dyDescent="0.25">
      <c r="A1154" s="111" t="str">
        <f>HYPERLINK("[#]Codes_for_GE_Names!A86:I86","ERITREA")</f>
        <v>ERITREA</v>
      </c>
      <c r="B1154" s="42" t="s">
        <v>3969</v>
      </c>
      <c r="C1154" s="42" t="s">
        <v>3970</v>
      </c>
      <c r="D1154" s="42" t="s">
        <v>1975</v>
      </c>
      <c r="E1154" s="49" t="b">
        <v>1</v>
      </c>
      <c r="F1154" s="74" t="str">
        <f>HYPERLINK("http://nsgreg.nga.mil/genc/view?v=292406&amp;end_month=6&amp;end_day=30&amp;end_year=2019","Ānseba")</f>
        <v>Ānseba</v>
      </c>
      <c r="G1154" s="74" t="str">
        <f>HYPERLINK("http://api.nsgreg.nga.mil/geo-division/GENC/6/3-11/ER-AN","as:GENC:6:3-11:ER-AN")</f>
        <v>as:GENC:6:3-11:ER-AN</v>
      </c>
    </row>
    <row r="1155" spans="1:7" x14ac:dyDescent="0.25">
      <c r="A1155" s="112"/>
      <c r="B1155" s="21" t="s">
        <v>3971</v>
      </c>
      <c r="C1155" s="21" t="s">
        <v>3972</v>
      </c>
      <c r="D1155" s="21" t="s">
        <v>1975</v>
      </c>
      <c r="E1155" s="50" t="b">
        <v>1</v>
      </c>
      <c r="F1155" s="72" t="str">
        <f>HYPERLINK("http://nsgreg.nga.mil/genc/view?v=292408&amp;end_month=6&amp;end_day=30&amp;end_year=2019","Debub")</f>
        <v>Debub</v>
      </c>
      <c r="G1155" s="72" t="str">
        <f>HYPERLINK("http://api.nsgreg.nga.mil/geo-division/GENC/6/3-11/ER-DU","as:GENC:6:3-11:ER-DU")</f>
        <v>as:GENC:6:3-11:ER-DU</v>
      </c>
    </row>
    <row r="1156" spans="1:7" x14ac:dyDescent="0.25">
      <c r="A1156" s="112"/>
      <c r="B1156" s="21" t="s">
        <v>3973</v>
      </c>
      <c r="C1156" s="21" t="s">
        <v>3974</v>
      </c>
      <c r="D1156" s="21" t="s">
        <v>1975</v>
      </c>
      <c r="E1156" s="50" t="b">
        <v>1</v>
      </c>
      <c r="F1156" s="72" t="str">
        <f>HYPERLINK("http://nsgreg.nga.mil/genc/view?v=292407&amp;end_month=6&amp;end_day=30&amp;end_year=2019","Debubawī K’eyih Bahrī")</f>
        <v>Debubawī K’eyih Bahrī</v>
      </c>
      <c r="G1156" s="72" t="str">
        <f>HYPERLINK("http://api.nsgreg.nga.mil/geo-division/GENC/6/3-11/ER-DK","as:GENC:6:3-11:ER-DK")</f>
        <v>as:GENC:6:3-11:ER-DK</v>
      </c>
    </row>
    <row r="1157" spans="1:7" x14ac:dyDescent="0.25">
      <c r="A1157" s="112"/>
      <c r="B1157" s="21" t="s">
        <v>3975</v>
      </c>
      <c r="C1157" s="21" t="s">
        <v>3976</v>
      </c>
      <c r="D1157" s="21" t="s">
        <v>1975</v>
      </c>
      <c r="E1157" s="50" t="b">
        <v>1</v>
      </c>
      <c r="F1157" s="72" t="str">
        <f>HYPERLINK("http://nsgreg.nga.mil/genc/view?v=292409&amp;end_month=6&amp;end_day=30&amp;end_year=2019","Gash Barka")</f>
        <v>Gash Barka</v>
      </c>
      <c r="G1157" s="72" t="str">
        <f>HYPERLINK("http://api.nsgreg.nga.mil/geo-division/GENC/6/3-11/ER-GB","as:GENC:6:3-11:ER-GB")</f>
        <v>as:GENC:6:3-11:ER-GB</v>
      </c>
    </row>
    <row r="1158" spans="1:7" x14ac:dyDescent="0.25">
      <c r="A1158" s="112"/>
      <c r="B1158" s="21" t="s">
        <v>3977</v>
      </c>
      <c r="C1158" s="21" t="s">
        <v>3978</v>
      </c>
      <c r="D1158" s="21" t="s">
        <v>1975</v>
      </c>
      <c r="E1158" s="50" t="b">
        <v>1</v>
      </c>
      <c r="F1158" s="72" t="str">
        <f>HYPERLINK("http://nsgreg.nga.mil/genc/view?v=292410&amp;end_month=6&amp;end_day=30&amp;end_year=2019","Ma’ākel")</f>
        <v>Ma’ākel</v>
      </c>
      <c r="G1158" s="72" t="str">
        <f>HYPERLINK("http://api.nsgreg.nga.mil/geo-division/GENC/6/3-11/ER-MA","as:GENC:6:3-11:ER-MA")</f>
        <v>as:GENC:6:3-11:ER-MA</v>
      </c>
    </row>
    <row r="1159" spans="1:7" x14ac:dyDescent="0.25">
      <c r="A1159" s="113"/>
      <c r="B1159" s="47" t="s">
        <v>3979</v>
      </c>
      <c r="C1159" s="47" t="s">
        <v>3980</v>
      </c>
      <c r="D1159" s="47" t="s">
        <v>1975</v>
      </c>
      <c r="E1159" s="51" t="b">
        <v>1</v>
      </c>
      <c r="F1159" s="73" t="str">
        <f>HYPERLINK("http://nsgreg.nga.mil/genc/view?v=292411&amp;end_month=6&amp;end_day=30&amp;end_year=2019","Semēnawī K’eyih Bahrī")</f>
        <v>Semēnawī K’eyih Bahrī</v>
      </c>
      <c r="G1159" s="73" t="str">
        <f>HYPERLINK("http://api.nsgreg.nga.mil/geo-division/GENC/6/3-11/ER-SK","as:GENC:6:3-11:ER-SK")</f>
        <v>as:GENC:6:3-11:ER-SK</v>
      </c>
    </row>
    <row r="1160" spans="1:7" x14ac:dyDescent="0.25">
      <c r="A1160" s="111" t="str">
        <f>HYPERLINK("[#]Codes_for_GE_Names!A87:I87","ESTONIA")</f>
        <v>ESTONIA</v>
      </c>
      <c r="B1160" s="42" t="s">
        <v>3981</v>
      </c>
      <c r="C1160" s="42" t="s">
        <v>3982</v>
      </c>
      <c r="D1160" s="42" t="s">
        <v>1737</v>
      </c>
      <c r="E1160" s="49" t="b">
        <v>1</v>
      </c>
      <c r="F1160" s="74" t="str">
        <f>HYPERLINK("http://nsgreg.nga.mil/genc/view?v=292364&amp;end_month=6&amp;end_day=30&amp;end_year=2019","Harjumaa")</f>
        <v>Harjumaa</v>
      </c>
      <c r="G1160" s="74" t="str">
        <f>HYPERLINK("http://api.nsgreg.nga.mil/geo-division/GENC/6/3-11/EE-37","as:GENC:6:3-11:EE-37")</f>
        <v>as:GENC:6:3-11:EE-37</v>
      </c>
    </row>
    <row r="1161" spans="1:7" x14ac:dyDescent="0.25">
      <c r="A1161" s="112"/>
      <c r="B1161" s="21" t="s">
        <v>3983</v>
      </c>
      <c r="C1161" s="21" t="s">
        <v>3984</v>
      </c>
      <c r="D1161" s="21" t="s">
        <v>1737</v>
      </c>
      <c r="E1161" s="50" t="b">
        <v>1</v>
      </c>
      <c r="F1161" s="72" t="str">
        <f>HYPERLINK("http://nsgreg.nga.mil/genc/view?v=292365&amp;end_month=6&amp;end_day=30&amp;end_year=2019","Hiiumaa")</f>
        <v>Hiiumaa</v>
      </c>
      <c r="G1161" s="72" t="str">
        <f>HYPERLINK("http://api.nsgreg.nga.mil/geo-division/GENC/6/3-11/EE-39","as:GENC:6:3-11:EE-39")</f>
        <v>as:GENC:6:3-11:EE-39</v>
      </c>
    </row>
    <row r="1162" spans="1:7" x14ac:dyDescent="0.25">
      <c r="A1162" s="112"/>
      <c r="B1162" s="21" t="s">
        <v>3985</v>
      </c>
      <c r="C1162" s="21" t="s">
        <v>3986</v>
      </c>
      <c r="D1162" s="21" t="s">
        <v>1737</v>
      </c>
      <c r="E1162" s="50" t="b">
        <v>1</v>
      </c>
      <c r="F1162" s="72" t="str">
        <f>HYPERLINK("http://nsgreg.nga.mil/genc/view?v=292366&amp;end_month=6&amp;end_day=30&amp;end_year=2019","Ida-Virumaa")</f>
        <v>Ida-Virumaa</v>
      </c>
      <c r="G1162" s="72" t="str">
        <f>HYPERLINK("http://api.nsgreg.nga.mil/geo-division/GENC/6/3-11/EE-44","as:GENC:6:3-11:EE-44")</f>
        <v>as:GENC:6:3-11:EE-44</v>
      </c>
    </row>
    <row r="1163" spans="1:7" x14ac:dyDescent="0.25">
      <c r="A1163" s="112"/>
      <c r="B1163" s="21" t="s">
        <v>3987</v>
      </c>
      <c r="C1163" s="21" t="s">
        <v>3988</v>
      </c>
      <c r="D1163" s="21" t="s">
        <v>1737</v>
      </c>
      <c r="E1163" s="50" t="b">
        <v>1</v>
      </c>
      <c r="F1163" s="72" t="str">
        <f>HYPERLINK("http://nsgreg.nga.mil/genc/view?v=292368&amp;end_month=6&amp;end_day=30&amp;end_year=2019","Järvamaa")</f>
        <v>Järvamaa</v>
      </c>
      <c r="G1163" s="72" t="str">
        <f>HYPERLINK("http://api.nsgreg.nga.mil/geo-division/GENC/6/3-11/EE-51","as:GENC:6:3-11:EE-51")</f>
        <v>as:GENC:6:3-11:EE-51</v>
      </c>
    </row>
    <row r="1164" spans="1:7" x14ac:dyDescent="0.25">
      <c r="A1164" s="112"/>
      <c r="B1164" s="21" t="s">
        <v>3989</v>
      </c>
      <c r="C1164" s="21" t="s">
        <v>3990</v>
      </c>
      <c r="D1164" s="21" t="s">
        <v>1737</v>
      </c>
      <c r="E1164" s="50" t="b">
        <v>1</v>
      </c>
      <c r="F1164" s="72" t="str">
        <f>HYPERLINK("http://nsgreg.nga.mil/genc/view?v=292367&amp;end_month=6&amp;end_day=30&amp;end_year=2019","Jõgevamaa")</f>
        <v>Jõgevamaa</v>
      </c>
      <c r="G1164" s="72" t="str">
        <f>HYPERLINK("http://api.nsgreg.nga.mil/geo-division/GENC/6/3-11/EE-49","as:GENC:6:3-11:EE-49")</f>
        <v>as:GENC:6:3-11:EE-49</v>
      </c>
    </row>
    <row r="1165" spans="1:7" x14ac:dyDescent="0.25">
      <c r="A1165" s="112"/>
      <c r="B1165" s="21" t="s">
        <v>3991</v>
      </c>
      <c r="C1165" s="21" t="s">
        <v>3992</v>
      </c>
      <c r="D1165" s="21" t="s">
        <v>1737</v>
      </c>
      <c r="E1165" s="50" t="b">
        <v>1</v>
      </c>
      <c r="F1165" s="72" t="str">
        <f>HYPERLINK("http://nsgreg.nga.mil/genc/view?v=292369&amp;end_month=6&amp;end_day=30&amp;end_year=2019","Läänemaa")</f>
        <v>Läänemaa</v>
      </c>
      <c r="G1165" s="72" t="str">
        <f>HYPERLINK("http://api.nsgreg.nga.mil/geo-division/GENC/6/3-11/EE-57","as:GENC:6:3-11:EE-57")</f>
        <v>as:GENC:6:3-11:EE-57</v>
      </c>
    </row>
    <row r="1166" spans="1:7" x14ac:dyDescent="0.25">
      <c r="A1166" s="112"/>
      <c r="B1166" s="21" t="s">
        <v>3993</v>
      </c>
      <c r="C1166" s="21" t="s">
        <v>3994</v>
      </c>
      <c r="D1166" s="21" t="s">
        <v>1737</v>
      </c>
      <c r="E1166" s="50" t="b">
        <v>1</v>
      </c>
      <c r="F1166" s="72" t="str">
        <f>HYPERLINK("http://nsgreg.nga.mil/genc/view?v=292370&amp;end_month=6&amp;end_day=30&amp;end_year=2019","Lääne-Virumaa")</f>
        <v>Lääne-Virumaa</v>
      </c>
      <c r="G1166" s="72" t="str">
        <f>HYPERLINK("http://api.nsgreg.nga.mil/geo-division/GENC/6/3-11/EE-59","as:GENC:6:3-11:EE-59")</f>
        <v>as:GENC:6:3-11:EE-59</v>
      </c>
    </row>
    <row r="1167" spans="1:7" x14ac:dyDescent="0.25">
      <c r="A1167" s="112"/>
      <c r="B1167" s="21" t="s">
        <v>3995</v>
      </c>
      <c r="C1167" s="21" t="s">
        <v>3996</v>
      </c>
      <c r="D1167" s="21" t="s">
        <v>1737</v>
      </c>
      <c r="E1167" s="50" t="b">
        <v>1</v>
      </c>
      <c r="F1167" s="72" t="str">
        <f>HYPERLINK("http://nsgreg.nga.mil/genc/view?v=292372&amp;end_month=6&amp;end_day=30&amp;end_year=2019","Pärnumaa")</f>
        <v>Pärnumaa</v>
      </c>
      <c r="G1167" s="72" t="str">
        <f>HYPERLINK("http://api.nsgreg.nga.mil/geo-division/GENC/6/3-11/EE-67","as:GENC:6:3-11:EE-67")</f>
        <v>as:GENC:6:3-11:EE-67</v>
      </c>
    </row>
    <row r="1168" spans="1:7" x14ac:dyDescent="0.25">
      <c r="A1168" s="112"/>
      <c r="B1168" s="21" t="s">
        <v>3997</v>
      </c>
      <c r="C1168" s="21" t="s">
        <v>3998</v>
      </c>
      <c r="D1168" s="21" t="s">
        <v>1737</v>
      </c>
      <c r="E1168" s="50" t="b">
        <v>1</v>
      </c>
      <c r="F1168" s="72" t="str">
        <f>HYPERLINK("http://nsgreg.nga.mil/genc/view?v=292371&amp;end_month=6&amp;end_day=30&amp;end_year=2019","Põlvamaa")</f>
        <v>Põlvamaa</v>
      </c>
      <c r="G1168" s="72" t="str">
        <f>HYPERLINK("http://api.nsgreg.nga.mil/geo-division/GENC/6/3-11/EE-65","as:GENC:6:3-11:EE-65")</f>
        <v>as:GENC:6:3-11:EE-65</v>
      </c>
    </row>
    <row r="1169" spans="1:7" x14ac:dyDescent="0.25">
      <c r="A1169" s="112"/>
      <c r="B1169" s="21" t="s">
        <v>3999</v>
      </c>
      <c r="C1169" s="21" t="s">
        <v>4000</v>
      </c>
      <c r="D1169" s="21" t="s">
        <v>1737</v>
      </c>
      <c r="E1169" s="50" t="b">
        <v>1</v>
      </c>
      <c r="F1169" s="72" t="str">
        <f>HYPERLINK("http://nsgreg.nga.mil/genc/view?v=292373&amp;end_month=6&amp;end_day=30&amp;end_year=2019","Raplamaa")</f>
        <v>Raplamaa</v>
      </c>
      <c r="G1169" s="72" t="str">
        <f>HYPERLINK("http://api.nsgreg.nga.mil/geo-division/GENC/6/3-11/EE-70","as:GENC:6:3-11:EE-70")</f>
        <v>as:GENC:6:3-11:EE-70</v>
      </c>
    </row>
    <row r="1170" spans="1:7" x14ac:dyDescent="0.25">
      <c r="A1170" s="112"/>
      <c r="B1170" s="21" t="s">
        <v>4001</v>
      </c>
      <c r="C1170" s="21" t="s">
        <v>4002</v>
      </c>
      <c r="D1170" s="21" t="s">
        <v>1737</v>
      </c>
      <c r="E1170" s="50" t="b">
        <v>1</v>
      </c>
      <c r="F1170" s="72" t="str">
        <f>HYPERLINK("http://nsgreg.nga.mil/genc/view?v=292374&amp;end_month=6&amp;end_day=30&amp;end_year=2019","Saaremaa")</f>
        <v>Saaremaa</v>
      </c>
      <c r="G1170" s="72" t="str">
        <f>HYPERLINK("http://api.nsgreg.nga.mil/geo-division/GENC/6/3-11/EE-74","as:GENC:6:3-11:EE-74")</f>
        <v>as:GENC:6:3-11:EE-74</v>
      </c>
    </row>
    <row r="1171" spans="1:7" x14ac:dyDescent="0.25">
      <c r="A1171" s="112"/>
      <c r="B1171" s="21" t="s">
        <v>4003</v>
      </c>
      <c r="C1171" s="21" t="s">
        <v>4004</v>
      </c>
      <c r="D1171" s="21" t="s">
        <v>1737</v>
      </c>
      <c r="E1171" s="50" t="b">
        <v>1</v>
      </c>
      <c r="F1171" s="72" t="str">
        <f>HYPERLINK("http://nsgreg.nga.mil/genc/view?v=292375&amp;end_month=6&amp;end_day=30&amp;end_year=2019","Tartumaa")</f>
        <v>Tartumaa</v>
      </c>
      <c r="G1171" s="72" t="str">
        <f>HYPERLINK("http://api.nsgreg.nga.mil/geo-division/GENC/6/3-11/EE-78","as:GENC:6:3-11:EE-78")</f>
        <v>as:GENC:6:3-11:EE-78</v>
      </c>
    </row>
    <row r="1172" spans="1:7" x14ac:dyDescent="0.25">
      <c r="A1172" s="112"/>
      <c r="B1172" s="21" t="s">
        <v>4005</v>
      </c>
      <c r="C1172" s="21" t="s">
        <v>4006</v>
      </c>
      <c r="D1172" s="21" t="s">
        <v>1737</v>
      </c>
      <c r="E1172" s="50" t="b">
        <v>1</v>
      </c>
      <c r="F1172" s="72" t="str">
        <f>HYPERLINK("http://nsgreg.nga.mil/genc/view?v=292376&amp;end_month=6&amp;end_day=30&amp;end_year=2019","Valgamaa")</f>
        <v>Valgamaa</v>
      </c>
      <c r="G1172" s="72" t="str">
        <f>HYPERLINK("http://api.nsgreg.nga.mil/geo-division/GENC/6/3-11/EE-82","as:GENC:6:3-11:EE-82")</f>
        <v>as:GENC:6:3-11:EE-82</v>
      </c>
    </row>
    <row r="1173" spans="1:7" x14ac:dyDescent="0.25">
      <c r="A1173" s="112"/>
      <c r="B1173" s="21" t="s">
        <v>4007</v>
      </c>
      <c r="C1173" s="21" t="s">
        <v>4008</v>
      </c>
      <c r="D1173" s="21" t="s">
        <v>1737</v>
      </c>
      <c r="E1173" s="50" t="b">
        <v>1</v>
      </c>
      <c r="F1173" s="72" t="str">
        <f>HYPERLINK("http://nsgreg.nga.mil/genc/view?v=292377&amp;end_month=6&amp;end_day=30&amp;end_year=2019","Viljandimaa")</f>
        <v>Viljandimaa</v>
      </c>
      <c r="G1173" s="72" t="str">
        <f>HYPERLINK("http://api.nsgreg.nga.mil/geo-division/GENC/6/3-11/EE-84","as:GENC:6:3-11:EE-84")</f>
        <v>as:GENC:6:3-11:EE-84</v>
      </c>
    </row>
    <row r="1174" spans="1:7" x14ac:dyDescent="0.25">
      <c r="A1174" s="113"/>
      <c r="B1174" s="47" t="s">
        <v>4009</v>
      </c>
      <c r="C1174" s="47" t="s">
        <v>4010</v>
      </c>
      <c r="D1174" s="47" t="s">
        <v>1737</v>
      </c>
      <c r="E1174" s="51" t="b">
        <v>1</v>
      </c>
      <c r="F1174" s="73" t="str">
        <f>HYPERLINK("http://nsgreg.nga.mil/genc/view?v=292378&amp;end_month=6&amp;end_day=30&amp;end_year=2019","Võrumaa")</f>
        <v>Võrumaa</v>
      </c>
      <c r="G1174" s="73" t="str">
        <f>HYPERLINK("http://api.nsgreg.nga.mil/geo-division/GENC/6/3-11/EE-86","as:GENC:6:3-11:EE-86")</f>
        <v>as:GENC:6:3-11:EE-86</v>
      </c>
    </row>
    <row r="1175" spans="1:7" x14ac:dyDescent="0.25">
      <c r="A1175" s="111" t="str">
        <f>HYPERLINK("[#]Codes_for_GE_Names!A88:I88","ESWATINI")</f>
        <v>ESWATINI</v>
      </c>
      <c r="B1175" s="42" t="s">
        <v>4011</v>
      </c>
      <c r="C1175" s="42" t="s">
        <v>4012</v>
      </c>
      <c r="D1175" s="42" t="s">
        <v>1975</v>
      </c>
      <c r="E1175" s="49" t="b">
        <v>1</v>
      </c>
      <c r="F1175" s="74" t="str">
        <f>HYPERLINK("http://nsgreg.nga.mil/genc/view?v=295849&amp;end_month=6&amp;end_day=30&amp;end_year=2019","Hhohho")</f>
        <v>Hhohho</v>
      </c>
      <c r="G1175" s="74" t="str">
        <f>HYPERLINK("http://api.nsgreg.nga.mil/geo-division/GENC/6/3-11/SZ-HH","as:GENC:6:3-11:SZ-HH")</f>
        <v>as:GENC:6:3-11:SZ-HH</v>
      </c>
    </row>
    <row r="1176" spans="1:7" x14ac:dyDescent="0.25">
      <c r="A1176" s="112"/>
      <c r="B1176" s="21" t="s">
        <v>4013</v>
      </c>
      <c r="C1176" s="21" t="s">
        <v>4014</v>
      </c>
      <c r="D1176" s="21" t="s">
        <v>1975</v>
      </c>
      <c r="E1176" s="50" t="b">
        <v>1</v>
      </c>
      <c r="F1176" s="72" t="str">
        <f>HYPERLINK("http://nsgreg.nga.mil/genc/view?v=295850&amp;end_month=6&amp;end_day=30&amp;end_year=2019","Lubombo")</f>
        <v>Lubombo</v>
      </c>
      <c r="G1176" s="72" t="str">
        <f>HYPERLINK("http://api.nsgreg.nga.mil/geo-division/GENC/6/3-11/SZ-LU","as:GENC:6:3-11:SZ-LU")</f>
        <v>as:GENC:6:3-11:SZ-LU</v>
      </c>
    </row>
    <row r="1177" spans="1:7" x14ac:dyDescent="0.25">
      <c r="A1177" s="112"/>
      <c r="B1177" s="21" t="s">
        <v>4015</v>
      </c>
      <c r="C1177" s="21" t="s">
        <v>4016</v>
      </c>
      <c r="D1177" s="21" t="s">
        <v>1975</v>
      </c>
      <c r="E1177" s="50" t="b">
        <v>1</v>
      </c>
      <c r="F1177" s="72" t="str">
        <f>HYPERLINK("http://nsgreg.nga.mil/genc/view?v=295851&amp;end_month=6&amp;end_day=30&amp;end_year=2019","Manzini")</f>
        <v>Manzini</v>
      </c>
      <c r="G1177" s="72" t="str">
        <f>HYPERLINK("http://api.nsgreg.nga.mil/geo-division/GENC/6/3-11/SZ-MA","as:GENC:6:3-11:SZ-MA")</f>
        <v>as:GENC:6:3-11:SZ-MA</v>
      </c>
    </row>
    <row r="1178" spans="1:7" x14ac:dyDescent="0.25">
      <c r="A1178" s="113"/>
      <c r="B1178" s="47" t="s">
        <v>4017</v>
      </c>
      <c r="C1178" s="47" t="s">
        <v>4018</v>
      </c>
      <c r="D1178" s="47" t="s">
        <v>1975</v>
      </c>
      <c r="E1178" s="51" t="b">
        <v>1</v>
      </c>
      <c r="F1178" s="73" t="str">
        <f>HYPERLINK("http://nsgreg.nga.mil/genc/view?v=295852&amp;end_month=6&amp;end_day=30&amp;end_year=2019","Shiselweni")</f>
        <v>Shiselweni</v>
      </c>
      <c r="G1178" s="73" t="str">
        <f>HYPERLINK("http://api.nsgreg.nga.mil/geo-division/GENC/6/3-11/SZ-SH","as:GENC:6:3-11:SZ-SH")</f>
        <v>as:GENC:6:3-11:SZ-SH</v>
      </c>
    </row>
    <row r="1179" spans="1:7" x14ac:dyDescent="0.25">
      <c r="A1179" s="111" t="str">
        <f>HYPERLINK("[#]Codes_for_GE_Names!A89:I89","ETHIOPIA")</f>
        <v>ETHIOPIA</v>
      </c>
      <c r="B1179" s="42" t="s">
        <v>4019</v>
      </c>
      <c r="C1179" s="42" t="s">
        <v>4020</v>
      </c>
      <c r="D1179" s="42" t="s">
        <v>4021</v>
      </c>
      <c r="E1179" s="49" t="b">
        <v>1</v>
      </c>
      <c r="F1179" s="74" t="str">
        <f>HYPERLINK("http://nsgreg.nga.mil/genc/view?v=292481&amp;end_month=6&amp;end_day=30&amp;end_year=2019","Ādīs Ābeba")</f>
        <v>Ādīs Ābeba</v>
      </c>
      <c r="G1179" s="74" t="str">
        <f>HYPERLINK("http://api.nsgreg.nga.mil/geo-division/GENC/6/3-11/ET-AA","as:GENC:6:3-11:ET-AA")</f>
        <v>as:GENC:6:3-11:ET-AA</v>
      </c>
    </row>
    <row r="1180" spans="1:7" x14ac:dyDescent="0.25">
      <c r="A1180" s="112"/>
      <c r="B1180" s="21" t="s">
        <v>4022</v>
      </c>
      <c r="C1180" s="21" t="s">
        <v>4023</v>
      </c>
      <c r="D1180" s="21" t="s">
        <v>4024</v>
      </c>
      <c r="E1180" s="50" t="b">
        <v>1</v>
      </c>
      <c r="F1180" s="72" t="str">
        <f>HYPERLINK("http://nsgreg.nga.mil/genc/view?v=292482&amp;end_month=6&amp;end_day=30&amp;end_year=2019","Āfar")</f>
        <v>Āfar</v>
      </c>
      <c r="G1180" s="72" t="str">
        <f>HYPERLINK("http://api.nsgreg.nga.mil/geo-division/GENC/6/3-11/ET-AF","as:GENC:6:3-11:ET-AF")</f>
        <v>as:GENC:6:3-11:ET-AF</v>
      </c>
    </row>
    <row r="1181" spans="1:7" x14ac:dyDescent="0.25">
      <c r="A1181" s="112"/>
      <c r="B1181" s="21" t="s">
        <v>4025</v>
      </c>
      <c r="C1181" s="21" t="s">
        <v>4026</v>
      </c>
      <c r="D1181" s="21" t="s">
        <v>4024</v>
      </c>
      <c r="E1181" s="50" t="b">
        <v>1</v>
      </c>
      <c r="F1181" s="72" t="str">
        <f>HYPERLINK("http://nsgreg.nga.mil/genc/view?v=292483&amp;end_month=6&amp;end_day=30&amp;end_year=2019","Āmara")</f>
        <v>Āmara</v>
      </c>
      <c r="G1181" s="72" t="str">
        <f>HYPERLINK("http://api.nsgreg.nga.mil/geo-division/GENC/6/3-11/ET-AM","as:GENC:6:3-11:ET-AM")</f>
        <v>as:GENC:6:3-11:ET-AM</v>
      </c>
    </row>
    <row r="1182" spans="1:7" x14ac:dyDescent="0.25">
      <c r="A1182" s="112"/>
      <c r="B1182" s="21" t="s">
        <v>4027</v>
      </c>
      <c r="C1182" s="21" t="s">
        <v>4028</v>
      </c>
      <c r="D1182" s="21" t="s">
        <v>4024</v>
      </c>
      <c r="E1182" s="50" t="b">
        <v>1</v>
      </c>
      <c r="F1182" s="72" t="str">
        <f>HYPERLINK("http://nsgreg.nga.mil/genc/view?v=292484&amp;end_month=6&amp;end_day=30&amp;end_year=2019","Bīnshangul Gumuz")</f>
        <v>Bīnshangul Gumuz</v>
      </c>
      <c r="G1182" s="72" t="str">
        <f>HYPERLINK("http://api.nsgreg.nga.mil/geo-division/GENC/6/3-11/ET-BE","as:GENC:6:3-11:ET-BE")</f>
        <v>as:GENC:6:3-11:ET-BE</v>
      </c>
    </row>
    <row r="1183" spans="1:7" x14ac:dyDescent="0.25">
      <c r="A1183" s="112"/>
      <c r="B1183" s="21" t="s">
        <v>4029</v>
      </c>
      <c r="C1183" s="21" t="s">
        <v>4030</v>
      </c>
      <c r="D1183" s="21" t="s">
        <v>4021</v>
      </c>
      <c r="E1183" s="50" t="b">
        <v>1</v>
      </c>
      <c r="F1183" s="72" t="str">
        <f>HYPERLINK("http://nsgreg.nga.mil/genc/view?v=292485&amp;end_month=6&amp;end_day=30&amp;end_year=2019","Dirē Dawa")</f>
        <v>Dirē Dawa</v>
      </c>
      <c r="G1183" s="72" t="str">
        <f>HYPERLINK("http://api.nsgreg.nga.mil/geo-division/GENC/6/3-11/ET-DD","as:GENC:6:3-11:ET-DD")</f>
        <v>as:GENC:6:3-11:ET-DD</v>
      </c>
    </row>
    <row r="1184" spans="1:7" x14ac:dyDescent="0.25">
      <c r="A1184" s="112"/>
      <c r="B1184" s="21" t="s">
        <v>4031</v>
      </c>
      <c r="C1184" s="21" t="s">
        <v>4032</v>
      </c>
      <c r="D1184" s="21" t="s">
        <v>4024</v>
      </c>
      <c r="E1184" s="50" t="b">
        <v>1</v>
      </c>
      <c r="F1184" s="72" t="str">
        <f>HYPERLINK("http://nsgreg.nga.mil/genc/view?v=292486&amp;end_month=6&amp;end_day=30&amp;end_year=2019","Gambēla Hizboch")</f>
        <v>Gambēla Hizboch</v>
      </c>
      <c r="G1184" s="72" t="str">
        <f>HYPERLINK("http://api.nsgreg.nga.mil/geo-division/GENC/6/3-11/ET-GA","as:GENC:6:3-11:ET-GA")</f>
        <v>as:GENC:6:3-11:ET-GA</v>
      </c>
    </row>
    <row r="1185" spans="1:7" x14ac:dyDescent="0.25">
      <c r="A1185" s="112"/>
      <c r="B1185" s="21" t="s">
        <v>4033</v>
      </c>
      <c r="C1185" s="21" t="s">
        <v>4034</v>
      </c>
      <c r="D1185" s="21" t="s">
        <v>4024</v>
      </c>
      <c r="E1185" s="50" t="b">
        <v>1</v>
      </c>
      <c r="F1185" s="72" t="str">
        <f>HYPERLINK("http://nsgreg.nga.mil/genc/view?v=292487&amp;end_month=6&amp;end_day=30&amp;end_year=2019","Hārerī Hizb")</f>
        <v>Hārerī Hizb</v>
      </c>
      <c r="G1185" s="72" t="str">
        <f>HYPERLINK("http://api.nsgreg.nga.mil/geo-division/GENC/6/3-11/ET-HA","as:GENC:6:3-11:ET-HA")</f>
        <v>as:GENC:6:3-11:ET-HA</v>
      </c>
    </row>
    <row r="1186" spans="1:7" x14ac:dyDescent="0.25">
      <c r="A1186" s="112"/>
      <c r="B1186" s="21" t="s">
        <v>4035</v>
      </c>
      <c r="C1186" s="21" t="s">
        <v>4036</v>
      </c>
      <c r="D1186" s="21" t="s">
        <v>4024</v>
      </c>
      <c r="E1186" s="50" t="b">
        <v>1</v>
      </c>
      <c r="F1186" s="72" t="str">
        <f>HYPERLINK("http://nsgreg.nga.mil/genc/view?v=292488&amp;end_month=6&amp;end_day=30&amp;end_year=2019","Oromīya")</f>
        <v>Oromīya</v>
      </c>
      <c r="G1186" s="72" t="str">
        <f>HYPERLINK("http://api.nsgreg.nga.mil/geo-division/GENC/6/3-11/ET-OR","as:GENC:6:3-11:ET-OR")</f>
        <v>as:GENC:6:3-11:ET-OR</v>
      </c>
    </row>
    <row r="1187" spans="1:7" x14ac:dyDescent="0.25">
      <c r="A1187" s="112"/>
      <c r="B1187" s="21" t="s">
        <v>4037</v>
      </c>
      <c r="C1187" s="21" t="s">
        <v>4038</v>
      </c>
      <c r="D1187" s="21" t="s">
        <v>4024</v>
      </c>
      <c r="E1187" s="50" t="b">
        <v>1</v>
      </c>
      <c r="F1187" s="72" t="str">
        <f>HYPERLINK("http://nsgreg.nga.mil/genc/view?v=292490&amp;end_month=6&amp;end_day=30&amp;end_year=2019","Sumalē")</f>
        <v>Sumalē</v>
      </c>
      <c r="G1187" s="72" t="str">
        <f>HYPERLINK("http://api.nsgreg.nga.mil/geo-division/GENC/6/3-11/ET-SO","as:GENC:6:3-11:ET-SO")</f>
        <v>as:GENC:6:3-11:ET-SO</v>
      </c>
    </row>
    <row r="1188" spans="1:7" x14ac:dyDescent="0.25">
      <c r="A1188" s="112"/>
      <c r="B1188" s="21" t="s">
        <v>4039</v>
      </c>
      <c r="C1188" s="21" t="s">
        <v>4040</v>
      </c>
      <c r="D1188" s="21" t="s">
        <v>4024</v>
      </c>
      <c r="E1188" s="50" t="b">
        <v>1</v>
      </c>
      <c r="F1188" s="72" t="str">
        <f>HYPERLINK("http://nsgreg.nga.mil/genc/view?v=292491&amp;end_month=6&amp;end_day=30&amp;end_year=2019","Tigray")</f>
        <v>Tigray</v>
      </c>
      <c r="G1188" s="72" t="str">
        <f>HYPERLINK("http://api.nsgreg.nga.mil/geo-division/GENC/6/3-11/ET-TI","as:GENC:6:3-11:ET-TI")</f>
        <v>as:GENC:6:3-11:ET-TI</v>
      </c>
    </row>
    <row r="1189" spans="1:7" x14ac:dyDescent="0.25">
      <c r="A1189" s="113"/>
      <c r="B1189" s="47" t="s">
        <v>4041</v>
      </c>
      <c r="C1189" s="47" t="s">
        <v>4042</v>
      </c>
      <c r="D1189" s="47" t="s">
        <v>4024</v>
      </c>
      <c r="E1189" s="51" t="b">
        <v>1</v>
      </c>
      <c r="F1189" s="73" t="str">
        <f>HYPERLINK("http://nsgreg.nga.mil/genc/view?v=292489&amp;end_month=6&amp;end_day=30&amp;end_year=2019","YeDebub Bihēroch Bihēreseboch na Hizboch")</f>
        <v>YeDebub Bihēroch Bihēreseboch na Hizboch</v>
      </c>
      <c r="G1189" s="73" t="str">
        <f>HYPERLINK("http://api.nsgreg.nga.mil/geo-division/GENC/6/3-11/ET-SN","as:GENC:6:3-11:ET-SN")</f>
        <v>as:GENC:6:3-11:ET-SN</v>
      </c>
    </row>
    <row r="1190" spans="1:7" x14ac:dyDescent="0.25">
      <c r="A1190" s="111" t="str">
        <f>HYPERLINK("[#]Codes_for_GE_Names!A92:I92","FAROE ISLANDS")</f>
        <v>FAROE ISLANDS</v>
      </c>
      <c r="B1190" s="42" t="s">
        <v>4043</v>
      </c>
      <c r="C1190" s="42" t="s">
        <v>4044</v>
      </c>
      <c r="D1190" s="42" t="s">
        <v>2505</v>
      </c>
      <c r="E1190" s="49" t="b">
        <v>1</v>
      </c>
      <c r="F1190" s="74" t="str">
        <f>HYPERLINK("http://nsgreg.nga.mil/genc/view?v=292534&amp;end_month=6&amp;end_day=30&amp;end_year=2019","Eiðis")</f>
        <v>Eiðis</v>
      </c>
      <c r="G1190" s="74" t="str">
        <f>HYPERLINK("http://api.nsgreg.nga.mil/geo-division/GENC/6/3-11/FO-01","as:GENC:6:3-11:FO-01")</f>
        <v>as:GENC:6:3-11:FO-01</v>
      </c>
    </row>
    <row r="1191" spans="1:7" x14ac:dyDescent="0.25">
      <c r="A1191" s="112"/>
      <c r="B1191" s="21" t="s">
        <v>4045</v>
      </c>
      <c r="C1191" s="21" t="s">
        <v>4046</v>
      </c>
      <c r="D1191" s="21" t="s">
        <v>2505</v>
      </c>
      <c r="E1191" s="50" t="b">
        <v>1</v>
      </c>
      <c r="F1191" s="72" t="str">
        <f>HYPERLINK("http://nsgreg.nga.mil/genc/view?v=292535&amp;end_month=6&amp;end_day=30&amp;end_year=2019","Eystur")</f>
        <v>Eystur</v>
      </c>
      <c r="G1191" s="72" t="str">
        <f>HYPERLINK("http://api.nsgreg.nga.mil/geo-division/GENC/6/3-11/FO-02","as:GENC:6:3-11:FO-02")</f>
        <v>as:GENC:6:3-11:FO-02</v>
      </c>
    </row>
    <row r="1192" spans="1:7" x14ac:dyDescent="0.25">
      <c r="A1192" s="112"/>
      <c r="B1192" s="21" t="s">
        <v>4047</v>
      </c>
      <c r="C1192" s="21" t="s">
        <v>4048</v>
      </c>
      <c r="D1192" s="21" t="s">
        <v>2505</v>
      </c>
      <c r="E1192" s="50" t="b">
        <v>1</v>
      </c>
      <c r="F1192" s="72" t="str">
        <f>HYPERLINK("http://nsgreg.nga.mil/genc/view?v=292536&amp;end_month=6&amp;end_day=30&amp;end_year=2019","Fámjins")</f>
        <v>Fámjins</v>
      </c>
      <c r="G1192" s="72" t="str">
        <f>HYPERLINK("http://api.nsgreg.nga.mil/geo-division/GENC/6/3-11/FO-03","as:GENC:6:3-11:FO-03")</f>
        <v>as:GENC:6:3-11:FO-03</v>
      </c>
    </row>
    <row r="1193" spans="1:7" x14ac:dyDescent="0.25">
      <c r="A1193" s="112"/>
      <c r="B1193" s="21" t="s">
        <v>4049</v>
      </c>
      <c r="C1193" s="21" t="s">
        <v>4050</v>
      </c>
      <c r="D1193" s="21" t="s">
        <v>2505</v>
      </c>
      <c r="E1193" s="50" t="b">
        <v>1</v>
      </c>
      <c r="F1193" s="72" t="str">
        <f>HYPERLINK("http://nsgreg.nga.mil/genc/view?v=292537&amp;end_month=6&amp;end_day=30&amp;end_year=2019","Fuglafjarðar")</f>
        <v>Fuglafjarðar</v>
      </c>
      <c r="G1193" s="72" t="str">
        <f>HYPERLINK("http://api.nsgreg.nga.mil/geo-division/GENC/6/3-11/FO-04","as:GENC:6:3-11:FO-04")</f>
        <v>as:GENC:6:3-11:FO-04</v>
      </c>
    </row>
    <row r="1194" spans="1:7" x14ac:dyDescent="0.25">
      <c r="A1194" s="112"/>
      <c r="B1194" s="21" t="s">
        <v>4051</v>
      </c>
      <c r="C1194" s="21" t="s">
        <v>4052</v>
      </c>
      <c r="D1194" s="21" t="s">
        <v>2505</v>
      </c>
      <c r="E1194" s="50" t="b">
        <v>1</v>
      </c>
      <c r="F1194" s="72" t="str">
        <f>HYPERLINK("http://nsgreg.nga.mil/genc/view?v=292538&amp;end_month=6&amp;end_day=30&amp;end_year=2019","Fugloyar")</f>
        <v>Fugloyar</v>
      </c>
      <c r="G1194" s="72" t="str">
        <f>HYPERLINK("http://api.nsgreg.nga.mil/geo-division/GENC/6/3-11/FO-05","as:GENC:6:3-11:FO-05")</f>
        <v>as:GENC:6:3-11:FO-05</v>
      </c>
    </row>
    <row r="1195" spans="1:7" x14ac:dyDescent="0.25">
      <c r="A1195" s="112"/>
      <c r="B1195" s="21" t="s">
        <v>4053</v>
      </c>
      <c r="C1195" s="21" t="s">
        <v>4054</v>
      </c>
      <c r="D1195" s="21" t="s">
        <v>2505</v>
      </c>
      <c r="E1195" s="50" t="b">
        <v>1</v>
      </c>
      <c r="F1195" s="72" t="str">
        <f>HYPERLINK("http://nsgreg.nga.mil/genc/view?v=292539&amp;end_month=6&amp;end_day=30&amp;end_year=2019","Hovs")</f>
        <v>Hovs</v>
      </c>
      <c r="G1195" s="72" t="str">
        <f>HYPERLINK("http://api.nsgreg.nga.mil/geo-division/GENC/6/3-11/FO-06","as:GENC:6:3-11:FO-06")</f>
        <v>as:GENC:6:3-11:FO-06</v>
      </c>
    </row>
    <row r="1196" spans="1:7" x14ac:dyDescent="0.25">
      <c r="A1196" s="112"/>
      <c r="B1196" s="21" t="s">
        <v>4055</v>
      </c>
      <c r="C1196" s="21" t="s">
        <v>4056</v>
      </c>
      <c r="D1196" s="21" t="s">
        <v>2505</v>
      </c>
      <c r="E1196" s="50" t="b">
        <v>1</v>
      </c>
      <c r="F1196" s="72" t="str">
        <f>HYPERLINK("http://nsgreg.nga.mil/genc/view?v=292540&amp;end_month=6&amp;end_day=30&amp;end_year=2019","Húsavíkar")</f>
        <v>Húsavíkar</v>
      </c>
      <c r="G1196" s="72" t="str">
        <f>HYPERLINK("http://api.nsgreg.nga.mil/geo-division/GENC/6/3-11/FO-07","as:GENC:6:3-11:FO-07")</f>
        <v>as:GENC:6:3-11:FO-07</v>
      </c>
    </row>
    <row r="1197" spans="1:7" x14ac:dyDescent="0.25">
      <c r="A1197" s="112"/>
      <c r="B1197" s="21" t="s">
        <v>4057</v>
      </c>
      <c r="C1197" s="21" t="s">
        <v>4058</v>
      </c>
      <c r="D1197" s="21" t="s">
        <v>2505</v>
      </c>
      <c r="E1197" s="50" t="b">
        <v>1</v>
      </c>
      <c r="F1197" s="72" t="str">
        <f>HYPERLINK("http://nsgreg.nga.mil/genc/view?v=292541&amp;end_month=6&amp;end_day=30&amp;end_year=2019","Hvalbiar")</f>
        <v>Hvalbiar</v>
      </c>
      <c r="G1197" s="72" t="str">
        <f>HYPERLINK("http://api.nsgreg.nga.mil/geo-division/GENC/6/3-11/FO-08","as:GENC:6:3-11:FO-08")</f>
        <v>as:GENC:6:3-11:FO-08</v>
      </c>
    </row>
    <row r="1198" spans="1:7" x14ac:dyDescent="0.25">
      <c r="A1198" s="112"/>
      <c r="B1198" s="21" t="s">
        <v>4059</v>
      </c>
      <c r="C1198" s="21" t="s">
        <v>4060</v>
      </c>
      <c r="D1198" s="21" t="s">
        <v>2505</v>
      </c>
      <c r="E1198" s="50" t="b">
        <v>1</v>
      </c>
      <c r="F1198" s="72" t="str">
        <f>HYPERLINK("http://nsgreg.nga.mil/genc/view?v=292542&amp;end_month=6&amp;end_day=30&amp;end_year=2019","Hvannasunds")</f>
        <v>Hvannasunds</v>
      </c>
      <c r="G1198" s="72" t="str">
        <f>HYPERLINK("http://api.nsgreg.nga.mil/geo-division/GENC/6/3-11/FO-09","as:GENC:6:3-11:FO-09")</f>
        <v>as:GENC:6:3-11:FO-09</v>
      </c>
    </row>
    <row r="1199" spans="1:7" x14ac:dyDescent="0.25">
      <c r="A1199" s="112"/>
      <c r="B1199" s="21" t="s">
        <v>4061</v>
      </c>
      <c r="C1199" s="21" t="s">
        <v>4062</v>
      </c>
      <c r="D1199" s="21" t="s">
        <v>2505</v>
      </c>
      <c r="E1199" s="50" t="b">
        <v>1</v>
      </c>
      <c r="F1199" s="72" t="str">
        <f>HYPERLINK("http://nsgreg.nga.mil/genc/view?v=292543&amp;end_month=6&amp;end_day=30&amp;end_year=2019","Klaksvíkar")</f>
        <v>Klaksvíkar</v>
      </c>
      <c r="G1199" s="72" t="str">
        <f>HYPERLINK("http://api.nsgreg.nga.mil/geo-division/GENC/6/3-11/FO-10","as:GENC:6:3-11:FO-10")</f>
        <v>as:GENC:6:3-11:FO-10</v>
      </c>
    </row>
    <row r="1200" spans="1:7" x14ac:dyDescent="0.25">
      <c r="A1200" s="112"/>
      <c r="B1200" s="21" t="s">
        <v>4063</v>
      </c>
      <c r="C1200" s="21" t="s">
        <v>4064</v>
      </c>
      <c r="D1200" s="21" t="s">
        <v>2505</v>
      </c>
      <c r="E1200" s="50" t="b">
        <v>1</v>
      </c>
      <c r="F1200" s="72" t="str">
        <f>HYPERLINK("http://nsgreg.nga.mil/genc/view?v=292544&amp;end_month=6&amp;end_day=30&amp;end_year=2019","Kunoyar")</f>
        <v>Kunoyar</v>
      </c>
      <c r="G1200" s="72" t="str">
        <f>HYPERLINK("http://api.nsgreg.nga.mil/geo-division/GENC/6/3-11/FO-11","as:GENC:6:3-11:FO-11")</f>
        <v>as:GENC:6:3-11:FO-11</v>
      </c>
    </row>
    <row r="1201" spans="1:7" x14ac:dyDescent="0.25">
      <c r="A1201" s="112"/>
      <c r="B1201" s="21" t="s">
        <v>4065</v>
      </c>
      <c r="C1201" s="21" t="s">
        <v>4066</v>
      </c>
      <c r="D1201" s="21" t="s">
        <v>2505</v>
      </c>
      <c r="E1201" s="50" t="b">
        <v>1</v>
      </c>
      <c r="F1201" s="72" t="str">
        <f>HYPERLINK("http://nsgreg.nga.mil/genc/view?v=292545&amp;end_month=6&amp;end_day=30&amp;end_year=2019","Kvívíkar")</f>
        <v>Kvívíkar</v>
      </c>
      <c r="G1201" s="72" t="str">
        <f>HYPERLINK("http://api.nsgreg.nga.mil/geo-division/GENC/6/3-11/FO-12","as:GENC:6:3-11:FO-12")</f>
        <v>as:GENC:6:3-11:FO-12</v>
      </c>
    </row>
    <row r="1202" spans="1:7" x14ac:dyDescent="0.25">
      <c r="A1202" s="112"/>
      <c r="B1202" s="21" t="s">
        <v>4067</v>
      </c>
      <c r="C1202" s="21" t="s">
        <v>4068</v>
      </c>
      <c r="D1202" s="21" t="s">
        <v>2505</v>
      </c>
      <c r="E1202" s="50" t="b">
        <v>1</v>
      </c>
      <c r="F1202" s="72" t="str">
        <f>HYPERLINK("http://nsgreg.nga.mil/genc/view?v=292546&amp;end_month=6&amp;end_day=30&amp;end_year=2019","Nes")</f>
        <v>Nes</v>
      </c>
      <c r="G1202" s="72" t="str">
        <f>HYPERLINK("http://api.nsgreg.nga.mil/geo-division/GENC/6/3-11/FO-13","as:GENC:6:3-11:FO-13")</f>
        <v>as:GENC:6:3-11:FO-13</v>
      </c>
    </row>
    <row r="1203" spans="1:7" x14ac:dyDescent="0.25">
      <c r="A1203" s="112"/>
      <c r="B1203" s="21" t="s">
        <v>4069</v>
      </c>
      <c r="C1203" s="21" t="s">
        <v>4070</v>
      </c>
      <c r="D1203" s="21" t="s">
        <v>2505</v>
      </c>
      <c r="E1203" s="50" t="b">
        <v>1</v>
      </c>
      <c r="F1203" s="72" t="str">
        <f>HYPERLINK("http://nsgreg.nga.mil/genc/view?v=292547&amp;end_month=6&amp;end_day=30&amp;end_year=2019","Porkeris")</f>
        <v>Porkeris</v>
      </c>
      <c r="G1203" s="72" t="str">
        <f>HYPERLINK("http://api.nsgreg.nga.mil/geo-division/GENC/6/3-11/FO-14","as:GENC:6:3-11:FO-14")</f>
        <v>as:GENC:6:3-11:FO-14</v>
      </c>
    </row>
    <row r="1204" spans="1:7" x14ac:dyDescent="0.25">
      <c r="A1204" s="112"/>
      <c r="B1204" s="21" t="s">
        <v>4071</v>
      </c>
      <c r="C1204" s="21" t="s">
        <v>4072</v>
      </c>
      <c r="D1204" s="21" t="s">
        <v>2505</v>
      </c>
      <c r="E1204" s="50" t="b">
        <v>1</v>
      </c>
      <c r="F1204" s="72" t="str">
        <f>HYPERLINK("http://nsgreg.nga.mil/genc/view?v=292548&amp;end_month=6&amp;end_day=30&amp;end_year=2019","Runavíkar")</f>
        <v>Runavíkar</v>
      </c>
      <c r="G1204" s="72" t="str">
        <f>HYPERLINK("http://api.nsgreg.nga.mil/geo-division/GENC/6/3-11/FO-15","as:GENC:6:3-11:FO-15")</f>
        <v>as:GENC:6:3-11:FO-15</v>
      </c>
    </row>
    <row r="1205" spans="1:7" x14ac:dyDescent="0.25">
      <c r="A1205" s="112"/>
      <c r="B1205" s="21" t="s">
        <v>4073</v>
      </c>
      <c r="C1205" s="21" t="s">
        <v>4074</v>
      </c>
      <c r="D1205" s="21" t="s">
        <v>2505</v>
      </c>
      <c r="E1205" s="50" t="b">
        <v>1</v>
      </c>
      <c r="F1205" s="72" t="str">
        <f>HYPERLINK("http://nsgreg.nga.mil/genc/view?v=292549&amp;end_month=6&amp;end_day=30&amp;end_year=2019","Sands")</f>
        <v>Sands</v>
      </c>
      <c r="G1205" s="72" t="str">
        <f>HYPERLINK("http://api.nsgreg.nga.mil/geo-division/GENC/6/3-11/FO-16","as:GENC:6:3-11:FO-16")</f>
        <v>as:GENC:6:3-11:FO-16</v>
      </c>
    </row>
    <row r="1206" spans="1:7" x14ac:dyDescent="0.25">
      <c r="A1206" s="112"/>
      <c r="B1206" s="21" t="s">
        <v>4075</v>
      </c>
      <c r="C1206" s="21" t="s">
        <v>4076</v>
      </c>
      <c r="D1206" s="21" t="s">
        <v>2505</v>
      </c>
      <c r="E1206" s="50" t="b">
        <v>1</v>
      </c>
      <c r="F1206" s="72" t="str">
        <f>HYPERLINK("http://nsgreg.nga.mil/genc/view?v=292550&amp;end_month=6&amp;end_day=30&amp;end_year=2019","Sjóvar")</f>
        <v>Sjóvar</v>
      </c>
      <c r="G1206" s="72" t="str">
        <f>HYPERLINK("http://api.nsgreg.nga.mil/geo-division/GENC/6/3-11/FO-17","as:GENC:6:3-11:FO-17")</f>
        <v>as:GENC:6:3-11:FO-17</v>
      </c>
    </row>
    <row r="1207" spans="1:7" x14ac:dyDescent="0.25">
      <c r="A1207" s="112"/>
      <c r="B1207" s="21" t="s">
        <v>4077</v>
      </c>
      <c r="C1207" s="21" t="s">
        <v>4078</v>
      </c>
      <c r="D1207" s="21" t="s">
        <v>2505</v>
      </c>
      <c r="E1207" s="50" t="b">
        <v>1</v>
      </c>
      <c r="F1207" s="72" t="str">
        <f>HYPERLINK("http://nsgreg.nga.mil/genc/view?v=292551&amp;end_month=6&amp;end_day=30&amp;end_year=2019","Skálavíkar")</f>
        <v>Skálavíkar</v>
      </c>
      <c r="G1207" s="72" t="str">
        <f>HYPERLINK("http://api.nsgreg.nga.mil/geo-division/GENC/6/3-11/FO-18","as:GENC:6:3-11:FO-18")</f>
        <v>as:GENC:6:3-11:FO-18</v>
      </c>
    </row>
    <row r="1208" spans="1:7" x14ac:dyDescent="0.25">
      <c r="A1208" s="112"/>
      <c r="B1208" s="21" t="s">
        <v>4079</v>
      </c>
      <c r="C1208" s="21" t="s">
        <v>4080</v>
      </c>
      <c r="D1208" s="21" t="s">
        <v>2505</v>
      </c>
      <c r="E1208" s="50" t="b">
        <v>1</v>
      </c>
      <c r="F1208" s="72" t="str">
        <f>HYPERLINK("http://nsgreg.nga.mil/genc/view?v=292552&amp;end_month=6&amp;end_day=30&amp;end_year=2019","Skopunar")</f>
        <v>Skopunar</v>
      </c>
      <c r="G1208" s="72" t="str">
        <f>HYPERLINK("http://api.nsgreg.nga.mil/geo-division/GENC/6/3-11/FO-19","as:GENC:6:3-11:FO-19")</f>
        <v>as:GENC:6:3-11:FO-19</v>
      </c>
    </row>
    <row r="1209" spans="1:7" x14ac:dyDescent="0.25">
      <c r="A1209" s="112"/>
      <c r="B1209" s="21" t="s">
        <v>4081</v>
      </c>
      <c r="C1209" s="21" t="s">
        <v>4082</v>
      </c>
      <c r="D1209" s="21" t="s">
        <v>2505</v>
      </c>
      <c r="E1209" s="50" t="b">
        <v>1</v>
      </c>
      <c r="F1209" s="72" t="str">
        <f>HYPERLINK("http://nsgreg.nga.mil/genc/view?v=292553&amp;end_month=6&amp;end_day=30&amp;end_year=2019","Skúvoyar")</f>
        <v>Skúvoyar</v>
      </c>
      <c r="G1209" s="72" t="str">
        <f>HYPERLINK("http://api.nsgreg.nga.mil/geo-division/GENC/6/3-11/FO-20","as:GENC:6:3-11:FO-20")</f>
        <v>as:GENC:6:3-11:FO-20</v>
      </c>
    </row>
    <row r="1210" spans="1:7" x14ac:dyDescent="0.25">
      <c r="A1210" s="112"/>
      <c r="B1210" s="21" t="s">
        <v>4083</v>
      </c>
      <c r="C1210" s="21" t="s">
        <v>4084</v>
      </c>
      <c r="D1210" s="21" t="s">
        <v>2505</v>
      </c>
      <c r="E1210" s="50" t="b">
        <v>1</v>
      </c>
      <c r="F1210" s="72" t="str">
        <f>HYPERLINK("http://nsgreg.nga.mil/genc/view?v=292554&amp;end_month=6&amp;end_day=30&amp;end_year=2019","Sørvágs")</f>
        <v>Sørvágs</v>
      </c>
      <c r="G1210" s="72" t="str">
        <f>HYPERLINK("http://api.nsgreg.nga.mil/geo-division/GENC/6/3-11/FO-21","as:GENC:6:3-11:FO-21")</f>
        <v>as:GENC:6:3-11:FO-21</v>
      </c>
    </row>
    <row r="1211" spans="1:7" x14ac:dyDescent="0.25">
      <c r="A1211" s="112"/>
      <c r="B1211" s="21" t="s">
        <v>4085</v>
      </c>
      <c r="C1211" s="21" t="s">
        <v>4086</v>
      </c>
      <c r="D1211" s="21" t="s">
        <v>2505</v>
      </c>
      <c r="E1211" s="50" t="b">
        <v>1</v>
      </c>
      <c r="F1211" s="72" t="str">
        <f>HYPERLINK("http://nsgreg.nga.mil/genc/view?v=292555&amp;end_month=6&amp;end_day=30&amp;end_year=2019","Sumbiar")</f>
        <v>Sumbiar</v>
      </c>
      <c r="G1211" s="72" t="str">
        <f>HYPERLINK("http://api.nsgreg.nga.mil/geo-division/GENC/6/3-11/FO-22","as:GENC:6:3-11:FO-22")</f>
        <v>as:GENC:6:3-11:FO-22</v>
      </c>
    </row>
    <row r="1212" spans="1:7" x14ac:dyDescent="0.25">
      <c r="A1212" s="112"/>
      <c r="B1212" s="21" t="s">
        <v>4087</v>
      </c>
      <c r="C1212" s="21" t="s">
        <v>4088</v>
      </c>
      <c r="D1212" s="21" t="s">
        <v>2505</v>
      </c>
      <c r="E1212" s="50" t="b">
        <v>1</v>
      </c>
      <c r="F1212" s="72" t="str">
        <f>HYPERLINK("http://nsgreg.nga.mil/genc/view?v=292556&amp;end_month=6&amp;end_day=30&amp;end_year=2019","Sunda")</f>
        <v>Sunda</v>
      </c>
      <c r="G1212" s="72" t="str">
        <f>HYPERLINK("http://api.nsgreg.nga.mil/geo-division/GENC/6/3-11/FO-23","as:GENC:6:3-11:FO-23")</f>
        <v>as:GENC:6:3-11:FO-23</v>
      </c>
    </row>
    <row r="1213" spans="1:7" x14ac:dyDescent="0.25">
      <c r="A1213" s="112"/>
      <c r="B1213" s="21" t="s">
        <v>4089</v>
      </c>
      <c r="C1213" s="21" t="s">
        <v>4090</v>
      </c>
      <c r="D1213" s="21" t="s">
        <v>2505</v>
      </c>
      <c r="E1213" s="50" t="b">
        <v>1</v>
      </c>
      <c r="F1213" s="72" t="str">
        <f>HYPERLINK("http://nsgreg.nga.mil/genc/view?v=292557&amp;end_month=6&amp;end_day=30&amp;end_year=2019","Tórshavnar")</f>
        <v>Tórshavnar</v>
      </c>
      <c r="G1213" s="72" t="str">
        <f>HYPERLINK("http://api.nsgreg.nga.mil/geo-division/GENC/6/3-11/FO-24","as:GENC:6:3-11:FO-24")</f>
        <v>as:GENC:6:3-11:FO-24</v>
      </c>
    </row>
    <row r="1214" spans="1:7" x14ac:dyDescent="0.25">
      <c r="A1214" s="112"/>
      <c r="B1214" s="21" t="s">
        <v>4091</v>
      </c>
      <c r="C1214" s="21" t="s">
        <v>4092</v>
      </c>
      <c r="D1214" s="21" t="s">
        <v>2505</v>
      </c>
      <c r="E1214" s="50" t="b">
        <v>1</v>
      </c>
      <c r="F1214" s="72" t="str">
        <f>HYPERLINK("http://nsgreg.nga.mil/genc/view?v=292558&amp;end_month=6&amp;end_day=30&amp;end_year=2019","Tvøroyrar")</f>
        <v>Tvøroyrar</v>
      </c>
      <c r="G1214" s="72" t="str">
        <f>HYPERLINK("http://api.nsgreg.nga.mil/geo-division/GENC/6/3-11/FO-25","as:GENC:6:3-11:FO-25")</f>
        <v>as:GENC:6:3-11:FO-25</v>
      </c>
    </row>
    <row r="1215" spans="1:7" x14ac:dyDescent="0.25">
      <c r="A1215" s="112"/>
      <c r="B1215" s="21" t="s">
        <v>4093</v>
      </c>
      <c r="C1215" s="21" t="s">
        <v>4094</v>
      </c>
      <c r="D1215" s="21" t="s">
        <v>2505</v>
      </c>
      <c r="E1215" s="50" t="b">
        <v>1</v>
      </c>
      <c r="F1215" s="72" t="str">
        <f>HYPERLINK("http://nsgreg.nga.mil/genc/view?v=292559&amp;end_month=6&amp;end_day=30&amp;end_year=2019","Vága")</f>
        <v>Vága</v>
      </c>
      <c r="G1215" s="72" t="str">
        <f>HYPERLINK("http://api.nsgreg.nga.mil/geo-division/GENC/6/3-11/FO-26","as:GENC:6:3-11:FO-26")</f>
        <v>as:GENC:6:3-11:FO-26</v>
      </c>
    </row>
    <row r="1216" spans="1:7" x14ac:dyDescent="0.25">
      <c r="A1216" s="112"/>
      <c r="B1216" s="21" t="s">
        <v>4095</v>
      </c>
      <c r="C1216" s="21" t="s">
        <v>4096</v>
      </c>
      <c r="D1216" s="21" t="s">
        <v>2505</v>
      </c>
      <c r="E1216" s="50" t="b">
        <v>1</v>
      </c>
      <c r="F1216" s="72" t="str">
        <f>HYPERLINK("http://nsgreg.nga.mil/genc/view?v=292560&amp;end_month=6&amp;end_day=30&amp;end_year=2019","Vágs")</f>
        <v>Vágs</v>
      </c>
      <c r="G1216" s="72" t="str">
        <f>HYPERLINK("http://api.nsgreg.nga.mil/geo-division/GENC/6/3-11/FO-27","as:GENC:6:3-11:FO-27")</f>
        <v>as:GENC:6:3-11:FO-27</v>
      </c>
    </row>
    <row r="1217" spans="1:7" x14ac:dyDescent="0.25">
      <c r="A1217" s="112"/>
      <c r="B1217" s="21" t="s">
        <v>4097</v>
      </c>
      <c r="C1217" s="21" t="s">
        <v>4098</v>
      </c>
      <c r="D1217" s="21" t="s">
        <v>2505</v>
      </c>
      <c r="E1217" s="50" t="b">
        <v>1</v>
      </c>
      <c r="F1217" s="72" t="str">
        <f>HYPERLINK("http://nsgreg.nga.mil/genc/view?v=292561&amp;end_month=6&amp;end_day=30&amp;end_year=2019","Vestmanna")</f>
        <v>Vestmanna</v>
      </c>
      <c r="G1217" s="72" t="str">
        <f>HYPERLINK("http://api.nsgreg.nga.mil/geo-division/GENC/6/3-11/FO-28","as:GENC:6:3-11:FO-28")</f>
        <v>as:GENC:6:3-11:FO-28</v>
      </c>
    </row>
    <row r="1218" spans="1:7" x14ac:dyDescent="0.25">
      <c r="A1218" s="113"/>
      <c r="B1218" s="47" t="s">
        <v>4099</v>
      </c>
      <c r="C1218" s="47" t="s">
        <v>4100</v>
      </c>
      <c r="D1218" s="47" t="s">
        <v>2505</v>
      </c>
      <c r="E1218" s="51" t="b">
        <v>1</v>
      </c>
      <c r="F1218" s="73" t="str">
        <f>HYPERLINK("http://nsgreg.nga.mil/genc/view?v=292562&amp;end_month=6&amp;end_day=30&amp;end_year=2019","Viðareiðis")</f>
        <v>Viðareiðis</v>
      </c>
      <c r="G1218" s="73" t="str">
        <f>HYPERLINK("http://api.nsgreg.nga.mil/geo-division/GENC/6/3-11/FO-29","as:GENC:6:3-11:FO-29")</f>
        <v>as:GENC:6:3-11:FO-29</v>
      </c>
    </row>
    <row r="1219" spans="1:7" x14ac:dyDescent="0.25">
      <c r="A1219" s="111" t="str">
        <f>HYPERLINK("[#]Codes_for_GE_Names!A93:I93","FIJI")</f>
        <v>FIJI</v>
      </c>
      <c r="B1219" s="42" t="s">
        <v>4101</v>
      </c>
      <c r="C1219" s="42" t="s">
        <v>2595</v>
      </c>
      <c r="D1219" s="80" t="s">
        <v>2264</v>
      </c>
      <c r="E1219" s="81" t="b">
        <v>0</v>
      </c>
      <c r="F1219" s="74" t="str">
        <f>HYPERLINK("http://nsgreg.nga.mil/genc/view?v=292525&amp;end_month=6&amp;end_day=30&amp;end_year=2019","Central")</f>
        <v>Central</v>
      </c>
      <c r="G1219" s="74" t="str">
        <f>HYPERLINK("http://api.nsgreg.nga.mil/geo-division/GENC/6/3-11/FJ-C","as:GENC:6:3-11:FJ-C")</f>
        <v>as:GENC:6:3-11:FJ-C</v>
      </c>
    </row>
    <row r="1220" spans="1:7" x14ac:dyDescent="0.25">
      <c r="A1220" s="112"/>
      <c r="B1220" s="21" t="s">
        <v>4102</v>
      </c>
      <c r="C1220" s="21" t="s">
        <v>4103</v>
      </c>
      <c r="D1220" s="21" t="s">
        <v>1668</v>
      </c>
      <c r="E1220" s="50" t="b">
        <v>1</v>
      </c>
      <c r="F1220" s="72" t="str">
        <f>HYPERLINK("http://nsgreg.nga.mil/genc/view?v=292519&amp;end_month=6&amp;end_day=30&amp;end_year=2019","Naitasiri")</f>
        <v>Naitasiri</v>
      </c>
      <c r="G1220" s="72" t="str">
        <f>HYPERLINK("http://api.nsgreg.nga.mil/geo-division/GENC/6/3-11/FJ-09","as:GENC:6:3-11:FJ-09")</f>
        <v>as:GENC:6:3-11:FJ-09</v>
      </c>
    </row>
    <row r="1221" spans="1:7" x14ac:dyDescent="0.25">
      <c r="A1221" s="112"/>
      <c r="B1221" s="21" t="s">
        <v>4104</v>
      </c>
      <c r="C1221" s="21" t="s">
        <v>4105</v>
      </c>
      <c r="D1221" s="21" t="s">
        <v>1668</v>
      </c>
      <c r="E1221" s="50" t="b">
        <v>1</v>
      </c>
      <c r="F1221" s="72" t="str">
        <f>HYPERLINK("http://nsgreg.nga.mil/genc/view?v=292520&amp;end_month=6&amp;end_day=30&amp;end_year=2019","Namosi")</f>
        <v>Namosi</v>
      </c>
      <c r="G1221" s="72" t="str">
        <f>HYPERLINK("http://api.nsgreg.nga.mil/geo-division/GENC/6/3-11/FJ-10","as:GENC:6:3-11:FJ-10")</f>
        <v>as:GENC:6:3-11:FJ-10</v>
      </c>
    </row>
    <row r="1222" spans="1:7" x14ac:dyDescent="0.25">
      <c r="A1222" s="112"/>
      <c r="B1222" s="21" t="s">
        <v>4106</v>
      </c>
      <c r="C1222" s="21" t="s">
        <v>4107</v>
      </c>
      <c r="D1222" s="21" t="s">
        <v>1668</v>
      </c>
      <c r="E1222" s="50" t="b">
        <v>1</v>
      </c>
      <c r="F1222" s="72" t="str">
        <f>HYPERLINK("http://nsgreg.nga.mil/genc/view?v=292522&amp;end_month=6&amp;end_day=30&amp;end_year=2019","Rewa")</f>
        <v>Rewa</v>
      </c>
      <c r="G1222" s="72" t="str">
        <f>HYPERLINK("http://api.nsgreg.nga.mil/geo-division/GENC/6/3-11/FJ-12","as:GENC:6:3-11:FJ-12")</f>
        <v>as:GENC:6:3-11:FJ-12</v>
      </c>
    </row>
    <row r="1223" spans="1:7" x14ac:dyDescent="0.25">
      <c r="A1223" s="112"/>
      <c r="B1223" s="21" t="s">
        <v>4108</v>
      </c>
      <c r="C1223" s="21" t="s">
        <v>4109</v>
      </c>
      <c r="D1223" s="21" t="s">
        <v>1668</v>
      </c>
      <c r="E1223" s="50" t="b">
        <v>1</v>
      </c>
      <c r="F1223" s="72" t="str">
        <f>HYPERLINK("http://nsgreg.nga.mil/genc/view?v=292523&amp;end_month=6&amp;end_day=30&amp;end_year=2019","Serua")</f>
        <v>Serua</v>
      </c>
      <c r="G1223" s="72" t="str">
        <f>HYPERLINK("http://api.nsgreg.nga.mil/geo-division/GENC/6/3-11/FJ-13","as:GENC:6:3-11:FJ-13")</f>
        <v>as:GENC:6:3-11:FJ-13</v>
      </c>
    </row>
    <row r="1224" spans="1:7" x14ac:dyDescent="0.25">
      <c r="A1224" s="112"/>
      <c r="B1224" s="21" t="s">
        <v>4110</v>
      </c>
      <c r="C1224" s="21" t="s">
        <v>4111</v>
      </c>
      <c r="D1224" s="21" t="s">
        <v>1668</v>
      </c>
      <c r="E1224" s="50" t="b">
        <v>1</v>
      </c>
      <c r="F1224" s="72" t="str">
        <f>HYPERLINK("http://nsgreg.nga.mil/genc/view?v=292524&amp;end_month=6&amp;end_day=30&amp;end_year=2019","Tailevu")</f>
        <v>Tailevu</v>
      </c>
      <c r="G1224" s="72" t="str">
        <f>HYPERLINK("http://api.nsgreg.nga.mil/geo-division/GENC/6/3-11/FJ-14","as:GENC:6:3-11:FJ-14")</f>
        <v>as:GENC:6:3-11:FJ-14</v>
      </c>
    </row>
    <row r="1225" spans="1:7" x14ac:dyDescent="0.25">
      <c r="A1225" s="112"/>
      <c r="B1225" s="21" t="s">
        <v>4112</v>
      </c>
      <c r="C1225" s="21" t="s">
        <v>4113</v>
      </c>
      <c r="D1225" s="76" t="s">
        <v>2264</v>
      </c>
      <c r="E1225" s="77" t="b">
        <v>0</v>
      </c>
      <c r="F1225" s="72" t="str">
        <f>HYPERLINK("http://nsgreg.nga.mil/genc/view?v=292526&amp;end_month=6&amp;end_day=30&amp;end_year=2019","Eastern")</f>
        <v>Eastern</v>
      </c>
      <c r="G1225" s="72" t="str">
        <f>HYPERLINK("http://api.nsgreg.nga.mil/geo-division/GENC/6/3-11/FJ-E","as:GENC:6:3-11:FJ-E")</f>
        <v>as:GENC:6:3-11:FJ-E</v>
      </c>
    </row>
    <row r="1226" spans="1:7" x14ac:dyDescent="0.25">
      <c r="A1226" s="112"/>
      <c r="B1226" s="21" t="s">
        <v>4114</v>
      </c>
      <c r="C1226" s="21" t="s">
        <v>4115</v>
      </c>
      <c r="D1226" s="21" t="s">
        <v>1668</v>
      </c>
      <c r="E1226" s="50" t="b">
        <v>1</v>
      </c>
      <c r="F1226" s="72" t="str">
        <f>HYPERLINK("http://nsgreg.nga.mil/genc/view?v=292514&amp;end_month=6&amp;end_day=30&amp;end_year=2019","Kadavu")</f>
        <v>Kadavu</v>
      </c>
      <c r="G1226" s="72" t="str">
        <f>HYPERLINK("http://api.nsgreg.nga.mil/geo-division/GENC/6/3-11/FJ-04","as:GENC:6:3-11:FJ-04")</f>
        <v>as:GENC:6:3-11:FJ-04</v>
      </c>
    </row>
    <row r="1227" spans="1:7" x14ac:dyDescent="0.25">
      <c r="A1227" s="112"/>
      <c r="B1227" s="21" t="s">
        <v>4116</v>
      </c>
      <c r="C1227" s="21" t="s">
        <v>4117</v>
      </c>
      <c r="D1227" s="21" t="s">
        <v>1668</v>
      </c>
      <c r="E1227" s="50" t="b">
        <v>1</v>
      </c>
      <c r="F1227" s="72" t="str">
        <f>HYPERLINK("http://nsgreg.nga.mil/genc/view?v=292515&amp;end_month=6&amp;end_day=30&amp;end_year=2019","Lau")</f>
        <v>Lau</v>
      </c>
      <c r="G1227" s="72" t="str">
        <f>HYPERLINK("http://api.nsgreg.nga.mil/geo-division/GENC/6/3-11/FJ-05","as:GENC:6:3-11:FJ-05")</f>
        <v>as:GENC:6:3-11:FJ-05</v>
      </c>
    </row>
    <row r="1228" spans="1:7" x14ac:dyDescent="0.25">
      <c r="A1228" s="112"/>
      <c r="B1228" s="21" t="s">
        <v>4118</v>
      </c>
      <c r="C1228" s="21" t="s">
        <v>4119</v>
      </c>
      <c r="D1228" s="21" t="s">
        <v>1668</v>
      </c>
      <c r="E1228" s="50" t="b">
        <v>1</v>
      </c>
      <c r="F1228" s="72" t="str">
        <f>HYPERLINK("http://nsgreg.nga.mil/genc/view?v=292516&amp;end_month=6&amp;end_day=30&amp;end_year=2019","Lomaiviti")</f>
        <v>Lomaiviti</v>
      </c>
      <c r="G1228" s="72" t="str">
        <f>HYPERLINK("http://api.nsgreg.nga.mil/geo-division/GENC/6/3-11/FJ-06","as:GENC:6:3-11:FJ-06")</f>
        <v>as:GENC:6:3-11:FJ-06</v>
      </c>
    </row>
    <row r="1229" spans="1:7" x14ac:dyDescent="0.25">
      <c r="A1229" s="112"/>
      <c r="B1229" s="21" t="s">
        <v>4120</v>
      </c>
      <c r="C1229" s="21" t="s">
        <v>4121</v>
      </c>
      <c r="D1229" s="76" t="s">
        <v>2264</v>
      </c>
      <c r="E1229" s="77" t="b">
        <v>0</v>
      </c>
      <c r="F1229" s="72" t="str">
        <f>HYPERLINK("http://nsgreg.nga.mil/genc/view?v=292527&amp;end_month=6&amp;end_day=30&amp;end_year=2019","Northern")</f>
        <v>Northern</v>
      </c>
      <c r="G1229" s="72" t="str">
        <f>HYPERLINK("http://api.nsgreg.nga.mil/geo-division/GENC/6/3-11/FJ-N","as:GENC:6:3-11:FJ-N")</f>
        <v>as:GENC:6:3-11:FJ-N</v>
      </c>
    </row>
    <row r="1230" spans="1:7" x14ac:dyDescent="0.25">
      <c r="A1230" s="112"/>
      <c r="B1230" s="21" t="s">
        <v>4122</v>
      </c>
      <c r="C1230" s="21" t="s">
        <v>4123</v>
      </c>
      <c r="D1230" s="21" t="s">
        <v>1668</v>
      </c>
      <c r="E1230" s="50" t="b">
        <v>1</v>
      </c>
      <c r="F1230" s="72" t="str">
        <f>HYPERLINK("http://nsgreg.nga.mil/genc/view?v=292512&amp;end_month=6&amp;end_day=30&amp;end_year=2019","Bua")</f>
        <v>Bua</v>
      </c>
      <c r="G1230" s="72" t="str">
        <f>HYPERLINK("http://api.nsgreg.nga.mil/geo-division/GENC/6/3-11/FJ-02","as:GENC:6:3-11:FJ-02")</f>
        <v>as:GENC:6:3-11:FJ-02</v>
      </c>
    </row>
    <row r="1231" spans="1:7" x14ac:dyDescent="0.25">
      <c r="A1231" s="112"/>
      <c r="B1231" s="21" t="s">
        <v>4124</v>
      </c>
      <c r="C1231" s="21" t="s">
        <v>4125</v>
      </c>
      <c r="D1231" s="21" t="s">
        <v>1668</v>
      </c>
      <c r="E1231" s="50" t="b">
        <v>1</v>
      </c>
      <c r="F1231" s="72" t="str">
        <f>HYPERLINK("http://nsgreg.nga.mil/genc/view?v=292513&amp;end_month=6&amp;end_day=30&amp;end_year=2019","Cakaudrove")</f>
        <v>Cakaudrove</v>
      </c>
      <c r="G1231" s="72" t="str">
        <f>HYPERLINK("http://api.nsgreg.nga.mil/geo-division/GENC/6/3-11/FJ-03","as:GENC:6:3-11:FJ-03")</f>
        <v>as:GENC:6:3-11:FJ-03</v>
      </c>
    </row>
    <row r="1232" spans="1:7" x14ac:dyDescent="0.25">
      <c r="A1232" s="112"/>
      <c r="B1232" s="21" t="s">
        <v>4126</v>
      </c>
      <c r="C1232" s="21" t="s">
        <v>4127</v>
      </c>
      <c r="D1232" s="21" t="s">
        <v>1668</v>
      </c>
      <c r="E1232" s="50" t="b">
        <v>1</v>
      </c>
      <c r="F1232" s="72" t="str">
        <f>HYPERLINK("http://nsgreg.nga.mil/genc/view?v=292517&amp;end_month=6&amp;end_day=30&amp;end_year=2019","Macuata")</f>
        <v>Macuata</v>
      </c>
      <c r="G1232" s="72" t="str">
        <f>HYPERLINK("http://api.nsgreg.nga.mil/geo-division/GENC/6/3-11/FJ-07","as:GENC:6:3-11:FJ-07")</f>
        <v>as:GENC:6:3-11:FJ-07</v>
      </c>
    </row>
    <row r="1233" spans="1:7" x14ac:dyDescent="0.25">
      <c r="A1233" s="112"/>
      <c r="B1233" s="21" t="s">
        <v>4128</v>
      </c>
      <c r="C1233" s="21" t="s">
        <v>4129</v>
      </c>
      <c r="D1233" s="21" t="s">
        <v>1909</v>
      </c>
      <c r="E1233" s="50" t="b">
        <v>1</v>
      </c>
      <c r="F1233" s="72" t="str">
        <f>HYPERLINK("http://nsgreg.nga.mil/genc/view?v=292528&amp;end_month=6&amp;end_day=30&amp;end_year=2019","Rotuma")</f>
        <v>Rotuma</v>
      </c>
      <c r="G1233" s="72" t="str">
        <f>HYPERLINK("http://api.nsgreg.nga.mil/geo-division/GENC/6/3-11/FJ-R","as:GENC:6:3-11:FJ-R")</f>
        <v>as:GENC:6:3-11:FJ-R</v>
      </c>
    </row>
    <row r="1234" spans="1:7" x14ac:dyDescent="0.25">
      <c r="A1234" s="112"/>
      <c r="B1234" s="21" t="s">
        <v>4130</v>
      </c>
      <c r="C1234" s="21" t="s">
        <v>4131</v>
      </c>
      <c r="D1234" s="76" t="s">
        <v>2264</v>
      </c>
      <c r="E1234" s="77" t="b">
        <v>0</v>
      </c>
      <c r="F1234" s="72" t="str">
        <f>HYPERLINK("http://nsgreg.nga.mil/genc/view?v=292529&amp;end_month=6&amp;end_day=30&amp;end_year=2019","Western")</f>
        <v>Western</v>
      </c>
      <c r="G1234" s="72" t="str">
        <f>HYPERLINK("http://api.nsgreg.nga.mil/geo-division/GENC/6/3-11/FJ-W","as:GENC:6:3-11:FJ-W")</f>
        <v>as:GENC:6:3-11:FJ-W</v>
      </c>
    </row>
    <row r="1235" spans="1:7" x14ac:dyDescent="0.25">
      <c r="A1235" s="112"/>
      <c r="B1235" s="21" t="s">
        <v>4132</v>
      </c>
      <c r="C1235" s="21" t="s">
        <v>4133</v>
      </c>
      <c r="D1235" s="21" t="s">
        <v>1668</v>
      </c>
      <c r="E1235" s="50" t="b">
        <v>1</v>
      </c>
      <c r="F1235" s="72" t="str">
        <f>HYPERLINK("http://nsgreg.nga.mil/genc/view?v=292511&amp;end_month=6&amp;end_day=30&amp;end_year=2019","Ba")</f>
        <v>Ba</v>
      </c>
      <c r="G1235" s="72" t="str">
        <f>HYPERLINK("http://api.nsgreg.nga.mil/geo-division/GENC/6/3-11/FJ-01","as:GENC:6:3-11:FJ-01")</f>
        <v>as:GENC:6:3-11:FJ-01</v>
      </c>
    </row>
    <row r="1236" spans="1:7" x14ac:dyDescent="0.25">
      <c r="A1236" s="112"/>
      <c r="B1236" s="21" t="s">
        <v>4134</v>
      </c>
      <c r="C1236" s="21" t="s">
        <v>4135</v>
      </c>
      <c r="D1236" s="21" t="s">
        <v>1668</v>
      </c>
      <c r="E1236" s="50" t="b">
        <v>1</v>
      </c>
      <c r="F1236" s="72" t="str">
        <f>HYPERLINK("http://nsgreg.nga.mil/genc/view?v=292518&amp;end_month=6&amp;end_day=30&amp;end_year=2019","Nadroga and Navosa")</f>
        <v>Nadroga and Navosa</v>
      </c>
      <c r="G1236" s="72" t="str">
        <f>HYPERLINK("http://api.nsgreg.nga.mil/geo-division/GENC/6/3-11/FJ-08","as:GENC:6:3-11:FJ-08")</f>
        <v>as:GENC:6:3-11:FJ-08</v>
      </c>
    </row>
    <row r="1237" spans="1:7" x14ac:dyDescent="0.25">
      <c r="A1237" s="113"/>
      <c r="B1237" s="47" t="s">
        <v>4136</v>
      </c>
      <c r="C1237" s="47" t="s">
        <v>4137</v>
      </c>
      <c r="D1237" s="47" t="s">
        <v>1668</v>
      </c>
      <c r="E1237" s="51" t="b">
        <v>1</v>
      </c>
      <c r="F1237" s="73" t="str">
        <f>HYPERLINK("http://nsgreg.nga.mil/genc/view?v=292521&amp;end_month=6&amp;end_day=30&amp;end_year=2019","Ra")</f>
        <v>Ra</v>
      </c>
      <c r="G1237" s="73" t="str">
        <f>HYPERLINK("http://api.nsgreg.nga.mil/geo-division/GENC/6/3-11/FJ-11","as:GENC:6:3-11:FJ-11")</f>
        <v>as:GENC:6:3-11:FJ-11</v>
      </c>
    </row>
    <row r="1238" spans="1:7" x14ac:dyDescent="0.25">
      <c r="A1238" s="111" t="str">
        <f>HYPERLINK("[#]Codes_for_GE_Names!A94:I94","FINLAND")</f>
        <v>FINLAND</v>
      </c>
      <c r="B1238" s="42" t="s">
        <v>4138</v>
      </c>
      <c r="C1238" s="42" t="s">
        <v>4139</v>
      </c>
      <c r="D1238" s="42" t="s">
        <v>1975</v>
      </c>
      <c r="E1238" s="49" t="b">
        <v>1</v>
      </c>
      <c r="F1238" s="74" t="str">
        <f>HYPERLINK("http://nsgreg.nga.mil/genc/view?v=292492&amp;end_month=6&amp;end_day=30&amp;end_year=2019","Åland")</f>
        <v>Åland</v>
      </c>
      <c r="G1238" s="74" t="str">
        <f>HYPERLINK("http://api.nsgreg.nga.mil/geo-division/GENC/6/3-11/FI-01","as:GENC:6:3-11:FI-01")</f>
        <v>as:GENC:6:3-11:FI-01</v>
      </c>
    </row>
    <row r="1239" spans="1:7" x14ac:dyDescent="0.25">
      <c r="A1239" s="112"/>
      <c r="B1239" s="21" t="s">
        <v>4140</v>
      </c>
      <c r="C1239" s="21" t="s">
        <v>4141</v>
      </c>
      <c r="D1239" s="21" t="s">
        <v>1975</v>
      </c>
      <c r="E1239" s="50" t="b">
        <v>1</v>
      </c>
      <c r="F1239" s="72" t="str">
        <f>HYPERLINK("http://nsgreg.nga.mil/genc/view?v=292493&amp;end_month=6&amp;end_day=30&amp;end_year=2019","Etelä-Karjala")</f>
        <v>Etelä-Karjala</v>
      </c>
      <c r="G1239" s="72" t="str">
        <f>HYPERLINK("http://api.nsgreg.nga.mil/geo-division/GENC/6/3-11/FI-02","as:GENC:6:3-11:FI-02")</f>
        <v>as:GENC:6:3-11:FI-02</v>
      </c>
    </row>
    <row r="1240" spans="1:7" x14ac:dyDescent="0.25">
      <c r="A1240" s="112"/>
      <c r="B1240" s="21" t="s">
        <v>4142</v>
      </c>
      <c r="C1240" s="21" t="s">
        <v>4143</v>
      </c>
      <c r="D1240" s="21" t="s">
        <v>1975</v>
      </c>
      <c r="E1240" s="50" t="b">
        <v>1</v>
      </c>
      <c r="F1240" s="72" t="str">
        <f>HYPERLINK("http://nsgreg.nga.mil/genc/view?v=292494&amp;end_month=6&amp;end_day=30&amp;end_year=2019","Etelä-Pohjanmaa")</f>
        <v>Etelä-Pohjanmaa</v>
      </c>
      <c r="G1240" s="72" t="str">
        <f>HYPERLINK("http://api.nsgreg.nga.mil/geo-division/GENC/6/3-11/FI-03","as:GENC:6:3-11:FI-03")</f>
        <v>as:GENC:6:3-11:FI-03</v>
      </c>
    </row>
    <row r="1241" spans="1:7" x14ac:dyDescent="0.25">
      <c r="A1241" s="112"/>
      <c r="B1241" s="21" t="s">
        <v>4144</v>
      </c>
      <c r="C1241" s="21" t="s">
        <v>4145</v>
      </c>
      <c r="D1241" s="21" t="s">
        <v>1975</v>
      </c>
      <c r="E1241" s="50" t="b">
        <v>1</v>
      </c>
      <c r="F1241" s="72" t="str">
        <f>HYPERLINK("http://nsgreg.nga.mil/genc/view?v=292495&amp;end_month=6&amp;end_day=30&amp;end_year=2019","Etelä-Savo")</f>
        <v>Etelä-Savo</v>
      </c>
      <c r="G1241" s="72" t="str">
        <f>HYPERLINK("http://api.nsgreg.nga.mil/geo-division/GENC/6/3-11/FI-04","as:GENC:6:3-11:FI-04")</f>
        <v>as:GENC:6:3-11:FI-04</v>
      </c>
    </row>
    <row r="1242" spans="1:7" x14ac:dyDescent="0.25">
      <c r="A1242" s="112"/>
      <c r="B1242" s="21" t="s">
        <v>4146</v>
      </c>
      <c r="C1242" s="21" t="s">
        <v>4147</v>
      </c>
      <c r="D1242" s="21" t="s">
        <v>1975</v>
      </c>
      <c r="E1242" s="50" t="b">
        <v>1</v>
      </c>
      <c r="F1242" s="72" t="str">
        <f>HYPERLINK("http://nsgreg.nga.mil/genc/view?v=292496&amp;end_month=6&amp;end_day=30&amp;end_year=2019","Kainuu")</f>
        <v>Kainuu</v>
      </c>
      <c r="G1242" s="72" t="str">
        <f>HYPERLINK("http://api.nsgreg.nga.mil/geo-division/GENC/6/3-11/FI-05","as:GENC:6:3-11:FI-05")</f>
        <v>as:GENC:6:3-11:FI-05</v>
      </c>
    </row>
    <row r="1243" spans="1:7" x14ac:dyDescent="0.25">
      <c r="A1243" s="112"/>
      <c r="B1243" s="21" t="s">
        <v>4148</v>
      </c>
      <c r="C1243" s="21" t="s">
        <v>4149</v>
      </c>
      <c r="D1243" s="21" t="s">
        <v>1975</v>
      </c>
      <c r="E1243" s="50" t="b">
        <v>1</v>
      </c>
      <c r="F1243" s="72" t="str">
        <f>HYPERLINK("http://nsgreg.nga.mil/genc/view?v=292497&amp;end_month=6&amp;end_day=30&amp;end_year=2019","Kanta-Häme")</f>
        <v>Kanta-Häme</v>
      </c>
      <c r="G1243" s="72" t="str">
        <f>HYPERLINK("http://api.nsgreg.nga.mil/geo-division/GENC/6/3-11/FI-06","as:GENC:6:3-11:FI-06")</f>
        <v>as:GENC:6:3-11:FI-06</v>
      </c>
    </row>
    <row r="1244" spans="1:7" x14ac:dyDescent="0.25">
      <c r="A1244" s="112"/>
      <c r="B1244" s="21" t="s">
        <v>4150</v>
      </c>
      <c r="C1244" s="21" t="s">
        <v>4151</v>
      </c>
      <c r="D1244" s="21" t="s">
        <v>1975</v>
      </c>
      <c r="E1244" s="50" t="b">
        <v>1</v>
      </c>
      <c r="F1244" s="72" t="str">
        <f>HYPERLINK("http://nsgreg.nga.mil/genc/view?v=292498&amp;end_month=6&amp;end_day=30&amp;end_year=2019","Keski-Pohjanmaa")</f>
        <v>Keski-Pohjanmaa</v>
      </c>
      <c r="G1244" s="72" t="str">
        <f>HYPERLINK("http://api.nsgreg.nga.mil/geo-division/GENC/6/3-11/FI-07","as:GENC:6:3-11:FI-07")</f>
        <v>as:GENC:6:3-11:FI-07</v>
      </c>
    </row>
    <row r="1245" spans="1:7" x14ac:dyDescent="0.25">
      <c r="A1245" s="112"/>
      <c r="B1245" s="21" t="s">
        <v>4152</v>
      </c>
      <c r="C1245" s="21" t="s">
        <v>4153</v>
      </c>
      <c r="D1245" s="21" t="s">
        <v>1975</v>
      </c>
      <c r="E1245" s="50" t="b">
        <v>1</v>
      </c>
      <c r="F1245" s="72" t="str">
        <f>HYPERLINK("http://nsgreg.nga.mil/genc/view?v=292499&amp;end_month=6&amp;end_day=30&amp;end_year=2019","Keski-Suomi")</f>
        <v>Keski-Suomi</v>
      </c>
      <c r="G1245" s="72" t="str">
        <f>HYPERLINK("http://api.nsgreg.nga.mil/geo-division/GENC/6/3-11/FI-08","as:GENC:6:3-11:FI-08")</f>
        <v>as:GENC:6:3-11:FI-08</v>
      </c>
    </row>
    <row r="1246" spans="1:7" x14ac:dyDescent="0.25">
      <c r="A1246" s="112"/>
      <c r="B1246" s="21" t="s">
        <v>4154</v>
      </c>
      <c r="C1246" s="21" t="s">
        <v>4155</v>
      </c>
      <c r="D1246" s="21" t="s">
        <v>1975</v>
      </c>
      <c r="E1246" s="50" t="b">
        <v>1</v>
      </c>
      <c r="F1246" s="72" t="str">
        <f>HYPERLINK("http://nsgreg.nga.mil/genc/view?v=292500&amp;end_month=6&amp;end_day=30&amp;end_year=2019","Kymenlaakso")</f>
        <v>Kymenlaakso</v>
      </c>
      <c r="G1246" s="72" t="str">
        <f>HYPERLINK("http://api.nsgreg.nga.mil/geo-division/GENC/6/3-11/FI-09","as:GENC:6:3-11:FI-09")</f>
        <v>as:GENC:6:3-11:FI-09</v>
      </c>
    </row>
    <row r="1247" spans="1:7" x14ac:dyDescent="0.25">
      <c r="A1247" s="112"/>
      <c r="B1247" s="21" t="s">
        <v>4156</v>
      </c>
      <c r="C1247" s="21" t="s">
        <v>4157</v>
      </c>
      <c r="D1247" s="21" t="s">
        <v>1975</v>
      </c>
      <c r="E1247" s="50" t="b">
        <v>1</v>
      </c>
      <c r="F1247" s="72" t="str">
        <f>HYPERLINK("http://nsgreg.nga.mil/genc/view?v=292501&amp;end_month=6&amp;end_day=30&amp;end_year=2019","Lappi")</f>
        <v>Lappi</v>
      </c>
      <c r="G1247" s="72" t="str">
        <f>HYPERLINK("http://api.nsgreg.nga.mil/geo-division/GENC/6/3-11/FI-10","as:GENC:6:3-11:FI-10")</f>
        <v>as:GENC:6:3-11:FI-10</v>
      </c>
    </row>
    <row r="1248" spans="1:7" x14ac:dyDescent="0.25">
      <c r="A1248" s="112"/>
      <c r="B1248" s="21" t="s">
        <v>4158</v>
      </c>
      <c r="C1248" s="21" t="s">
        <v>4159</v>
      </c>
      <c r="D1248" s="21" t="s">
        <v>1975</v>
      </c>
      <c r="E1248" s="50" t="b">
        <v>1</v>
      </c>
      <c r="F1248" s="72" t="str">
        <f>HYPERLINK("http://nsgreg.nga.mil/genc/view?v=292507&amp;end_month=6&amp;end_day=30&amp;end_year=2019","Päijät-Häme")</f>
        <v>Päijät-Häme</v>
      </c>
      <c r="G1248" s="72" t="str">
        <f>HYPERLINK("http://api.nsgreg.nga.mil/geo-division/GENC/6/3-11/FI-16","as:GENC:6:3-11:FI-16")</f>
        <v>as:GENC:6:3-11:FI-16</v>
      </c>
    </row>
    <row r="1249" spans="1:7" x14ac:dyDescent="0.25">
      <c r="A1249" s="112"/>
      <c r="B1249" s="21" t="s">
        <v>4160</v>
      </c>
      <c r="C1249" s="21" t="s">
        <v>4161</v>
      </c>
      <c r="D1249" s="21" t="s">
        <v>1975</v>
      </c>
      <c r="E1249" s="50" t="b">
        <v>1</v>
      </c>
      <c r="F1249" s="72" t="str">
        <f>HYPERLINK("http://nsgreg.nga.mil/genc/view?v=292502&amp;end_month=6&amp;end_day=30&amp;end_year=2019","Pirkanmaa")</f>
        <v>Pirkanmaa</v>
      </c>
      <c r="G1249" s="72" t="str">
        <f>HYPERLINK("http://api.nsgreg.nga.mil/geo-division/GENC/6/3-11/FI-11","as:GENC:6:3-11:FI-11")</f>
        <v>as:GENC:6:3-11:FI-11</v>
      </c>
    </row>
    <row r="1250" spans="1:7" x14ac:dyDescent="0.25">
      <c r="A1250" s="112"/>
      <c r="B1250" s="21" t="s">
        <v>4162</v>
      </c>
      <c r="C1250" s="21" t="s">
        <v>4163</v>
      </c>
      <c r="D1250" s="21" t="s">
        <v>1975</v>
      </c>
      <c r="E1250" s="50" t="b">
        <v>1</v>
      </c>
      <c r="F1250" s="72" t="str">
        <f>HYPERLINK("http://nsgreg.nga.mil/genc/view?v=292503&amp;end_month=6&amp;end_day=30&amp;end_year=2019","Pohjanmaa")</f>
        <v>Pohjanmaa</v>
      </c>
      <c r="G1250" s="72" t="str">
        <f>HYPERLINK("http://api.nsgreg.nga.mil/geo-division/GENC/6/3-11/FI-12","as:GENC:6:3-11:FI-12")</f>
        <v>as:GENC:6:3-11:FI-12</v>
      </c>
    </row>
    <row r="1251" spans="1:7" x14ac:dyDescent="0.25">
      <c r="A1251" s="112"/>
      <c r="B1251" s="21" t="s">
        <v>4164</v>
      </c>
      <c r="C1251" s="21" t="s">
        <v>4165</v>
      </c>
      <c r="D1251" s="21" t="s">
        <v>1975</v>
      </c>
      <c r="E1251" s="50" t="b">
        <v>1</v>
      </c>
      <c r="F1251" s="72" t="str">
        <f>HYPERLINK("http://nsgreg.nga.mil/genc/view?v=292504&amp;end_month=6&amp;end_day=30&amp;end_year=2019","Pohjois-Karjala")</f>
        <v>Pohjois-Karjala</v>
      </c>
      <c r="G1251" s="72" t="str">
        <f>HYPERLINK("http://api.nsgreg.nga.mil/geo-division/GENC/6/3-11/FI-13","as:GENC:6:3-11:FI-13")</f>
        <v>as:GENC:6:3-11:FI-13</v>
      </c>
    </row>
    <row r="1252" spans="1:7" x14ac:dyDescent="0.25">
      <c r="A1252" s="112"/>
      <c r="B1252" s="21" t="s">
        <v>4166</v>
      </c>
      <c r="C1252" s="21" t="s">
        <v>4167</v>
      </c>
      <c r="D1252" s="21" t="s">
        <v>1975</v>
      </c>
      <c r="E1252" s="50" t="b">
        <v>1</v>
      </c>
      <c r="F1252" s="72" t="str">
        <f>HYPERLINK("http://nsgreg.nga.mil/genc/view?v=292505&amp;end_month=6&amp;end_day=30&amp;end_year=2019","Pohjois-Pohjanmaa")</f>
        <v>Pohjois-Pohjanmaa</v>
      </c>
      <c r="G1252" s="72" t="str">
        <f>HYPERLINK("http://api.nsgreg.nga.mil/geo-division/GENC/6/3-11/FI-14","as:GENC:6:3-11:FI-14")</f>
        <v>as:GENC:6:3-11:FI-14</v>
      </c>
    </row>
    <row r="1253" spans="1:7" x14ac:dyDescent="0.25">
      <c r="A1253" s="112"/>
      <c r="B1253" s="21" t="s">
        <v>4168</v>
      </c>
      <c r="C1253" s="21" t="s">
        <v>4169</v>
      </c>
      <c r="D1253" s="21" t="s">
        <v>1975</v>
      </c>
      <c r="E1253" s="50" t="b">
        <v>1</v>
      </c>
      <c r="F1253" s="72" t="str">
        <f>HYPERLINK("http://nsgreg.nga.mil/genc/view?v=292506&amp;end_month=6&amp;end_day=30&amp;end_year=2019","Pohjois-Savo")</f>
        <v>Pohjois-Savo</v>
      </c>
      <c r="G1253" s="72" t="str">
        <f>HYPERLINK("http://api.nsgreg.nga.mil/geo-division/GENC/6/3-11/FI-15","as:GENC:6:3-11:FI-15")</f>
        <v>as:GENC:6:3-11:FI-15</v>
      </c>
    </row>
    <row r="1254" spans="1:7" x14ac:dyDescent="0.25">
      <c r="A1254" s="112"/>
      <c r="B1254" s="21" t="s">
        <v>4170</v>
      </c>
      <c r="C1254" s="21" t="s">
        <v>4171</v>
      </c>
      <c r="D1254" s="21" t="s">
        <v>1975</v>
      </c>
      <c r="E1254" s="50" t="b">
        <v>1</v>
      </c>
      <c r="F1254" s="72" t="str">
        <f>HYPERLINK("http://nsgreg.nga.mil/genc/view?v=292508&amp;end_month=6&amp;end_day=30&amp;end_year=2019","Satakunta")</f>
        <v>Satakunta</v>
      </c>
      <c r="G1254" s="72" t="str">
        <f>HYPERLINK("http://api.nsgreg.nga.mil/geo-division/GENC/6/3-11/FI-17","as:GENC:6:3-11:FI-17")</f>
        <v>as:GENC:6:3-11:FI-17</v>
      </c>
    </row>
    <row r="1255" spans="1:7" x14ac:dyDescent="0.25">
      <c r="A1255" s="112"/>
      <c r="B1255" s="21" t="s">
        <v>4172</v>
      </c>
      <c r="C1255" s="21" t="s">
        <v>4173</v>
      </c>
      <c r="D1255" s="21" t="s">
        <v>1975</v>
      </c>
      <c r="E1255" s="50" t="b">
        <v>1</v>
      </c>
      <c r="F1255" s="72" t="str">
        <f>HYPERLINK("http://nsgreg.nga.mil/genc/view?v=292509&amp;end_month=6&amp;end_day=30&amp;end_year=2019","Uusimaa")</f>
        <v>Uusimaa</v>
      </c>
      <c r="G1255" s="72" t="str">
        <f>HYPERLINK("http://api.nsgreg.nga.mil/geo-division/GENC/6/3-11/FI-18","as:GENC:6:3-11:FI-18")</f>
        <v>as:GENC:6:3-11:FI-18</v>
      </c>
    </row>
    <row r="1256" spans="1:7" x14ac:dyDescent="0.25">
      <c r="A1256" s="113"/>
      <c r="B1256" s="47" t="s">
        <v>4174</v>
      </c>
      <c r="C1256" s="47" t="s">
        <v>4175</v>
      </c>
      <c r="D1256" s="47" t="s">
        <v>1975</v>
      </c>
      <c r="E1256" s="51" t="b">
        <v>1</v>
      </c>
      <c r="F1256" s="73" t="str">
        <f>HYPERLINK("http://nsgreg.nga.mil/genc/view?v=292510&amp;end_month=6&amp;end_day=30&amp;end_year=2019","Varsinais-Suomi")</f>
        <v>Varsinais-Suomi</v>
      </c>
      <c r="G1256" s="73" t="str">
        <f>HYPERLINK("http://api.nsgreg.nga.mil/geo-division/GENC/6/3-11/FI-19","as:GENC:6:3-11:FI-19")</f>
        <v>as:GENC:6:3-11:FI-19</v>
      </c>
    </row>
    <row r="1257" spans="1:7" x14ac:dyDescent="0.25">
      <c r="A1257" s="111" t="str">
        <f>HYPERLINK("[#]Codes_for_GE_Names!A95:I95","FRANCE")</f>
        <v>FRANCE</v>
      </c>
      <c r="B1257" s="42" t="s">
        <v>4176</v>
      </c>
      <c r="C1257" s="42" t="s">
        <v>4177</v>
      </c>
      <c r="D1257" s="42" t="s">
        <v>1975</v>
      </c>
      <c r="E1257" s="49" t="b">
        <v>1</v>
      </c>
      <c r="F1257" s="74" t="str">
        <f>HYPERLINK("http://nsgreg.nga.mil/genc/view?v=292659&amp;end_month=6&amp;end_day=30&amp;end_year=2019","Auvergne-Rhône-Alpes")</f>
        <v>Auvergne-Rhône-Alpes</v>
      </c>
      <c r="G1257" s="74" t="str">
        <f>HYPERLINK("http://api.nsgreg.nga.mil/geo-division/GENC/6/3-11/FR-ARA","as:GENC:6:3-11:FR-ARA")</f>
        <v>as:GENC:6:3-11:FR-ARA</v>
      </c>
    </row>
    <row r="1258" spans="1:7" x14ac:dyDescent="0.25">
      <c r="A1258" s="112"/>
      <c r="B1258" s="21" t="s">
        <v>4178</v>
      </c>
      <c r="C1258" s="21" t="s">
        <v>4179</v>
      </c>
      <c r="D1258" s="76" t="s">
        <v>2478</v>
      </c>
      <c r="E1258" s="77" t="b">
        <v>0</v>
      </c>
      <c r="F1258" s="72" t="str">
        <f>HYPERLINK("http://nsgreg.nga.mil/genc/view?v=292563&amp;end_month=6&amp;end_day=30&amp;end_year=2019","Ain")</f>
        <v>Ain</v>
      </c>
      <c r="G1258" s="72" t="str">
        <f>HYPERLINK("http://api.nsgreg.nga.mil/geo-division/GENC/6/3-11/FR-01","as:GENC:6:3-11:FR-01")</f>
        <v>as:GENC:6:3-11:FR-01</v>
      </c>
    </row>
    <row r="1259" spans="1:7" x14ac:dyDescent="0.25">
      <c r="A1259" s="112"/>
      <c r="B1259" s="21" t="s">
        <v>4180</v>
      </c>
      <c r="C1259" s="21" t="s">
        <v>4181</v>
      </c>
      <c r="D1259" s="76" t="s">
        <v>2478</v>
      </c>
      <c r="E1259" s="77" t="b">
        <v>0</v>
      </c>
      <c r="F1259" s="72" t="str">
        <f>HYPERLINK("http://nsgreg.nga.mil/genc/view?v=292565&amp;end_month=6&amp;end_day=30&amp;end_year=2019","Allier")</f>
        <v>Allier</v>
      </c>
      <c r="G1259" s="72" t="str">
        <f>HYPERLINK("http://api.nsgreg.nga.mil/geo-division/GENC/6/3-11/FR-03","as:GENC:6:3-11:FR-03")</f>
        <v>as:GENC:6:3-11:FR-03</v>
      </c>
    </row>
    <row r="1260" spans="1:7" x14ac:dyDescent="0.25">
      <c r="A1260" s="112"/>
      <c r="B1260" s="21" t="s">
        <v>4182</v>
      </c>
      <c r="C1260" s="21" t="s">
        <v>4183</v>
      </c>
      <c r="D1260" s="76" t="s">
        <v>2478</v>
      </c>
      <c r="E1260" s="77" t="b">
        <v>0</v>
      </c>
      <c r="F1260" s="72" t="str">
        <f>HYPERLINK("http://nsgreg.nga.mil/genc/view?v=292569&amp;end_month=6&amp;end_day=30&amp;end_year=2019","Ardèche")</f>
        <v>Ardèche</v>
      </c>
      <c r="G1260" s="72" t="str">
        <f>HYPERLINK("http://api.nsgreg.nga.mil/geo-division/GENC/6/3-11/FR-07","as:GENC:6:3-11:FR-07")</f>
        <v>as:GENC:6:3-11:FR-07</v>
      </c>
    </row>
    <row r="1261" spans="1:7" x14ac:dyDescent="0.25">
      <c r="A1261" s="112"/>
      <c r="B1261" s="21" t="s">
        <v>4184</v>
      </c>
      <c r="C1261" s="21" t="s">
        <v>4185</v>
      </c>
      <c r="D1261" s="76" t="s">
        <v>2478</v>
      </c>
      <c r="E1261" s="77" t="b">
        <v>0</v>
      </c>
      <c r="F1261" s="72" t="str">
        <f>HYPERLINK("http://nsgreg.nga.mil/genc/view?v=292577&amp;end_month=6&amp;end_day=30&amp;end_year=2019","Cantal")</f>
        <v>Cantal</v>
      </c>
      <c r="G1261" s="72" t="str">
        <f>HYPERLINK("http://api.nsgreg.nga.mil/geo-division/GENC/6/3-11/FR-15","as:GENC:6:3-11:FR-15")</f>
        <v>as:GENC:6:3-11:FR-15</v>
      </c>
    </row>
    <row r="1262" spans="1:7" x14ac:dyDescent="0.25">
      <c r="A1262" s="112"/>
      <c r="B1262" s="21" t="s">
        <v>4186</v>
      </c>
      <c r="C1262" s="21" t="s">
        <v>4187</v>
      </c>
      <c r="D1262" s="76" t="s">
        <v>2478</v>
      </c>
      <c r="E1262" s="77" t="b">
        <v>0</v>
      </c>
      <c r="F1262" s="72" t="str">
        <f>HYPERLINK("http://nsgreg.nga.mil/genc/view?v=292587&amp;end_month=6&amp;end_day=30&amp;end_year=2019","Drôme")</f>
        <v>Drôme</v>
      </c>
      <c r="G1262" s="72" t="str">
        <f>HYPERLINK("http://api.nsgreg.nga.mil/geo-division/GENC/6/3-11/FR-26","as:GENC:6:3-11:FR-26")</f>
        <v>as:GENC:6:3-11:FR-26</v>
      </c>
    </row>
    <row r="1263" spans="1:7" x14ac:dyDescent="0.25">
      <c r="A1263" s="112"/>
      <c r="B1263" s="21" t="s">
        <v>4188</v>
      </c>
      <c r="C1263" s="21" t="s">
        <v>4189</v>
      </c>
      <c r="D1263" s="76" t="s">
        <v>2478</v>
      </c>
      <c r="E1263" s="77" t="b">
        <v>0</v>
      </c>
      <c r="F1263" s="72" t="str">
        <f>HYPERLINK("http://nsgreg.nga.mil/genc/view?v=292606&amp;end_month=6&amp;end_day=30&amp;end_year=2019","Haute-Loire")</f>
        <v>Haute-Loire</v>
      </c>
      <c r="G1263" s="72" t="str">
        <f>HYPERLINK("http://api.nsgreg.nga.mil/geo-division/GENC/6/3-11/FR-43","as:GENC:6:3-11:FR-43")</f>
        <v>as:GENC:6:3-11:FR-43</v>
      </c>
    </row>
    <row r="1264" spans="1:7" x14ac:dyDescent="0.25">
      <c r="A1264" s="112"/>
      <c r="B1264" s="21" t="s">
        <v>4190</v>
      </c>
      <c r="C1264" s="21" t="s">
        <v>4191</v>
      </c>
      <c r="D1264" s="76" t="s">
        <v>2478</v>
      </c>
      <c r="E1264" s="77" t="b">
        <v>0</v>
      </c>
      <c r="F1264" s="72" t="str">
        <f>HYPERLINK("http://nsgreg.nga.mil/genc/view?v=292637&amp;end_month=6&amp;end_day=30&amp;end_year=2019","Haute-Savoie")</f>
        <v>Haute-Savoie</v>
      </c>
      <c r="G1264" s="72" t="str">
        <f>HYPERLINK("http://api.nsgreg.nga.mil/geo-division/GENC/6/3-11/FR-74","as:GENC:6:3-11:FR-74")</f>
        <v>as:GENC:6:3-11:FR-74</v>
      </c>
    </row>
    <row r="1265" spans="1:7" x14ac:dyDescent="0.25">
      <c r="A1265" s="112"/>
      <c r="B1265" s="21" t="s">
        <v>4192</v>
      </c>
      <c r="C1265" s="21" t="s">
        <v>4193</v>
      </c>
      <c r="D1265" s="76" t="s">
        <v>2478</v>
      </c>
      <c r="E1265" s="77" t="b">
        <v>0</v>
      </c>
      <c r="F1265" s="72" t="str">
        <f>HYPERLINK("http://nsgreg.nga.mil/genc/view?v=292601&amp;end_month=6&amp;end_day=30&amp;end_year=2019","Isère")</f>
        <v>Isère</v>
      </c>
      <c r="G1265" s="72" t="str">
        <f>HYPERLINK("http://api.nsgreg.nga.mil/geo-division/GENC/6/3-11/FR-38","as:GENC:6:3-11:FR-38")</f>
        <v>as:GENC:6:3-11:FR-38</v>
      </c>
    </row>
    <row r="1266" spans="1:7" x14ac:dyDescent="0.25">
      <c r="A1266" s="112"/>
      <c r="B1266" s="21" t="s">
        <v>4194</v>
      </c>
      <c r="C1266" s="21" t="s">
        <v>4195</v>
      </c>
      <c r="D1266" s="76" t="s">
        <v>2478</v>
      </c>
      <c r="E1266" s="77" t="b">
        <v>0</v>
      </c>
      <c r="F1266" s="72" t="str">
        <f>HYPERLINK("http://nsgreg.nga.mil/genc/view?v=292605&amp;end_month=6&amp;end_day=30&amp;end_year=2019","Loire")</f>
        <v>Loire</v>
      </c>
      <c r="G1266" s="72" t="str">
        <f>HYPERLINK("http://api.nsgreg.nga.mil/geo-division/GENC/6/3-11/FR-42","as:GENC:6:3-11:FR-42")</f>
        <v>as:GENC:6:3-11:FR-42</v>
      </c>
    </row>
    <row r="1267" spans="1:7" x14ac:dyDescent="0.25">
      <c r="A1267" s="112"/>
      <c r="B1267" s="21" t="s">
        <v>4196</v>
      </c>
      <c r="C1267" s="21" t="s">
        <v>4197</v>
      </c>
      <c r="D1267" s="76" t="s">
        <v>2478</v>
      </c>
      <c r="E1267" s="77" t="b">
        <v>0</v>
      </c>
      <c r="F1267" s="72" t="str">
        <f>HYPERLINK("http://nsgreg.nga.mil/genc/view?v=292626&amp;end_month=6&amp;end_day=30&amp;end_year=2019","Puy-de-Dôme")</f>
        <v>Puy-de-Dôme</v>
      </c>
      <c r="G1267" s="72" t="str">
        <f>HYPERLINK("http://api.nsgreg.nga.mil/geo-division/GENC/6/3-11/FR-63","as:GENC:6:3-11:FR-63")</f>
        <v>as:GENC:6:3-11:FR-63</v>
      </c>
    </row>
    <row r="1268" spans="1:7" x14ac:dyDescent="0.25">
      <c r="A1268" s="112"/>
      <c r="B1268" s="21" t="s">
        <v>4198</v>
      </c>
      <c r="C1268" s="21" t="s">
        <v>4199</v>
      </c>
      <c r="D1268" s="76" t="s">
        <v>2478</v>
      </c>
      <c r="E1268" s="77" t="b">
        <v>0</v>
      </c>
      <c r="F1268" s="72" t="str">
        <f>HYPERLINK("http://nsgreg.nga.mil/genc/view?v=292632&amp;end_month=6&amp;end_day=30&amp;end_year=2019","Rhône")</f>
        <v>Rhône</v>
      </c>
      <c r="G1268" s="72" t="str">
        <f>HYPERLINK("http://api.nsgreg.nga.mil/geo-division/GENC/6/3-11/FR-69","as:GENC:6:3-11:FR-69")</f>
        <v>as:GENC:6:3-11:FR-69</v>
      </c>
    </row>
    <row r="1269" spans="1:7" x14ac:dyDescent="0.25">
      <c r="A1269" s="112"/>
      <c r="B1269" s="21" t="s">
        <v>4200</v>
      </c>
      <c r="C1269" s="21" t="s">
        <v>4201</v>
      </c>
      <c r="D1269" s="76" t="s">
        <v>2478</v>
      </c>
      <c r="E1269" s="77" t="b">
        <v>0</v>
      </c>
      <c r="F1269" s="72" t="str">
        <f>HYPERLINK("http://nsgreg.nga.mil/genc/view?v=292636&amp;end_month=6&amp;end_day=30&amp;end_year=2019","Savoie")</f>
        <v>Savoie</v>
      </c>
      <c r="G1269" s="72" t="str">
        <f>HYPERLINK("http://api.nsgreg.nga.mil/geo-division/GENC/6/3-11/FR-73","as:GENC:6:3-11:FR-73")</f>
        <v>as:GENC:6:3-11:FR-73</v>
      </c>
    </row>
    <row r="1270" spans="1:7" x14ac:dyDescent="0.25">
      <c r="A1270" s="112"/>
      <c r="B1270" s="21" t="s">
        <v>4202</v>
      </c>
      <c r="C1270" s="21" t="s">
        <v>4203</v>
      </c>
      <c r="D1270" s="21" t="s">
        <v>1975</v>
      </c>
      <c r="E1270" s="50" t="b">
        <v>1</v>
      </c>
      <c r="F1270" s="72" t="str">
        <f>HYPERLINK("http://nsgreg.nga.mil/genc/view?v=292660&amp;end_month=6&amp;end_day=30&amp;end_year=2019","Bourgogne-Franche-Comté")</f>
        <v>Bourgogne-Franche-Comté</v>
      </c>
      <c r="G1270" s="72" t="str">
        <f>HYPERLINK("http://api.nsgreg.nga.mil/geo-division/GENC/6/3-11/FR-BFC","as:GENC:6:3-11:FR-BFC")</f>
        <v>as:GENC:6:3-11:FR-BFC</v>
      </c>
    </row>
    <row r="1271" spans="1:7" x14ac:dyDescent="0.25">
      <c r="A1271" s="112"/>
      <c r="B1271" s="21" t="s">
        <v>4204</v>
      </c>
      <c r="C1271" s="21" t="s">
        <v>4205</v>
      </c>
      <c r="D1271" s="76" t="s">
        <v>2478</v>
      </c>
      <c r="E1271" s="77" t="b">
        <v>0</v>
      </c>
      <c r="F1271" s="72" t="str">
        <f>HYPERLINK("http://nsgreg.nga.mil/genc/view?v=292653&amp;end_month=6&amp;end_day=30&amp;end_year=2019","Belfort")</f>
        <v>Belfort</v>
      </c>
      <c r="G1271" s="72" t="str">
        <f>HYPERLINK("http://api.nsgreg.nga.mil/geo-division/GENC/6/3-11/FR-90","as:GENC:6:3-11:FR-90")</f>
        <v>as:GENC:6:3-11:FR-90</v>
      </c>
    </row>
    <row r="1272" spans="1:7" x14ac:dyDescent="0.25">
      <c r="A1272" s="112"/>
      <c r="B1272" s="21" t="s">
        <v>4206</v>
      </c>
      <c r="C1272" s="21" t="s">
        <v>4207</v>
      </c>
      <c r="D1272" s="76" t="s">
        <v>2478</v>
      </c>
      <c r="E1272" s="77" t="b">
        <v>0</v>
      </c>
      <c r="F1272" s="72" t="str">
        <f>HYPERLINK("http://nsgreg.nga.mil/genc/view?v=292582&amp;end_month=6&amp;end_day=30&amp;end_year=2019","Côte-d’Or")</f>
        <v>Côte-d’Or</v>
      </c>
      <c r="G1272" s="72" t="str">
        <f>HYPERLINK("http://api.nsgreg.nga.mil/geo-division/GENC/6/3-11/FR-21","as:GENC:6:3-11:FR-21")</f>
        <v>as:GENC:6:3-11:FR-21</v>
      </c>
    </row>
    <row r="1273" spans="1:7" x14ac:dyDescent="0.25">
      <c r="A1273" s="112"/>
      <c r="B1273" s="21" t="s">
        <v>4208</v>
      </c>
      <c r="C1273" s="21" t="s">
        <v>4209</v>
      </c>
      <c r="D1273" s="76" t="s">
        <v>2478</v>
      </c>
      <c r="E1273" s="77" t="b">
        <v>0</v>
      </c>
      <c r="F1273" s="72" t="str">
        <f>HYPERLINK("http://nsgreg.nga.mil/genc/view?v=292586&amp;end_month=6&amp;end_day=30&amp;end_year=2019","Doubs")</f>
        <v>Doubs</v>
      </c>
      <c r="G1273" s="72" t="str">
        <f>HYPERLINK("http://api.nsgreg.nga.mil/geo-division/GENC/6/3-11/FR-25","as:GENC:6:3-11:FR-25")</f>
        <v>as:GENC:6:3-11:FR-25</v>
      </c>
    </row>
    <row r="1274" spans="1:7" x14ac:dyDescent="0.25">
      <c r="A1274" s="112"/>
      <c r="B1274" s="21" t="s">
        <v>4210</v>
      </c>
      <c r="C1274" s="21" t="s">
        <v>4211</v>
      </c>
      <c r="D1274" s="76" t="s">
        <v>2478</v>
      </c>
      <c r="E1274" s="77" t="b">
        <v>0</v>
      </c>
      <c r="F1274" s="72" t="str">
        <f>HYPERLINK("http://nsgreg.nga.mil/genc/view?v=292633&amp;end_month=6&amp;end_day=30&amp;end_year=2019","Haute-Saône")</f>
        <v>Haute-Saône</v>
      </c>
      <c r="G1274" s="72" t="str">
        <f>HYPERLINK("http://api.nsgreg.nga.mil/geo-division/GENC/6/3-11/FR-70","as:GENC:6:3-11:FR-70")</f>
        <v>as:GENC:6:3-11:FR-70</v>
      </c>
    </row>
    <row r="1275" spans="1:7" x14ac:dyDescent="0.25">
      <c r="A1275" s="112"/>
      <c r="B1275" s="21" t="s">
        <v>4212</v>
      </c>
      <c r="C1275" s="21" t="s">
        <v>4213</v>
      </c>
      <c r="D1275" s="76" t="s">
        <v>2478</v>
      </c>
      <c r="E1275" s="77" t="b">
        <v>0</v>
      </c>
      <c r="F1275" s="72" t="str">
        <f>HYPERLINK("http://nsgreg.nga.mil/genc/view?v=292602&amp;end_month=6&amp;end_day=30&amp;end_year=2019","Jura")</f>
        <v>Jura</v>
      </c>
      <c r="G1275" s="72" t="str">
        <f>HYPERLINK("http://api.nsgreg.nga.mil/geo-division/GENC/6/3-11/FR-39","as:GENC:6:3-11:FR-39")</f>
        <v>as:GENC:6:3-11:FR-39</v>
      </c>
    </row>
    <row r="1276" spans="1:7" x14ac:dyDescent="0.25">
      <c r="A1276" s="112"/>
      <c r="B1276" s="21" t="s">
        <v>4214</v>
      </c>
      <c r="C1276" s="21" t="s">
        <v>4215</v>
      </c>
      <c r="D1276" s="76" t="s">
        <v>2478</v>
      </c>
      <c r="E1276" s="77" t="b">
        <v>0</v>
      </c>
      <c r="F1276" s="72" t="str">
        <f>HYPERLINK("http://nsgreg.nga.mil/genc/view?v=292621&amp;end_month=6&amp;end_day=30&amp;end_year=2019","Nièvre")</f>
        <v>Nièvre</v>
      </c>
      <c r="G1276" s="72" t="str">
        <f>HYPERLINK("http://api.nsgreg.nga.mil/geo-division/GENC/6/3-11/FR-58","as:GENC:6:3-11:FR-58")</f>
        <v>as:GENC:6:3-11:FR-58</v>
      </c>
    </row>
    <row r="1277" spans="1:7" x14ac:dyDescent="0.25">
      <c r="A1277" s="112"/>
      <c r="B1277" s="21" t="s">
        <v>4216</v>
      </c>
      <c r="C1277" s="21" t="s">
        <v>4217</v>
      </c>
      <c r="D1277" s="76" t="s">
        <v>2478</v>
      </c>
      <c r="E1277" s="77" t="b">
        <v>0</v>
      </c>
      <c r="F1277" s="72" t="str">
        <f>HYPERLINK("http://nsgreg.nga.mil/genc/view?v=292634&amp;end_month=6&amp;end_day=30&amp;end_year=2019","Saône-et-Loire")</f>
        <v>Saône-et-Loire</v>
      </c>
      <c r="G1277" s="72" t="str">
        <f>HYPERLINK("http://api.nsgreg.nga.mil/geo-division/GENC/6/3-11/FR-71","as:GENC:6:3-11:FR-71")</f>
        <v>as:GENC:6:3-11:FR-71</v>
      </c>
    </row>
    <row r="1278" spans="1:7" x14ac:dyDescent="0.25">
      <c r="A1278" s="112"/>
      <c r="B1278" s="21" t="s">
        <v>4218</v>
      </c>
      <c r="C1278" s="21" t="s">
        <v>4219</v>
      </c>
      <c r="D1278" s="76" t="s">
        <v>2478</v>
      </c>
      <c r="E1278" s="77" t="b">
        <v>0</v>
      </c>
      <c r="F1278" s="72" t="str">
        <f>HYPERLINK("http://nsgreg.nga.mil/genc/view?v=292652&amp;end_month=6&amp;end_day=30&amp;end_year=2019","Yonne")</f>
        <v>Yonne</v>
      </c>
      <c r="G1278" s="72" t="str">
        <f>HYPERLINK("http://api.nsgreg.nga.mil/geo-division/GENC/6/3-11/FR-89","as:GENC:6:3-11:FR-89")</f>
        <v>as:GENC:6:3-11:FR-89</v>
      </c>
    </row>
    <row r="1279" spans="1:7" x14ac:dyDescent="0.25">
      <c r="A1279" s="112"/>
      <c r="B1279" s="21" t="s">
        <v>4220</v>
      </c>
      <c r="C1279" s="21" t="s">
        <v>4221</v>
      </c>
      <c r="D1279" s="21" t="s">
        <v>1975</v>
      </c>
      <c r="E1279" s="50" t="b">
        <v>1</v>
      </c>
      <c r="F1279" s="72" t="str">
        <f>HYPERLINK("http://nsgreg.nga.mil/genc/view?v=292662&amp;end_month=6&amp;end_day=30&amp;end_year=2019","Bretagne")</f>
        <v>Bretagne</v>
      </c>
      <c r="G1279" s="72" t="str">
        <f>HYPERLINK("http://api.nsgreg.nga.mil/geo-division/GENC/6/3-11/FR-BRE","as:GENC:6:3-11:FR-BRE")</f>
        <v>as:GENC:6:3-11:FR-BRE</v>
      </c>
    </row>
    <row r="1280" spans="1:7" x14ac:dyDescent="0.25">
      <c r="A1280" s="112"/>
      <c r="B1280" s="21" t="s">
        <v>4222</v>
      </c>
      <c r="C1280" s="21" t="s">
        <v>4223</v>
      </c>
      <c r="D1280" s="76" t="s">
        <v>2478</v>
      </c>
      <c r="E1280" s="77" t="b">
        <v>0</v>
      </c>
      <c r="F1280" s="72" t="str">
        <f>HYPERLINK("http://nsgreg.nga.mil/genc/view?v=292583&amp;end_month=6&amp;end_day=30&amp;end_year=2019","Côtes-d’Armor")</f>
        <v>Côtes-d’Armor</v>
      </c>
      <c r="G1280" s="72" t="str">
        <f>HYPERLINK("http://api.nsgreg.nga.mil/geo-division/GENC/6/3-11/FR-22","as:GENC:6:3-11:FR-22")</f>
        <v>as:GENC:6:3-11:FR-22</v>
      </c>
    </row>
    <row r="1281" spans="1:7" x14ac:dyDescent="0.25">
      <c r="A1281" s="112"/>
      <c r="B1281" s="21" t="s">
        <v>4224</v>
      </c>
      <c r="C1281" s="21" t="s">
        <v>4225</v>
      </c>
      <c r="D1281" s="76" t="s">
        <v>2478</v>
      </c>
      <c r="E1281" s="77" t="b">
        <v>0</v>
      </c>
      <c r="F1281" s="72" t="str">
        <f>HYPERLINK("http://nsgreg.nga.mil/genc/view?v=292590&amp;end_month=6&amp;end_day=30&amp;end_year=2019","Finistère")</f>
        <v>Finistère</v>
      </c>
      <c r="G1281" s="72" t="str">
        <f>HYPERLINK("http://api.nsgreg.nga.mil/geo-division/GENC/6/3-11/FR-29","as:GENC:6:3-11:FR-29")</f>
        <v>as:GENC:6:3-11:FR-29</v>
      </c>
    </row>
    <row r="1282" spans="1:7" x14ac:dyDescent="0.25">
      <c r="A1282" s="112"/>
      <c r="B1282" s="21" t="s">
        <v>4226</v>
      </c>
      <c r="C1282" s="21" t="s">
        <v>4227</v>
      </c>
      <c r="D1282" s="76" t="s">
        <v>2478</v>
      </c>
      <c r="E1282" s="77" t="b">
        <v>0</v>
      </c>
      <c r="F1282" s="72" t="str">
        <f>HYPERLINK("http://nsgreg.nga.mil/genc/view?v=292598&amp;end_month=6&amp;end_day=30&amp;end_year=2019","Ille-et-Vilaine")</f>
        <v>Ille-et-Vilaine</v>
      </c>
      <c r="G1282" s="72" t="str">
        <f>HYPERLINK("http://api.nsgreg.nga.mil/geo-division/GENC/6/3-11/FR-35","as:GENC:6:3-11:FR-35")</f>
        <v>as:GENC:6:3-11:FR-35</v>
      </c>
    </row>
    <row r="1283" spans="1:7" x14ac:dyDescent="0.25">
      <c r="A1283" s="112"/>
      <c r="B1283" s="21" t="s">
        <v>4228</v>
      </c>
      <c r="C1283" s="21" t="s">
        <v>4229</v>
      </c>
      <c r="D1283" s="76" t="s">
        <v>2478</v>
      </c>
      <c r="E1283" s="77" t="b">
        <v>0</v>
      </c>
      <c r="F1283" s="72" t="str">
        <f>HYPERLINK("http://nsgreg.nga.mil/genc/view?v=292619&amp;end_month=6&amp;end_day=30&amp;end_year=2019","Morbihan")</f>
        <v>Morbihan</v>
      </c>
      <c r="G1283" s="72" t="str">
        <f>HYPERLINK("http://api.nsgreg.nga.mil/geo-division/GENC/6/3-11/FR-56","as:GENC:6:3-11:FR-56")</f>
        <v>as:GENC:6:3-11:FR-56</v>
      </c>
    </row>
    <row r="1284" spans="1:7" x14ac:dyDescent="0.25">
      <c r="A1284" s="112"/>
      <c r="B1284" s="21" t="s">
        <v>4230</v>
      </c>
      <c r="C1284" s="21" t="s">
        <v>4231</v>
      </c>
      <c r="D1284" s="21" t="s">
        <v>1975</v>
      </c>
      <c r="E1284" s="50" t="b">
        <v>1</v>
      </c>
      <c r="F1284" s="72" t="str">
        <f>HYPERLINK("http://nsgreg.nga.mil/genc/view?v=292665&amp;end_month=6&amp;end_day=30&amp;end_year=2019","Centre-Val de Loire")</f>
        <v>Centre-Val de Loire</v>
      </c>
      <c r="G1284" s="72" t="str">
        <f>HYPERLINK("http://api.nsgreg.nga.mil/geo-division/GENC/6/3-11/FR-CVL","as:GENC:6:3-11:FR-CVL")</f>
        <v>as:GENC:6:3-11:FR-CVL</v>
      </c>
    </row>
    <row r="1285" spans="1:7" x14ac:dyDescent="0.25">
      <c r="A1285" s="112"/>
      <c r="B1285" s="21" t="s">
        <v>4232</v>
      </c>
      <c r="C1285" s="21" t="s">
        <v>4233</v>
      </c>
      <c r="D1285" s="76" t="s">
        <v>2478</v>
      </c>
      <c r="E1285" s="77" t="b">
        <v>0</v>
      </c>
      <c r="F1285" s="72" t="str">
        <f>HYPERLINK("http://nsgreg.nga.mil/genc/view?v=292580&amp;end_month=6&amp;end_day=30&amp;end_year=2019","Cher")</f>
        <v>Cher</v>
      </c>
      <c r="G1285" s="72" t="str">
        <f>HYPERLINK("http://api.nsgreg.nga.mil/geo-division/GENC/6/3-11/FR-18","as:GENC:6:3-11:FR-18")</f>
        <v>as:GENC:6:3-11:FR-18</v>
      </c>
    </row>
    <row r="1286" spans="1:7" x14ac:dyDescent="0.25">
      <c r="A1286" s="112"/>
      <c r="B1286" s="21" t="s">
        <v>4234</v>
      </c>
      <c r="C1286" s="21" t="s">
        <v>4235</v>
      </c>
      <c r="D1286" s="76" t="s">
        <v>2478</v>
      </c>
      <c r="E1286" s="77" t="b">
        <v>0</v>
      </c>
      <c r="F1286" s="72" t="str">
        <f>HYPERLINK("http://nsgreg.nga.mil/genc/view?v=292589&amp;end_month=6&amp;end_day=30&amp;end_year=2019","Eure-et-Loir")</f>
        <v>Eure-et-Loir</v>
      </c>
      <c r="G1286" s="72" t="str">
        <f>HYPERLINK("http://api.nsgreg.nga.mil/geo-division/GENC/6/3-11/FR-28","as:GENC:6:3-11:FR-28")</f>
        <v>as:GENC:6:3-11:FR-28</v>
      </c>
    </row>
    <row r="1287" spans="1:7" x14ac:dyDescent="0.25">
      <c r="A1287" s="112"/>
      <c r="B1287" s="21" t="s">
        <v>4236</v>
      </c>
      <c r="C1287" s="21" t="s">
        <v>4237</v>
      </c>
      <c r="D1287" s="76" t="s">
        <v>2478</v>
      </c>
      <c r="E1287" s="77" t="b">
        <v>0</v>
      </c>
      <c r="F1287" s="72" t="str">
        <f>HYPERLINK("http://nsgreg.nga.mil/genc/view?v=292599&amp;end_month=6&amp;end_day=30&amp;end_year=2019","Indre")</f>
        <v>Indre</v>
      </c>
      <c r="G1287" s="72" t="str">
        <f>HYPERLINK("http://api.nsgreg.nga.mil/geo-division/GENC/6/3-11/FR-36","as:GENC:6:3-11:FR-36")</f>
        <v>as:GENC:6:3-11:FR-36</v>
      </c>
    </row>
    <row r="1288" spans="1:7" x14ac:dyDescent="0.25">
      <c r="A1288" s="112"/>
      <c r="B1288" s="21" t="s">
        <v>4238</v>
      </c>
      <c r="C1288" s="21" t="s">
        <v>4239</v>
      </c>
      <c r="D1288" s="76" t="s">
        <v>2478</v>
      </c>
      <c r="E1288" s="77" t="b">
        <v>0</v>
      </c>
      <c r="F1288" s="72" t="str">
        <f>HYPERLINK("http://nsgreg.nga.mil/genc/view?v=292600&amp;end_month=6&amp;end_day=30&amp;end_year=2019","Indre-et-Loire")</f>
        <v>Indre-et-Loire</v>
      </c>
      <c r="G1288" s="72" t="str">
        <f>HYPERLINK("http://api.nsgreg.nga.mil/geo-division/GENC/6/3-11/FR-37","as:GENC:6:3-11:FR-37")</f>
        <v>as:GENC:6:3-11:FR-37</v>
      </c>
    </row>
    <row r="1289" spans="1:7" x14ac:dyDescent="0.25">
      <c r="A1289" s="112"/>
      <c r="B1289" s="21" t="s">
        <v>4240</v>
      </c>
      <c r="C1289" s="21" t="s">
        <v>4241</v>
      </c>
      <c r="D1289" s="76" t="s">
        <v>2478</v>
      </c>
      <c r="E1289" s="77" t="b">
        <v>0</v>
      </c>
      <c r="F1289" s="72" t="str">
        <f>HYPERLINK("http://nsgreg.nga.mil/genc/view?v=292608&amp;end_month=6&amp;end_day=30&amp;end_year=2019","Loiret")</f>
        <v>Loiret</v>
      </c>
      <c r="G1289" s="72" t="str">
        <f>HYPERLINK("http://api.nsgreg.nga.mil/geo-division/GENC/6/3-11/FR-45","as:GENC:6:3-11:FR-45")</f>
        <v>as:GENC:6:3-11:FR-45</v>
      </c>
    </row>
    <row r="1290" spans="1:7" x14ac:dyDescent="0.25">
      <c r="A1290" s="112"/>
      <c r="B1290" s="21" t="s">
        <v>4242</v>
      </c>
      <c r="C1290" s="21" t="s">
        <v>4243</v>
      </c>
      <c r="D1290" s="76" t="s">
        <v>2478</v>
      </c>
      <c r="E1290" s="77" t="b">
        <v>0</v>
      </c>
      <c r="F1290" s="72" t="str">
        <f>HYPERLINK("http://nsgreg.nga.mil/genc/view?v=292604&amp;end_month=6&amp;end_day=30&amp;end_year=2019","Loir-et-Cher")</f>
        <v>Loir-et-Cher</v>
      </c>
      <c r="G1290" s="72" t="str">
        <f>HYPERLINK("http://api.nsgreg.nga.mil/geo-division/GENC/6/3-11/FR-41","as:GENC:6:3-11:FR-41")</f>
        <v>as:GENC:6:3-11:FR-41</v>
      </c>
    </row>
    <row r="1291" spans="1:7" x14ac:dyDescent="0.25">
      <c r="A1291" s="112"/>
      <c r="B1291" s="21" t="s">
        <v>4244</v>
      </c>
      <c r="C1291" s="21" t="s">
        <v>4245</v>
      </c>
      <c r="D1291" s="21" t="s">
        <v>4246</v>
      </c>
      <c r="E1291" s="50" t="b">
        <v>1</v>
      </c>
      <c r="F1291" s="72" t="str">
        <f>HYPERLINK("http://nsgreg.nga.mil/genc/view?v=292663&amp;end_month=6&amp;end_day=30&amp;end_year=2019","Corsica")</f>
        <v>Corsica</v>
      </c>
      <c r="G1291" s="72" t="str">
        <f>HYPERLINK("http://api.nsgreg.nga.mil/geo-division/GENC/6/3-11/FR-COR","as:GENC:6:3-11:FR-COR")</f>
        <v>as:GENC:6:3-11:FR-COR</v>
      </c>
    </row>
    <row r="1292" spans="1:7" x14ac:dyDescent="0.25">
      <c r="A1292" s="112"/>
      <c r="B1292" s="21" t="s">
        <v>4247</v>
      </c>
      <c r="C1292" s="21" t="s">
        <v>4248</v>
      </c>
      <c r="D1292" s="76" t="s">
        <v>2478</v>
      </c>
      <c r="E1292" s="77" t="b">
        <v>0</v>
      </c>
      <c r="F1292" s="72" t="str">
        <f>HYPERLINK("http://nsgreg.nga.mil/genc/view?v=292591&amp;end_month=6&amp;end_day=30&amp;end_year=2019","Corse-du-Sud")</f>
        <v>Corse-du-Sud</v>
      </c>
      <c r="G1292" s="72" t="str">
        <f>HYPERLINK("http://api.nsgreg.nga.mil/geo-division/GENC/6/3-11/FR-2A","as:GENC:6:3-11:FR-2A")</f>
        <v>as:GENC:6:3-11:FR-2A</v>
      </c>
    </row>
    <row r="1293" spans="1:7" x14ac:dyDescent="0.25">
      <c r="A1293" s="112"/>
      <c r="B1293" s="21" t="s">
        <v>4249</v>
      </c>
      <c r="C1293" s="21" t="s">
        <v>4250</v>
      </c>
      <c r="D1293" s="76" t="s">
        <v>2478</v>
      </c>
      <c r="E1293" s="77" t="b">
        <v>0</v>
      </c>
      <c r="F1293" s="72" t="str">
        <f>HYPERLINK("http://nsgreg.nga.mil/genc/view?v=292592&amp;end_month=6&amp;end_day=30&amp;end_year=2019","Haute-Corse")</f>
        <v>Haute-Corse</v>
      </c>
      <c r="G1293" s="72" t="str">
        <f>HYPERLINK("http://api.nsgreg.nga.mil/geo-division/GENC/6/3-11/FR-2B","as:GENC:6:3-11:FR-2B")</f>
        <v>as:GENC:6:3-11:FR-2B</v>
      </c>
    </row>
    <row r="1294" spans="1:7" x14ac:dyDescent="0.25">
      <c r="A1294" s="112"/>
      <c r="B1294" s="21" t="s">
        <v>4251</v>
      </c>
      <c r="C1294" s="21" t="s">
        <v>4252</v>
      </c>
      <c r="D1294" s="21" t="s">
        <v>1975</v>
      </c>
      <c r="E1294" s="50" t="b">
        <v>1</v>
      </c>
      <c r="F1294" s="72" t="str">
        <f>HYPERLINK("http://nsgreg.nga.mil/genc/view?v=292666&amp;end_month=6&amp;end_day=30&amp;end_year=2019","Grand Est")</f>
        <v>Grand Est</v>
      </c>
      <c r="G1294" s="72" t="str">
        <f>HYPERLINK("http://api.nsgreg.nga.mil/geo-division/GENC/6/3-11/FR-GES","as:GENC:6:3-11:FR-GES")</f>
        <v>as:GENC:6:3-11:FR-GES</v>
      </c>
    </row>
    <row r="1295" spans="1:7" x14ac:dyDescent="0.25">
      <c r="A1295" s="112"/>
      <c r="B1295" s="21" t="s">
        <v>4253</v>
      </c>
      <c r="C1295" s="21" t="s">
        <v>4254</v>
      </c>
      <c r="D1295" s="76" t="s">
        <v>2478</v>
      </c>
      <c r="E1295" s="77" t="b">
        <v>0</v>
      </c>
      <c r="F1295" s="72" t="str">
        <f>HYPERLINK("http://nsgreg.nga.mil/genc/view?v=292570&amp;end_month=6&amp;end_day=30&amp;end_year=2019","Ardennes")</f>
        <v>Ardennes</v>
      </c>
      <c r="G1295" s="72" t="str">
        <f>HYPERLINK("http://api.nsgreg.nga.mil/geo-division/GENC/6/3-11/FR-08","as:GENC:6:3-11:FR-08")</f>
        <v>as:GENC:6:3-11:FR-08</v>
      </c>
    </row>
    <row r="1296" spans="1:7" x14ac:dyDescent="0.25">
      <c r="A1296" s="112"/>
      <c r="B1296" s="21" t="s">
        <v>4255</v>
      </c>
      <c r="C1296" s="21" t="s">
        <v>4256</v>
      </c>
      <c r="D1296" s="76" t="s">
        <v>2478</v>
      </c>
      <c r="E1296" s="77" t="b">
        <v>0</v>
      </c>
      <c r="F1296" s="72" t="str">
        <f>HYPERLINK("http://nsgreg.nga.mil/genc/view?v=292572&amp;end_month=6&amp;end_day=30&amp;end_year=2019","Aube")</f>
        <v>Aube</v>
      </c>
      <c r="G1296" s="72" t="str">
        <f>HYPERLINK("http://api.nsgreg.nga.mil/geo-division/GENC/6/3-11/FR-10","as:GENC:6:3-11:FR-10")</f>
        <v>as:GENC:6:3-11:FR-10</v>
      </c>
    </row>
    <row r="1297" spans="1:7" x14ac:dyDescent="0.25">
      <c r="A1297" s="112"/>
      <c r="B1297" s="21" t="s">
        <v>4257</v>
      </c>
      <c r="C1297" s="21" t="s">
        <v>4258</v>
      </c>
      <c r="D1297" s="76" t="s">
        <v>2478</v>
      </c>
      <c r="E1297" s="77" t="b">
        <v>0</v>
      </c>
      <c r="F1297" s="72" t="str">
        <f>HYPERLINK("http://nsgreg.nga.mil/genc/view?v=292630&amp;end_month=6&amp;end_day=30&amp;end_year=2019","Bas-Rhin")</f>
        <v>Bas-Rhin</v>
      </c>
      <c r="G1297" s="72" t="str">
        <f>HYPERLINK("http://api.nsgreg.nga.mil/geo-division/GENC/6/3-11/FR-67","as:GENC:6:3-11:FR-67")</f>
        <v>as:GENC:6:3-11:FR-67</v>
      </c>
    </row>
    <row r="1298" spans="1:7" x14ac:dyDescent="0.25">
      <c r="A1298" s="112"/>
      <c r="B1298" s="21" t="s">
        <v>4259</v>
      </c>
      <c r="C1298" s="21" t="s">
        <v>4260</v>
      </c>
      <c r="D1298" s="76" t="s">
        <v>2478</v>
      </c>
      <c r="E1298" s="77" t="b">
        <v>0</v>
      </c>
      <c r="F1298" s="72" t="str">
        <f>HYPERLINK("http://nsgreg.nga.mil/genc/view?v=292615&amp;end_month=6&amp;end_day=30&amp;end_year=2019","Haute-Marne")</f>
        <v>Haute-Marne</v>
      </c>
      <c r="G1298" s="72" t="str">
        <f>HYPERLINK("http://api.nsgreg.nga.mil/geo-division/GENC/6/3-11/FR-52","as:GENC:6:3-11:FR-52")</f>
        <v>as:GENC:6:3-11:FR-52</v>
      </c>
    </row>
    <row r="1299" spans="1:7" x14ac:dyDescent="0.25">
      <c r="A1299" s="112"/>
      <c r="B1299" s="21" t="s">
        <v>4261</v>
      </c>
      <c r="C1299" s="21" t="s">
        <v>4262</v>
      </c>
      <c r="D1299" s="76" t="s">
        <v>2478</v>
      </c>
      <c r="E1299" s="77" t="b">
        <v>0</v>
      </c>
      <c r="F1299" s="72" t="str">
        <f>HYPERLINK("http://nsgreg.nga.mil/genc/view?v=292631&amp;end_month=6&amp;end_day=30&amp;end_year=2019","Haut-Rhin")</f>
        <v>Haut-Rhin</v>
      </c>
      <c r="G1299" s="72" t="str">
        <f>HYPERLINK("http://api.nsgreg.nga.mil/geo-division/GENC/6/3-11/FR-68","as:GENC:6:3-11:FR-68")</f>
        <v>as:GENC:6:3-11:FR-68</v>
      </c>
    </row>
    <row r="1300" spans="1:7" x14ac:dyDescent="0.25">
      <c r="A1300" s="112"/>
      <c r="B1300" s="21" t="s">
        <v>4263</v>
      </c>
      <c r="C1300" s="21" t="s">
        <v>4264</v>
      </c>
      <c r="D1300" s="76" t="s">
        <v>2478</v>
      </c>
      <c r="E1300" s="77" t="b">
        <v>0</v>
      </c>
      <c r="F1300" s="72" t="str">
        <f>HYPERLINK("http://nsgreg.nga.mil/genc/view?v=292614&amp;end_month=6&amp;end_day=30&amp;end_year=2019","Marne")</f>
        <v>Marne</v>
      </c>
      <c r="G1300" s="72" t="str">
        <f>HYPERLINK("http://api.nsgreg.nga.mil/geo-division/GENC/6/3-11/FR-51","as:GENC:6:3-11:FR-51")</f>
        <v>as:GENC:6:3-11:FR-51</v>
      </c>
    </row>
    <row r="1301" spans="1:7" x14ac:dyDescent="0.25">
      <c r="A1301" s="112"/>
      <c r="B1301" s="21" t="s">
        <v>4265</v>
      </c>
      <c r="C1301" s="21" t="s">
        <v>4266</v>
      </c>
      <c r="D1301" s="76" t="s">
        <v>2478</v>
      </c>
      <c r="E1301" s="77" t="b">
        <v>0</v>
      </c>
      <c r="F1301" s="72" t="str">
        <f>HYPERLINK("http://nsgreg.nga.mil/genc/view?v=292617&amp;end_month=6&amp;end_day=30&amp;end_year=2019","Meurthe-et-Moselle")</f>
        <v>Meurthe-et-Moselle</v>
      </c>
      <c r="G1301" s="72" t="str">
        <f>HYPERLINK("http://api.nsgreg.nga.mil/geo-division/GENC/6/3-11/FR-54","as:GENC:6:3-11:FR-54")</f>
        <v>as:GENC:6:3-11:FR-54</v>
      </c>
    </row>
    <row r="1302" spans="1:7" x14ac:dyDescent="0.25">
      <c r="A1302" s="112"/>
      <c r="B1302" s="21" t="s">
        <v>4267</v>
      </c>
      <c r="C1302" s="21" t="s">
        <v>4268</v>
      </c>
      <c r="D1302" s="76" t="s">
        <v>2478</v>
      </c>
      <c r="E1302" s="77" t="b">
        <v>0</v>
      </c>
      <c r="F1302" s="72" t="str">
        <f>HYPERLINK("http://nsgreg.nga.mil/genc/view?v=292618&amp;end_month=6&amp;end_day=30&amp;end_year=2019","Meuse")</f>
        <v>Meuse</v>
      </c>
      <c r="G1302" s="72" t="str">
        <f>HYPERLINK("http://api.nsgreg.nga.mil/geo-division/GENC/6/3-11/FR-55","as:GENC:6:3-11:FR-55")</f>
        <v>as:GENC:6:3-11:FR-55</v>
      </c>
    </row>
    <row r="1303" spans="1:7" x14ac:dyDescent="0.25">
      <c r="A1303" s="112"/>
      <c r="B1303" s="21" t="s">
        <v>4269</v>
      </c>
      <c r="C1303" s="21" t="s">
        <v>4270</v>
      </c>
      <c r="D1303" s="76" t="s">
        <v>2478</v>
      </c>
      <c r="E1303" s="77" t="b">
        <v>0</v>
      </c>
      <c r="F1303" s="72" t="str">
        <f>HYPERLINK("http://nsgreg.nga.mil/genc/view?v=292620&amp;end_month=6&amp;end_day=30&amp;end_year=2019","Moselle")</f>
        <v>Moselle</v>
      </c>
      <c r="G1303" s="72" t="str">
        <f>HYPERLINK("http://api.nsgreg.nga.mil/geo-division/GENC/6/3-11/FR-57","as:GENC:6:3-11:FR-57")</f>
        <v>as:GENC:6:3-11:FR-57</v>
      </c>
    </row>
    <row r="1304" spans="1:7" x14ac:dyDescent="0.25">
      <c r="A1304" s="112"/>
      <c r="B1304" s="21" t="s">
        <v>4271</v>
      </c>
      <c r="C1304" s="21" t="s">
        <v>4272</v>
      </c>
      <c r="D1304" s="76" t="s">
        <v>2478</v>
      </c>
      <c r="E1304" s="77" t="b">
        <v>0</v>
      </c>
      <c r="F1304" s="72" t="str">
        <f>HYPERLINK("http://nsgreg.nga.mil/genc/view?v=292651&amp;end_month=6&amp;end_day=30&amp;end_year=2019","Vosges")</f>
        <v>Vosges</v>
      </c>
      <c r="G1304" s="72" t="str">
        <f>HYPERLINK("http://api.nsgreg.nga.mil/geo-division/GENC/6/3-11/FR-88","as:GENC:6:3-11:FR-88")</f>
        <v>as:GENC:6:3-11:FR-88</v>
      </c>
    </row>
    <row r="1305" spans="1:7" x14ac:dyDescent="0.25">
      <c r="A1305" s="112"/>
      <c r="B1305" s="21" t="s">
        <v>4273</v>
      </c>
      <c r="C1305" s="21" t="s">
        <v>4274</v>
      </c>
      <c r="D1305" s="21" t="s">
        <v>1975</v>
      </c>
      <c r="E1305" s="50" t="b">
        <v>1</v>
      </c>
      <c r="F1305" s="72" t="str">
        <f>HYPERLINK("http://nsgreg.nga.mil/genc/view?v=292670&amp;end_month=6&amp;end_day=30&amp;end_year=2019","Hauts-de-France")</f>
        <v>Hauts-de-France</v>
      </c>
      <c r="G1305" s="72" t="str">
        <f>HYPERLINK("http://api.nsgreg.nga.mil/geo-division/GENC/6/3-11/FR-HDF","as:GENC:6:3-11:FR-HDF")</f>
        <v>as:GENC:6:3-11:FR-HDF</v>
      </c>
    </row>
    <row r="1306" spans="1:7" x14ac:dyDescent="0.25">
      <c r="A1306" s="112"/>
      <c r="B1306" s="21" t="s">
        <v>4275</v>
      </c>
      <c r="C1306" s="21" t="s">
        <v>4276</v>
      </c>
      <c r="D1306" s="76" t="s">
        <v>2478</v>
      </c>
      <c r="E1306" s="77" t="b">
        <v>0</v>
      </c>
      <c r="F1306" s="72" t="str">
        <f>HYPERLINK("http://nsgreg.nga.mil/genc/view?v=292564&amp;end_month=6&amp;end_day=30&amp;end_year=2019","Aisne")</f>
        <v>Aisne</v>
      </c>
      <c r="G1306" s="72" t="str">
        <f>HYPERLINK("http://api.nsgreg.nga.mil/geo-division/GENC/6/3-11/FR-02","as:GENC:6:3-11:FR-02")</f>
        <v>as:GENC:6:3-11:FR-02</v>
      </c>
    </row>
    <row r="1307" spans="1:7" x14ac:dyDescent="0.25">
      <c r="A1307" s="112"/>
      <c r="B1307" s="21" t="s">
        <v>4277</v>
      </c>
      <c r="C1307" s="21" t="s">
        <v>4278</v>
      </c>
      <c r="D1307" s="76" t="s">
        <v>2478</v>
      </c>
      <c r="E1307" s="77" t="b">
        <v>0</v>
      </c>
      <c r="F1307" s="72" t="str">
        <f>HYPERLINK("http://nsgreg.nga.mil/genc/view?v=292622&amp;end_month=6&amp;end_day=30&amp;end_year=2019","Nord")</f>
        <v>Nord</v>
      </c>
      <c r="G1307" s="72" t="str">
        <f>HYPERLINK("http://api.nsgreg.nga.mil/geo-division/GENC/6/3-11/FR-59","as:GENC:6:3-11:FR-59")</f>
        <v>as:GENC:6:3-11:FR-59</v>
      </c>
    </row>
    <row r="1308" spans="1:7" x14ac:dyDescent="0.25">
      <c r="A1308" s="112"/>
      <c r="B1308" s="21" t="s">
        <v>4279</v>
      </c>
      <c r="C1308" s="21" t="s">
        <v>4280</v>
      </c>
      <c r="D1308" s="76" t="s">
        <v>2478</v>
      </c>
      <c r="E1308" s="77" t="b">
        <v>0</v>
      </c>
      <c r="F1308" s="72" t="str">
        <f>HYPERLINK("http://nsgreg.nga.mil/genc/view?v=292623&amp;end_month=6&amp;end_day=30&amp;end_year=2019","Oise")</f>
        <v>Oise</v>
      </c>
      <c r="G1308" s="72" t="str">
        <f>HYPERLINK("http://api.nsgreg.nga.mil/geo-division/GENC/6/3-11/FR-60","as:GENC:6:3-11:FR-60")</f>
        <v>as:GENC:6:3-11:FR-60</v>
      </c>
    </row>
    <row r="1309" spans="1:7" x14ac:dyDescent="0.25">
      <c r="A1309" s="112"/>
      <c r="B1309" s="21" t="s">
        <v>4281</v>
      </c>
      <c r="C1309" s="21" t="s">
        <v>4282</v>
      </c>
      <c r="D1309" s="76" t="s">
        <v>2478</v>
      </c>
      <c r="E1309" s="77" t="b">
        <v>0</v>
      </c>
      <c r="F1309" s="72" t="str">
        <f>HYPERLINK("http://nsgreg.nga.mil/genc/view?v=292625&amp;end_month=6&amp;end_day=30&amp;end_year=2019","Pas-de-Calais")</f>
        <v>Pas-de-Calais</v>
      </c>
      <c r="G1309" s="72" t="str">
        <f>HYPERLINK("http://api.nsgreg.nga.mil/geo-division/GENC/6/3-11/FR-62","as:GENC:6:3-11:FR-62")</f>
        <v>as:GENC:6:3-11:FR-62</v>
      </c>
    </row>
    <row r="1310" spans="1:7" x14ac:dyDescent="0.25">
      <c r="A1310" s="112"/>
      <c r="B1310" s="21" t="s">
        <v>4283</v>
      </c>
      <c r="C1310" s="21" t="s">
        <v>4284</v>
      </c>
      <c r="D1310" s="76" t="s">
        <v>2478</v>
      </c>
      <c r="E1310" s="77" t="b">
        <v>0</v>
      </c>
      <c r="F1310" s="72" t="str">
        <f>HYPERLINK("http://nsgreg.nga.mil/genc/view?v=292643&amp;end_month=6&amp;end_day=30&amp;end_year=2019","Somme")</f>
        <v>Somme</v>
      </c>
      <c r="G1310" s="72" t="str">
        <f>HYPERLINK("http://api.nsgreg.nga.mil/geo-division/GENC/6/3-11/FR-80","as:GENC:6:3-11:FR-80")</f>
        <v>as:GENC:6:3-11:FR-80</v>
      </c>
    </row>
    <row r="1311" spans="1:7" x14ac:dyDescent="0.25">
      <c r="A1311" s="112"/>
      <c r="B1311" s="21" t="s">
        <v>4285</v>
      </c>
      <c r="C1311" s="21" t="s">
        <v>4286</v>
      </c>
      <c r="D1311" s="21" t="s">
        <v>1975</v>
      </c>
      <c r="E1311" s="50" t="b">
        <v>1</v>
      </c>
      <c r="F1311" s="72" t="str">
        <f>HYPERLINK("http://nsgreg.nga.mil/genc/view?v=292671&amp;end_month=6&amp;end_day=30&amp;end_year=2019","Île-de-France")</f>
        <v>Île-de-France</v>
      </c>
      <c r="G1311" s="72" t="str">
        <f>HYPERLINK("http://api.nsgreg.nga.mil/geo-division/GENC/6/3-11/FR-IDF","as:GENC:6:3-11:FR-IDF")</f>
        <v>as:GENC:6:3-11:FR-IDF</v>
      </c>
    </row>
    <row r="1312" spans="1:7" x14ac:dyDescent="0.25">
      <c r="A1312" s="112"/>
      <c r="B1312" s="21" t="s">
        <v>4287</v>
      </c>
      <c r="C1312" s="21" t="s">
        <v>4288</v>
      </c>
      <c r="D1312" s="76" t="s">
        <v>2478</v>
      </c>
      <c r="E1312" s="77" t="b">
        <v>0</v>
      </c>
      <c r="F1312" s="72" t="str">
        <f>HYPERLINK("http://nsgreg.nga.mil/genc/view?v=292654&amp;end_month=6&amp;end_day=30&amp;end_year=2019","Essonne")</f>
        <v>Essonne</v>
      </c>
      <c r="G1312" s="72" t="str">
        <f>HYPERLINK("http://api.nsgreg.nga.mil/geo-division/GENC/6/3-11/FR-91","as:GENC:6:3-11:FR-91")</f>
        <v>as:GENC:6:3-11:FR-91</v>
      </c>
    </row>
    <row r="1313" spans="1:7" x14ac:dyDescent="0.25">
      <c r="A1313" s="112"/>
      <c r="B1313" s="21" t="s">
        <v>4289</v>
      </c>
      <c r="C1313" s="21" t="s">
        <v>4290</v>
      </c>
      <c r="D1313" s="76" t="s">
        <v>2478</v>
      </c>
      <c r="E1313" s="77" t="b">
        <v>0</v>
      </c>
      <c r="F1313" s="72" t="str">
        <f>HYPERLINK("http://nsgreg.nga.mil/genc/view?v=292655&amp;end_month=6&amp;end_day=30&amp;end_year=2019","Hauts-de-Seine")</f>
        <v>Hauts-de-Seine</v>
      </c>
      <c r="G1313" s="72" t="str">
        <f>HYPERLINK("http://api.nsgreg.nga.mil/geo-division/GENC/6/3-11/FR-92","as:GENC:6:3-11:FR-92")</f>
        <v>as:GENC:6:3-11:FR-92</v>
      </c>
    </row>
    <row r="1314" spans="1:7" x14ac:dyDescent="0.25">
      <c r="A1314" s="112"/>
      <c r="B1314" s="21" t="s">
        <v>4291</v>
      </c>
      <c r="C1314" s="21" t="s">
        <v>4292</v>
      </c>
      <c r="D1314" s="76" t="s">
        <v>2478</v>
      </c>
      <c r="E1314" s="77" t="b">
        <v>0</v>
      </c>
      <c r="F1314" s="72" t="str">
        <f>HYPERLINK("http://nsgreg.nga.mil/genc/view?v=292638&amp;end_month=6&amp;end_day=30&amp;end_year=2019","Paris")</f>
        <v>Paris</v>
      </c>
      <c r="G1314" s="72" t="str">
        <f>HYPERLINK("http://api.nsgreg.nga.mil/geo-division/GENC/6/3-11/FR-75","as:GENC:6:3-11:FR-75")</f>
        <v>as:GENC:6:3-11:FR-75</v>
      </c>
    </row>
    <row r="1315" spans="1:7" x14ac:dyDescent="0.25">
      <c r="A1315" s="112"/>
      <c r="B1315" s="21" t="s">
        <v>4293</v>
      </c>
      <c r="C1315" s="21" t="s">
        <v>4294</v>
      </c>
      <c r="D1315" s="76" t="s">
        <v>2478</v>
      </c>
      <c r="E1315" s="77" t="b">
        <v>0</v>
      </c>
      <c r="F1315" s="72" t="str">
        <f>HYPERLINK("http://nsgreg.nga.mil/genc/view?v=292640&amp;end_month=6&amp;end_day=30&amp;end_year=2019","Seine-et-Marne")</f>
        <v>Seine-et-Marne</v>
      </c>
      <c r="G1315" s="72" t="str">
        <f>HYPERLINK("http://api.nsgreg.nga.mil/geo-division/GENC/6/3-11/FR-77","as:GENC:6:3-11:FR-77")</f>
        <v>as:GENC:6:3-11:FR-77</v>
      </c>
    </row>
    <row r="1316" spans="1:7" x14ac:dyDescent="0.25">
      <c r="A1316" s="112"/>
      <c r="B1316" s="21" t="s">
        <v>4295</v>
      </c>
      <c r="C1316" s="21" t="s">
        <v>4296</v>
      </c>
      <c r="D1316" s="76" t="s">
        <v>2478</v>
      </c>
      <c r="E1316" s="77" t="b">
        <v>0</v>
      </c>
      <c r="F1316" s="72" t="str">
        <f>HYPERLINK("http://nsgreg.nga.mil/genc/view?v=292656&amp;end_month=6&amp;end_day=30&amp;end_year=2019","Seine-Saint-Denis")</f>
        <v>Seine-Saint-Denis</v>
      </c>
      <c r="G1316" s="72" t="str">
        <f>HYPERLINK("http://api.nsgreg.nga.mil/geo-division/GENC/6/3-11/FR-93","as:GENC:6:3-11:FR-93")</f>
        <v>as:GENC:6:3-11:FR-93</v>
      </c>
    </row>
    <row r="1317" spans="1:7" x14ac:dyDescent="0.25">
      <c r="A1317" s="112"/>
      <c r="B1317" s="21" t="s">
        <v>4297</v>
      </c>
      <c r="C1317" s="21" t="s">
        <v>4298</v>
      </c>
      <c r="D1317" s="76" t="s">
        <v>2478</v>
      </c>
      <c r="E1317" s="77" t="b">
        <v>0</v>
      </c>
      <c r="F1317" s="72" t="str">
        <f>HYPERLINK("http://nsgreg.nga.mil/genc/view?v=292657&amp;end_month=6&amp;end_day=30&amp;end_year=2019","Val-de-Marne")</f>
        <v>Val-de-Marne</v>
      </c>
      <c r="G1317" s="72" t="str">
        <f>HYPERLINK("http://api.nsgreg.nga.mil/geo-division/GENC/6/3-11/FR-94","as:GENC:6:3-11:FR-94")</f>
        <v>as:GENC:6:3-11:FR-94</v>
      </c>
    </row>
    <row r="1318" spans="1:7" x14ac:dyDescent="0.25">
      <c r="A1318" s="112"/>
      <c r="B1318" s="21" t="s">
        <v>4299</v>
      </c>
      <c r="C1318" s="21" t="s">
        <v>4300</v>
      </c>
      <c r="D1318" s="76" t="s">
        <v>2478</v>
      </c>
      <c r="E1318" s="77" t="b">
        <v>0</v>
      </c>
      <c r="F1318" s="72" t="str">
        <f>HYPERLINK("http://nsgreg.nga.mil/genc/view?v=292658&amp;end_month=6&amp;end_day=30&amp;end_year=2019","Val-d’Oise")</f>
        <v>Val-d’Oise</v>
      </c>
      <c r="G1318" s="72" t="str">
        <f>HYPERLINK("http://api.nsgreg.nga.mil/geo-division/GENC/6/3-11/FR-95","as:GENC:6:3-11:FR-95")</f>
        <v>as:GENC:6:3-11:FR-95</v>
      </c>
    </row>
    <row r="1319" spans="1:7" x14ac:dyDescent="0.25">
      <c r="A1319" s="112"/>
      <c r="B1319" s="21" t="s">
        <v>4301</v>
      </c>
      <c r="C1319" s="21" t="s">
        <v>4302</v>
      </c>
      <c r="D1319" s="76" t="s">
        <v>2478</v>
      </c>
      <c r="E1319" s="77" t="b">
        <v>0</v>
      </c>
      <c r="F1319" s="72" t="str">
        <f>HYPERLINK("http://nsgreg.nga.mil/genc/view?v=292641&amp;end_month=6&amp;end_day=30&amp;end_year=2019","Yvelines")</f>
        <v>Yvelines</v>
      </c>
      <c r="G1319" s="72" t="str">
        <f>HYPERLINK("http://api.nsgreg.nga.mil/geo-division/GENC/6/3-11/FR-78","as:GENC:6:3-11:FR-78")</f>
        <v>as:GENC:6:3-11:FR-78</v>
      </c>
    </row>
    <row r="1320" spans="1:7" x14ac:dyDescent="0.25">
      <c r="A1320" s="112"/>
      <c r="B1320" s="21" t="s">
        <v>4303</v>
      </c>
      <c r="C1320" s="21" t="s">
        <v>4304</v>
      </c>
      <c r="D1320" s="21" t="s">
        <v>1975</v>
      </c>
      <c r="E1320" s="50" t="b">
        <v>1</v>
      </c>
      <c r="F1320" s="72" t="str">
        <f>HYPERLINK("http://nsgreg.nga.mil/genc/view?v=292678&amp;end_month=6&amp;end_day=30&amp;end_year=2019","Normandie")</f>
        <v>Normandie</v>
      </c>
      <c r="G1320" s="72" t="str">
        <f>HYPERLINK("http://api.nsgreg.nga.mil/geo-division/GENC/6/3-11/FR-NOR","as:GENC:6:3-11:FR-NOR")</f>
        <v>as:GENC:6:3-11:FR-NOR</v>
      </c>
    </row>
    <row r="1321" spans="1:7" x14ac:dyDescent="0.25">
      <c r="A1321" s="112"/>
      <c r="B1321" s="21" t="s">
        <v>4305</v>
      </c>
      <c r="C1321" s="21" t="s">
        <v>4306</v>
      </c>
      <c r="D1321" s="76" t="s">
        <v>2478</v>
      </c>
      <c r="E1321" s="77" t="b">
        <v>0</v>
      </c>
      <c r="F1321" s="72" t="str">
        <f>HYPERLINK("http://nsgreg.nga.mil/genc/view?v=292576&amp;end_month=6&amp;end_day=30&amp;end_year=2019","Calvados")</f>
        <v>Calvados</v>
      </c>
      <c r="G1321" s="72" t="str">
        <f>HYPERLINK("http://api.nsgreg.nga.mil/geo-division/GENC/6/3-11/FR-14","as:GENC:6:3-11:FR-14")</f>
        <v>as:GENC:6:3-11:FR-14</v>
      </c>
    </row>
    <row r="1322" spans="1:7" x14ac:dyDescent="0.25">
      <c r="A1322" s="112"/>
      <c r="B1322" s="21" t="s">
        <v>4307</v>
      </c>
      <c r="C1322" s="21" t="s">
        <v>4308</v>
      </c>
      <c r="D1322" s="76" t="s">
        <v>2478</v>
      </c>
      <c r="E1322" s="77" t="b">
        <v>0</v>
      </c>
      <c r="F1322" s="72" t="str">
        <f>HYPERLINK("http://nsgreg.nga.mil/genc/view?v=292588&amp;end_month=6&amp;end_day=30&amp;end_year=2019","Eure")</f>
        <v>Eure</v>
      </c>
      <c r="G1322" s="72" t="str">
        <f>HYPERLINK("http://api.nsgreg.nga.mil/geo-division/GENC/6/3-11/FR-27","as:GENC:6:3-11:FR-27")</f>
        <v>as:GENC:6:3-11:FR-27</v>
      </c>
    </row>
    <row r="1323" spans="1:7" x14ac:dyDescent="0.25">
      <c r="A1323" s="112"/>
      <c r="B1323" s="21" t="s">
        <v>4309</v>
      </c>
      <c r="C1323" s="21" t="s">
        <v>4310</v>
      </c>
      <c r="D1323" s="76" t="s">
        <v>2478</v>
      </c>
      <c r="E1323" s="77" t="b">
        <v>0</v>
      </c>
      <c r="F1323" s="72" t="str">
        <f>HYPERLINK("http://nsgreg.nga.mil/genc/view?v=292613&amp;end_month=6&amp;end_day=30&amp;end_year=2019","Manche")</f>
        <v>Manche</v>
      </c>
      <c r="G1323" s="72" t="str">
        <f>HYPERLINK("http://api.nsgreg.nga.mil/geo-division/GENC/6/3-11/FR-50","as:GENC:6:3-11:FR-50")</f>
        <v>as:GENC:6:3-11:FR-50</v>
      </c>
    </row>
    <row r="1324" spans="1:7" x14ac:dyDescent="0.25">
      <c r="A1324" s="112"/>
      <c r="B1324" s="21" t="s">
        <v>4311</v>
      </c>
      <c r="C1324" s="21" t="s">
        <v>4312</v>
      </c>
      <c r="D1324" s="76" t="s">
        <v>2478</v>
      </c>
      <c r="E1324" s="77" t="b">
        <v>0</v>
      </c>
      <c r="F1324" s="72" t="str">
        <f>HYPERLINK("http://nsgreg.nga.mil/genc/view?v=292624&amp;end_month=6&amp;end_day=30&amp;end_year=2019","Orne")</f>
        <v>Orne</v>
      </c>
      <c r="G1324" s="72" t="str">
        <f>HYPERLINK("http://api.nsgreg.nga.mil/geo-division/GENC/6/3-11/FR-61","as:GENC:6:3-11:FR-61")</f>
        <v>as:GENC:6:3-11:FR-61</v>
      </c>
    </row>
    <row r="1325" spans="1:7" x14ac:dyDescent="0.25">
      <c r="A1325" s="112"/>
      <c r="B1325" s="21" t="s">
        <v>4313</v>
      </c>
      <c r="C1325" s="21" t="s">
        <v>4314</v>
      </c>
      <c r="D1325" s="76" t="s">
        <v>2478</v>
      </c>
      <c r="E1325" s="77" t="b">
        <v>0</v>
      </c>
      <c r="F1325" s="72" t="str">
        <f>HYPERLINK("http://nsgreg.nga.mil/genc/view?v=292639&amp;end_month=6&amp;end_day=30&amp;end_year=2019","Seine-Maritime")</f>
        <v>Seine-Maritime</v>
      </c>
      <c r="G1325" s="72" t="str">
        <f>HYPERLINK("http://api.nsgreg.nga.mil/geo-division/GENC/6/3-11/FR-76","as:GENC:6:3-11:FR-76")</f>
        <v>as:GENC:6:3-11:FR-76</v>
      </c>
    </row>
    <row r="1326" spans="1:7" x14ac:dyDescent="0.25">
      <c r="A1326" s="112"/>
      <c r="B1326" s="21" t="s">
        <v>4315</v>
      </c>
      <c r="C1326" s="21" t="s">
        <v>4316</v>
      </c>
      <c r="D1326" s="21" t="s">
        <v>1975</v>
      </c>
      <c r="E1326" s="50" t="b">
        <v>1</v>
      </c>
      <c r="F1326" s="72" t="str">
        <f>HYPERLINK("http://nsgreg.nga.mil/genc/view?v=292676&amp;end_month=6&amp;end_day=30&amp;end_year=2019","Nouvelle-Aquitaine")</f>
        <v>Nouvelle-Aquitaine</v>
      </c>
      <c r="G1326" s="72" t="str">
        <f>HYPERLINK("http://api.nsgreg.nga.mil/geo-division/GENC/6/3-11/FR-NAQ","as:GENC:6:3-11:FR-NAQ")</f>
        <v>as:GENC:6:3-11:FR-NAQ</v>
      </c>
    </row>
    <row r="1327" spans="1:7" x14ac:dyDescent="0.25">
      <c r="A1327" s="112"/>
      <c r="B1327" s="21" t="s">
        <v>4317</v>
      </c>
      <c r="C1327" s="21" t="s">
        <v>4318</v>
      </c>
      <c r="D1327" s="76" t="s">
        <v>2478</v>
      </c>
      <c r="E1327" s="77" t="b">
        <v>0</v>
      </c>
      <c r="F1327" s="72" t="str">
        <f>HYPERLINK("http://nsgreg.nga.mil/genc/view?v=292578&amp;end_month=6&amp;end_day=30&amp;end_year=2019","Charente")</f>
        <v>Charente</v>
      </c>
      <c r="G1327" s="72" t="str">
        <f>HYPERLINK("http://api.nsgreg.nga.mil/geo-division/GENC/6/3-11/FR-16","as:GENC:6:3-11:FR-16")</f>
        <v>as:GENC:6:3-11:FR-16</v>
      </c>
    </row>
    <row r="1328" spans="1:7" x14ac:dyDescent="0.25">
      <c r="A1328" s="112"/>
      <c r="B1328" s="21" t="s">
        <v>4319</v>
      </c>
      <c r="C1328" s="21" t="s">
        <v>4320</v>
      </c>
      <c r="D1328" s="76" t="s">
        <v>2478</v>
      </c>
      <c r="E1328" s="77" t="b">
        <v>0</v>
      </c>
      <c r="F1328" s="72" t="str">
        <f>HYPERLINK("http://nsgreg.nga.mil/genc/view?v=292579&amp;end_month=6&amp;end_day=30&amp;end_year=2019","Charente-Maritime")</f>
        <v>Charente-Maritime</v>
      </c>
      <c r="G1328" s="72" t="str">
        <f>HYPERLINK("http://api.nsgreg.nga.mil/geo-division/GENC/6/3-11/FR-17","as:GENC:6:3-11:FR-17")</f>
        <v>as:GENC:6:3-11:FR-17</v>
      </c>
    </row>
    <row r="1329" spans="1:7" x14ac:dyDescent="0.25">
      <c r="A1329" s="112"/>
      <c r="B1329" s="21" t="s">
        <v>4321</v>
      </c>
      <c r="C1329" s="21" t="s">
        <v>4322</v>
      </c>
      <c r="D1329" s="76" t="s">
        <v>2478</v>
      </c>
      <c r="E1329" s="77" t="b">
        <v>0</v>
      </c>
      <c r="F1329" s="72" t="str">
        <f>HYPERLINK("http://nsgreg.nga.mil/genc/view?v=292581&amp;end_month=6&amp;end_day=30&amp;end_year=2019","Corrèze")</f>
        <v>Corrèze</v>
      </c>
      <c r="G1329" s="72" t="str">
        <f>HYPERLINK("http://api.nsgreg.nga.mil/geo-division/GENC/6/3-11/FR-19","as:GENC:6:3-11:FR-19")</f>
        <v>as:GENC:6:3-11:FR-19</v>
      </c>
    </row>
    <row r="1330" spans="1:7" x14ac:dyDescent="0.25">
      <c r="A1330" s="112"/>
      <c r="B1330" s="21" t="s">
        <v>4323</v>
      </c>
      <c r="C1330" s="21" t="s">
        <v>4324</v>
      </c>
      <c r="D1330" s="76" t="s">
        <v>2478</v>
      </c>
      <c r="E1330" s="77" t="b">
        <v>0</v>
      </c>
      <c r="F1330" s="72" t="str">
        <f>HYPERLINK("http://nsgreg.nga.mil/genc/view?v=292584&amp;end_month=6&amp;end_day=30&amp;end_year=2019","Creuse")</f>
        <v>Creuse</v>
      </c>
      <c r="G1330" s="72" t="str">
        <f>HYPERLINK("http://api.nsgreg.nga.mil/geo-division/GENC/6/3-11/FR-23","as:GENC:6:3-11:FR-23")</f>
        <v>as:GENC:6:3-11:FR-23</v>
      </c>
    </row>
    <row r="1331" spans="1:7" x14ac:dyDescent="0.25">
      <c r="A1331" s="112"/>
      <c r="B1331" s="21" t="s">
        <v>4325</v>
      </c>
      <c r="C1331" s="21" t="s">
        <v>4326</v>
      </c>
      <c r="D1331" s="76" t="s">
        <v>2478</v>
      </c>
      <c r="E1331" s="77" t="b">
        <v>0</v>
      </c>
      <c r="F1331" s="72" t="str">
        <f>HYPERLINK("http://nsgreg.nga.mil/genc/view?v=292642&amp;end_month=6&amp;end_day=30&amp;end_year=2019","Deux-Sèvres")</f>
        <v>Deux-Sèvres</v>
      </c>
      <c r="G1331" s="72" t="str">
        <f>HYPERLINK("http://api.nsgreg.nga.mil/geo-division/GENC/6/3-11/FR-79","as:GENC:6:3-11:FR-79")</f>
        <v>as:GENC:6:3-11:FR-79</v>
      </c>
    </row>
    <row r="1332" spans="1:7" x14ac:dyDescent="0.25">
      <c r="A1332" s="112"/>
      <c r="B1332" s="21" t="s">
        <v>4327</v>
      </c>
      <c r="C1332" s="21" t="s">
        <v>4328</v>
      </c>
      <c r="D1332" s="76" t="s">
        <v>2478</v>
      </c>
      <c r="E1332" s="77" t="b">
        <v>0</v>
      </c>
      <c r="F1332" s="72" t="str">
        <f>HYPERLINK("http://nsgreg.nga.mil/genc/view?v=292585&amp;end_month=6&amp;end_day=30&amp;end_year=2019","Dordogne")</f>
        <v>Dordogne</v>
      </c>
      <c r="G1332" s="72" t="str">
        <f>HYPERLINK("http://api.nsgreg.nga.mil/geo-division/GENC/6/3-11/FR-24","as:GENC:6:3-11:FR-24")</f>
        <v>as:GENC:6:3-11:FR-24</v>
      </c>
    </row>
    <row r="1333" spans="1:7" x14ac:dyDescent="0.25">
      <c r="A1333" s="112"/>
      <c r="B1333" s="21" t="s">
        <v>4329</v>
      </c>
      <c r="C1333" s="21" t="s">
        <v>4330</v>
      </c>
      <c r="D1333" s="76" t="s">
        <v>2478</v>
      </c>
      <c r="E1333" s="77" t="b">
        <v>0</v>
      </c>
      <c r="F1333" s="72" t="str">
        <f>HYPERLINK("http://nsgreg.nga.mil/genc/view?v=292596&amp;end_month=6&amp;end_day=30&amp;end_year=2019","Gironde")</f>
        <v>Gironde</v>
      </c>
      <c r="G1333" s="72" t="str">
        <f>HYPERLINK("http://api.nsgreg.nga.mil/geo-division/GENC/6/3-11/FR-33","as:GENC:6:3-11:FR-33")</f>
        <v>as:GENC:6:3-11:FR-33</v>
      </c>
    </row>
    <row r="1334" spans="1:7" x14ac:dyDescent="0.25">
      <c r="A1334" s="112"/>
      <c r="B1334" s="21" t="s">
        <v>4331</v>
      </c>
      <c r="C1334" s="21" t="s">
        <v>4332</v>
      </c>
      <c r="D1334" s="76" t="s">
        <v>2478</v>
      </c>
      <c r="E1334" s="77" t="b">
        <v>0</v>
      </c>
      <c r="F1334" s="72" t="str">
        <f>HYPERLINK("http://nsgreg.nga.mil/genc/view?v=292650&amp;end_month=6&amp;end_day=30&amp;end_year=2019","Haute-Vienne")</f>
        <v>Haute-Vienne</v>
      </c>
      <c r="G1334" s="72" t="str">
        <f>HYPERLINK("http://api.nsgreg.nga.mil/geo-division/GENC/6/3-11/FR-87","as:GENC:6:3-11:FR-87")</f>
        <v>as:GENC:6:3-11:FR-87</v>
      </c>
    </row>
    <row r="1335" spans="1:7" x14ac:dyDescent="0.25">
      <c r="A1335" s="112"/>
      <c r="B1335" s="21" t="s">
        <v>4333</v>
      </c>
      <c r="C1335" s="21" t="s">
        <v>4334</v>
      </c>
      <c r="D1335" s="76" t="s">
        <v>2478</v>
      </c>
      <c r="E1335" s="77" t="b">
        <v>0</v>
      </c>
      <c r="F1335" s="72" t="str">
        <f>HYPERLINK("http://nsgreg.nga.mil/genc/view?v=292603&amp;end_month=6&amp;end_day=30&amp;end_year=2019","Landes")</f>
        <v>Landes</v>
      </c>
      <c r="G1335" s="72" t="str">
        <f>HYPERLINK("http://api.nsgreg.nga.mil/geo-division/GENC/6/3-11/FR-40","as:GENC:6:3-11:FR-40")</f>
        <v>as:GENC:6:3-11:FR-40</v>
      </c>
    </row>
    <row r="1336" spans="1:7" x14ac:dyDescent="0.25">
      <c r="A1336" s="112"/>
      <c r="B1336" s="21" t="s">
        <v>4335</v>
      </c>
      <c r="C1336" s="21" t="s">
        <v>4336</v>
      </c>
      <c r="D1336" s="76" t="s">
        <v>2478</v>
      </c>
      <c r="E1336" s="77" t="b">
        <v>0</v>
      </c>
      <c r="F1336" s="72" t="str">
        <f>HYPERLINK("http://nsgreg.nga.mil/genc/view?v=292610&amp;end_month=6&amp;end_day=30&amp;end_year=2019","Lot-et-Garonne")</f>
        <v>Lot-et-Garonne</v>
      </c>
      <c r="G1336" s="72" t="str">
        <f>HYPERLINK("http://api.nsgreg.nga.mil/geo-division/GENC/6/3-11/FR-47","as:GENC:6:3-11:FR-47")</f>
        <v>as:GENC:6:3-11:FR-47</v>
      </c>
    </row>
    <row r="1337" spans="1:7" x14ac:dyDescent="0.25">
      <c r="A1337" s="112"/>
      <c r="B1337" s="21" t="s">
        <v>4337</v>
      </c>
      <c r="C1337" s="21" t="s">
        <v>4338</v>
      </c>
      <c r="D1337" s="76" t="s">
        <v>2478</v>
      </c>
      <c r="E1337" s="77" t="b">
        <v>0</v>
      </c>
      <c r="F1337" s="72" t="str">
        <f>HYPERLINK("http://nsgreg.nga.mil/genc/view?v=292627&amp;end_month=6&amp;end_day=30&amp;end_year=2019","Pyrénées-Atlantiques")</f>
        <v>Pyrénées-Atlantiques</v>
      </c>
      <c r="G1337" s="72" t="str">
        <f>HYPERLINK("http://api.nsgreg.nga.mil/geo-division/GENC/6/3-11/FR-64","as:GENC:6:3-11:FR-64")</f>
        <v>as:GENC:6:3-11:FR-64</v>
      </c>
    </row>
    <row r="1338" spans="1:7" x14ac:dyDescent="0.25">
      <c r="A1338" s="112"/>
      <c r="B1338" s="21" t="s">
        <v>4339</v>
      </c>
      <c r="C1338" s="21" t="s">
        <v>4340</v>
      </c>
      <c r="D1338" s="76" t="s">
        <v>2478</v>
      </c>
      <c r="E1338" s="77" t="b">
        <v>0</v>
      </c>
      <c r="F1338" s="72" t="str">
        <f>HYPERLINK("http://nsgreg.nga.mil/genc/view?v=292649&amp;end_month=6&amp;end_day=30&amp;end_year=2019","Vienne")</f>
        <v>Vienne</v>
      </c>
      <c r="G1338" s="72" t="str">
        <f>HYPERLINK("http://api.nsgreg.nga.mil/geo-division/GENC/6/3-11/FR-86","as:GENC:6:3-11:FR-86")</f>
        <v>as:GENC:6:3-11:FR-86</v>
      </c>
    </row>
    <row r="1339" spans="1:7" x14ac:dyDescent="0.25">
      <c r="A1339" s="112"/>
      <c r="B1339" s="21" t="s">
        <v>4341</v>
      </c>
      <c r="C1339" s="21" t="s">
        <v>4342</v>
      </c>
      <c r="D1339" s="21" t="s">
        <v>1975</v>
      </c>
      <c r="E1339" s="50" t="b">
        <v>1</v>
      </c>
      <c r="F1339" s="72" t="str">
        <f>HYPERLINK("http://nsgreg.nga.mil/genc/view?v=292679&amp;end_month=6&amp;end_day=30&amp;end_year=2019","Occitanie")</f>
        <v>Occitanie</v>
      </c>
      <c r="G1339" s="72" t="str">
        <f>HYPERLINK("http://api.nsgreg.nga.mil/geo-division/GENC/6/3-11/FR-OCC","as:GENC:6:3-11:FR-OCC")</f>
        <v>as:GENC:6:3-11:FR-OCC</v>
      </c>
    </row>
    <row r="1340" spans="1:7" x14ac:dyDescent="0.25">
      <c r="A1340" s="112"/>
      <c r="B1340" s="21" t="s">
        <v>4343</v>
      </c>
      <c r="C1340" s="21" t="s">
        <v>4344</v>
      </c>
      <c r="D1340" s="76" t="s">
        <v>2478</v>
      </c>
      <c r="E1340" s="77" t="b">
        <v>0</v>
      </c>
      <c r="F1340" s="72" t="str">
        <f>HYPERLINK("http://nsgreg.nga.mil/genc/view?v=292571&amp;end_month=6&amp;end_day=30&amp;end_year=2019","Ariège")</f>
        <v>Ariège</v>
      </c>
      <c r="G1340" s="72" t="str">
        <f>HYPERLINK("http://api.nsgreg.nga.mil/geo-division/GENC/6/3-11/FR-09","as:GENC:6:3-11:FR-09")</f>
        <v>as:GENC:6:3-11:FR-09</v>
      </c>
    </row>
    <row r="1341" spans="1:7" x14ac:dyDescent="0.25">
      <c r="A1341" s="112"/>
      <c r="B1341" s="21" t="s">
        <v>4345</v>
      </c>
      <c r="C1341" s="21" t="s">
        <v>4346</v>
      </c>
      <c r="D1341" s="76" t="s">
        <v>2478</v>
      </c>
      <c r="E1341" s="77" t="b">
        <v>0</v>
      </c>
      <c r="F1341" s="72" t="str">
        <f>HYPERLINK("http://nsgreg.nga.mil/genc/view?v=292573&amp;end_month=6&amp;end_day=30&amp;end_year=2019","Aude")</f>
        <v>Aude</v>
      </c>
      <c r="G1341" s="72" t="str">
        <f>HYPERLINK("http://api.nsgreg.nga.mil/geo-division/GENC/6/3-11/FR-11","as:GENC:6:3-11:FR-11")</f>
        <v>as:GENC:6:3-11:FR-11</v>
      </c>
    </row>
    <row r="1342" spans="1:7" x14ac:dyDescent="0.25">
      <c r="A1342" s="112"/>
      <c r="B1342" s="21" t="s">
        <v>4347</v>
      </c>
      <c r="C1342" s="21" t="s">
        <v>4348</v>
      </c>
      <c r="D1342" s="76" t="s">
        <v>2478</v>
      </c>
      <c r="E1342" s="77" t="b">
        <v>0</v>
      </c>
      <c r="F1342" s="72" t="str">
        <f>HYPERLINK("http://nsgreg.nga.mil/genc/view?v=292574&amp;end_month=6&amp;end_day=30&amp;end_year=2019","Aveyron")</f>
        <v>Aveyron</v>
      </c>
      <c r="G1342" s="72" t="str">
        <f>HYPERLINK("http://api.nsgreg.nga.mil/geo-division/GENC/6/3-11/FR-12","as:GENC:6:3-11:FR-12")</f>
        <v>as:GENC:6:3-11:FR-12</v>
      </c>
    </row>
    <row r="1343" spans="1:7" x14ac:dyDescent="0.25">
      <c r="A1343" s="112"/>
      <c r="B1343" s="21" t="s">
        <v>4349</v>
      </c>
      <c r="C1343" s="21" t="s">
        <v>4350</v>
      </c>
      <c r="D1343" s="76" t="s">
        <v>2478</v>
      </c>
      <c r="E1343" s="77" t="b">
        <v>0</v>
      </c>
      <c r="F1343" s="72" t="str">
        <f>HYPERLINK("http://nsgreg.nga.mil/genc/view?v=292593&amp;end_month=6&amp;end_day=30&amp;end_year=2019","Gard")</f>
        <v>Gard</v>
      </c>
      <c r="G1343" s="72" t="str">
        <f>HYPERLINK("http://api.nsgreg.nga.mil/geo-division/GENC/6/3-11/FR-30","as:GENC:6:3-11:FR-30")</f>
        <v>as:GENC:6:3-11:FR-30</v>
      </c>
    </row>
    <row r="1344" spans="1:7" x14ac:dyDescent="0.25">
      <c r="A1344" s="112"/>
      <c r="B1344" s="21" t="s">
        <v>4351</v>
      </c>
      <c r="C1344" s="21" t="s">
        <v>4352</v>
      </c>
      <c r="D1344" s="76" t="s">
        <v>2478</v>
      </c>
      <c r="E1344" s="77" t="b">
        <v>0</v>
      </c>
      <c r="F1344" s="72" t="str">
        <f>HYPERLINK("http://nsgreg.nga.mil/genc/view?v=292595&amp;end_month=6&amp;end_day=30&amp;end_year=2019","Gers")</f>
        <v>Gers</v>
      </c>
      <c r="G1344" s="72" t="str">
        <f>HYPERLINK("http://api.nsgreg.nga.mil/geo-division/GENC/6/3-11/FR-32","as:GENC:6:3-11:FR-32")</f>
        <v>as:GENC:6:3-11:FR-32</v>
      </c>
    </row>
    <row r="1345" spans="1:7" x14ac:dyDescent="0.25">
      <c r="A1345" s="112"/>
      <c r="B1345" s="21" t="s">
        <v>4353</v>
      </c>
      <c r="C1345" s="21" t="s">
        <v>4354</v>
      </c>
      <c r="D1345" s="76" t="s">
        <v>2478</v>
      </c>
      <c r="E1345" s="77" t="b">
        <v>0</v>
      </c>
      <c r="F1345" s="72" t="str">
        <f>HYPERLINK("http://nsgreg.nga.mil/genc/view?v=292594&amp;end_month=6&amp;end_day=30&amp;end_year=2019","Haute-Garonne")</f>
        <v>Haute-Garonne</v>
      </c>
      <c r="G1345" s="72" t="str">
        <f>HYPERLINK("http://api.nsgreg.nga.mil/geo-division/GENC/6/3-11/FR-31","as:GENC:6:3-11:FR-31")</f>
        <v>as:GENC:6:3-11:FR-31</v>
      </c>
    </row>
    <row r="1346" spans="1:7" x14ac:dyDescent="0.25">
      <c r="A1346" s="112"/>
      <c r="B1346" s="21" t="s">
        <v>4355</v>
      </c>
      <c r="C1346" s="21" t="s">
        <v>4356</v>
      </c>
      <c r="D1346" s="76" t="s">
        <v>2478</v>
      </c>
      <c r="E1346" s="77" t="b">
        <v>0</v>
      </c>
      <c r="F1346" s="72" t="str">
        <f>HYPERLINK("http://nsgreg.nga.mil/genc/view?v=292628&amp;end_month=6&amp;end_day=30&amp;end_year=2019","Hautes-Pyrénées")</f>
        <v>Hautes-Pyrénées</v>
      </c>
      <c r="G1346" s="72" t="str">
        <f>HYPERLINK("http://api.nsgreg.nga.mil/geo-division/GENC/6/3-11/FR-65","as:GENC:6:3-11:FR-65")</f>
        <v>as:GENC:6:3-11:FR-65</v>
      </c>
    </row>
    <row r="1347" spans="1:7" x14ac:dyDescent="0.25">
      <c r="A1347" s="112"/>
      <c r="B1347" s="21" t="s">
        <v>4357</v>
      </c>
      <c r="C1347" s="21" t="s">
        <v>4358</v>
      </c>
      <c r="D1347" s="76" t="s">
        <v>2478</v>
      </c>
      <c r="E1347" s="77" t="b">
        <v>0</v>
      </c>
      <c r="F1347" s="72" t="str">
        <f>HYPERLINK("http://nsgreg.nga.mil/genc/view?v=292597&amp;end_month=6&amp;end_day=30&amp;end_year=2019","Hérault")</f>
        <v>Hérault</v>
      </c>
      <c r="G1347" s="72" t="str">
        <f>HYPERLINK("http://api.nsgreg.nga.mil/geo-division/GENC/6/3-11/FR-34","as:GENC:6:3-11:FR-34")</f>
        <v>as:GENC:6:3-11:FR-34</v>
      </c>
    </row>
    <row r="1348" spans="1:7" x14ac:dyDescent="0.25">
      <c r="A1348" s="112"/>
      <c r="B1348" s="21" t="s">
        <v>4359</v>
      </c>
      <c r="C1348" s="21" t="s">
        <v>4360</v>
      </c>
      <c r="D1348" s="76" t="s">
        <v>2478</v>
      </c>
      <c r="E1348" s="77" t="b">
        <v>0</v>
      </c>
      <c r="F1348" s="72" t="str">
        <f>HYPERLINK("http://nsgreg.nga.mil/genc/view?v=292609&amp;end_month=6&amp;end_day=30&amp;end_year=2019","Lot")</f>
        <v>Lot</v>
      </c>
      <c r="G1348" s="72" t="str">
        <f>HYPERLINK("http://api.nsgreg.nga.mil/geo-division/GENC/6/3-11/FR-46","as:GENC:6:3-11:FR-46")</f>
        <v>as:GENC:6:3-11:FR-46</v>
      </c>
    </row>
    <row r="1349" spans="1:7" x14ac:dyDescent="0.25">
      <c r="A1349" s="112"/>
      <c r="B1349" s="21" t="s">
        <v>4361</v>
      </c>
      <c r="C1349" s="21" t="s">
        <v>4362</v>
      </c>
      <c r="D1349" s="76" t="s">
        <v>2478</v>
      </c>
      <c r="E1349" s="77" t="b">
        <v>0</v>
      </c>
      <c r="F1349" s="72" t="str">
        <f>HYPERLINK("http://nsgreg.nga.mil/genc/view?v=292611&amp;end_month=6&amp;end_day=30&amp;end_year=2019","Lozère")</f>
        <v>Lozère</v>
      </c>
      <c r="G1349" s="72" t="str">
        <f>HYPERLINK("http://api.nsgreg.nga.mil/geo-division/GENC/6/3-11/FR-48","as:GENC:6:3-11:FR-48")</f>
        <v>as:GENC:6:3-11:FR-48</v>
      </c>
    </row>
    <row r="1350" spans="1:7" x14ac:dyDescent="0.25">
      <c r="A1350" s="112"/>
      <c r="B1350" s="21" t="s">
        <v>4363</v>
      </c>
      <c r="C1350" s="21" t="s">
        <v>4364</v>
      </c>
      <c r="D1350" s="76" t="s">
        <v>2478</v>
      </c>
      <c r="E1350" s="77" t="b">
        <v>0</v>
      </c>
      <c r="F1350" s="72" t="str">
        <f>HYPERLINK("http://nsgreg.nga.mil/genc/view?v=292629&amp;end_month=6&amp;end_day=30&amp;end_year=2019","Pyrénées-Orientales")</f>
        <v>Pyrénées-Orientales</v>
      </c>
      <c r="G1350" s="72" t="str">
        <f>HYPERLINK("http://api.nsgreg.nga.mil/geo-division/GENC/6/3-11/FR-66","as:GENC:6:3-11:FR-66")</f>
        <v>as:GENC:6:3-11:FR-66</v>
      </c>
    </row>
    <row r="1351" spans="1:7" x14ac:dyDescent="0.25">
      <c r="A1351" s="112"/>
      <c r="B1351" s="21" t="s">
        <v>4365</v>
      </c>
      <c r="C1351" s="21" t="s">
        <v>4366</v>
      </c>
      <c r="D1351" s="76" t="s">
        <v>2478</v>
      </c>
      <c r="E1351" s="77" t="b">
        <v>0</v>
      </c>
      <c r="F1351" s="72" t="str">
        <f>HYPERLINK("http://nsgreg.nga.mil/genc/view?v=292644&amp;end_month=6&amp;end_day=30&amp;end_year=2019","Tarn")</f>
        <v>Tarn</v>
      </c>
      <c r="G1351" s="72" t="str">
        <f>HYPERLINK("http://api.nsgreg.nga.mil/geo-division/GENC/6/3-11/FR-81","as:GENC:6:3-11:FR-81")</f>
        <v>as:GENC:6:3-11:FR-81</v>
      </c>
    </row>
    <row r="1352" spans="1:7" x14ac:dyDescent="0.25">
      <c r="A1352" s="112"/>
      <c r="B1352" s="21" t="s">
        <v>4367</v>
      </c>
      <c r="C1352" s="21" t="s">
        <v>4368</v>
      </c>
      <c r="D1352" s="76" t="s">
        <v>2478</v>
      </c>
      <c r="E1352" s="77" t="b">
        <v>0</v>
      </c>
      <c r="F1352" s="72" t="str">
        <f>HYPERLINK("http://nsgreg.nga.mil/genc/view?v=292645&amp;end_month=6&amp;end_day=30&amp;end_year=2019","Tarn-et-Garonne")</f>
        <v>Tarn-et-Garonne</v>
      </c>
      <c r="G1352" s="72" t="str">
        <f>HYPERLINK("http://api.nsgreg.nga.mil/geo-division/GENC/6/3-11/FR-82","as:GENC:6:3-11:FR-82")</f>
        <v>as:GENC:6:3-11:FR-82</v>
      </c>
    </row>
    <row r="1353" spans="1:7" x14ac:dyDescent="0.25">
      <c r="A1353" s="112"/>
      <c r="B1353" s="21" t="s">
        <v>4369</v>
      </c>
      <c r="C1353" s="21" t="s">
        <v>4370</v>
      </c>
      <c r="D1353" s="21" t="s">
        <v>1975</v>
      </c>
      <c r="E1353" s="50" t="b">
        <v>1</v>
      </c>
      <c r="F1353" s="72" t="str">
        <f>HYPERLINK("http://nsgreg.nga.mil/genc/view?v=292681&amp;end_month=6&amp;end_day=30&amp;end_year=2019","Pays de la Loire")</f>
        <v>Pays de la Loire</v>
      </c>
      <c r="G1353" s="72" t="str">
        <f>HYPERLINK("http://api.nsgreg.nga.mil/geo-division/GENC/6/3-11/FR-PDL","as:GENC:6:3-11:FR-PDL")</f>
        <v>as:GENC:6:3-11:FR-PDL</v>
      </c>
    </row>
    <row r="1354" spans="1:7" x14ac:dyDescent="0.25">
      <c r="A1354" s="112"/>
      <c r="B1354" s="21" t="s">
        <v>4371</v>
      </c>
      <c r="C1354" s="21" t="s">
        <v>4372</v>
      </c>
      <c r="D1354" s="76" t="s">
        <v>2478</v>
      </c>
      <c r="E1354" s="77" t="b">
        <v>0</v>
      </c>
      <c r="F1354" s="72" t="str">
        <f>HYPERLINK("http://nsgreg.nga.mil/genc/view?v=292607&amp;end_month=6&amp;end_day=30&amp;end_year=2019","Loire-Atlantique")</f>
        <v>Loire-Atlantique</v>
      </c>
      <c r="G1354" s="72" t="str">
        <f>HYPERLINK("http://api.nsgreg.nga.mil/geo-division/GENC/6/3-11/FR-44","as:GENC:6:3-11:FR-44")</f>
        <v>as:GENC:6:3-11:FR-44</v>
      </c>
    </row>
    <row r="1355" spans="1:7" x14ac:dyDescent="0.25">
      <c r="A1355" s="112"/>
      <c r="B1355" s="21" t="s">
        <v>4373</v>
      </c>
      <c r="C1355" s="21" t="s">
        <v>4374</v>
      </c>
      <c r="D1355" s="76" t="s">
        <v>2478</v>
      </c>
      <c r="E1355" s="77" t="b">
        <v>0</v>
      </c>
      <c r="F1355" s="72" t="str">
        <f>HYPERLINK("http://nsgreg.nga.mil/genc/view?v=292612&amp;end_month=6&amp;end_day=30&amp;end_year=2019","Maine-et-Loire")</f>
        <v>Maine-et-Loire</v>
      </c>
      <c r="G1355" s="72" t="str">
        <f>HYPERLINK("http://api.nsgreg.nga.mil/geo-division/GENC/6/3-11/FR-49","as:GENC:6:3-11:FR-49")</f>
        <v>as:GENC:6:3-11:FR-49</v>
      </c>
    </row>
    <row r="1356" spans="1:7" x14ac:dyDescent="0.25">
      <c r="A1356" s="112"/>
      <c r="B1356" s="21" t="s">
        <v>4375</v>
      </c>
      <c r="C1356" s="21" t="s">
        <v>4376</v>
      </c>
      <c r="D1356" s="76" t="s">
        <v>2478</v>
      </c>
      <c r="E1356" s="77" t="b">
        <v>0</v>
      </c>
      <c r="F1356" s="72" t="str">
        <f>HYPERLINK("http://nsgreg.nga.mil/genc/view?v=292616&amp;end_month=6&amp;end_day=30&amp;end_year=2019","Mayenne")</f>
        <v>Mayenne</v>
      </c>
      <c r="G1356" s="72" t="str">
        <f>HYPERLINK("http://api.nsgreg.nga.mil/geo-division/GENC/6/3-11/FR-53","as:GENC:6:3-11:FR-53")</f>
        <v>as:GENC:6:3-11:FR-53</v>
      </c>
    </row>
    <row r="1357" spans="1:7" x14ac:dyDescent="0.25">
      <c r="A1357" s="112"/>
      <c r="B1357" s="21" t="s">
        <v>4377</v>
      </c>
      <c r="C1357" s="21" t="s">
        <v>4378</v>
      </c>
      <c r="D1357" s="76" t="s">
        <v>2478</v>
      </c>
      <c r="E1357" s="77" t="b">
        <v>0</v>
      </c>
      <c r="F1357" s="72" t="str">
        <f>HYPERLINK("http://nsgreg.nga.mil/genc/view?v=292635&amp;end_month=6&amp;end_day=30&amp;end_year=2019","Sarthe")</f>
        <v>Sarthe</v>
      </c>
      <c r="G1357" s="72" t="str">
        <f>HYPERLINK("http://api.nsgreg.nga.mil/geo-division/GENC/6/3-11/FR-72","as:GENC:6:3-11:FR-72")</f>
        <v>as:GENC:6:3-11:FR-72</v>
      </c>
    </row>
    <row r="1358" spans="1:7" x14ac:dyDescent="0.25">
      <c r="A1358" s="112"/>
      <c r="B1358" s="21" t="s">
        <v>4379</v>
      </c>
      <c r="C1358" s="21" t="s">
        <v>4380</v>
      </c>
      <c r="D1358" s="76" t="s">
        <v>2478</v>
      </c>
      <c r="E1358" s="77" t="b">
        <v>0</v>
      </c>
      <c r="F1358" s="72" t="str">
        <f>HYPERLINK("http://nsgreg.nga.mil/genc/view?v=292648&amp;end_month=6&amp;end_day=30&amp;end_year=2019","Vendée")</f>
        <v>Vendée</v>
      </c>
      <c r="G1358" s="72" t="str">
        <f>HYPERLINK("http://api.nsgreg.nga.mil/geo-division/GENC/6/3-11/FR-85","as:GENC:6:3-11:FR-85")</f>
        <v>as:GENC:6:3-11:FR-85</v>
      </c>
    </row>
    <row r="1359" spans="1:7" x14ac:dyDescent="0.25">
      <c r="A1359" s="112"/>
      <c r="B1359" s="21" t="s">
        <v>4381</v>
      </c>
      <c r="C1359" s="21" t="s">
        <v>4382</v>
      </c>
      <c r="D1359" s="21" t="s">
        <v>1975</v>
      </c>
      <c r="E1359" s="50" t="b">
        <v>1</v>
      </c>
      <c r="F1359" s="72" t="str">
        <f>HYPERLINK("http://nsgreg.nga.mil/genc/view?v=292680&amp;end_month=6&amp;end_day=30&amp;end_year=2019","Provence-Alpes-Côte d’Azur")</f>
        <v>Provence-Alpes-Côte d’Azur</v>
      </c>
      <c r="G1359" s="72" t="str">
        <f>HYPERLINK("http://api.nsgreg.nga.mil/geo-division/GENC/6/3-11/FR-PAC","as:GENC:6:3-11:FR-PAC")</f>
        <v>as:GENC:6:3-11:FR-PAC</v>
      </c>
    </row>
    <row r="1360" spans="1:7" x14ac:dyDescent="0.25">
      <c r="A1360" s="112"/>
      <c r="B1360" s="21" t="s">
        <v>4383</v>
      </c>
      <c r="C1360" s="21" t="s">
        <v>4384</v>
      </c>
      <c r="D1360" s="76" t="s">
        <v>2478</v>
      </c>
      <c r="E1360" s="77" t="b">
        <v>0</v>
      </c>
      <c r="F1360" s="72" t="str">
        <f>HYPERLINK("http://nsgreg.nga.mil/genc/view?v=292566&amp;end_month=6&amp;end_day=30&amp;end_year=2019","Alpes-de-Haute-Provence")</f>
        <v>Alpes-de-Haute-Provence</v>
      </c>
      <c r="G1360" s="72" t="str">
        <f>HYPERLINK("http://api.nsgreg.nga.mil/geo-division/GENC/6/3-11/FR-04","as:GENC:6:3-11:FR-04")</f>
        <v>as:GENC:6:3-11:FR-04</v>
      </c>
    </row>
    <row r="1361" spans="1:7" x14ac:dyDescent="0.25">
      <c r="A1361" s="112"/>
      <c r="B1361" s="21" t="s">
        <v>4385</v>
      </c>
      <c r="C1361" s="21" t="s">
        <v>4386</v>
      </c>
      <c r="D1361" s="76" t="s">
        <v>2478</v>
      </c>
      <c r="E1361" s="77" t="b">
        <v>0</v>
      </c>
      <c r="F1361" s="72" t="str">
        <f>HYPERLINK("http://nsgreg.nga.mil/genc/view?v=292568&amp;end_month=6&amp;end_day=30&amp;end_year=2019","Alpes-Maritimes")</f>
        <v>Alpes-Maritimes</v>
      </c>
      <c r="G1361" s="72" t="str">
        <f>HYPERLINK("http://api.nsgreg.nga.mil/geo-division/GENC/6/3-11/FR-06","as:GENC:6:3-11:FR-06")</f>
        <v>as:GENC:6:3-11:FR-06</v>
      </c>
    </row>
    <row r="1362" spans="1:7" x14ac:dyDescent="0.25">
      <c r="A1362" s="112"/>
      <c r="B1362" s="21" t="s">
        <v>4387</v>
      </c>
      <c r="C1362" s="21" t="s">
        <v>4388</v>
      </c>
      <c r="D1362" s="76" t="s">
        <v>2478</v>
      </c>
      <c r="E1362" s="77" t="b">
        <v>0</v>
      </c>
      <c r="F1362" s="72" t="str">
        <f>HYPERLINK("http://nsgreg.nga.mil/genc/view?v=292575&amp;end_month=6&amp;end_day=30&amp;end_year=2019","Bouches-du-Rhône")</f>
        <v>Bouches-du-Rhône</v>
      </c>
      <c r="G1362" s="72" t="str">
        <f>HYPERLINK("http://api.nsgreg.nga.mil/geo-division/GENC/6/3-11/FR-13","as:GENC:6:3-11:FR-13")</f>
        <v>as:GENC:6:3-11:FR-13</v>
      </c>
    </row>
    <row r="1363" spans="1:7" x14ac:dyDescent="0.25">
      <c r="A1363" s="112"/>
      <c r="B1363" s="21" t="s">
        <v>4389</v>
      </c>
      <c r="C1363" s="21" t="s">
        <v>4390</v>
      </c>
      <c r="D1363" s="76" t="s">
        <v>2478</v>
      </c>
      <c r="E1363" s="77" t="b">
        <v>0</v>
      </c>
      <c r="F1363" s="72" t="str">
        <f>HYPERLINK("http://nsgreg.nga.mil/genc/view?v=292567&amp;end_month=6&amp;end_day=30&amp;end_year=2019","Hautes-Alpes")</f>
        <v>Hautes-Alpes</v>
      </c>
      <c r="G1363" s="72" t="str">
        <f>HYPERLINK("http://api.nsgreg.nga.mil/geo-division/GENC/6/3-11/FR-05","as:GENC:6:3-11:FR-05")</f>
        <v>as:GENC:6:3-11:FR-05</v>
      </c>
    </row>
    <row r="1364" spans="1:7" x14ac:dyDescent="0.25">
      <c r="A1364" s="112"/>
      <c r="B1364" s="21" t="s">
        <v>4391</v>
      </c>
      <c r="C1364" s="21" t="s">
        <v>4392</v>
      </c>
      <c r="D1364" s="76" t="s">
        <v>2478</v>
      </c>
      <c r="E1364" s="77" t="b">
        <v>0</v>
      </c>
      <c r="F1364" s="72" t="str">
        <f>HYPERLINK("http://nsgreg.nga.mil/genc/view?v=292646&amp;end_month=6&amp;end_day=30&amp;end_year=2019","Var")</f>
        <v>Var</v>
      </c>
      <c r="G1364" s="72" t="str">
        <f>HYPERLINK("http://api.nsgreg.nga.mil/geo-division/GENC/6/3-11/FR-83","as:GENC:6:3-11:FR-83")</f>
        <v>as:GENC:6:3-11:FR-83</v>
      </c>
    </row>
    <row r="1365" spans="1:7" x14ac:dyDescent="0.25">
      <c r="A1365" s="113"/>
      <c r="B1365" s="47" t="s">
        <v>4393</v>
      </c>
      <c r="C1365" s="47" t="s">
        <v>4394</v>
      </c>
      <c r="D1365" s="78" t="s">
        <v>2478</v>
      </c>
      <c r="E1365" s="79" t="b">
        <v>0</v>
      </c>
      <c r="F1365" s="73" t="str">
        <f>HYPERLINK("http://nsgreg.nga.mil/genc/view?v=292647&amp;end_month=6&amp;end_day=30&amp;end_year=2019","Vaucluse")</f>
        <v>Vaucluse</v>
      </c>
      <c r="G1365" s="73" t="str">
        <f>HYPERLINK("http://api.nsgreg.nga.mil/geo-division/GENC/6/3-11/FR-84","as:GENC:6:3-11:FR-84")</f>
        <v>as:GENC:6:3-11:FR-84</v>
      </c>
    </row>
    <row r="1366" spans="1:7" x14ac:dyDescent="0.25">
      <c r="A1366" s="111" t="str">
        <f>HYPERLINK("[#]Codes_for_GE_Names!A97:I97","FRENCH POLYNESIA")</f>
        <v>FRENCH POLYNESIA</v>
      </c>
      <c r="B1366" s="42" t="s">
        <v>4395</v>
      </c>
      <c r="C1366" s="42" t="s">
        <v>4396</v>
      </c>
      <c r="D1366" s="42" t="s">
        <v>4397</v>
      </c>
      <c r="E1366" s="49" t="b">
        <v>1</v>
      </c>
      <c r="F1366" s="74" t="str">
        <f>HYPERLINK("http://nsgreg.nga.mil/genc/view?v=294861&amp;end_month=6&amp;end_day=30&amp;end_year=2019","Îles Australes")</f>
        <v>Îles Australes</v>
      </c>
      <c r="G1366" s="74" t="str">
        <f>HYPERLINK("http://api.nsgreg.nga.mil/geo-division/GENC/6/3-11/PF-01","as:GENC:6:3-11:PF-01")</f>
        <v>as:GENC:6:3-11:PF-01</v>
      </c>
    </row>
    <row r="1367" spans="1:7" x14ac:dyDescent="0.25">
      <c r="A1367" s="112"/>
      <c r="B1367" s="21" t="s">
        <v>4398</v>
      </c>
      <c r="C1367" s="21" t="s">
        <v>4399</v>
      </c>
      <c r="D1367" s="21" t="s">
        <v>4397</v>
      </c>
      <c r="E1367" s="50" t="b">
        <v>1</v>
      </c>
      <c r="F1367" s="72" t="str">
        <f>HYPERLINK("http://nsgreg.nga.mil/genc/view?v=294862&amp;end_month=6&amp;end_day=30&amp;end_year=2019","Îles du Vent")</f>
        <v>Îles du Vent</v>
      </c>
      <c r="G1367" s="72" t="str">
        <f>HYPERLINK("http://api.nsgreg.nga.mil/geo-division/GENC/6/3-11/PF-02","as:GENC:6:3-11:PF-02")</f>
        <v>as:GENC:6:3-11:PF-02</v>
      </c>
    </row>
    <row r="1368" spans="1:7" x14ac:dyDescent="0.25">
      <c r="A1368" s="112"/>
      <c r="B1368" s="21" t="s">
        <v>4400</v>
      </c>
      <c r="C1368" s="21" t="s">
        <v>4401</v>
      </c>
      <c r="D1368" s="21" t="s">
        <v>4397</v>
      </c>
      <c r="E1368" s="50" t="b">
        <v>1</v>
      </c>
      <c r="F1368" s="72" t="str">
        <f>HYPERLINK("http://nsgreg.nga.mil/genc/view?v=294863&amp;end_month=6&amp;end_day=30&amp;end_year=2019","Îles Marquises")</f>
        <v>Îles Marquises</v>
      </c>
      <c r="G1368" s="72" t="str">
        <f>HYPERLINK("http://api.nsgreg.nga.mil/geo-division/GENC/6/3-11/PF-03","as:GENC:6:3-11:PF-03")</f>
        <v>as:GENC:6:3-11:PF-03</v>
      </c>
    </row>
    <row r="1369" spans="1:7" x14ac:dyDescent="0.25">
      <c r="A1369" s="112"/>
      <c r="B1369" s="21" t="s">
        <v>4402</v>
      </c>
      <c r="C1369" s="21" t="s">
        <v>4403</v>
      </c>
      <c r="D1369" s="21" t="s">
        <v>4397</v>
      </c>
      <c r="E1369" s="50" t="b">
        <v>1</v>
      </c>
      <c r="F1369" s="72" t="str">
        <f>HYPERLINK("http://nsgreg.nga.mil/genc/view?v=294864&amp;end_month=6&amp;end_day=30&amp;end_year=2019","Îles Sous-le-Vent")</f>
        <v>Îles Sous-le-Vent</v>
      </c>
      <c r="G1369" s="72" t="str">
        <f>HYPERLINK("http://api.nsgreg.nga.mil/geo-division/GENC/6/3-11/PF-04","as:GENC:6:3-11:PF-04")</f>
        <v>as:GENC:6:3-11:PF-04</v>
      </c>
    </row>
    <row r="1370" spans="1:7" x14ac:dyDescent="0.25">
      <c r="A1370" s="113"/>
      <c r="B1370" s="47" t="s">
        <v>4404</v>
      </c>
      <c r="C1370" s="47" t="s">
        <v>4405</v>
      </c>
      <c r="D1370" s="47" t="s">
        <v>4397</v>
      </c>
      <c r="E1370" s="51" t="b">
        <v>1</v>
      </c>
      <c r="F1370" s="73" t="str">
        <f>HYPERLINK("http://nsgreg.nga.mil/genc/view?v=294865&amp;end_month=6&amp;end_day=30&amp;end_year=2019","Îles Tuamotu-Gambier")</f>
        <v>Îles Tuamotu-Gambier</v>
      </c>
      <c r="G1370" s="73" t="str">
        <f>HYPERLINK("http://api.nsgreg.nga.mil/geo-division/GENC/6/3-11/PF-05","as:GENC:6:3-11:PF-05")</f>
        <v>as:GENC:6:3-11:PF-05</v>
      </c>
    </row>
    <row r="1371" spans="1:7" x14ac:dyDescent="0.25">
      <c r="A1371" s="111" t="str">
        <f>HYPERLINK("[#]Codes_for_GE_Names!A99:I99","GABON")</f>
        <v>GABON</v>
      </c>
      <c r="B1371" s="42" t="s">
        <v>4406</v>
      </c>
      <c r="C1371" s="42" t="s">
        <v>4407</v>
      </c>
      <c r="D1371" s="42" t="s">
        <v>1668</v>
      </c>
      <c r="E1371" s="49" t="b">
        <v>1</v>
      </c>
      <c r="F1371" s="74" t="str">
        <f>HYPERLINK("http://nsgreg.nga.mil/genc/view?v=292688&amp;end_month=6&amp;end_day=30&amp;end_year=2019","Estuaire")</f>
        <v>Estuaire</v>
      </c>
      <c r="G1371" s="74" t="str">
        <f>HYPERLINK("http://api.nsgreg.nga.mil/geo-division/GENC/6/3-11/GA-1","as:GENC:6:3-11:GA-1")</f>
        <v>as:GENC:6:3-11:GA-1</v>
      </c>
    </row>
    <row r="1372" spans="1:7" x14ac:dyDescent="0.25">
      <c r="A1372" s="112"/>
      <c r="B1372" s="21" t="s">
        <v>4408</v>
      </c>
      <c r="C1372" s="21" t="s">
        <v>4409</v>
      </c>
      <c r="D1372" s="21" t="s">
        <v>1668</v>
      </c>
      <c r="E1372" s="50" t="b">
        <v>1</v>
      </c>
      <c r="F1372" s="72" t="str">
        <f>HYPERLINK("http://nsgreg.nga.mil/genc/view?v=292689&amp;end_month=6&amp;end_day=30&amp;end_year=2019","Haut-Ogooué")</f>
        <v>Haut-Ogooué</v>
      </c>
      <c r="G1372" s="72" t="str">
        <f>HYPERLINK("http://api.nsgreg.nga.mil/geo-division/GENC/6/3-11/GA-2","as:GENC:6:3-11:GA-2")</f>
        <v>as:GENC:6:3-11:GA-2</v>
      </c>
    </row>
    <row r="1373" spans="1:7" x14ac:dyDescent="0.25">
      <c r="A1373" s="112"/>
      <c r="B1373" s="21" t="s">
        <v>4410</v>
      </c>
      <c r="C1373" s="21" t="s">
        <v>4411</v>
      </c>
      <c r="D1373" s="21" t="s">
        <v>1668</v>
      </c>
      <c r="E1373" s="50" t="b">
        <v>1</v>
      </c>
      <c r="F1373" s="72" t="str">
        <f>HYPERLINK("http://nsgreg.nga.mil/genc/view?v=292690&amp;end_month=6&amp;end_day=30&amp;end_year=2019","Moyen-Ogooué")</f>
        <v>Moyen-Ogooué</v>
      </c>
      <c r="G1373" s="72" t="str">
        <f>HYPERLINK("http://api.nsgreg.nga.mil/geo-division/GENC/6/3-11/GA-3","as:GENC:6:3-11:GA-3")</f>
        <v>as:GENC:6:3-11:GA-3</v>
      </c>
    </row>
    <row r="1374" spans="1:7" x14ac:dyDescent="0.25">
      <c r="A1374" s="112"/>
      <c r="B1374" s="21" t="s">
        <v>4412</v>
      </c>
      <c r="C1374" s="21" t="s">
        <v>4413</v>
      </c>
      <c r="D1374" s="21" t="s">
        <v>1668</v>
      </c>
      <c r="E1374" s="50" t="b">
        <v>1</v>
      </c>
      <c r="F1374" s="72" t="str">
        <f>HYPERLINK("http://nsgreg.nga.mil/genc/view?v=292691&amp;end_month=6&amp;end_day=30&amp;end_year=2019","Ngounié")</f>
        <v>Ngounié</v>
      </c>
      <c r="G1374" s="72" t="str">
        <f>HYPERLINK("http://api.nsgreg.nga.mil/geo-division/GENC/6/3-11/GA-4","as:GENC:6:3-11:GA-4")</f>
        <v>as:GENC:6:3-11:GA-4</v>
      </c>
    </row>
    <row r="1375" spans="1:7" x14ac:dyDescent="0.25">
      <c r="A1375" s="112"/>
      <c r="B1375" s="21" t="s">
        <v>4414</v>
      </c>
      <c r="C1375" s="21" t="s">
        <v>4415</v>
      </c>
      <c r="D1375" s="21" t="s">
        <v>1668</v>
      </c>
      <c r="E1375" s="50" t="b">
        <v>1</v>
      </c>
      <c r="F1375" s="72" t="str">
        <f>HYPERLINK("http://nsgreg.nga.mil/genc/view?v=292692&amp;end_month=6&amp;end_day=30&amp;end_year=2019","Nyanga")</f>
        <v>Nyanga</v>
      </c>
      <c r="G1375" s="72" t="str">
        <f>HYPERLINK("http://api.nsgreg.nga.mil/geo-division/GENC/6/3-11/GA-5","as:GENC:6:3-11:GA-5")</f>
        <v>as:GENC:6:3-11:GA-5</v>
      </c>
    </row>
    <row r="1376" spans="1:7" x14ac:dyDescent="0.25">
      <c r="A1376" s="112"/>
      <c r="B1376" s="21" t="s">
        <v>4416</v>
      </c>
      <c r="C1376" s="21" t="s">
        <v>4417</v>
      </c>
      <c r="D1376" s="21" t="s">
        <v>1668</v>
      </c>
      <c r="E1376" s="50" t="b">
        <v>1</v>
      </c>
      <c r="F1376" s="72" t="str">
        <f>HYPERLINK("http://nsgreg.nga.mil/genc/view?v=292693&amp;end_month=6&amp;end_day=30&amp;end_year=2019","Ogooué-Ivindo")</f>
        <v>Ogooué-Ivindo</v>
      </c>
      <c r="G1376" s="72" t="str">
        <f>HYPERLINK("http://api.nsgreg.nga.mil/geo-division/GENC/6/3-11/GA-6","as:GENC:6:3-11:GA-6")</f>
        <v>as:GENC:6:3-11:GA-6</v>
      </c>
    </row>
    <row r="1377" spans="1:7" x14ac:dyDescent="0.25">
      <c r="A1377" s="112"/>
      <c r="B1377" s="21" t="s">
        <v>4418</v>
      </c>
      <c r="C1377" s="21" t="s">
        <v>4419</v>
      </c>
      <c r="D1377" s="21" t="s">
        <v>1668</v>
      </c>
      <c r="E1377" s="50" t="b">
        <v>1</v>
      </c>
      <c r="F1377" s="72" t="str">
        <f>HYPERLINK("http://nsgreg.nga.mil/genc/view?v=292694&amp;end_month=6&amp;end_day=30&amp;end_year=2019","Ogooué-Lolo")</f>
        <v>Ogooué-Lolo</v>
      </c>
      <c r="G1377" s="72" t="str">
        <f>HYPERLINK("http://api.nsgreg.nga.mil/geo-division/GENC/6/3-11/GA-7","as:GENC:6:3-11:GA-7")</f>
        <v>as:GENC:6:3-11:GA-7</v>
      </c>
    </row>
    <row r="1378" spans="1:7" x14ac:dyDescent="0.25">
      <c r="A1378" s="112"/>
      <c r="B1378" s="21" t="s">
        <v>4420</v>
      </c>
      <c r="C1378" s="21" t="s">
        <v>4421</v>
      </c>
      <c r="D1378" s="21" t="s">
        <v>1668</v>
      </c>
      <c r="E1378" s="50" t="b">
        <v>1</v>
      </c>
      <c r="F1378" s="72" t="str">
        <f>HYPERLINK("http://nsgreg.nga.mil/genc/view?v=292695&amp;end_month=6&amp;end_day=30&amp;end_year=2019","Ogooué-Maritime")</f>
        <v>Ogooué-Maritime</v>
      </c>
      <c r="G1378" s="72" t="str">
        <f>HYPERLINK("http://api.nsgreg.nga.mil/geo-division/GENC/6/3-11/GA-8","as:GENC:6:3-11:GA-8")</f>
        <v>as:GENC:6:3-11:GA-8</v>
      </c>
    </row>
    <row r="1379" spans="1:7" x14ac:dyDescent="0.25">
      <c r="A1379" s="113"/>
      <c r="B1379" s="47" t="s">
        <v>4422</v>
      </c>
      <c r="C1379" s="47" t="s">
        <v>4423</v>
      </c>
      <c r="D1379" s="47" t="s">
        <v>1668</v>
      </c>
      <c r="E1379" s="51" t="b">
        <v>1</v>
      </c>
      <c r="F1379" s="73" t="str">
        <f>HYPERLINK("http://nsgreg.nga.mil/genc/view?v=292696&amp;end_month=6&amp;end_day=30&amp;end_year=2019","Woleu-Ntem")</f>
        <v>Woleu-Ntem</v>
      </c>
      <c r="G1379" s="73" t="str">
        <f>HYPERLINK("http://api.nsgreg.nga.mil/geo-division/GENC/6/3-11/GA-9","as:GENC:6:3-11:GA-9")</f>
        <v>as:GENC:6:3-11:GA-9</v>
      </c>
    </row>
    <row r="1380" spans="1:7" x14ac:dyDescent="0.25">
      <c r="A1380" s="111" t="str">
        <f>HYPERLINK("[#]Codes_for_GE_Names!A100:I100","GAMBIA, THE")</f>
        <v>GAMBIA, THE</v>
      </c>
      <c r="B1380" s="42" t="s">
        <v>4424</v>
      </c>
      <c r="C1380" s="42" t="s">
        <v>4425</v>
      </c>
      <c r="D1380" s="42" t="s">
        <v>1996</v>
      </c>
      <c r="E1380" s="49" t="b">
        <v>1</v>
      </c>
      <c r="F1380" s="74" t="str">
        <f>HYPERLINK("http://nsgreg.nga.mil/genc/view?v=292962&amp;end_month=6&amp;end_day=30&amp;end_year=2019","Banjul")</f>
        <v>Banjul</v>
      </c>
      <c r="G1380" s="74" t="str">
        <f>HYPERLINK("http://api.nsgreg.nga.mil/geo-division/GENC/6/3-11/GM-B","as:GENC:6:3-11:GM-B")</f>
        <v>as:GENC:6:3-11:GM-B</v>
      </c>
    </row>
    <row r="1381" spans="1:7" x14ac:dyDescent="0.25">
      <c r="A1381" s="112"/>
      <c r="B1381" s="21" t="s">
        <v>4426</v>
      </c>
      <c r="C1381" s="21" t="s">
        <v>4427</v>
      </c>
      <c r="D1381" s="21" t="s">
        <v>1975</v>
      </c>
      <c r="E1381" s="50" t="b">
        <v>1</v>
      </c>
      <c r="F1381" s="72" t="str">
        <f>HYPERLINK("http://nsgreg.nga.mil/genc/view?v=292965&amp;end_month=6&amp;end_day=30&amp;end_year=2019","Central River")</f>
        <v>Central River</v>
      </c>
      <c r="G1381" s="72" t="str">
        <f>HYPERLINK("http://api.nsgreg.nga.mil/geo-division/GENC/6/3-11/GM-M","as:GENC:6:3-11:GM-M")</f>
        <v>as:GENC:6:3-11:GM-M</v>
      </c>
    </row>
    <row r="1382" spans="1:7" x14ac:dyDescent="0.25">
      <c r="A1382" s="112"/>
      <c r="B1382" s="21" t="s">
        <v>4428</v>
      </c>
      <c r="C1382" s="21" t="s">
        <v>4429</v>
      </c>
      <c r="D1382" s="21" t="s">
        <v>2505</v>
      </c>
      <c r="E1382" s="50" t="b">
        <v>1</v>
      </c>
      <c r="F1382" s="72" t="str">
        <f>HYPERLINK("http://nsgreg.nga.mil/genc/view?v=292963&amp;end_month=6&amp;end_day=30&amp;end_year=2019","Kanifing")</f>
        <v>Kanifing</v>
      </c>
      <c r="G1382" s="72" t="str">
        <f>HYPERLINK("http://api.nsgreg.nga.mil/geo-division/GENC/6/3-11/GM-K","as:GENC:6:3-11:GM-K")</f>
        <v>as:GENC:6:3-11:GM-K</v>
      </c>
    </row>
    <row r="1383" spans="1:7" x14ac:dyDescent="0.25">
      <c r="A1383" s="112"/>
      <c r="B1383" s="21" t="s">
        <v>4430</v>
      </c>
      <c r="C1383" s="21" t="s">
        <v>4431</v>
      </c>
      <c r="D1383" s="21" t="s">
        <v>1975</v>
      </c>
      <c r="E1383" s="50" t="b">
        <v>1</v>
      </c>
      <c r="F1383" s="72" t="str">
        <f>HYPERLINK("http://nsgreg.nga.mil/genc/view?v=292964&amp;end_month=6&amp;end_day=30&amp;end_year=2019","Lower River")</f>
        <v>Lower River</v>
      </c>
      <c r="G1383" s="72" t="str">
        <f>HYPERLINK("http://api.nsgreg.nga.mil/geo-division/GENC/6/3-11/GM-L","as:GENC:6:3-11:GM-L")</f>
        <v>as:GENC:6:3-11:GM-L</v>
      </c>
    </row>
    <row r="1384" spans="1:7" x14ac:dyDescent="0.25">
      <c r="A1384" s="112"/>
      <c r="B1384" s="21" t="s">
        <v>4432</v>
      </c>
      <c r="C1384" s="21" t="s">
        <v>4433</v>
      </c>
      <c r="D1384" s="21" t="s">
        <v>1975</v>
      </c>
      <c r="E1384" s="50" t="b">
        <v>1</v>
      </c>
      <c r="F1384" s="72" t="str">
        <f>HYPERLINK("http://nsgreg.nga.mil/genc/view?v=292966&amp;end_month=6&amp;end_day=30&amp;end_year=2019","North Bank")</f>
        <v>North Bank</v>
      </c>
      <c r="G1384" s="72" t="str">
        <f>HYPERLINK("http://api.nsgreg.nga.mil/geo-division/GENC/6/3-11/GM-N","as:GENC:6:3-11:GM-N")</f>
        <v>as:GENC:6:3-11:GM-N</v>
      </c>
    </row>
    <row r="1385" spans="1:7" x14ac:dyDescent="0.25">
      <c r="A1385" s="112"/>
      <c r="B1385" s="21" t="s">
        <v>4434</v>
      </c>
      <c r="C1385" s="21" t="s">
        <v>4435</v>
      </c>
      <c r="D1385" s="21" t="s">
        <v>1975</v>
      </c>
      <c r="E1385" s="50" t="b">
        <v>1</v>
      </c>
      <c r="F1385" s="72" t="str">
        <f>HYPERLINK("http://nsgreg.nga.mil/genc/view?v=292967&amp;end_month=6&amp;end_day=30&amp;end_year=2019","Upper River")</f>
        <v>Upper River</v>
      </c>
      <c r="G1385" s="72" t="str">
        <f>HYPERLINK("http://api.nsgreg.nga.mil/geo-division/GENC/6/3-11/GM-U","as:GENC:6:3-11:GM-U")</f>
        <v>as:GENC:6:3-11:GM-U</v>
      </c>
    </row>
    <row r="1386" spans="1:7" x14ac:dyDescent="0.25">
      <c r="A1386" s="113"/>
      <c r="B1386" s="47" t="s">
        <v>4436</v>
      </c>
      <c r="C1386" s="47" t="s">
        <v>4437</v>
      </c>
      <c r="D1386" s="47" t="s">
        <v>1975</v>
      </c>
      <c r="E1386" s="51" t="b">
        <v>1</v>
      </c>
      <c r="F1386" s="73" t="str">
        <f>HYPERLINK("http://nsgreg.nga.mil/genc/view?v=292968&amp;end_month=6&amp;end_day=30&amp;end_year=2019","West Coast")</f>
        <v>West Coast</v>
      </c>
      <c r="G1386" s="73" t="str">
        <f>HYPERLINK("http://api.nsgreg.nga.mil/geo-division/GENC/6/3-11/GM-W","as:GENC:6:3-11:GM-W")</f>
        <v>as:GENC:6:3-11:GM-W</v>
      </c>
    </row>
    <row r="1387" spans="1:7" x14ac:dyDescent="0.25">
      <c r="A1387" s="111" t="str">
        <f>HYPERLINK("[#]Codes_for_GE_Names!A102:I102","GEORGIA")</f>
        <v>GEORGIA</v>
      </c>
      <c r="B1387" s="42" t="s">
        <v>4438</v>
      </c>
      <c r="C1387" s="42" t="s">
        <v>4439</v>
      </c>
      <c r="D1387" s="42" t="s">
        <v>2101</v>
      </c>
      <c r="E1387" s="49" t="b">
        <v>1</v>
      </c>
      <c r="F1387" s="74" t="str">
        <f>HYPERLINK("http://nsgreg.nga.mil/genc/view?v=292928&amp;end_month=6&amp;end_day=30&amp;end_year=2019","Abkhazia")</f>
        <v>Abkhazia</v>
      </c>
      <c r="G1387" s="74" t="str">
        <f>HYPERLINK("http://api.nsgreg.nga.mil/geo-division/GENC/6/3-11/GE-AB","as:GENC:6:3-11:GE-AB")</f>
        <v>as:GENC:6:3-11:GE-AB</v>
      </c>
    </row>
    <row r="1388" spans="1:7" x14ac:dyDescent="0.25">
      <c r="A1388" s="112"/>
      <c r="B1388" s="21" t="s">
        <v>4440</v>
      </c>
      <c r="C1388" s="21" t="s">
        <v>4441</v>
      </c>
      <c r="D1388" s="21" t="s">
        <v>2101</v>
      </c>
      <c r="E1388" s="50" t="b">
        <v>1</v>
      </c>
      <c r="F1388" s="72" t="str">
        <f>HYPERLINK("http://nsgreg.nga.mil/genc/view?v=292929&amp;end_month=6&amp;end_day=30&amp;end_year=2019","Ajaria")</f>
        <v>Ajaria</v>
      </c>
      <c r="G1388" s="72" t="str">
        <f>HYPERLINK("http://api.nsgreg.nga.mil/geo-division/GENC/6/3-11/GE-AJ","as:GENC:6:3-11:GE-AJ")</f>
        <v>as:GENC:6:3-11:GE-AJ</v>
      </c>
    </row>
    <row r="1389" spans="1:7" x14ac:dyDescent="0.25">
      <c r="A1389" s="112"/>
      <c r="B1389" s="21" t="s">
        <v>4442</v>
      </c>
      <c r="C1389" s="21" t="s">
        <v>4443</v>
      </c>
      <c r="D1389" s="21" t="s">
        <v>1975</v>
      </c>
      <c r="E1389" s="50" t="b">
        <v>1</v>
      </c>
      <c r="F1389" s="72" t="str">
        <f>HYPERLINK("http://nsgreg.nga.mil/genc/view?v=292930&amp;end_month=6&amp;end_day=30&amp;end_year=2019","Guria")</f>
        <v>Guria</v>
      </c>
      <c r="G1389" s="72" t="str">
        <f>HYPERLINK("http://api.nsgreg.nga.mil/geo-division/GENC/6/3-11/GE-GU","as:GENC:6:3-11:GE-GU")</f>
        <v>as:GENC:6:3-11:GE-GU</v>
      </c>
    </row>
    <row r="1390" spans="1:7" x14ac:dyDescent="0.25">
      <c r="A1390" s="112"/>
      <c r="B1390" s="21" t="s">
        <v>4444</v>
      </c>
      <c r="C1390" s="21" t="s">
        <v>4445</v>
      </c>
      <c r="D1390" s="21" t="s">
        <v>1975</v>
      </c>
      <c r="E1390" s="50" t="b">
        <v>1</v>
      </c>
      <c r="F1390" s="72" t="str">
        <f>HYPERLINK("http://nsgreg.nga.mil/genc/view?v=292931&amp;end_month=6&amp;end_day=30&amp;end_year=2019","Imereti")</f>
        <v>Imereti</v>
      </c>
      <c r="G1390" s="72" t="str">
        <f>HYPERLINK("http://api.nsgreg.nga.mil/geo-division/GENC/6/3-11/GE-IM","as:GENC:6:3-11:GE-IM")</f>
        <v>as:GENC:6:3-11:GE-IM</v>
      </c>
    </row>
    <row r="1391" spans="1:7" x14ac:dyDescent="0.25">
      <c r="A1391" s="112"/>
      <c r="B1391" s="21" t="s">
        <v>4446</v>
      </c>
      <c r="C1391" s="21" t="s">
        <v>4447</v>
      </c>
      <c r="D1391" s="21" t="s">
        <v>1975</v>
      </c>
      <c r="E1391" s="50" t="b">
        <v>1</v>
      </c>
      <c r="F1391" s="72" t="str">
        <f>HYPERLINK("http://nsgreg.nga.mil/genc/view?v=292932&amp;end_month=6&amp;end_day=30&amp;end_year=2019","K’akheti")</f>
        <v>K’akheti</v>
      </c>
      <c r="G1391" s="72" t="str">
        <f>HYPERLINK("http://api.nsgreg.nga.mil/geo-division/GENC/6/3-11/GE-KA","as:GENC:6:3-11:GE-KA")</f>
        <v>as:GENC:6:3-11:GE-KA</v>
      </c>
    </row>
    <row r="1392" spans="1:7" x14ac:dyDescent="0.25">
      <c r="A1392" s="112"/>
      <c r="B1392" s="21" t="s">
        <v>4448</v>
      </c>
      <c r="C1392" s="21" t="s">
        <v>4449</v>
      </c>
      <c r="D1392" s="21" t="s">
        <v>1975</v>
      </c>
      <c r="E1392" s="50" t="b">
        <v>1</v>
      </c>
      <c r="F1392" s="72" t="str">
        <f>HYPERLINK("http://nsgreg.nga.mil/genc/view?v=292933&amp;end_month=6&amp;end_day=30&amp;end_year=2019","Kvemo Kartli")</f>
        <v>Kvemo Kartli</v>
      </c>
      <c r="G1392" s="72" t="str">
        <f>HYPERLINK("http://api.nsgreg.nga.mil/geo-division/GENC/6/3-11/GE-KK","as:GENC:6:3-11:GE-KK")</f>
        <v>as:GENC:6:3-11:GE-KK</v>
      </c>
    </row>
    <row r="1393" spans="1:7" x14ac:dyDescent="0.25">
      <c r="A1393" s="112"/>
      <c r="B1393" s="21" t="s">
        <v>4450</v>
      </c>
      <c r="C1393" s="21" t="s">
        <v>4451</v>
      </c>
      <c r="D1393" s="21" t="s">
        <v>1975</v>
      </c>
      <c r="E1393" s="50" t="b">
        <v>1</v>
      </c>
      <c r="F1393" s="72" t="str">
        <f>HYPERLINK("http://nsgreg.nga.mil/genc/view?v=292934&amp;end_month=6&amp;end_day=30&amp;end_year=2019","Mtskheta Mtianeti")</f>
        <v>Mtskheta Mtianeti</v>
      </c>
      <c r="G1393" s="72" t="str">
        <f>HYPERLINK("http://api.nsgreg.nga.mil/geo-division/GENC/6/3-11/GE-MM","as:GENC:6:3-11:GE-MM")</f>
        <v>as:GENC:6:3-11:GE-MM</v>
      </c>
    </row>
    <row r="1394" spans="1:7" x14ac:dyDescent="0.25">
      <c r="A1394" s="112"/>
      <c r="B1394" s="21" t="s">
        <v>4452</v>
      </c>
      <c r="C1394" s="21" t="s">
        <v>4453</v>
      </c>
      <c r="D1394" s="21" t="s">
        <v>1975</v>
      </c>
      <c r="E1394" s="50" t="b">
        <v>1</v>
      </c>
      <c r="F1394" s="72" t="str">
        <f>HYPERLINK("http://nsgreg.nga.mil/genc/view?v=292935&amp;end_month=6&amp;end_day=30&amp;end_year=2019","Rach’a-Lechkhumi da Kvemo Svaneti")</f>
        <v>Rach’a-Lechkhumi da Kvemo Svaneti</v>
      </c>
      <c r="G1394" s="72" t="str">
        <f>HYPERLINK("http://api.nsgreg.nga.mil/geo-division/GENC/6/3-11/GE-RL","as:GENC:6:3-11:GE-RL")</f>
        <v>as:GENC:6:3-11:GE-RL</v>
      </c>
    </row>
    <row r="1395" spans="1:7" x14ac:dyDescent="0.25">
      <c r="A1395" s="112"/>
      <c r="B1395" s="21" t="s">
        <v>4454</v>
      </c>
      <c r="C1395" s="21" t="s">
        <v>4455</v>
      </c>
      <c r="D1395" s="21" t="s">
        <v>1975</v>
      </c>
      <c r="E1395" s="50" t="b">
        <v>1</v>
      </c>
      <c r="F1395" s="72" t="str">
        <f>HYPERLINK("http://nsgreg.nga.mil/genc/view?v=292938&amp;end_month=6&amp;end_day=30&amp;end_year=2019","Samegrelo-Zemo Svaneti")</f>
        <v>Samegrelo-Zemo Svaneti</v>
      </c>
      <c r="G1395" s="72" t="str">
        <f>HYPERLINK("http://api.nsgreg.nga.mil/geo-division/GENC/6/3-11/GE-SZ","as:GENC:6:3-11:GE-SZ")</f>
        <v>as:GENC:6:3-11:GE-SZ</v>
      </c>
    </row>
    <row r="1396" spans="1:7" x14ac:dyDescent="0.25">
      <c r="A1396" s="112"/>
      <c r="B1396" s="21" t="s">
        <v>4456</v>
      </c>
      <c r="C1396" s="21" t="s">
        <v>4457</v>
      </c>
      <c r="D1396" s="21" t="s">
        <v>1975</v>
      </c>
      <c r="E1396" s="50" t="b">
        <v>1</v>
      </c>
      <c r="F1396" s="72" t="str">
        <f>HYPERLINK("http://nsgreg.nga.mil/genc/view?v=292936&amp;end_month=6&amp;end_day=30&amp;end_year=2019","Samtskhe-Javakheti")</f>
        <v>Samtskhe-Javakheti</v>
      </c>
      <c r="G1396" s="72" t="str">
        <f>HYPERLINK("http://api.nsgreg.nga.mil/geo-division/GENC/6/3-11/GE-SJ","as:GENC:6:3-11:GE-SJ")</f>
        <v>as:GENC:6:3-11:GE-SJ</v>
      </c>
    </row>
    <row r="1397" spans="1:7" x14ac:dyDescent="0.25">
      <c r="A1397" s="112"/>
      <c r="B1397" s="21" t="s">
        <v>4458</v>
      </c>
      <c r="C1397" s="21" t="s">
        <v>4459</v>
      </c>
      <c r="D1397" s="21" t="s">
        <v>1975</v>
      </c>
      <c r="E1397" s="50" t="b">
        <v>1</v>
      </c>
      <c r="F1397" s="72" t="str">
        <f>HYPERLINK("http://nsgreg.nga.mil/genc/view?v=292937&amp;end_month=6&amp;end_day=30&amp;end_year=2019","Shida Kartli")</f>
        <v>Shida Kartli</v>
      </c>
      <c r="G1397" s="72" t="str">
        <f>HYPERLINK("http://api.nsgreg.nga.mil/geo-division/GENC/6/3-11/GE-SK","as:GENC:6:3-11:GE-SK")</f>
        <v>as:GENC:6:3-11:GE-SK</v>
      </c>
    </row>
    <row r="1398" spans="1:7" x14ac:dyDescent="0.25">
      <c r="A1398" s="113"/>
      <c r="B1398" s="47" t="s">
        <v>4460</v>
      </c>
      <c r="C1398" s="47" t="s">
        <v>4461</v>
      </c>
      <c r="D1398" s="47" t="s">
        <v>1996</v>
      </c>
      <c r="E1398" s="51" t="b">
        <v>1</v>
      </c>
      <c r="F1398" s="73" t="str">
        <f>HYPERLINK("http://nsgreg.nga.mil/genc/view?v=292939&amp;end_month=6&amp;end_day=30&amp;end_year=2019","Tbilisi")</f>
        <v>Tbilisi</v>
      </c>
      <c r="G1398" s="73" t="str">
        <f>HYPERLINK("http://api.nsgreg.nga.mil/geo-division/GENC/6/3-11/GE-TB","as:GENC:6:3-11:GE-TB")</f>
        <v>as:GENC:6:3-11:GE-TB</v>
      </c>
    </row>
    <row r="1399" spans="1:7" x14ac:dyDescent="0.25">
      <c r="A1399" s="111" t="str">
        <f>HYPERLINK("[#]Codes_for_GE_Names!A103:I103","GERMANY")</f>
        <v>GERMANY</v>
      </c>
      <c r="B1399" s="42" t="s">
        <v>4462</v>
      </c>
      <c r="C1399" s="42" t="s">
        <v>4463</v>
      </c>
      <c r="D1399" s="42" t="s">
        <v>2002</v>
      </c>
      <c r="E1399" s="49" t="b">
        <v>1</v>
      </c>
      <c r="F1399" s="74" t="str">
        <f>HYPERLINK("http://nsgreg.nga.mil/genc/view?v=292215&amp;end_month=6&amp;end_day=30&amp;end_year=2019","Baden-Württemberg")</f>
        <v>Baden-Württemberg</v>
      </c>
      <c r="G1399" s="74" t="str">
        <f>HYPERLINK("http://api.nsgreg.nga.mil/geo-division/GENC/6/3-11/DE-BW","as:GENC:6:3-11:DE-BW")</f>
        <v>as:GENC:6:3-11:DE-BW</v>
      </c>
    </row>
    <row r="1400" spans="1:7" x14ac:dyDescent="0.25">
      <c r="A1400" s="112"/>
      <c r="B1400" s="21" t="s">
        <v>4464</v>
      </c>
      <c r="C1400" s="21" t="s">
        <v>4465</v>
      </c>
      <c r="D1400" s="21" t="s">
        <v>2002</v>
      </c>
      <c r="E1400" s="50" t="b">
        <v>1</v>
      </c>
      <c r="F1400" s="72" t="str">
        <f>HYPERLINK("http://nsgreg.nga.mil/genc/view?v=292216&amp;end_month=6&amp;end_day=30&amp;end_year=2019","Bavaria")</f>
        <v>Bavaria</v>
      </c>
      <c r="G1400" s="72" t="str">
        <f>HYPERLINK("http://api.nsgreg.nga.mil/geo-division/GENC/6/3-11/DE-BY","as:GENC:6:3-11:DE-BY")</f>
        <v>as:GENC:6:3-11:DE-BY</v>
      </c>
    </row>
    <row r="1401" spans="1:7" x14ac:dyDescent="0.25">
      <c r="A1401" s="112"/>
      <c r="B1401" s="21" t="s">
        <v>4466</v>
      </c>
      <c r="C1401" s="21" t="s">
        <v>4467</v>
      </c>
      <c r="D1401" s="21" t="s">
        <v>2002</v>
      </c>
      <c r="E1401" s="50" t="b">
        <v>1</v>
      </c>
      <c r="F1401" s="72" t="str">
        <f>HYPERLINK("http://nsgreg.nga.mil/genc/view?v=292214&amp;end_month=6&amp;end_day=30&amp;end_year=2019","Berlin")</f>
        <v>Berlin</v>
      </c>
      <c r="G1401" s="72" t="str">
        <f>HYPERLINK("http://api.nsgreg.nga.mil/geo-division/GENC/6/3-11/DE-BE","as:GENC:6:3-11:DE-BE")</f>
        <v>as:GENC:6:3-11:DE-BE</v>
      </c>
    </row>
    <row r="1402" spans="1:7" x14ac:dyDescent="0.25">
      <c r="A1402" s="112"/>
      <c r="B1402" s="21" t="s">
        <v>4468</v>
      </c>
      <c r="C1402" s="21" t="s">
        <v>4469</v>
      </c>
      <c r="D1402" s="21" t="s">
        <v>2002</v>
      </c>
      <c r="E1402" s="50" t="b">
        <v>1</v>
      </c>
      <c r="F1402" s="72" t="str">
        <f>HYPERLINK("http://nsgreg.nga.mil/genc/view?v=292213&amp;end_month=6&amp;end_day=30&amp;end_year=2019","Brandenburg")</f>
        <v>Brandenburg</v>
      </c>
      <c r="G1402" s="72" t="str">
        <f>HYPERLINK("http://api.nsgreg.nga.mil/geo-division/GENC/6/3-11/DE-BB","as:GENC:6:3-11:DE-BB")</f>
        <v>as:GENC:6:3-11:DE-BB</v>
      </c>
    </row>
    <row r="1403" spans="1:7" x14ac:dyDescent="0.25">
      <c r="A1403" s="112"/>
      <c r="B1403" s="21" t="s">
        <v>4470</v>
      </c>
      <c r="C1403" s="21" t="s">
        <v>4471</v>
      </c>
      <c r="D1403" s="21" t="s">
        <v>2002</v>
      </c>
      <c r="E1403" s="50" t="b">
        <v>1</v>
      </c>
      <c r="F1403" s="72" t="str">
        <f>HYPERLINK("http://nsgreg.nga.mil/genc/view?v=292217&amp;end_month=6&amp;end_day=30&amp;end_year=2019","Bremen")</f>
        <v>Bremen</v>
      </c>
      <c r="G1403" s="72" t="str">
        <f>HYPERLINK("http://api.nsgreg.nga.mil/geo-division/GENC/6/3-11/DE-HB","as:GENC:6:3-11:DE-HB")</f>
        <v>as:GENC:6:3-11:DE-HB</v>
      </c>
    </row>
    <row r="1404" spans="1:7" x14ac:dyDescent="0.25">
      <c r="A1404" s="112"/>
      <c r="B1404" s="21" t="s">
        <v>4472</v>
      </c>
      <c r="C1404" s="21" t="s">
        <v>4473</v>
      </c>
      <c r="D1404" s="21" t="s">
        <v>2002</v>
      </c>
      <c r="E1404" s="50" t="b">
        <v>1</v>
      </c>
      <c r="F1404" s="72" t="str">
        <f>HYPERLINK("http://nsgreg.nga.mil/genc/view?v=292219&amp;end_month=6&amp;end_day=30&amp;end_year=2019","Hamburg")</f>
        <v>Hamburg</v>
      </c>
      <c r="G1404" s="72" t="str">
        <f>HYPERLINK("http://api.nsgreg.nga.mil/geo-division/GENC/6/3-11/DE-HH","as:GENC:6:3-11:DE-HH")</f>
        <v>as:GENC:6:3-11:DE-HH</v>
      </c>
    </row>
    <row r="1405" spans="1:7" x14ac:dyDescent="0.25">
      <c r="A1405" s="112"/>
      <c r="B1405" s="21" t="s">
        <v>4474</v>
      </c>
      <c r="C1405" s="21" t="s">
        <v>4475</v>
      </c>
      <c r="D1405" s="21" t="s">
        <v>2002</v>
      </c>
      <c r="E1405" s="50" t="b">
        <v>1</v>
      </c>
      <c r="F1405" s="72" t="str">
        <f>HYPERLINK("http://nsgreg.nga.mil/genc/view?v=292218&amp;end_month=6&amp;end_day=30&amp;end_year=2019","Hesse")</f>
        <v>Hesse</v>
      </c>
      <c r="G1405" s="72" t="str">
        <f>HYPERLINK("http://api.nsgreg.nga.mil/geo-division/GENC/6/3-11/DE-HE","as:GENC:6:3-11:DE-HE")</f>
        <v>as:GENC:6:3-11:DE-HE</v>
      </c>
    </row>
    <row r="1406" spans="1:7" x14ac:dyDescent="0.25">
      <c r="A1406" s="112"/>
      <c r="B1406" s="21" t="s">
        <v>4476</v>
      </c>
      <c r="C1406" s="21" t="s">
        <v>4477</v>
      </c>
      <c r="D1406" s="21" t="s">
        <v>2002</v>
      </c>
      <c r="E1406" s="50" t="b">
        <v>1</v>
      </c>
      <c r="F1406" s="72" t="str">
        <f>HYPERLINK("http://nsgreg.nga.mil/genc/view?v=292221&amp;end_month=6&amp;end_day=30&amp;end_year=2019","Lower Saxony")</f>
        <v>Lower Saxony</v>
      </c>
      <c r="G1406" s="72" t="str">
        <f>HYPERLINK("http://api.nsgreg.nga.mil/geo-division/GENC/6/3-11/DE-NI","as:GENC:6:3-11:DE-NI")</f>
        <v>as:GENC:6:3-11:DE-NI</v>
      </c>
    </row>
    <row r="1407" spans="1:7" x14ac:dyDescent="0.25">
      <c r="A1407" s="112"/>
      <c r="B1407" s="21" t="s">
        <v>4478</v>
      </c>
      <c r="C1407" s="21" t="s">
        <v>4479</v>
      </c>
      <c r="D1407" s="21" t="s">
        <v>2002</v>
      </c>
      <c r="E1407" s="50" t="b">
        <v>1</v>
      </c>
      <c r="F1407" s="72" t="str">
        <f>HYPERLINK("http://nsgreg.nga.mil/genc/view?v=292220&amp;end_month=6&amp;end_day=30&amp;end_year=2019","Mecklenburg-Western Pomerania")</f>
        <v>Mecklenburg-Western Pomerania</v>
      </c>
      <c r="G1407" s="72" t="str">
        <f>HYPERLINK("http://api.nsgreg.nga.mil/geo-division/GENC/6/3-11/DE-MV","as:GENC:6:3-11:DE-MV")</f>
        <v>as:GENC:6:3-11:DE-MV</v>
      </c>
    </row>
    <row r="1408" spans="1:7" x14ac:dyDescent="0.25">
      <c r="A1408" s="112"/>
      <c r="B1408" s="21" t="s">
        <v>4480</v>
      </c>
      <c r="C1408" s="21" t="s">
        <v>4481</v>
      </c>
      <c r="D1408" s="21" t="s">
        <v>2002</v>
      </c>
      <c r="E1408" s="50" t="b">
        <v>1</v>
      </c>
      <c r="F1408" s="72" t="str">
        <f>HYPERLINK("http://nsgreg.nga.mil/genc/view?v=292222&amp;end_month=6&amp;end_day=30&amp;end_year=2019","North Rhine-Westphalia")</f>
        <v>North Rhine-Westphalia</v>
      </c>
      <c r="G1408" s="72" t="str">
        <f>HYPERLINK("http://api.nsgreg.nga.mil/geo-division/GENC/6/3-11/DE-NW","as:GENC:6:3-11:DE-NW")</f>
        <v>as:GENC:6:3-11:DE-NW</v>
      </c>
    </row>
    <row r="1409" spans="1:7" x14ac:dyDescent="0.25">
      <c r="A1409" s="112"/>
      <c r="B1409" s="21" t="s">
        <v>4482</v>
      </c>
      <c r="C1409" s="21" t="s">
        <v>4483</v>
      </c>
      <c r="D1409" s="21" t="s">
        <v>2002</v>
      </c>
      <c r="E1409" s="50" t="b">
        <v>1</v>
      </c>
      <c r="F1409" s="72" t="str">
        <f>HYPERLINK("http://nsgreg.nga.mil/genc/view?v=292223&amp;end_month=6&amp;end_day=30&amp;end_year=2019","Rhineland-Palatinate")</f>
        <v>Rhineland-Palatinate</v>
      </c>
      <c r="G1409" s="72" t="str">
        <f>HYPERLINK("http://api.nsgreg.nga.mil/geo-division/GENC/6/3-11/DE-RP","as:GENC:6:3-11:DE-RP")</f>
        <v>as:GENC:6:3-11:DE-RP</v>
      </c>
    </row>
    <row r="1410" spans="1:7" x14ac:dyDescent="0.25">
      <c r="A1410" s="112"/>
      <c r="B1410" s="21" t="s">
        <v>4484</v>
      </c>
      <c r="C1410" s="21" t="s">
        <v>4485</v>
      </c>
      <c r="D1410" s="21" t="s">
        <v>2002</v>
      </c>
      <c r="E1410" s="50" t="b">
        <v>1</v>
      </c>
      <c r="F1410" s="72" t="str">
        <f>HYPERLINK("http://nsgreg.nga.mil/genc/view?v=292225&amp;end_month=6&amp;end_day=30&amp;end_year=2019","Saarland")</f>
        <v>Saarland</v>
      </c>
      <c r="G1410" s="72" t="str">
        <f>HYPERLINK("http://api.nsgreg.nga.mil/geo-division/GENC/6/3-11/DE-SL","as:GENC:6:3-11:DE-SL")</f>
        <v>as:GENC:6:3-11:DE-SL</v>
      </c>
    </row>
    <row r="1411" spans="1:7" x14ac:dyDescent="0.25">
      <c r="A1411" s="112"/>
      <c r="B1411" s="21" t="s">
        <v>4486</v>
      </c>
      <c r="C1411" s="21" t="s">
        <v>4487</v>
      </c>
      <c r="D1411" s="21" t="s">
        <v>2002</v>
      </c>
      <c r="E1411" s="50" t="b">
        <v>1</v>
      </c>
      <c r="F1411" s="72" t="str">
        <f>HYPERLINK("http://nsgreg.nga.mil/genc/view?v=292226&amp;end_month=6&amp;end_day=30&amp;end_year=2019","Saxony")</f>
        <v>Saxony</v>
      </c>
      <c r="G1411" s="72" t="str">
        <f>HYPERLINK("http://api.nsgreg.nga.mil/geo-division/GENC/6/3-11/DE-SN","as:GENC:6:3-11:DE-SN")</f>
        <v>as:GENC:6:3-11:DE-SN</v>
      </c>
    </row>
    <row r="1412" spans="1:7" x14ac:dyDescent="0.25">
      <c r="A1412" s="112"/>
      <c r="B1412" s="21" t="s">
        <v>4488</v>
      </c>
      <c r="C1412" s="21" t="s">
        <v>4489</v>
      </c>
      <c r="D1412" s="21" t="s">
        <v>2002</v>
      </c>
      <c r="E1412" s="50" t="b">
        <v>1</v>
      </c>
      <c r="F1412" s="72" t="str">
        <f>HYPERLINK("http://nsgreg.nga.mil/genc/view?v=292227&amp;end_month=6&amp;end_day=30&amp;end_year=2019","Saxony-Anhalt")</f>
        <v>Saxony-Anhalt</v>
      </c>
      <c r="G1412" s="72" t="str">
        <f>HYPERLINK("http://api.nsgreg.nga.mil/geo-division/GENC/6/3-11/DE-ST","as:GENC:6:3-11:DE-ST")</f>
        <v>as:GENC:6:3-11:DE-ST</v>
      </c>
    </row>
    <row r="1413" spans="1:7" x14ac:dyDescent="0.25">
      <c r="A1413" s="112"/>
      <c r="B1413" s="21" t="s">
        <v>4490</v>
      </c>
      <c r="C1413" s="21" t="s">
        <v>4491</v>
      </c>
      <c r="D1413" s="21" t="s">
        <v>2002</v>
      </c>
      <c r="E1413" s="50" t="b">
        <v>1</v>
      </c>
      <c r="F1413" s="72" t="str">
        <f>HYPERLINK("http://nsgreg.nga.mil/genc/view?v=292224&amp;end_month=6&amp;end_day=30&amp;end_year=2019","Schleswig-Holstein")</f>
        <v>Schleswig-Holstein</v>
      </c>
      <c r="G1413" s="72" t="str">
        <f>HYPERLINK("http://api.nsgreg.nga.mil/geo-division/GENC/6/3-11/DE-SH","as:GENC:6:3-11:DE-SH")</f>
        <v>as:GENC:6:3-11:DE-SH</v>
      </c>
    </row>
    <row r="1414" spans="1:7" x14ac:dyDescent="0.25">
      <c r="A1414" s="113"/>
      <c r="B1414" s="47" t="s">
        <v>4492</v>
      </c>
      <c r="C1414" s="47" t="s">
        <v>4493</v>
      </c>
      <c r="D1414" s="47" t="s">
        <v>2002</v>
      </c>
      <c r="E1414" s="51" t="b">
        <v>1</v>
      </c>
      <c r="F1414" s="73" t="str">
        <f>HYPERLINK("http://nsgreg.nga.mil/genc/view?v=292228&amp;end_month=6&amp;end_day=30&amp;end_year=2019","Thuringia")</f>
        <v>Thuringia</v>
      </c>
      <c r="G1414" s="73" t="str">
        <f>HYPERLINK("http://api.nsgreg.nga.mil/geo-division/GENC/6/3-11/DE-TH","as:GENC:6:3-11:DE-TH")</f>
        <v>as:GENC:6:3-11:DE-TH</v>
      </c>
    </row>
    <row r="1415" spans="1:7" x14ac:dyDescent="0.25">
      <c r="A1415" s="111" t="str">
        <f>HYPERLINK("[#]Codes_for_GE_Names!A104:I104","GHANA")</f>
        <v>GHANA</v>
      </c>
      <c r="B1415" s="42" t="s">
        <v>4494</v>
      </c>
      <c r="C1415" s="42" t="s">
        <v>4495</v>
      </c>
      <c r="D1415" s="42" t="s">
        <v>1975</v>
      </c>
      <c r="E1415" s="49" t="b">
        <v>1</v>
      </c>
      <c r="F1415" s="74" t="str">
        <f>HYPERLINK("http://nsgreg.nga.mil/genc/view?v=292943&amp;end_month=6&amp;end_day=30&amp;end_year=2019","Ahafo")</f>
        <v>Ahafo</v>
      </c>
      <c r="G1415" s="74" t="str">
        <f>HYPERLINK("http://api.nsgreg.nga.mil/geo-division/GENC/6/3-11/GH-AF","as:GENC:6:3-11:GH-AF")</f>
        <v>as:GENC:6:3-11:GH-AF</v>
      </c>
    </row>
    <row r="1416" spans="1:7" x14ac:dyDescent="0.25">
      <c r="A1416" s="112"/>
      <c r="B1416" s="21" t="s">
        <v>4496</v>
      </c>
      <c r="C1416" s="21" t="s">
        <v>4497</v>
      </c>
      <c r="D1416" s="21" t="s">
        <v>1975</v>
      </c>
      <c r="E1416" s="50" t="b">
        <v>1</v>
      </c>
      <c r="F1416" s="72" t="str">
        <f>HYPERLINK("http://nsgreg.nga.mil/genc/view?v=292941&amp;end_month=6&amp;end_day=30&amp;end_year=2019","Ashanti")</f>
        <v>Ashanti</v>
      </c>
      <c r="G1416" s="72" t="str">
        <f>HYPERLINK("http://api.nsgreg.nga.mil/geo-division/GENC/6/3-11/GH-AH","as:GENC:6:3-11:GH-AH")</f>
        <v>as:GENC:6:3-11:GH-AH</v>
      </c>
    </row>
    <row r="1417" spans="1:7" x14ac:dyDescent="0.25">
      <c r="A1417" s="112"/>
      <c r="B1417" s="21" t="s">
        <v>4498</v>
      </c>
      <c r="C1417" s="21" t="s">
        <v>4499</v>
      </c>
      <c r="D1417" s="21" t="s">
        <v>1975</v>
      </c>
      <c r="E1417" s="50" t="b">
        <v>1</v>
      </c>
      <c r="F1417" s="72" t="str">
        <f>HYPERLINK("http://nsgreg.nga.mil/genc/view?v=292944&amp;end_month=6&amp;end_day=30&amp;end_year=2019","Bono")</f>
        <v>Bono</v>
      </c>
      <c r="G1417" s="72" t="str">
        <f>HYPERLINK("http://api.nsgreg.nga.mil/geo-division/GENC/6/3-11/GH-BO","as:GENC:6:3-11:GH-BO")</f>
        <v>as:GENC:6:3-11:GH-BO</v>
      </c>
    </row>
    <row r="1418" spans="1:7" x14ac:dyDescent="0.25">
      <c r="A1418" s="112"/>
      <c r="B1418" s="21" t="s">
        <v>4500</v>
      </c>
      <c r="C1418" s="21" t="s">
        <v>4501</v>
      </c>
      <c r="D1418" s="21" t="s">
        <v>1975</v>
      </c>
      <c r="E1418" s="50" t="b">
        <v>1</v>
      </c>
      <c r="F1418" s="72" t="str">
        <f>HYPERLINK("http://nsgreg.nga.mil/genc/view?v=292945&amp;end_month=6&amp;end_day=30&amp;end_year=2019","Bono East")</f>
        <v>Bono East</v>
      </c>
      <c r="G1418" s="72" t="str">
        <f>HYPERLINK("http://api.nsgreg.nga.mil/geo-division/GENC/6/3-11/GH-BE","as:GENC:6:3-11:GH-BE")</f>
        <v>as:GENC:6:3-11:GH-BE</v>
      </c>
    </row>
    <row r="1419" spans="1:7" x14ac:dyDescent="0.25">
      <c r="A1419" s="112"/>
      <c r="B1419" s="21" t="s">
        <v>4502</v>
      </c>
      <c r="C1419" s="21" t="s">
        <v>2595</v>
      </c>
      <c r="D1419" s="21" t="s">
        <v>1975</v>
      </c>
      <c r="E1419" s="50" t="b">
        <v>1</v>
      </c>
      <c r="F1419" s="72" t="str">
        <f>HYPERLINK("http://nsgreg.nga.mil/genc/view?v=292950&amp;end_month=6&amp;end_day=30&amp;end_year=2019","Central")</f>
        <v>Central</v>
      </c>
      <c r="G1419" s="72" t="str">
        <f>HYPERLINK("http://api.nsgreg.nga.mil/geo-division/GENC/6/3-11/GH-CP","as:GENC:6:3-11:GH-CP")</f>
        <v>as:GENC:6:3-11:GH-CP</v>
      </c>
    </row>
    <row r="1420" spans="1:7" x14ac:dyDescent="0.25">
      <c r="A1420" s="112"/>
      <c r="B1420" s="21" t="s">
        <v>4503</v>
      </c>
      <c r="C1420" s="21" t="s">
        <v>4113</v>
      </c>
      <c r="D1420" s="21" t="s">
        <v>1975</v>
      </c>
      <c r="E1420" s="50" t="b">
        <v>1</v>
      </c>
      <c r="F1420" s="72" t="str">
        <f>HYPERLINK("http://nsgreg.nga.mil/genc/view?v=292951&amp;end_month=6&amp;end_day=30&amp;end_year=2019","Eastern")</f>
        <v>Eastern</v>
      </c>
      <c r="G1420" s="72" t="str">
        <f>HYPERLINK("http://api.nsgreg.nga.mil/geo-division/GENC/6/3-11/GH-EP","as:GENC:6:3-11:GH-EP")</f>
        <v>as:GENC:6:3-11:GH-EP</v>
      </c>
    </row>
    <row r="1421" spans="1:7" x14ac:dyDescent="0.25">
      <c r="A1421" s="112"/>
      <c r="B1421" s="21" t="s">
        <v>4504</v>
      </c>
      <c r="C1421" s="21" t="s">
        <v>4505</v>
      </c>
      <c r="D1421" s="21" t="s">
        <v>1975</v>
      </c>
      <c r="E1421" s="50" t="b">
        <v>1</v>
      </c>
      <c r="F1421" s="72" t="str">
        <f>HYPERLINK("http://nsgreg.nga.mil/genc/view?v=292940&amp;end_month=6&amp;end_day=30&amp;end_year=2019","Greater Accra")</f>
        <v>Greater Accra</v>
      </c>
      <c r="G1421" s="72" t="str">
        <f>HYPERLINK("http://api.nsgreg.nga.mil/geo-division/GENC/6/3-11/GH-AA","as:GENC:6:3-11:GH-AA")</f>
        <v>as:GENC:6:3-11:GH-AA</v>
      </c>
    </row>
    <row r="1422" spans="1:7" x14ac:dyDescent="0.25">
      <c r="A1422" s="112"/>
      <c r="B1422" s="21" t="s">
        <v>4506</v>
      </c>
      <c r="C1422" s="21" t="s">
        <v>2616</v>
      </c>
      <c r="D1422" s="21" t="s">
        <v>1975</v>
      </c>
      <c r="E1422" s="50" t="b">
        <v>1</v>
      </c>
      <c r="F1422" s="72" t="str">
        <f>HYPERLINK("http://nsgreg.nga.mil/genc/view?v=292946&amp;end_month=6&amp;end_day=30&amp;end_year=2019","North East")</f>
        <v>North East</v>
      </c>
      <c r="G1422" s="72" t="str">
        <f>HYPERLINK("http://api.nsgreg.nga.mil/geo-division/GENC/6/3-11/GH-NE","as:GENC:6:3-11:GH-NE")</f>
        <v>as:GENC:6:3-11:GH-NE</v>
      </c>
    </row>
    <row r="1423" spans="1:7" x14ac:dyDescent="0.25">
      <c r="A1423" s="112"/>
      <c r="B1423" s="21" t="s">
        <v>4507</v>
      </c>
      <c r="C1423" s="21" t="s">
        <v>4121</v>
      </c>
      <c r="D1423" s="21" t="s">
        <v>1975</v>
      </c>
      <c r="E1423" s="50" t="b">
        <v>1</v>
      </c>
      <c r="F1423" s="72" t="str">
        <f>HYPERLINK("http://nsgreg.nga.mil/genc/view?v=292952&amp;end_month=6&amp;end_day=30&amp;end_year=2019","Northern")</f>
        <v>Northern</v>
      </c>
      <c r="G1423" s="72" t="str">
        <f>HYPERLINK("http://api.nsgreg.nga.mil/geo-division/GENC/6/3-11/GH-NP","as:GENC:6:3-11:GH-NP")</f>
        <v>as:GENC:6:3-11:GH-NP</v>
      </c>
    </row>
    <row r="1424" spans="1:7" x14ac:dyDescent="0.25">
      <c r="A1424" s="112"/>
      <c r="B1424" s="21" t="s">
        <v>4508</v>
      </c>
      <c r="C1424" s="21" t="s">
        <v>4509</v>
      </c>
      <c r="D1424" s="21" t="s">
        <v>1975</v>
      </c>
      <c r="E1424" s="50" t="b">
        <v>1</v>
      </c>
      <c r="F1424" s="72" t="str">
        <f>HYPERLINK("http://nsgreg.nga.mil/genc/view?v=292947&amp;end_month=6&amp;end_day=30&amp;end_year=2019","Oti")</f>
        <v>Oti</v>
      </c>
      <c r="G1424" s="72" t="str">
        <f>HYPERLINK("http://api.nsgreg.nga.mil/geo-division/GENC/6/3-11/GH-OT","as:GENC:6:3-11:GH-OT")</f>
        <v>as:GENC:6:3-11:GH-OT</v>
      </c>
    </row>
    <row r="1425" spans="1:7" x14ac:dyDescent="0.25">
      <c r="A1425" s="112"/>
      <c r="B1425" s="21" t="s">
        <v>4510</v>
      </c>
      <c r="C1425" s="21" t="s">
        <v>4511</v>
      </c>
      <c r="D1425" s="21" t="s">
        <v>1975</v>
      </c>
      <c r="E1425" s="50" t="b">
        <v>1</v>
      </c>
      <c r="F1425" s="72" t="str">
        <f>HYPERLINK("http://nsgreg.nga.mil/genc/view?v=292948&amp;end_month=6&amp;end_day=30&amp;end_year=2019","Savannah")</f>
        <v>Savannah</v>
      </c>
      <c r="G1425" s="72" t="str">
        <f>HYPERLINK("http://api.nsgreg.nga.mil/geo-division/GENC/6/3-11/GH-SV","as:GENC:6:3-11:GH-SV")</f>
        <v>as:GENC:6:3-11:GH-SV</v>
      </c>
    </row>
    <row r="1426" spans="1:7" x14ac:dyDescent="0.25">
      <c r="A1426" s="112"/>
      <c r="B1426" s="21" t="s">
        <v>4512</v>
      </c>
      <c r="C1426" s="21" t="s">
        <v>4513</v>
      </c>
      <c r="D1426" s="21" t="s">
        <v>1975</v>
      </c>
      <c r="E1426" s="50" t="b">
        <v>1</v>
      </c>
      <c r="F1426" s="72" t="str">
        <f>HYPERLINK("http://nsgreg.nga.mil/genc/view?v=292954&amp;end_month=6&amp;end_day=30&amp;end_year=2019","Upper East")</f>
        <v>Upper East</v>
      </c>
      <c r="G1426" s="72" t="str">
        <f>HYPERLINK("http://api.nsgreg.nga.mil/geo-division/GENC/6/3-11/GH-UE","as:GENC:6:3-11:GH-UE")</f>
        <v>as:GENC:6:3-11:GH-UE</v>
      </c>
    </row>
    <row r="1427" spans="1:7" x14ac:dyDescent="0.25">
      <c r="A1427" s="112"/>
      <c r="B1427" s="21" t="s">
        <v>4514</v>
      </c>
      <c r="C1427" s="21" t="s">
        <v>4515</v>
      </c>
      <c r="D1427" s="21" t="s">
        <v>1975</v>
      </c>
      <c r="E1427" s="50" t="b">
        <v>1</v>
      </c>
      <c r="F1427" s="72" t="str">
        <f>HYPERLINK("http://nsgreg.nga.mil/genc/view?v=292955&amp;end_month=6&amp;end_day=30&amp;end_year=2019","Upper West")</f>
        <v>Upper West</v>
      </c>
      <c r="G1427" s="72" t="str">
        <f>HYPERLINK("http://api.nsgreg.nga.mil/geo-division/GENC/6/3-11/GH-UW","as:GENC:6:3-11:GH-UW")</f>
        <v>as:GENC:6:3-11:GH-UW</v>
      </c>
    </row>
    <row r="1428" spans="1:7" x14ac:dyDescent="0.25">
      <c r="A1428" s="112"/>
      <c r="B1428" s="21" t="s">
        <v>4516</v>
      </c>
      <c r="C1428" s="21" t="s">
        <v>4517</v>
      </c>
      <c r="D1428" s="21" t="s">
        <v>1975</v>
      </c>
      <c r="E1428" s="50" t="b">
        <v>1</v>
      </c>
      <c r="F1428" s="72" t="str">
        <f>HYPERLINK("http://nsgreg.nga.mil/genc/view?v=292953&amp;end_month=6&amp;end_day=30&amp;end_year=2019","Volta")</f>
        <v>Volta</v>
      </c>
      <c r="G1428" s="72" t="str">
        <f>HYPERLINK("http://api.nsgreg.nga.mil/geo-division/GENC/6/3-11/GH-TV","as:GENC:6:3-11:GH-TV")</f>
        <v>as:GENC:6:3-11:GH-TV</v>
      </c>
    </row>
    <row r="1429" spans="1:7" x14ac:dyDescent="0.25">
      <c r="A1429" s="112"/>
      <c r="B1429" s="21" t="s">
        <v>4518</v>
      </c>
      <c r="C1429" s="21" t="s">
        <v>4131</v>
      </c>
      <c r="D1429" s="21" t="s">
        <v>1975</v>
      </c>
      <c r="E1429" s="50" t="b">
        <v>1</v>
      </c>
      <c r="F1429" s="72" t="str">
        <f>HYPERLINK("http://nsgreg.nga.mil/genc/view?v=292956&amp;end_month=6&amp;end_day=30&amp;end_year=2019","Western")</f>
        <v>Western</v>
      </c>
      <c r="G1429" s="72" t="str">
        <f>HYPERLINK("http://api.nsgreg.nga.mil/geo-division/GENC/6/3-11/GH-WP","as:GENC:6:3-11:GH-WP")</f>
        <v>as:GENC:6:3-11:GH-WP</v>
      </c>
    </row>
    <row r="1430" spans="1:7" x14ac:dyDescent="0.25">
      <c r="A1430" s="113"/>
      <c r="B1430" s="47" t="s">
        <v>4519</v>
      </c>
      <c r="C1430" s="47" t="s">
        <v>4520</v>
      </c>
      <c r="D1430" s="47" t="s">
        <v>1975</v>
      </c>
      <c r="E1430" s="51" t="b">
        <v>1</v>
      </c>
      <c r="F1430" s="73" t="str">
        <f>HYPERLINK("http://nsgreg.nga.mil/genc/view?v=292949&amp;end_month=6&amp;end_day=30&amp;end_year=2019","Western North")</f>
        <v>Western North</v>
      </c>
      <c r="G1430" s="73" t="str">
        <f>HYPERLINK("http://api.nsgreg.nga.mil/geo-division/GENC/6/3-11/GH-WN","as:GENC:6:3-11:GH-WN")</f>
        <v>as:GENC:6:3-11:GH-WN</v>
      </c>
    </row>
    <row r="1431" spans="1:7" x14ac:dyDescent="0.25">
      <c r="A1431" s="111" t="str">
        <f>HYPERLINK("[#]Codes_for_GE_Names!A107:I107","GREECE")</f>
        <v>GREECE</v>
      </c>
      <c r="B1431" s="42" t="s">
        <v>4521</v>
      </c>
      <c r="C1431" s="42" t="s">
        <v>4522</v>
      </c>
      <c r="D1431" s="42" t="s">
        <v>4523</v>
      </c>
      <c r="E1431" s="49" t="b">
        <v>1</v>
      </c>
      <c r="F1431" s="74" t="str">
        <f>HYPERLINK("http://nsgreg.nga.mil/genc/view?v=293019&amp;end_month=6&amp;end_day=30&amp;end_year=2019","Ágion Óros")</f>
        <v>Ágion Óros</v>
      </c>
      <c r="G1431" s="74" t="str">
        <f>HYPERLINK("http://api.nsgreg.nga.mil/geo-division/GENC/6/3-11/GR-69","as:GENC:6:3-11:GR-69")</f>
        <v>as:GENC:6:3-11:GR-69</v>
      </c>
    </row>
    <row r="1432" spans="1:7" x14ac:dyDescent="0.25">
      <c r="A1432" s="112"/>
      <c r="B1432" s="21" t="s">
        <v>4524</v>
      </c>
      <c r="C1432" s="21" t="s">
        <v>4525</v>
      </c>
      <c r="D1432" s="21" t="s">
        <v>1975</v>
      </c>
      <c r="E1432" s="50" t="b">
        <v>1</v>
      </c>
      <c r="F1432" s="72" t="str">
        <f>HYPERLINK("http://nsgreg.nga.mil/genc/view?v=293020&amp;end_month=6&amp;end_day=30&amp;end_year=2019","Anatolikí Makedonía kai Thráki")</f>
        <v>Anatolikí Makedonía kai Thráki</v>
      </c>
      <c r="G1432" s="72" t="str">
        <f>HYPERLINK("http://api.nsgreg.nga.mil/geo-division/GENC/6/3-11/GR-A","as:GENC:6:3-11:GR-A")</f>
        <v>as:GENC:6:3-11:GR-A</v>
      </c>
    </row>
    <row r="1433" spans="1:7" x14ac:dyDescent="0.25">
      <c r="A1433" s="112"/>
      <c r="B1433" s="21" t="s">
        <v>4526</v>
      </c>
      <c r="C1433" s="21" t="s">
        <v>4527</v>
      </c>
      <c r="D1433" s="21" t="s">
        <v>1975</v>
      </c>
      <c r="E1433" s="50" t="b">
        <v>1</v>
      </c>
      <c r="F1433" s="72" t="str">
        <f>HYPERLINK("http://nsgreg.nga.mil/genc/view?v=293028&amp;end_month=6&amp;end_day=30&amp;end_year=2019","Attikí")</f>
        <v>Attikí</v>
      </c>
      <c r="G1433" s="72" t="str">
        <f>HYPERLINK("http://api.nsgreg.nga.mil/geo-division/GENC/6/3-11/GR-I","as:GENC:6:3-11:GR-I")</f>
        <v>as:GENC:6:3-11:GR-I</v>
      </c>
    </row>
    <row r="1434" spans="1:7" x14ac:dyDescent="0.25">
      <c r="A1434" s="112"/>
      <c r="B1434" s="21" t="s">
        <v>4528</v>
      </c>
      <c r="C1434" s="21" t="s">
        <v>4529</v>
      </c>
      <c r="D1434" s="21" t="s">
        <v>1975</v>
      </c>
      <c r="E1434" s="50" t="b">
        <v>1</v>
      </c>
      <c r="F1434" s="72" t="str">
        <f>HYPERLINK("http://nsgreg.nga.mil/genc/view?v=293026&amp;end_month=6&amp;end_day=30&amp;end_year=2019","Dytikí Elláda")</f>
        <v>Dytikí Elláda</v>
      </c>
      <c r="G1434" s="72" t="str">
        <f>HYPERLINK("http://api.nsgreg.nga.mil/geo-division/GENC/6/3-11/GR-G","as:GENC:6:3-11:GR-G")</f>
        <v>as:GENC:6:3-11:GR-G</v>
      </c>
    </row>
    <row r="1435" spans="1:7" x14ac:dyDescent="0.25">
      <c r="A1435" s="112"/>
      <c r="B1435" s="21" t="s">
        <v>4530</v>
      </c>
      <c r="C1435" s="21" t="s">
        <v>4531</v>
      </c>
      <c r="D1435" s="21" t="s">
        <v>1975</v>
      </c>
      <c r="E1435" s="50" t="b">
        <v>1</v>
      </c>
      <c r="F1435" s="72" t="str">
        <f>HYPERLINK("http://nsgreg.nga.mil/genc/view?v=293022&amp;end_month=6&amp;end_day=30&amp;end_year=2019","Dytikí Makedonía")</f>
        <v>Dytikí Makedonía</v>
      </c>
      <c r="G1435" s="72" t="str">
        <f>HYPERLINK("http://api.nsgreg.nga.mil/geo-division/GENC/6/3-11/GR-C","as:GENC:6:3-11:GR-C")</f>
        <v>as:GENC:6:3-11:GR-C</v>
      </c>
    </row>
    <row r="1436" spans="1:7" x14ac:dyDescent="0.25">
      <c r="A1436" s="112"/>
      <c r="B1436" s="21" t="s">
        <v>4532</v>
      </c>
      <c r="C1436" s="21" t="s">
        <v>4533</v>
      </c>
      <c r="D1436" s="21" t="s">
        <v>1975</v>
      </c>
      <c r="E1436" s="50" t="b">
        <v>1</v>
      </c>
      <c r="F1436" s="72" t="str">
        <f>HYPERLINK("http://nsgreg.nga.mil/genc/view?v=293025&amp;end_month=6&amp;end_day=30&amp;end_year=2019","Ionía Nísia")</f>
        <v>Ionía Nísia</v>
      </c>
      <c r="G1436" s="72" t="str">
        <f>HYPERLINK("http://api.nsgreg.nga.mil/geo-division/GENC/6/3-11/GR-F","as:GENC:6:3-11:GR-F")</f>
        <v>as:GENC:6:3-11:GR-F</v>
      </c>
    </row>
    <row r="1437" spans="1:7" x14ac:dyDescent="0.25">
      <c r="A1437" s="112"/>
      <c r="B1437" s="21" t="s">
        <v>4534</v>
      </c>
      <c r="C1437" s="21" t="s">
        <v>4535</v>
      </c>
      <c r="D1437" s="21" t="s">
        <v>1975</v>
      </c>
      <c r="E1437" s="50" t="b">
        <v>1</v>
      </c>
      <c r="F1437" s="72" t="str">
        <f>HYPERLINK("http://nsgreg.nga.mil/genc/view?v=293023&amp;end_month=6&amp;end_day=30&amp;end_year=2019","Ípeiros")</f>
        <v>Ípeiros</v>
      </c>
      <c r="G1437" s="72" t="str">
        <f>HYPERLINK("http://api.nsgreg.nga.mil/geo-division/GENC/6/3-11/GR-D","as:GENC:6:3-11:GR-D")</f>
        <v>as:GENC:6:3-11:GR-D</v>
      </c>
    </row>
    <row r="1438" spans="1:7" x14ac:dyDescent="0.25">
      <c r="A1438" s="112"/>
      <c r="B1438" s="21" t="s">
        <v>4536</v>
      </c>
      <c r="C1438" s="21" t="s">
        <v>4537</v>
      </c>
      <c r="D1438" s="21" t="s">
        <v>1975</v>
      </c>
      <c r="E1438" s="50" t="b">
        <v>1</v>
      </c>
      <c r="F1438" s="72" t="str">
        <f>HYPERLINK("http://nsgreg.nga.mil/genc/view?v=293021&amp;end_month=6&amp;end_day=30&amp;end_year=2019","Kentrikí Makedonía")</f>
        <v>Kentrikí Makedonía</v>
      </c>
      <c r="G1438" s="72" t="str">
        <f>HYPERLINK("http://api.nsgreg.nga.mil/geo-division/GENC/6/3-11/GR-B","as:GENC:6:3-11:GR-B")</f>
        <v>as:GENC:6:3-11:GR-B</v>
      </c>
    </row>
    <row r="1439" spans="1:7" x14ac:dyDescent="0.25">
      <c r="A1439" s="112"/>
      <c r="B1439" s="21" t="s">
        <v>4538</v>
      </c>
      <c r="C1439" s="21" t="s">
        <v>4539</v>
      </c>
      <c r="D1439" s="21" t="s">
        <v>1975</v>
      </c>
      <c r="E1439" s="50" t="b">
        <v>1</v>
      </c>
      <c r="F1439" s="72" t="str">
        <f>HYPERLINK("http://nsgreg.nga.mil/genc/view?v=293032&amp;end_month=6&amp;end_day=30&amp;end_year=2019","Kríti")</f>
        <v>Kríti</v>
      </c>
      <c r="G1439" s="72" t="str">
        <f>HYPERLINK("http://api.nsgreg.nga.mil/geo-division/GENC/6/3-11/GR-M","as:GENC:6:3-11:GR-M")</f>
        <v>as:GENC:6:3-11:GR-M</v>
      </c>
    </row>
    <row r="1440" spans="1:7" x14ac:dyDescent="0.25">
      <c r="A1440" s="112"/>
      <c r="B1440" s="21" t="s">
        <v>4540</v>
      </c>
      <c r="C1440" s="21" t="s">
        <v>4541</v>
      </c>
      <c r="D1440" s="21" t="s">
        <v>1975</v>
      </c>
      <c r="E1440" s="50" t="b">
        <v>1</v>
      </c>
      <c r="F1440" s="72" t="str">
        <f>HYPERLINK("http://nsgreg.nga.mil/genc/view?v=293031&amp;end_month=6&amp;end_day=30&amp;end_year=2019","Nótio Aigaío")</f>
        <v>Nótio Aigaío</v>
      </c>
      <c r="G1440" s="72" t="str">
        <f>HYPERLINK("http://api.nsgreg.nga.mil/geo-division/GENC/6/3-11/GR-L","as:GENC:6:3-11:GR-L")</f>
        <v>as:GENC:6:3-11:GR-L</v>
      </c>
    </row>
    <row r="1441" spans="1:7" x14ac:dyDescent="0.25">
      <c r="A1441" s="112"/>
      <c r="B1441" s="21" t="s">
        <v>4542</v>
      </c>
      <c r="C1441" s="21" t="s">
        <v>4543</v>
      </c>
      <c r="D1441" s="21" t="s">
        <v>1975</v>
      </c>
      <c r="E1441" s="50" t="b">
        <v>1</v>
      </c>
      <c r="F1441" s="72" t="str">
        <f>HYPERLINK("http://nsgreg.nga.mil/genc/view?v=293029&amp;end_month=6&amp;end_day=30&amp;end_year=2019","Pelopónnisos")</f>
        <v>Pelopónnisos</v>
      </c>
      <c r="G1441" s="72" t="str">
        <f>HYPERLINK("http://api.nsgreg.nga.mil/geo-division/GENC/6/3-11/GR-J","as:GENC:6:3-11:GR-J")</f>
        <v>as:GENC:6:3-11:GR-J</v>
      </c>
    </row>
    <row r="1442" spans="1:7" x14ac:dyDescent="0.25">
      <c r="A1442" s="112"/>
      <c r="B1442" s="21" t="s">
        <v>4544</v>
      </c>
      <c r="C1442" s="21" t="s">
        <v>4545</v>
      </c>
      <c r="D1442" s="21" t="s">
        <v>1975</v>
      </c>
      <c r="E1442" s="50" t="b">
        <v>1</v>
      </c>
      <c r="F1442" s="72" t="str">
        <f>HYPERLINK("http://nsgreg.nga.mil/genc/view?v=293027&amp;end_month=6&amp;end_day=30&amp;end_year=2019","Stereá Elláda")</f>
        <v>Stereá Elláda</v>
      </c>
      <c r="G1442" s="72" t="str">
        <f>HYPERLINK("http://api.nsgreg.nga.mil/geo-division/GENC/6/3-11/GR-H","as:GENC:6:3-11:GR-H")</f>
        <v>as:GENC:6:3-11:GR-H</v>
      </c>
    </row>
    <row r="1443" spans="1:7" x14ac:dyDescent="0.25">
      <c r="A1443" s="112"/>
      <c r="B1443" s="21" t="s">
        <v>4546</v>
      </c>
      <c r="C1443" s="21" t="s">
        <v>4547</v>
      </c>
      <c r="D1443" s="21" t="s">
        <v>1975</v>
      </c>
      <c r="E1443" s="50" t="b">
        <v>1</v>
      </c>
      <c r="F1443" s="72" t="str">
        <f>HYPERLINK("http://nsgreg.nga.mil/genc/view?v=293024&amp;end_month=6&amp;end_day=30&amp;end_year=2019","Thessalía")</f>
        <v>Thessalía</v>
      </c>
      <c r="G1443" s="72" t="str">
        <f>HYPERLINK("http://api.nsgreg.nga.mil/geo-division/GENC/6/3-11/GR-E","as:GENC:6:3-11:GR-E")</f>
        <v>as:GENC:6:3-11:GR-E</v>
      </c>
    </row>
    <row r="1444" spans="1:7" x14ac:dyDescent="0.25">
      <c r="A1444" s="113"/>
      <c r="B1444" s="47" t="s">
        <v>4548</v>
      </c>
      <c r="C1444" s="47" t="s">
        <v>4549</v>
      </c>
      <c r="D1444" s="47" t="s">
        <v>1975</v>
      </c>
      <c r="E1444" s="51" t="b">
        <v>1</v>
      </c>
      <c r="F1444" s="73" t="str">
        <f>HYPERLINK("http://nsgreg.nga.mil/genc/view?v=293030&amp;end_month=6&amp;end_day=30&amp;end_year=2019","Vóreio Aigaío")</f>
        <v>Vóreio Aigaío</v>
      </c>
      <c r="G1444" s="73" t="str">
        <f>HYPERLINK("http://api.nsgreg.nga.mil/geo-division/GENC/6/3-11/GR-K","as:GENC:6:3-11:GR-K")</f>
        <v>as:GENC:6:3-11:GR-K</v>
      </c>
    </row>
    <row r="1445" spans="1:7" x14ac:dyDescent="0.25">
      <c r="A1445" s="111" t="str">
        <f>HYPERLINK("[#]Codes_for_GE_Names!A108:I108","GREENLAND")</f>
        <v>GREENLAND</v>
      </c>
      <c r="B1445" s="42" t="s">
        <v>4550</v>
      </c>
      <c r="C1445" s="42" t="s">
        <v>4551</v>
      </c>
      <c r="D1445" s="42" t="s">
        <v>2505</v>
      </c>
      <c r="E1445" s="49" t="b">
        <v>1</v>
      </c>
      <c r="F1445" s="74" t="str">
        <f>HYPERLINK("http://nsgreg.nga.mil/genc/view?v=292957&amp;end_month=6&amp;end_day=30&amp;end_year=2019","Avannaata")</f>
        <v>Avannaata</v>
      </c>
      <c r="G1445" s="74" t="str">
        <f>HYPERLINK("http://api.nsgreg.nga.mil/geo-division/GENC/6/3-11/GL-AV","as:GENC:6:3-11:GL-AV")</f>
        <v>as:GENC:6:3-11:GL-AV</v>
      </c>
    </row>
    <row r="1446" spans="1:7" x14ac:dyDescent="0.25">
      <c r="A1446" s="112"/>
      <c r="B1446" s="21" t="s">
        <v>4552</v>
      </c>
      <c r="C1446" s="21" t="s">
        <v>4553</v>
      </c>
      <c r="D1446" s="21" t="s">
        <v>2505</v>
      </c>
      <c r="E1446" s="50" t="b">
        <v>1</v>
      </c>
      <c r="F1446" s="72" t="str">
        <f>HYPERLINK("http://nsgreg.nga.mil/genc/view?v=292958&amp;end_month=6&amp;end_day=30&amp;end_year=2019","Kujalleq")</f>
        <v>Kujalleq</v>
      </c>
      <c r="G1446" s="72" t="str">
        <f>HYPERLINK("http://api.nsgreg.nga.mil/geo-division/GENC/6/3-11/GL-KU","as:GENC:6:3-11:GL-KU")</f>
        <v>as:GENC:6:3-11:GL-KU</v>
      </c>
    </row>
    <row r="1447" spans="1:7" x14ac:dyDescent="0.25">
      <c r="A1447" s="112"/>
      <c r="B1447" s="21" t="s">
        <v>4554</v>
      </c>
      <c r="C1447" s="21" t="s">
        <v>4555</v>
      </c>
      <c r="D1447" s="21" t="s">
        <v>2505</v>
      </c>
      <c r="E1447" s="50" t="b">
        <v>1</v>
      </c>
      <c r="F1447" s="72" t="str">
        <f>HYPERLINK("http://nsgreg.nga.mil/genc/view?v=292960&amp;end_month=6&amp;end_day=30&amp;end_year=2019","Qeqertalik")</f>
        <v>Qeqertalik</v>
      </c>
      <c r="G1447" s="72" t="str">
        <f>HYPERLINK("http://api.nsgreg.nga.mil/geo-division/GENC/6/3-11/GL-QT","as:GENC:6:3-11:GL-QT")</f>
        <v>as:GENC:6:3-11:GL-QT</v>
      </c>
    </row>
    <row r="1448" spans="1:7" x14ac:dyDescent="0.25">
      <c r="A1448" s="112"/>
      <c r="B1448" s="21" t="s">
        <v>4556</v>
      </c>
      <c r="C1448" s="21" t="s">
        <v>4557</v>
      </c>
      <c r="D1448" s="21" t="s">
        <v>2505</v>
      </c>
      <c r="E1448" s="50" t="b">
        <v>1</v>
      </c>
      <c r="F1448" s="72" t="str">
        <f>HYPERLINK("http://nsgreg.nga.mil/genc/view?v=292959&amp;end_month=6&amp;end_day=30&amp;end_year=2019","Qeqqata")</f>
        <v>Qeqqata</v>
      </c>
      <c r="G1448" s="72" t="str">
        <f>HYPERLINK("http://api.nsgreg.nga.mil/geo-division/GENC/6/3-11/GL-QE","as:GENC:6:3-11:GL-QE")</f>
        <v>as:GENC:6:3-11:GL-QE</v>
      </c>
    </row>
    <row r="1449" spans="1:7" x14ac:dyDescent="0.25">
      <c r="A1449" s="113"/>
      <c r="B1449" s="47" t="s">
        <v>4558</v>
      </c>
      <c r="C1449" s="47" t="s">
        <v>4559</v>
      </c>
      <c r="D1449" s="47" t="s">
        <v>2505</v>
      </c>
      <c r="E1449" s="51" t="b">
        <v>1</v>
      </c>
      <c r="F1449" s="73" t="str">
        <f>HYPERLINK("http://nsgreg.nga.mil/genc/view?v=292961&amp;end_month=6&amp;end_day=30&amp;end_year=2019","Sermersooq")</f>
        <v>Sermersooq</v>
      </c>
      <c r="G1449" s="73" t="str">
        <f>HYPERLINK("http://api.nsgreg.nga.mil/geo-division/GENC/6/3-11/GL-SM","as:GENC:6:3-11:GL-SM")</f>
        <v>as:GENC:6:3-11:GL-SM</v>
      </c>
    </row>
    <row r="1450" spans="1:7" x14ac:dyDescent="0.25">
      <c r="A1450" s="111" t="str">
        <f>HYPERLINK("[#]Codes_for_GE_Names!A109:I109","GRENADA")</f>
        <v>GRENADA</v>
      </c>
      <c r="B1450" s="42" t="s">
        <v>4560</v>
      </c>
      <c r="C1450" s="42" t="s">
        <v>2410</v>
      </c>
      <c r="D1450" s="42" t="s">
        <v>1858</v>
      </c>
      <c r="E1450" s="49" t="b">
        <v>1</v>
      </c>
      <c r="F1450" s="74" t="str">
        <f>HYPERLINK("http://nsgreg.nga.mil/genc/view?v=292921&amp;end_month=6&amp;end_day=30&amp;end_year=2019","Saint Andrew")</f>
        <v>Saint Andrew</v>
      </c>
      <c r="G1450" s="74" t="str">
        <f>HYPERLINK("http://api.nsgreg.nga.mil/geo-division/GENC/6/3-11/GD-01","as:GENC:6:3-11:GD-01")</f>
        <v>as:GENC:6:3-11:GD-01</v>
      </c>
    </row>
    <row r="1451" spans="1:7" x14ac:dyDescent="0.25">
      <c r="A1451" s="112"/>
      <c r="B1451" s="21" t="s">
        <v>4561</v>
      </c>
      <c r="C1451" s="21" t="s">
        <v>3729</v>
      </c>
      <c r="D1451" s="21" t="s">
        <v>1858</v>
      </c>
      <c r="E1451" s="50" t="b">
        <v>1</v>
      </c>
      <c r="F1451" s="72" t="str">
        <f>HYPERLINK("http://nsgreg.nga.mil/genc/view?v=292922&amp;end_month=6&amp;end_day=30&amp;end_year=2019","Saint David")</f>
        <v>Saint David</v>
      </c>
      <c r="G1451" s="72" t="str">
        <f>HYPERLINK("http://api.nsgreg.nga.mil/geo-division/GENC/6/3-11/GD-02","as:GENC:6:3-11:GD-02")</f>
        <v>as:GENC:6:3-11:GD-02</v>
      </c>
    </row>
    <row r="1452" spans="1:7" x14ac:dyDescent="0.25">
      <c r="A1452" s="112"/>
      <c r="B1452" s="21" t="s">
        <v>4562</v>
      </c>
      <c r="C1452" s="21" t="s">
        <v>1913</v>
      </c>
      <c r="D1452" s="21" t="s">
        <v>1858</v>
      </c>
      <c r="E1452" s="50" t="b">
        <v>1</v>
      </c>
      <c r="F1452" s="72" t="str">
        <f>HYPERLINK("http://nsgreg.nga.mil/genc/view?v=292923&amp;end_month=6&amp;end_day=30&amp;end_year=2019","Saint George")</f>
        <v>Saint George</v>
      </c>
      <c r="G1452" s="72" t="str">
        <f>HYPERLINK("http://api.nsgreg.nga.mil/geo-division/GENC/6/3-11/GD-03","as:GENC:6:3-11:GD-03")</f>
        <v>as:GENC:6:3-11:GD-03</v>
      </c>
    </row>
    <row r="1453" spans="1:7" x14ac:dyDescent="0.25">
      <c r="A1453" s="112"/>
      <c r="B1453" s="21" t="s">
        <v>4563</v>
      </c>
      <c r="C1453" s="21" t="s">
        <v>1915</v>
      </c>
      <c r="D1453" s="21" t="s">
        <v>1858</v>
      </c>
      <c r="E1453" s="50" t="b">
        <v>1</v>
      </c>
      <c r="F1453" s="72" t="str">
        <f>HYPERLINK("http://nsgreg.nga.mil/genc/view?v=292924&amp;end_month=6&amp;end_day=30&amp;end_year=2019","Saint John")</f>
        <v>Saint John</v>
      </c>
      <c r="G1453" s="72" t="str">
        <f>HYPERLINK("http://api.nsgreg.nga.mil/geo-division/GENC/6/3-11/GD-04","as:GENC:6:3-11:GD-04")</f>
        <v>as:GENC:6:3-11:GD-04</v>
      </c>
    </row>
    <row r="1454" spans="1:7" x14ac:dyDescent="0.25">
      <c r="A1454" s="112"/>
      <c r="B1454" s="21" t="s">
        <v>4564</v>
      </c>
      <c r="C1454" s="21" t="s">
        <v>3736</v>
      </c>
      <c r="D1454" s="21" t="s">
        <v>1858</v>
      </c>
      <c r="E1454" s="50" t="b">
        <v>1</v>
      </c>
      <c r="F1454" s="72" t="str">
        <f>HYPERLINK("http://nsgreg.nga.mil/genc/view?v=292925&amp;end_month=6&amp;end_day=30&amp;end_year=2019","Saint Mark")</f>
        <v>Saint Mark</v>
      </c>
      <c r="G1454" s="72" t="str">
        <f>HYPERLINK("http://api.nsgreg.nga.mil/geo-division/GENC/6/3-11/GD-05","as:GENC:6:3-11:GD-05")</f>
        <v>as:GENC:6:3-11:GD-05</v>
      </c>
    </row>
    <row r="1455" spans="1:7" x14ac:dyDescent="0.25">
      <c r="A1455" s="112"/>
      <c r="B1455" s="21" t="s">
        <v>4565</v>
      </c>
      <c r="C1455" s="21" t="s">
        <v>3738</v>
      </c>
      <c r="D1455" s="21" t="s">
        <v>1858</v>
      </c>
      <c r="E1455" s="50" t="b">
        <v>1</v>
      </c>
      <c r="F1455" s="72" t="str">
        <f>HYPERLINK("http://nsgreg.nga.mil/genc/view?v=292926&amp;end_month=6&amp;end_day=30&amp;end_year=2019","Saint Patrick")</f>
        <v>Saint Patrick</v>
      </c>
      <c r="G1455" s="72" t="str">
        <f>HYPERLINK("http://api.nsgreg.nga.mil/geo-division/GENC/6/3-11/GD-06","as:GENC:6:3-11:GD-06")</f>
        <v>as:GENC:6:3-11:GD-06</v>
      </c>
    </row>
    <row r="1456" spans="1:7" x14ac:dyDescent="0.25">
      <c r="A1456" s="113"/>
      <c r="B1456" s="47" t="s">
        <v>4566</v>
      </c>
      <c r="C1456" s="47" t="s">
        <v>4567</v>
      </c>
      <c r="D1456" s="78" t="s">
        <v>1909</v>
      </c>
      <c r="E1456" s="79" t="b">
        <v>0</v>
      </c>
      <c r="F1456" s="73" t="str">
        <f>HYPERLINK("http://nsgreg.nga.mil/genc/view?v=292927&amp;end_month=6&amp;end_day=30&amp;end_year=2019","Southern Grenadine Islands")</f>
        <v>Southern Grenadine Islands</v>
      </c>
      <c r="G1456" s="73" t="str">
        <f>HYPERLINK("http://api.nsgreg.nga.mil/geo-division/GENC/6/3-11/GD-10","as:GENC:6:3-11:GD-10")</f>
        <v>as:GENC:6:3-11:GD-10</v>
      </c>
    </row>
    <row r="1457" spans="1:7" x14ac:dyDescent="0.25">
      <c r="A1457" s="111" t="str">
        <f>HYPERLINK("[#]Codes_for_GE_Names!A113:I113","GUATEMALA")</f>
        <v>GUATEMALA</v>
      </c>
      <c r="B1457" s="42" t="s">
        <v>4568</v>
      </c>
      <c r="C1457" s="42" t="s">
        <v>4569</v>
      </c>
      <c r="D1457" s="42" t="s">
        <v>2478</v>
      </c>
      <c r="E1457" s="49" t="b">
        <v>1</v>
      </c>
      <c r="F1457" s="74" t="str">
        <f>HYPERLINK("http://nsgreg.nga.mil/genc/view?v=293033&amp;end_month=6&amp;end_day=30&amp;end_year=2019","Alta Verapaz")</f>
        <v>Alta Verapaz</v>
      </c>
      <c r="G1457" s="74" t="str">
        <f>HYPERLINK("http://api.nsgreg.nga.mil/geo-division/GENC/6/3-11/GT-AV","as:GENC:6:3-11:GT-AV")</f>
        <v>as:GENC:6:3-11:GT-AV</v>
      </c>
    </row>
    <row r="1458" spans="1:7" x14ac:dyDescent="0.25">
      <c r="A1458" s="112"/>
      <c r="B1458" s="21" t="s">
        <v>4570</v>
      </c>
      <c r="C1458" s="21" t="s">
        <v>4571</v>
      </c>
      <c r="D1458" s="21" t="s">
        <v>2478</v>
      </c>
      <c r="E1458" s="50" t="b">
        <v>1</v>
      </c>
      <c r="F1458" s="72" t="str">
        <f>HYPERLINK("http://nsgreg.nga.mil/genc/view?v=293034&amp;end_month=6&amp;end_day=30&amp;end_year=2019","Baja Verapaz")</f>
        <v>Baja Verapaz</v>
      </c>
      <c r="G1458" s="72" t="str">
        <f>HYPERLINK("http://api.nsgreg.nga.mil/geo-division/GENC/6/3-11/GT-BV","as:GENC:6:3-11:GT-BV")</f>
        <v>as:GENC:6:3-11:GT-BV</v>
      </c>
    </row>
    <row r="1459" spans="1:7" x14ac:dyDescent="0.25">
      <c r="A1459" s="112"/>
      <c r="B1459" s="21" t="s">
        <v>4572</v>
      </c>
      <c r="C1459" s="21" t="s">
        <v>4573</v>
      </c>
      <c r="D1459" s="21" t="s">
        <v>2478</v>
      </c>
      <c r="E1459" s="50" t="b">
        <v>1</v>
      </c>
      <c r="F1459" s="72" t="str">
        <f>HYPERLINK("http://nsgreg.nga.mil/genc/view?v=293035&amp;end_month=6&amp;end_day=30&amp;end_year=2019","Chimaltenango")</f>
        <v>Chimaltenango</v>
      </c>
      <c r="G1459" s="72" t="str">
        <f>HYPERLINK("http://api.nsgreg.nga.mil/geo-division/GENC/6/3-11/GT-CM","as:GENC:6:3-11:GT-CM")</f>
        <v>as:GENC:6:3-11:GT-CM</v>
      </c>
    </row>
    <row r="1460" spans="1:7" x14ac:dyDescent="0.25">
      <c r="A1460" s="112"/>
      <c r="B1460" s="21" t="s">
        <v>4574</v>
      </c>
      <c r="C1460" s="21" t="s">
        <v>4575</v>
      </c>
      <c r="D1460" s="21" t="s">
        <v>2478</v>
      </c>
      <c r="E1460" s="50" t="b">
        <v>1</v>
      </c>
      <c r="F1460" s="72" t="str">
        <f>HYPERLINK("http://nsgreg.nga.mil/genc/view?v=293036&amp;end_month=6&amp;end_day=30&amp;end_year=2019","Chiquimula")</f>
        <v>Chiquimula</v>
      </c>
      <c r="G1460" s="72" t="str">
        <f>HYPERLINK("http://api.nsgreg.nga.mil/geo-division/GENC/6/3-11/GT-CQ","as:GENC:6:3-11:GT-CQ")</f>
        <v>as:GENC:6:3-11:GT-CQ</v>
      </c>
    </row>
    <row r="1461" spans="1:7" x14ac:dyDescent="0.25">
      <c r="A1461" s="112"/>
      <c r="B1461" s="21" t="s">
        <v>4576</v>
      </c>
      <c r="C1461" s="21" t="s">
        <v>4577</v>
      </c>
      <c r="D1461" s="21" t="s">
        <v>2478</v>
      </c>
      <c r="E1461" s="50" t="b">
        <v>1</v>
      </c>
      <c r="F1461" s="72" t="str">
        <f>HYPERLINK("http://nsgreg.nga.mil/genc/view?v=293044&amp;end_month=6&amp;end_day=30&amp;end_year=2019","El Progreso")</f>
        <v>El Progreso</v>
      </c>
      <c r="G1461" s="72" t="str">
        <f>HYPERLINK("http://api.nsgreg.nga.mil/geo-division/GENC/6/3-11/GT-PR","as:GENC:6:3-11:GT-PR")</f>
        <v>as:GENC:6:3-11:GT-PR</v>
      </c>
    </row>
    <row r="1462" spans="1:7" x14ac:dyDescent="0.25">
      <c r="A1462" s="112"/>
      <c r="B1462" s="21" t="s">
        <v>4578</v>
      </c>
      <c r="C1462" s="21" t="s">
        <v>4579</v>
      </c>
      <c r="D1462" s="21" t="s">
        <v>2478</v>
      </c>
      <c r="E1462" s="50" t="b">
        <v>1</v>
      </c>
      <c r="F1462" s="72" t="str">
        <f>HYPERLINK("http://nsgreg.nga.mil/genc/view?v=293037&amp;end_month=6&amp;end_day=30&amp;end_year=2019","Escuintla")</f>
        <v>Escuintla</v>
      </c>
      <c r="G1462" s="72" t="str">
        <f>HYPERLINK("http://api.nsgreg.nga.mil/geo-division/GENC/6/3-11/GT-ES","as:GENC:6:3-11:GT-ES")</f>
        <v>as:GENC:6:3-11:GT-ES</v>
      </c>
    </row>
    <row r="1463" spans="1:7" x14ac:dyDescent="0.25">
      <c r="A1463" s="112"/>
      <c r="B1463" s="21" t="s">
        <v>4580</v>
      </c>
      <c r="C1463" s="21" t="s">
        <v>691</v>
      </c>
      <c r="D1463" s="21" t="s">
        <v>2478</v>
      </c>
      <c r="E1463" s="50" t="b">
        <v>1</v>
      </c>
      <c r="F1463" s="72" t="str">
        <f>HYPERLINK("http://nsgreg.nga.mil/genc/view?v=293038&amp;end_month=6&amp;end_day=30&amp;end_year=2019","Guatemala")</f>
        <v>Guatemala</v>
      </c>
      <c r="G1463" s="72" t="str">
        <f>HYPERLINK("http://api.nsgreg.nga.mil/geo-division/GENC/6/3-11/GT-GU","as:GENC:6:3-11:GT-GU")</f>
        <v>as:GENC:6:3-11:GT-GU</v>
      </c>
    </row>
    <row r="1464" spans="1:7" x14ac:dyDescent="0.25">
      <c r="A1464" s="112"/>
      <c r="B1464" s="21" t="s">
        <v>4581</v>
      </c>
      <c r="C1464" s="21" t="s">
        <v>4582</v>
      </c>
      <c r="D1464" s="21" t="s">
        <v>2478</v>
      </c>
      <c r="E1464" s="50" t="b">
        <v>1</v>
      </c>
      <c r="F1464" s="72" t="str">
        <f>HYPERLINK("http://nsgreg.nga.mil/genc/view?v=293039&amp;end_month=6&amp;end_day=30&amp;end_year=2019","Huehuetenango")</f>
        <v>Huehuetenango</v>
      </c>
      <c r="G1464" s="72" t="str">
        <f>HYPERLINK("http://api.nsgreg.nga.mil/geo-division/GENC/6/3-11/GT-HU","as:GENC:6:3-11:GT-HU")</f>
        <v>as:GENC:6:3-11:GT-HU</v>
      </c>
    </row>
    <row r="1465" spans="1:7" x14ac:dyDescent="0.25">
      <c r="A1465" s="112"/>
      <c r="B1465" s="21" t="s">
        <v>4583</v>
      </c>
      <c r="C1465" s="21" t="s">
        <v>4584</v>
      </c>
      <c r="D1465" s="21" t="s">
        <v>2478</v>
      </c>
      <c r="E1465" s="50" t="b">
        <v>1</v>
      </c>
      <c r="F1465" s="72" t="str">
        <f>HYPERLINK("http://nsgreg.nga.mil/genc/view?v=293040&amp;end_month=6&amp;end_day=30&amp;end_year=2019","Izabal")</f>
        <v>Izabal</v>
      </c>
      <c r="G1465" s="72" t="str">
        <f>HYPERLINK("http://api.nsgreg.nga.mil/geo-division/GENC/6/3-11/GT-IZ","as:GENC:6:3-11:GT-IZ")</f>
        <v>as:GENC:6:3-11:GT-IZ</v>
      </c>
    </row>
    <row r="1466" spans="1:7" x14ac:dyDescent="0.25">
      <c r="A1466" s="112"/>
      <c r="B1466" s="21" t="s">
        <v>4585</v>
      </c>
      <c r="C1466" s="21" t="s">
        <v>4586</v>
      </c>
      <c r="D1466" s="21" t="s">
        <v>2478</v>
      </c>
      <c r="E1466" s="50" t="b">
        <v>1</v>
      </c>
      <c r="F1466" s="72" t="str">
        <f>HYPERLINK("http://nsgreg.nga.mil/genc/view?v=293041&amp;end_month=6&amp;end_day=30&amp;end_year=2019","Jalapa")</f>
        <v>Jalapa</v>
      </c>
      <c r="G1466" s="72" t="str">
        <f>HYPERLINK("http://api.nsgreg.nga.mil/geo-division/GENC/6/3-11/GT-JA","as:GENC:6:3-11:GT-JA")</f>
        <v>as:GENC:6:3-11:GT-JA</v>
      </c>
    </row>
    <row r="1467" spans="1:7" x14ac:dyDescent="0.25">
      <c r="A1467" s="112"/>
      <c r="B1467" s="21" t="s">
        <v>4587</v>
      </c>
      <c r="C1467" s="21" t="s">
        <v>4588</v>
      </c>
      <c r="D1467" s="21" t="s">
        <v>2478</v>
      </c>
      <c r="E1467" s="50" t="b">
        <v>1</v>
      </c>
      <c r="F1467" s="72" t="str">
        <f>HYPERLINK("http://nsgreg.nga.mil/genc/view?v=293042&amp;end_month=6&amp;end_day=30&amp;end_year=2019","Jutiapa")</f>
        <v>Jutiapa</v>
      </c>
      <c r="G1467" s="72" t="str">
        <f>HYPERLINK("http://api.nsgreg.nga.mil/geo-division/GENC/6/3-11/GT-JU","as:GENC:6:3-11:GT-JU")</f>
        <v>as:GENC:6:3-11:GT-JU</v>
      </c>
    </row>
    <row r="1468" spans="1:7" x14ac:dyDescent="0.25">
      <c r="A1468" s="112"/>
      <c r="B1468" s="21" t="s">
        <v>4589</v>
      </c>
      <c r="C1468" s="21" t="s">
        <v>4590</v>
      </c>
      <c r="D1468" s="21" t="s">
        <v>2478</v>
      </c>
      <c r="E1468" s="50" t="b">
        <v>1</v>
      </c>
      <c r="F1468" s="72" t="str">
        <f>HYPERLINK("http://nsgreg.nga.mil/genc/view?v=293043&amp;end_month=6&amp;end_day=30&amp;end_year=2019","Petén")</f>
        <v>Petén</v>
      </c>
      <c r="G1468" s="72" t="str">
        <f>HYPERLINK("http://api.nsgreg.nga.mil/geo-division/GENC/6/3-11/GT-PE","as:GENC:6:3-11:GT-PE")</f>
        <v>as:GENC:6:3-11:GT-PE</v>
      </c>
    </row>
    <row r="1469" spans="1:7" x14ac:dyDescent="0.25">
      <c r="A1469" s="112"/>
      <c r="B1469" s="21" t="s">
        <v>4591</v>
      </c>
      <c r="C1469" s="21" t="s">
        <v>4592</v>
      </c>
      <c r="D1469" s="21" t="s">
        <v>2478</v>
      </c>
      <c r="E1469" s="50" t="b">
        <v>1</v>
      </c>
      <c r="F1469" s="72" t="str">
        <f>HYPERLINK("http://nsgreg.nga.mil/genc/view?v=293046&amp;end_month=6&amp;end_day=30&amp;end_year=2019","Quetzaltenango")</f>
        <v>Quetzaltenango</v>
      </c>
      <c r="G1469" s="72" t="str">
        <f>HYPERLINK("http://api.nsgreg.nga.mil/geo-division/GENC/6/3-11/GT-QZ","as:GENC:6:3-11:GT-QZ")</f>
        <v>as:GENC:6:3-11:GT-QZ</v>
      </c>
    </row>
    <row r="1470" spans="1:7" x14ac:dyDescent="0.25">
      <c r="A1470" s="112"/>
      <c r="B1470" s="21" t="s">
        <v>4593</v>
      </c>
      <c r="C1470" s="21" t="s">
        <v>4594</v>
      </c>
      <c r="D1470" s="21" t="s">
        <v>2478</v>
      </c>
      <c r="E1470" s="50" t="b">
        <v>1</v>
      </c>
      <c r="F1470" s="72" t="str">
        <f>HYPERLINK("http://nsgreg.nga.mil/genc/view?v=293045&amp;end_month=6&amp;end_day=30&amp;end_year=2019","Quiché")</f>
        <v>Quiché</v>
      </c>
      <c r="G1470" s="72" t="str">
        <f>HYPERLINK("http://api.nsgreg.nga.mil/geo-division/GENC/6/3-11/GT-QC","as:GENC:6:3-11:GT-QC")</f>
        <v>as:GENC:6:3-11:GT-QC</v>
      </c>
    </row>
    <row r="1471" spans="1:7" x14ac:dyDescent="0.25">
      <c r="A1471" s="112"/>
      <c r="B1471" s="21" t="s">
        <v>4595</v>
      </c>
      <c r="C1471" s="21" t="s">
        <v>4596</v>
      </c>
      <c r="D1471" s="21" t="s">
        <v>2478</v>
      </c>
      <c r="E1471" s="50" t="b">
        <v>1</v>
      </c>
      <c r="F1471" s="72" t="str">
        <f>HYPERLINK("http://nsgreg.nga.mil/genc/view?v=293047&amp;end_month=6&amp;end_day=30&amp;end_year=2019","Retalhuleu")</f>
        <v>Retalhuleu</v>
      </c>
      <c r="G1471" s="72" t="str">
        <f>HYPERLINK("http://api.nsgreg.nga.mil/geo-division/GENC/6/3-11/GT-RE","as:GENC:6:3-11:GT-RE")</f>
        <v>as:GENC:6:3-11:GT-RE</v>
      </c>
    </row>
    <row r="1472" spans="1:7" x14ac:dyDescent="0.25">
      <c r="A1472" s="112"/>
      <c r="B1472" s="21" t="s">
        <v>4597</v>
      </c>
      <c r="C1472" s="21" t="s">
        <v>4598</v>
      </c>
      <c r="D1472" s="21" t="s">
        <v>2478</v>
      </c>
      <c r="E1472" s="50" t="b">
        <v>1</v>
      </c>
      <c r="F1472" s="72" t="str">
        <f>HYPERLINK("http://nsgreg.nga.mil/genc/view?v=293048&amp;end_month=6&amp;end_day=30&amp;end_year=2019","Sacatepéquez")</f>
        <v>Sacatepéquez</v>
      </c>
      <c r="G1472" s="72" t="str">
        <f>HYPERLINK("http://api.nsgreg.nga.mil/geo-division/GENC/6/3-11/GT-SA","as:GENC:6:3-11:GT-SA")</f>
        <v>as:GENC:6:3-11:GT-SA</v>
      </c>
    </row>
    <row r="1473" spans="1:7" x14ac:dyDescent="0.25">
      <c r="A1473" s="112"/>
      <c r="B1473" s="21" t="s">
        <v>4599</v>
      </c>
      <c r="C1473" s="21" t="s">
        <v>4600</v>
      </c>
      <c r="D1473" s="21" t="s">
        <v>2478</v>
      </c>
      <c r="E1473" s="50" t="b">
        <v>1</v>
      </c>
      <c r="F1473" s="72" t="str">
        <f>HYPERLINK("http://nsgreg.nga.mil/genc/view?v=293049&amp;end_month=6&amp;end_day=30&amp;end_year=2019","San Marcos")</f>
        <v>San Marcos</v>
      </c>
      <c r="G1473" s="72" t="str">
        <f>HYPERLINK("http://api.nsgreg.nga.mil/geo-division/GENC/6/3-11/GT-SM","as:GENC:6:3-11:GT-SM")</f>
        <v>as:GENC:6:3-11:GT-SM</v>
      </c>
    </row>
    <row r="1474" spans="1:7" x14ac:dyDescent="0.25">
      <c r="A1474" s="112"/>
      <c r="B1474" s="21" t="s">
        <v>4601</v>
      </c>
      <c r="C1474" s="21" t="s">
        <v>4602</v>
      </c>
      <c r="D1474" s="21" t="s">
        <v>2478</v>
      </c>
      <c r="E1474" s="50" t="b">
        <v>1</v>
      </c>
      <c r="F1474" s="72" t="str">
        <f>HYPERLINK("http://nsgreg.nga.mil/genc/view?v=293051&amp;end_month=6&amp;end_day=30&amp;end_year=2019","Santa Rosa")</f>
        <v>Santa Rosa</v>
      </c>
      <c r="G1474" s="72" t="str">
        <f>HYPERLINK("http://api.nsgreg.nga.mil/geo-division/GENC/6/3-11/GT-SR","as:GENC:6:3-11:GT-SR")</f>
        <v>as:GENC:6:3-11:GT-SR</v>
      </c>
    </row>
    <row r="1475" spans="1:7" x14ac:dyDescent="0.25">
      <c r="A1475" s="112"/>
      <c r="B1475" s="21" t="s">
        <v>4603</v>
      </c>
      <c r="C1475" s="21" t="s">
        <v>4604</v>
      </c>
      <c r="D1475" s="21" t="s">
        <v>2478</v>
      </c>
      <c r="E1475" s="50" t="b">
        <v>1</v>
      </c>
      <c r="F1475" s="72" t="str">
        <f>HYPERLINK("http://nsgreg.nga.mil/genc/view?v=293050&amp;end_month=6&amp;end_day=30&amp;end_year=2019","Sololá")</f>
        <v>Sololá</v>
      </c>
      <c r="G1475" s="72" t="str">
        <f>HYPERLINK("http://api.nsgreg.nga.mil/geo-division/GENC/6/3-11/GT-SO","as:GENC:6:3-11:GT-SO")</f>
        <v>as:GENC:6:3-11:GT-SO</v>
      </c>
    </row>
    <row r="1476" spans="1:7" x14ac:dyDescent="0.25">
      <c r="A1476" s="112"/>
      <c r="B1476" s="21" t="s">
        <v>4605</v>
      </c>
      <c r="C1476" s="21" t="s">
        <v>4606</v>
      </c>
      <c r="D1476" s="21" t="s">
        <v>2478</v>
      </c>
      <c r="E1476" s="50" t="b">
        <v>1</v>
      </c>
      <c r="F1476" s="72" t="str">
        <f>HYPERLINK("http://nsgreg.nga.mil/genc/view?v=293052&amp;end_month=6&amp;end_day=30&amp;end_year=2019","Suchitepéquez")</f>
        <v>Suchitepéquez</v>
      </c>
      <c r="G1476" s="72" t="str">
        <f>HYPERLINK("http://api.nsgreg.nga.mil/geo-division/GENC/6/3-11/GT-SU","as:GENC:6:3-11:GT-SU")</f>
        <v>as:GENC:6:3-11:GT-SU</v>
      </c>
    </row>
    <row r="1477" spans="1:7" x14ac:dyDescent="0.25">
      <c r="A1477" s="112"/>
      <c r="B1477" s="21" t="s">
        <v>4607</v>
      </c>
      <c r="C1477" s="21" t="s">
        <v>4608</v>
      </c>
      <c r="D1477" s="21" t="s">
        <v>2478</v>
      </c>
      <c r="E1477" s="50" t="b">
        <v>1</v>
      </c>
      <c r="F1477" s="72" t="str">
        <f>HYPERLINK("http://nsgreg.nga.mil/genc/view?v=293053&amp;end_month=6&amp;end_day=30&amp;end_year=2019","Totonicapán")</f>
        <v>Totonicapán</v>
      </c>
      <c r="G1477" s="72" t="str">
        <f>HYPERLINK("http://api.nsgreg.nga.mil/geo-division/GENC/6/3-11/GT-TO","as:GENC:6:3-11:GT-TO")</f>
        <v>as:GENC:6:3-11:GT-TO</v>
      </c>
    </row>
    <row r="1478" spans="1:7" x14ac:dyDescent="0.25">
      <c r="A1478" s="113"/>
      <c r="B1478" s="47" t="s">
        <v>4609</v>
      </c>
      <c r="C1478" s="47" t="s">
        <v>4610</v>
      </c>
      <c r="D1478" s="47" t="s">
        <v>2478</v>
      </c>
      <c r="E1478" s="51" t="b">
        <v>1</v>
      </c>
      <c r="F1478" s="73" t="str">
        <f>HYPERLINK("http://nsgreg.nga.mil/genc/view?v=293054&amp;end_month=6&amp;end_day=30&amp;end_year=2019","Zacapa")</f>
        <v>Zacapa</v>
      </c>
      <c r="G1478" s="73" t="str">
        <f>HYPERLINK("http://api.nsgreg.nga.mil/geo-division/GENC/6/3-11/GT-ZA","as:GENC:6:3-11:GT-ZA")</f>
        <v>as:GENC:6:3-11:GT-ZA</v>
      </c>
    </row>
    <row r="1479" spans="1:7" x14ac:dyDescent="0.25">
      <c r="A1479" s="111" t="str">
        <f>HYPERLINK("[#]Codes_for_GE_Names!A115:I115","GUINEA")</f>
        <v>GUINEA</v>
      </c>
      <c r="B1479" s="42" t="s">
        <v>4611</v>
      </c>
      <c r="C1479" s="42" t="s">
        <v>4612</v>
      </c>
      <c r="D1479" s="42" t="s">
        <v>4613</v>
      </c>
      <c r="E1479" s="49" t="b">
        <v>1</v>
      </c>
      <c r="F1479" s="74" t="str">
        <f>HYPERLINK("http://nsgreg.nga.mil/genc/view?v=292969&amp;end_month=6&amp;end_day=30&amp;end_year=2019","Boké")</f>
        <v>Boké</v>
      </c>
      <c r="G1479" s="74" t="str">
        <f>HYPERLINK("http://api.nsgreg.nga.mil/geo-division/GENC/6/3-11/GN-B","as:GENC:6:3-11:GN-B")</f>
        <v>as:GENC:6:3-11:GN-B</v>
      </c>
    </row>
    <row r="1480" spans="1:7" x14ac:dyDescent="0.25">
      <c r="A1480" s="112"/>
      <c r="B1480" s="21" t="s">
        <v>4614</v>
      </c>
      <c r="C1480" s="21" t="s">
        <v>4615</v>
      </c>
      <c r="D1480" s="76" t="s">
        <v>3072</v>
      </c>
      <c r="E1480" s="77" t="b">
        <v>0</v>
      </c>
      <c r="F1480" s="72" t="str">
        <f>HYPERLINK("http://nsgreg.nga.mil/genc/view?v=292971&amp;end_month=6&amp;end_day=30&amp;end_year=2019","Boffa")</f>
        <v>Boffa</v>
      </c>
      <c r="G1480" s="72" t="str">
        <f>HYPERLINK("http://api.nsgreg.nga.mil/geo-division/GENC/6/3-11/GN-BF","as:GENC:6:3-11:GN-BF")</f>
        <v>as:GENC:6:3-11:GN-BF</v>
      </c>
    </row>
    <row r="1481" spans="1:7" x14ac:dyDescent="0.25">
      <c r="A1481" s="112"/>
      <c r="B1481" s="21" t="s">
        <v>4616</v>
      </c>
      <c r="C1481" s="21" t="s">
        <v>4617</v>
      </c>
      <c r="D1481" s="76" t="s">
        <v>3072</v>
      </c>
      <c r="E1481" s="77" t="b">
        <v>0</v>
      </c>
      <c r="F1481" s="72" t="str">
        <f>HYPERLINK("http://nsgreg.nga.mil/genc/view?v=292972&amp;end_month=6&amp;end_day=30&amp;end_year=2019","Boké")</f>
        <v>Boké</v>
      </c>
      <c r="G1481" s="72" t="str">
        <f>HYPERLINK("http://api.nsgreg.nga.mil/geo-division/GENC/6/3-11/GN-BK","as:GENC:6:3-11:GN-BK")</f>
        <v>as:GENC:6:3-11:GN-BK</v>
      </c>
    </row>
    <row r="1482" spans="1:7" x14ac:dyDescent="0.25">
      <c r="A1482" s="112"/>
      <c r="B1482" s="21" t="s">
        <v>4618</v>
      </c>
      <c r="C1482" s="21" t="s">
        <v>4619</v>
      </c>
      <c r="D1482" s="76" t="s">
        <v>3072</v>
      </c>
      <c r="E1482" s="77" t="b">
        <v>0</v>
      </c>
      <c r="F1482" s="72" t="str">
        <f>HYPERLINK("http://nsgreg.nga.mil/genc/view?v=292983&amp;end_month=6&amp;end_day=30&amp;end_year=2019","Fria")</f>
        <v>Fria</v>
      </c>
      <c r="G1482" s="72" t="str">
        <f>HYPERLINK("http://api.nsgreg.nga.mil/geo-division/GENC/6/3-11/GN-FR","as:GENC:6:3-11:GN-FR")</f>
        <v>as:GENC:6:3-11:GN-FR</v>
      </c>
    </row>
    <row r="1483" spans="1:7" x14ac:dyDescent="0.25">
      <c r="A1483" s="112"/>
      <c r="B1483" s="21" t="s">
        <v>4620</v>
      </c>
      <c r="C1483" s="21" t="s">
        <v>4621</v>
      </c>
      <c r="D1483" s="76" t="s">
        <v>3072</v>
      </c>
      <c r="E1483" s="77" t="b">
        <v>0</v>
      </c>
      <c r="F1483" s="72" t="str">
        <f>HYPERLINK("http://nsgreg.nga.mil/genc/view?v=292984&amp;end_month=6&amp;end_day=30&amp;end_year=2019","Gaoual")</f>
        <v>Gaoual</v>
      </c>
      <c r="G1483" s="72" t="str">
        <f>HYPERLINK("http://api.nsgreg.nga.mil/geo-division/GENC/6/3-11/GN-GA","as:GENC:6:3-11:GN-GA")</f>
        <v>as:GENC:6:3-11:GN-GA</v>
      </c>
    </row>
    <row r="1484" spans="1:7" x14ac:dyDescent="0.25">
      <c r="A1484" s="112"/>
      <c r="B1484" s="21" t="s">
        <v>4622</v>
      </c>
      <c r="C1484" s="21" t="s">
        <v>4623</v>
      </c>
      <c r="D1484" s="76" t="s">
        <v>3072</v>
      </c>
      <c r="E1484" s="77" t="b">
        <v>0</v>
      </c>
      <c r="F1484" s="72" t="str">
        <f>HYPERLINK("http://nsgreg.nga.mil/genc/view?v=292991&amp;end_month=6&amp;end_day=30&amp;end_year=2019","Koundara")</f>
        <v>Koundara</v>
      </c>
      <c r="G1484" s="72" t="str">
        <f>HYPERLINK("http://api.nsgreg.nga.mil/geo-division/GENC/6/3-11/GN-KN","as:GENC:6:3-11:GN-KN")</f>
        <v>as:GENC:6:3-11:GN-KN</v>
      </c>
    </row>
    <row r="1485" spans="1:7" x14ac:dyDescent="0.25">
      <c r="A1485" s="112"/>
      <c r="B1485" s="21" t="s">
        <v>4624</v>
      </c>
      <c r="C1485" s="21" t="s">
        <v>4625</v>
      </c>
      <c r="D1485" s="21" t="s">
        <v>2255</v>
      </c>
      <c r="E1485" s="50" t="b">
        <v>1</v>
      </c>
      <c r="F1485" s="72" t="str">
        <f>HYPERLINK("http://nsgreg.nga.mil/genc/view?v=292973&amp;end_month=6&amp;end_day=30&amp;end_year=2019","Conakry")</f>
        <v>Conakry</v>
      </c>
      <c r="G1485" s="72" t="str">
        <f>HYPERLINK("http://api.nsgreg.nga.mil/geo-division/GENC/6/3-11/GN-C","as:GENC:6:3-11:GN-C")</f>
        <v>as:GENC:6:3-11:GN-C</v>
      </c>
    </row>
    <row r="1486" spans="1:7" x14ac:dyDescent="0.25">
      <c r="A1486" s="112"/>
      <c r="B1486" s="21" t="s">
        <v>4626</v>
      </c>
      <c r="C1486" s="21" t="s">
        <v>4627</v>
      </c>
      <c r="D1486" s="21" t="s">
        <v>4613</v>
      </c>
      <c r="E1486" s="50" t="b">
        <v>1</v>
      </c>
      <c r="F1486" s="72" t="str">
        <f>HYPERLINK("http://nsgreg.nga.mil/genc/view?v=292980&amp;end_month=6&amp;end_day=30&amp;end_year=2019","Faranah")</f>
        <v>Faranah</v>
      </c>
      <c r="G1486" s="72" t="str">
        <f>HYPERLINK("http://api.nsgreg.nga.mil/geo-division/GENC/6/3-11/GN-F","as:GENC:6:3-11:GN-F")</f>
        <v>as:GENC:6:3-11:GN-F</v>
      </c>
    </row>
    <row r="1487" spans="1:7" x14ac:dyDescent="0.25">
      <c r="A1487" s="112"/>
      <c r="B1487" s="21" t="s">
        <v>4628</v>
      </c>
      <c r="C1487" s="21" t="s">
        <v>4629</v>
      </c>
      <c r="D1487" s="76" t="s">
        <v>3072</v>
      </c>
      <c r="E1487" s="77" t="b">
        <v>0</v>
      </c>
      <c r="F1487" s="72" t="str">
        <f>HYPERLINK("http://nsgreg.nga.mil/genc/view?v=292976&amp;end_month=6&amp;end_day=30&amp;end_year=2019","Dabola")</f>
        <v>Dabola</v>
      </c>
      <c r="G1487" s="72" t="str">
        <f>HYPERLINK("http://api.nsgreg.nga.mil/geo-division/GENC/6/3-11/GN-DB","as:GENC:6:3-11:GN-DB")</f>
        <v>as:GENC:6:3-11:GN-DB</v>
      </c>
    </row>
    <row r="1488" spans="1:7" x14ac:dyDescent="0.25">
      <c r="A1488" s="112"/>
      <c r="B1488" s="21" t="s">
        <v>4630</v>
      </c>
      <c r="C1488" s="21" t="s">
        <v>4631</v>
      </c>
      <c r="D1488" s="76" t="s">
        <v>3072</v>
      </c>
      <c r="E1488" s="77" t="b">
        <v>0</v>
      </c>
      <c r="F1488" s="72" t="str">
        <f>HYPERLINK("http://nsgreg.nga.mil/genc/view?v=292977&amp;end_month=6&amp;end_day=30&amp;end_year=2019","Dinguiraye")</f>
        <v>Dinguiraye</v>
      </c>
      <c r="G1488" s="72" t="str">
        <f>HYPERLINK("http://api.nsgreg.nga.mil/geo-division/GENC/6/3-11/GN-DI","as:GENC:6:3-11:GN-DI")</f>
        <v>as:GENC:6:3-11:GN-DI</v>
      </c>
    </row>
    <row r="1489" spans="1:7" x14ac:dyDescent="0.25">
      <c r="A1489" s="112"/>
      <c r="B1489" s="21" t="s">
        <v>4632</v>
      </c>
      <c r="C1489" s="21" t="s">
        <v>4633</v>
      </c>
      <c r="D1489" s="76" t="s">
        <v>3072</v>
      </c>
      <c r="E1489" s="77" t="b">
        <v>0</v>
      </c>
      <c r="F1489" s="72" t="str">
        <f>HYPERLINK("http://nsgreg.nga.mil/genc/view?v=292981&amp;end_month=6&amp;end_day=30&amp;end_year=2019","Faranah")</f>
        <v>Faranah</v>
      </c>
      <c r="G1489" s="72" t="str">
        <f>HYPERLINK("http://api.nsgreg.nga.mil/geo-division/GENC/6/3-11/GN-FA","as:GENC:6:3-11:GN-FA")</f>
        <v>as:GENC:6:3-11:GN-FA</v>
      </c>
    </row>
    <row r="1490" spans="1:7" x14ac:dyDescent="0.25">
      <c r="A1490" s="112"/>
      <c r="B1490" s="21" t="s">
        <v>4634</v>
      </c>
      <c r="C1490" s="21" t="s">
        <v>4635</v>
      </c>
      <c r="D1490" s="76" t="s">
        <v>3072</v>
      </c>
      <c r="E1490" s="77" t="b">
        <v>0</v>
      </c>
      <c r="F1490" s="72" t="str">
        <f>HYPERLINK("http://nsgreg.nga.mil/genc/view?v=292993&amp;end_month=6&amp;end_day=30&amp;end_year=2019","Kissidougou")</f>
        <v>Kissidougou</v>
      </c>
      <c r="G1490" s="72" t="str">
        <f>HYPERLINK("http://api.nsgreg.nga.mil/geo-division/GENC/6/3-11/GN-KS","as:GENC:6:3-11:GN-KS")</f>
        <v>as:GENC:6:3-11:GN-KS</v>
      </c>
    </row>
    <row r="1491" spans="1:7" x14ac:dyDescent="0.25">
      <c r="A1491" s="112"/>
      <c r="B1491" s="21" t="s">
        <v>4636</v>
      </c>
      <c r="C1491" s="21" t="s">
        <v>4637</v>
      </c>
      <c r="D1491" s="21" t="s">
        <v>4613</v>
      </c>
      <c r="E1491" s="50" t="b">
        <v>1</v>
      </c>
      <c r="F1491" s="72" t="str">
        <f>HYPERLINK("http://nsgreg.nga.mil/genc/view?v=292986&amp;end_month=6&amp;end_day=30&amp;end_year=2019","Kankan")</f>
        <v>Kankan</v>
      </c>
      <c r="G1491" s="72" t="str">
        <f>HYPERLINK("http://api.nsgreg.nga.mil/geo-division/GENC/6/3-11/GN-K","as:GENC:6:3-11:GN-K")</f>
        <v>as:GENC:6:3-11:GN-K</v>
      </c>
    </row>
    <row r="1492" spans="1:7" x14ac:dyDescent="0.25">
      <c r="A1492" s="112"/>
      <c r="B1492" s="21" t="s">
        <v>4638</v>
      </c>
      <c r="C1492" s="21" t="s">
        <v>4639</v>
      </c>
      <c r="D1492" s="76" t="s">
        <v>3072</v>
      </c>
      <c r="E1492" s="77" t="b">
        <v>0</v>
      </c>
      <c r="F1492" s="72" t="str">
        <f>HYPERLINK("http://nsgreg.nga.mil/genc/view?v=292987&amp;end_month=6&amp;end_day=30&amp;end_year=2019","Kankan")</f>
        <v>Kankan</v>
      </c>
      <c r="G1492" s="72" t="str">
        <f>HYPERLINK("http://api.nsgreg.nga.mil/geo-division/GENC/6/3-11/GN-KA","as:GENC:6:3-11:GN-KA")</f>
        <v>as:GENC:6:3-11:GN-KA</v>
      </c>
    </row>
    <row r="1493" spans="1:7" x14ac:dyDescent="0.25">
      <c r="A1493" s="112"/>
      <c r="B1493" s="21" t="s">
        <v>4640</v>
      </c>
      <c r="C1493" s="21" t="s">
        <v>4641</v>
      </c>
      <c r="D1493" s="76" t="s">
        <v>3072</v>
      </c>
      <c r="E1493" s="77" t="b">
        <v>0</v>
      </c>
      <c r="F1493" s="72" t="str">
        <f>HYPERLINK("http://nsgreg.nga.mil/genc/view?v=292990&amp;end_month=6&amp;end_day=30&amp;end_year=2019","Kérouané")</f>
        <v>Kérouané</v>
      </c>
      <c r="G1493" s="72" t="str">
        <f>HYPERLINK("http://api.nsgreg.nga.mil/geo-division/GENC/6/3-11/GN-KE","as:GENC:6:3-11:GN-KE")</f>
        <v>as:GENC:6:3-11:GN-KE</v>
      </c>
    </row>
    <row r="1494" spans="1:7" x14ac:dyDescent="0.25">
      <c r="A1494" s="112"/>
      <c r="B1494" s="21" t="s">
        <v>4642</v>
      </c>
      <c r="C1494" s="21" t="s">
        <v>4643</v>
      </c>
      <c r="D1494" s="76" t="s">
        <v>3072</v>
      </c>
      <c r="E1494" s="77" t="b">
        <v>0</v>
      </c>
      <c r="F1494" s="72" t="str">
        <f>HYPERLINK("http://nsgreg.nga.mil/genc/view?v=292992&amp;end_month=6&amp;end_day=30&amp;end_year=2019","Kouroussa")</f>
        <v>Kouroussa</v>
      </c>
      <c r="G1494" s="72" t="str">
        <f>HYPERLINK("http://api.nsgreg.nga.mil/geo-division/GENC/6/3-11/GN-KO","as:GENC:6:3-11:GN-KO")</f>
        <v>as:GENC:6:3-11:GN-KO</v>
      </c>
    </row>
    <row r="1495" spans="1:7" x14ac:dyDescent="0.25">
      <c r="A1495" s="112"/>
      <c r="B1495" s="21" t="s">
        <v>4644</v>
      </c>
      <c r="C1495" s="21" t="s">
        <v>4645</v>
      </c>
      <c r="D1495" s="76" t="s">
        <v>3072</v>
      </c>
      <c r="E1495" s="77" t="b">
        <v>0</v>
      </c>
      <c r="F1495" s="72" t="str">
        <f>HYPERLINK("http://nsgreg.nga.mil/genc/view?v=293000&amp;end_month=6&amp;end_day=30&amp;end_year=2019","Mandiana")</f>
        <v>Mandiana</v>
      </c>
      <c r="G1495" s="72" t="str">
        <f>HYPERLINK("http://api.nsgreg.nga.mil/geo-division/GENC/6/3-11/GN-MD","as:GENC:6:3-11:GN-MD")</f>
        <v>as:GENC:6:3-11:GN-MD</v>
      </c>
    </row>
    <row r="1496" spans="1:7" x14ac:dyDescent="0.25">
      <c r="A1496" s="112"/>
      <c r="B1496" s="21" t="s">
        <v>4646</v>
      </c>
      <c r="C1496" s="21" t="s">
        <v>4647</v>
      </c>
      <c r="D1496" s="76" t="s">
        <v>3072</v>
      </c>
      <c r="E1496" s="77" t="b">
        <v>0</v>
      </c>
      <c r="F1496" s="72" t="str">
        <f>HYPERLINK("http://nsgreg.nga.mil/genc/view?v=293006&amp;end_month=6&amp;end_day=30&amp;end_year=2019","Siguiri")</f>
        <v>Siguiri</v>
      </c>
      <c r="G1496" s="72" t="str">
        <f>HYPERLINK("http://api.nsgreg.nga.mil/geo-division/GENC/6/3-11/GN-SI","as:GENC:6:3-11:GN-SI")</f>
        <v>as:GENC:6:3-11:GN-SI</v>
      </c>
    </row>
    <row r="1497" spans="1:7" x14ac:dyDescent="0.25">
      <c r="A1497" s="112"/>
      <c r="B1497" s="21" t="s">
        <v>4648</v>
      </c>
      <c r="C1497" s="21" t="s">
        <v>4649</v>
      </c>
      <c r="D1497" s="21" t="s">
        <v>4613</v>
      </c>
      <c r="E1497" s="50" t="b">
        <v>1</v>
      </c>
      <c r="F1497" s="72" t="str">
        <f>HYPERLINK("http://nsgreg.nga.mil/genc/view?v=292975&amp;end_month=6&amp;end_day=30&amp;end_year=2019","Kindia")</f>
        <v>Kindia</v>
      </c>
      <c r="G1497" s="72" t="str">
        <f>HYPERLINK("http://api.nsgreg.nga.mil/geo-division/GENC/6/3-11/GN-D","as:GENC:6:3-11:GN-D")</f>
        <v>as:GENC:6:3-11:GN-D</v>
      </c>
    </row>
    <row r="1498" spans="1:7" x14ac:dyDescent="0.25">
      <c r="A1498" s="112"/>
      <c r="B1498" s="21" t="s">
        <v>4650</v>
      </c>
      <c r="C1498" s="21" t="s">
        <v>4651</v>
      </c>
      <c r="D1498" s="76" t="s">
        <v>3072</v>
      </c>
      <c r="E1498" s="77" t="b">
        <v>0</v>
      </c>
      <c r="F1498" s="72" t="str">
        <f>HYPERLINK("http://nsgreg.nga.mil/genc/view?v=292974&amp;end_month=6&amp;end_day=30&amp;end_year=2019","Coyah")</f>
        <v>Coyah</v>
      </c>
      <c r="G1498" s="72" t="str">
        <f>HYPERLINK("http://api.nsgreg.nga.mil/geo-division/GENC/6/3-11/GN-CO","as:GENC:6:3-11:GN-CO")</f>
        <v>as:GENC:6:3-11:GN-CO</v>
      </c>
    </row>
    <row r="1499" spans="1:7" x14ac:dyDescent="0.25">
      <c r="A1499" s="112"/>
      <c r="B1499" s="21" t="s">
        <v>4652</v>
      </c>
      <c r="C1499" s="21" t="s">
        <v>4653</v>
      </c>
      <c r="D1499" s="76" t="s">
        <v>3072</v>
      </c>
      <c r="E1499" s="77" t="b">
        <v>0</v>
      </c>
      <c r="F1499" s="72" t="str">
        <f>HYPERLINK("http://nsgreg.nga.mil/genc/view?v=292979&amp;end_month=6&amp;end_day=30&amp;end_year=2019","Dubréka")</f>
        <v>Dubréka</v>
      </c>
      <c r="G1499" s="72" t="str">
        <f>HYPERLINK("http://api.nsgreg.nga.mil/geo-division/GENC/6/3-11/GN-DU","as:GENC:6:3-11:GN-DU")</f>
        <v>as:GENC:6:3-11:GN-DU</v>
      </c>
    </row>
    <row r="1500" spans="1:7" x14ac:dyDescent="0.25">
      <c r="A1500" s="112"/>
      <c r="B1500" s="21" t="s">
        <v>4654</v>
      </c>
      <c r="C1500" s="21" t="s">
        <v>4655</v>
      </c>
      <c r="D1500" s="76" t="s">
        <v>3072</v>
      </c>
      <c r="E1500" s="77" t="b">
        <v>0</v>
      </c>
      <c r="F1500" s="72" t="str">
        <f>HYPERLINK("http://nsgreg.nga.mil/genc/view?v=292982&amp;end_month=6&amp;end_day=30&amp;end_year=2019","Forécariah")</f>
        <v>Forécariah</v>
      </c>
      <c r="G1500" s="72" t="str">
        <f>HYPERLINK("http://api.nsgreg.nga.mil/geo-division/GENC/6/3-11/GN-FO","as:GENC:6:3-11:GN-FO")</f>
        <v>as:GENC:6:3-11:GN-FO</v>
      </c>
    </row>
    <row r="1501" spans="1:7" x14ac:dyDescent="0.25">
      <c r="A1501" s="112"/>
      <c r="B1501" s="21" t="s">
        <v>4656</v>
      </c>
      <c r="C1501" s="21" t="s">
        <v>4657</v>
      </c>
      <c r="D1501" s="76" t="s">
        <v>3072</v>
      </c>
      <c r="E1501" s="77" t="b">
        <v>0</v>
      </c>
      <c r="F1501" s="72" t="str">
        <f>HYPERLINK("http://nsgreg.nga.mil/genc/view?v=292989&amp;end_month=6&amp;end_day=30&amp;end_year=2019","Kindia")</f>
        <v>Kindia</v>
      </c>
      <c r="G1501" s="72" t="str">
        <f>HYPERLINK("http://api.nsgreg.nga.mil/geo-division/GENC/6/3-11/GN-KD","as:GENC:6:3-11:GN-KD")</f>
        <v>as:GENC:6:3-11:GN-KD</v>
      </c>
    </row>
    <row r="1502" spans="1:7" x14ac:dyDescent="0.25">
      <c r="A1502" s="112"/>
      <c r="B1502" s="21" t="s">
        <v>4658</v>
      </c>
      <c r="C1502" s="21" t="s">
        <v>4659</v>
      </c>
      <c r="D1502" s="76" t="s">
        <v>3072</v>
      </c>
      <c r="E1502" s="77" t="b">
        <v>0</v>
      </c>
      <c r="F1502" s="72" t="str">
        <f>HYPERLINK("http://nsgreg.nga.mil/genc/view?v=293007&amp;end_month=6&amp;end_day=30&amp;end_year=2019","Télimélé")</f>
        <v>Télimélé</v>
      </c>
      <c r="G1502" s="72" t="str">
        <f>HYPERLINK("http://api.nsgreg.nga.mil/geo-division/GENC/6/3-11/GN-TE","as:GENC:6:3-11:GN-TE")</f>
        <v>as:GENC:6:3-11:GN-TE</v>
      </c>
    </row>
    <row r="1503" spans="1:7" x14ac:dyDescent="0.25">
      <c r="A1503" s="112"/>
      <c r="B1503" s="21" t="s">
        <v>4660</v>
      </c>
      <c r="C1503" s="21" t="s">
        <v>4661</v>
      </c>
      <c r="D1503" s="21" t="s">
        <v>4613</v>
      </c>
      <c r="E1503" s="50" t="b">
        <v>1</v>
      </c>
      <c r="F1503" s="72" t="str">
        <f>HYPERLINK("http://nsgreg.nga.mil/genc/view?v=292994&amp;end_month=6&amp;end_day=30&amp;end_year=2019","Labé")</f>
        <v>Labé</v>
      </c>
      <c r="G1503" s="72" t="str">
        <f>HYPERLINK("http://api.nsgreg.nga.mil/geo-division/GENC/6/3-11/GN-L","as:GENC:6:3-11:GN-L")</f>
        <v>as:GENC:6:3-11:GN-L</v>
      </c>
    </row>
    <row r="1504" spans="1:7" x14ac:dyDescent="0.25">
      <c r="A1504" s="112"/>
      <c r="B1504" s="21" t="s">
        <v>4662</v>
      </c>
      <c r="C1504" s="21" t="s">
        <v>4663</v>
      </c>
      <c r="D1504" s="76" t="s">
        <v>3072</v>
      </c>
      <c r="E1504" s="77" t="b">
        <v>0</v>
      </c>
      <c r="F1504" s="72" t="str">
        <f>HYPERLINK("http://nsgreg.nga.mil/genc/view?v=292988&amp;end_month=6&amp;end_day=30&amp;end_year=2019","Koubia")</f>
        <v>Koubia</v>
      </c>
      <c r="G1504" s="72" t="str">
        <f>HYPERLINK("http://api.nsgreg.nga.mil/geo-division/GENC/6/3-11/GN-KB","as:GENC:6:3-11:GN-KB")</f>
        <v>as:GENC:6:3-11:GN-KB</v>
      </c>
    </row>
    <row r="1505" spans="1:7" x14ac:dyDescent="0.25">
      <c r="A1505" s="112"/>
      <c r="B1505" s="21" t="s">
        <v>4664</v>
      </c>
      <c r="C1505" s="21" t="s">
        <v>4665</v>
      </c>
      <c r="D1505" s="76" t="s">
        <v>3072</v>
      </c>
      <c r="E1505" s="77" t="b">
        <v>0</v>
      </c>
      <c r="F1505" s="72" t="str">
        <f>HYPERLINK("http://nsgreg.nga.mil/genc/view?v=292995&amp;end_month=6&amp;end_day=30&amp;end_year=2019","Labé")</f>
        <v>Labé</v>
      </c>
      <c r="G1505" s="72" t="str">
        <f>HYPERLINK("http://api.nsgreg.nga.mil/geo-division/GENC/6/3-11/GN-LA","as:GENC:6:3-11:GN-LA")</f>
        <v>as:GENC:6:3-11:GN-LA</v>
      </c>
    </row>
    <row r="1506" spans="1:7" x14ac:dyDescent="0.25">
      <c r="A1506" s="112"/>
      <c r="B1506" s="21" t="s">
        <v>4666</v>
      </c>
      <c r="C1506" s="21" t="s">
        <v>4667</v>
      </c>
      <c r="D1506" s="76" t="s">
        <v>3072</v>
      </c>
      <c r="E1506" s="77" t="b">
        <v>0</v>
      </c>
      <c r="F1506" s="72" t="str">
        <f>HYPERLINK("http://nsgreg.nga.mil/genc/view?v=292996&amp;end_month=6&amp;end_day=30&amp;end_year=2019","Lélouma")</f>
        <v>Lélouma</v>
      </c>
      <c r="G1506" s="72" t="str">
        <f>HYPERLINK("http://api.nsgreg.nga.mil/geo-division/GENC/6/3-11/GN-LE","as:GENC:6:3-11:GN-LE")</f>
        <v>as:GENC:6:3-11:GN-LE</v>
      </c>
    </row>
    <row r="1507" spans="1:7" x14ac:dyDescent="0.25">
      <c r="A1507" s="112"/>
      <c r="B1507" s="21" t="s">
        <v>4668</v>
      </c>
      <c r="C1507" s="21" t="s">
        <v>4669</v>
      </c>
      <c r="D1507" s="76" t="s">
        <v>3072</v>
      </c>
      <c r="E1507" s="77" t="b">
        <v>0</v>
      </c>
      <c r="F1507" s="72" t="str">
        <f>HYPERLINK("http://nsgreg.nga.mil/genc/view?v=293001&amp;end_month=6&amp;end_day=30&amp;end_year=2019","Mali")</f>
        <v>Mali</v>
      </c>
      <c r="G1507" s="72" t="str">
        <f>HYPERLINK("http://api.nsgreg.nga.mil/geo-division/GENC/6/3-11/GN-ML","as:GENC:6:3-11:GN-ML")</f>
        <v>as:GENC:6:3-11:GN-ML</v>
      </c>
    </row>
    <row r="1508" spans="1:7" x14ac:dyDescent="0.25">
      <c r="A1508" s="112"/>
      <c r="B1508" s="21" t="s">
        <v>4670</v>
      </c>
      <c r="C1508" s="21" t="s">
        <v>4671</v>
      </c>
      <c r="D1508" s="76" t="s">
        <v>3072</v>
      </c>
      <c r="E1508" s="77" t="b">
        <v>0</v>
      </c>
      <c r="F1508" s="72" t="str">
        <f>HYPERLINK("http://nsgreg.nga.mil/genc/view?v=293008&amp;end_month=6&amp;end_day=30&amp;end_year=2019","Tougué")</f>
        <v>Tougué</v>
      </c>
      <c r="G1508" s="72" t="str">
        <f>HYPERLINK("http://api.nsgreg.nga.mil/geo-division/GENC/6/3-11/GN-TO","as:GENC:6:3-11:GN-TO")</f>
        <v>as:GENC:6:3-11:GN-TO</v>
      </c>
    </row>
    <row r="1509" spans="1:7" x14ac:dyDescent="0.25">
      <c r="A1509" s="112"/>
      <c r="B1509" s="21" t="s">
        <v>4672</v>
      </c>
      <c r="C1509" s="21" t="s">
        <v>4673</v>
      </c>
      <c r="D1509" s="21" t="s">
        <v>4613</v>
      </c>
      <c r="E1509" s="50" t="b">
        <v>1</v>
      </c>
      <c r="F1509" s="72" t="str">
        <f>HYPERLINK("http://nsgreg.nga.mil/genc/view?v=292998&amp;end_month=6&amp;end_day=30&amp;end_year=2019","Mamou")</f>
        <v>Mamou</v>
      </c>
      <c r="G1509" s="72" t="str">
        <f>HYPERLINK("http://api.nsgreg.nga.mil/geo-division/GENC/6/3-11/GN-M","as:GENC:6:3-11:GN-M")</f>
        <v>as:GENC:6:3-11:GN-M</v>
      </c>
    </row>
    <row r="1510" spans="1:7" x14ac:dyDescent="0.25">
      <c r="A1510" s="112"/>
      <c r="B1510" s="21" t="s">
        <v>4674</v>
      </c>
      <c r="C1510" s="21" t="s">
        <v>4675</v>
      </c>
      <c r="D1510" s="76" t="s">
        <v>3072</v>
      </c>
      <c r="E1510" s="77" t="b">
        <v>0</v>
      </c>
      <c r="F1510" s="72" t="str">
        <f>HYPERLINK("http://nsgreg.nga.mil/genc/view?v=292978&amp;end_month=6&amp;end_day=30&amp;end_year=2019","Dalaba")</f>
        <v>Dalaba</v>
      </c>
      <c r="G1510" s="72" t="str">
        <f>HYPERLINK("http://api.nsgreg.nga.mil/geo-division/GENC/6/3-11/GN-DL","as:GENC:6:3-11:GN-DL")</f>
        <v>as:GENC:6:3-11:GN-DL</v>
      </c>
    </row>
    <row r="1511" spans="1:7" x14ac:dyDescent="0.25">
      <c r="A1511" s="112"/>
      <c r="B1511" s="21" t="s">
        <v>4676</v>
      </c>
      <c r="C1511" s="21" t="s">
        <v>4677</v>
      </c>
      <c r="D1511" s="76" t="s">
        <v>3072</v>
      </c>
      <c r="E1511" s="77" t="b">
        <v>0</v>
      </c>
      <c r="F1511" s="72" t="str">
        <f>HYPERLINK("http://nsgreg.nga.mil/genc/view?v=293002&amp;end_month=6&amp;end_day=30&amp;end_year=2019","Mamou")</f>
        <v>Mamou</v>
      </c>
      <c r="G1511" s="72" t="str">
        <f>HYPERLINK("http://api.nsgreg.nga.mil/geo-division/GENC/6/3-11/GN-MM","as:GENC:6:3-11:GN-MM")</f>
        <v>as:GENC:6:3-11:GN-MM</v>
      </c>
    </row>
    <row r="1512" spans="1:7" x14ac:dyDescent="0.25">
      <c r="A1512" s="112"/>
      <c r="B1512" s="21" t="s">
        <v>4678</v>
      </c>
      <c r="C1512" s="21" t="s">
        <v>4679</v>
      </c>
      <c r="D1512" s="76" t="s">
        <v>3072</v>
      </c>
      <c r="E1512" s="77" t="b">
        <v>0</v>
      </c>
      <c r="F1512" s="72" t="str">
        <f>HYPERLINK("http://nsgreg.nga.mil/genc/view?v=293005&amp;end_month=6&amp;end_day=30&amp;end_year=2019","Pita")</f>
        <v>Pita</v>
      </c>
      <c r="G1512" s="72" t="str">
        <f>HYPERLINK("http://api.nsgreg.nga.mil/geo-division/GENC/6/3-11/GN-PI","as:GENC:6:3-11:GN-PI")</f>
        <v>as:GENC:6:3-11:GN-PI</v>
      </c>
    </row>
    <row r="1513" spans="1:7" x14ac:dyDescent="0.25">
      <c r="A1513" s="112"/>
      <c r="B1513" s="21" t="s">
        <v>4680</v>
      </c>
      <c r="C1513" s="21" t="s">
        <v>4681</v>
      </c>
      <c r="D1513" s="21" t="s">
        <v>4613</v>
      </c>
      <c r="E1513" s="50" t="b">
        <v>1</v>
      </c>
      <c r="F1513" s="72" t="str">
        <f>HYPERLINK("http://nsgreg.nga.mil/genc/view?v=293003&amp;end_month=6&amp;end_day=30&amp;end_year=2019","N’Zérékoré")</f>
        <v>N’Zérékoré</v>
      </c>
      <c r="G1513" s="72" t="str">
        <f>HYPERLINK("http://api.nsgreg.nga.mil/geo-division/GENC/6/3-11/GN-N","as:GENC:6:3-11:GN-N")</f>
        <v>as:GENC:6:3-11:GN-N</v>
      </c>
    </row>
    <row r="1514" spans="1:7" x14ac:dyDescent="0.25">
      <c r="A1514" s="112"/>
      <c r="B1514" s="21" t="s">
        <v>4682</v>
      </c>
      <c r="C1514" s="21" t="s">
        <v>4683</v>
      </c>
      <c r="D1514" s="76" t="s">
        <v>3072</v>
      </c>
      <c r="E1514" s="77" t="b">
        <v>0</v>
      </c>
      <c r="F1514" s="72" t="str">
        <f>HYPERLINK("http://nsgreg.nga.mil/genc/view?v=292970&amp;end_month=6&amp;end_day=30&amp;end_year=2019","Beyla")</f>
        <v>Beyla</v>
      </c>
      <c r="G1514" s="72" t="str">
        <f>HYPERLINK("http://api.nsgreg.nga.mil/geo-division/GENC/6/3-11/GN-BE","as:GENC:6:3-11:GN-BE")</f>
        <v>as:GENC:6:3-11:GN-BE</v>
      </c>
    </row>
    <row r="1515" spans="1:7" x14ac:dyDescent="0.25">
      <c r="A1515" s="112"/>
      <c r="B1515" s="21" t="s">
        <v>4684</v>
      </c>
      <c r="C1515" s="21" t="s">
        <v>4685</v>
      </c>
      <c r="D1515" s="76" t="s">
        <v>3072</v>
      </c>
      <c r="E1515" s="77" t="b">
        <v>0</v>
      </c>
      <c r="F1515" s="72" t="str">
        <f>HYPERLINK("http://nsgreg.nga.mil/genc/view?v=292985&amp;end_month=6&amp;end_day=30&amp;end_year=2019","Guékédou")</f>
        <v>Guékédou</v>
      </c>
      <c r="G1515" s="72" t="str">
        <f>HYPERLINK("http://api.nsgreg.nga.mil/geo-division/GENC/6/3-11/GN-GU","as:GENC:6:3-11:GN-GU")</f>
        <v>as:GENC:6:3-11:GN-GU</v>
      </c>
    </row>
    <row r="1516" spans="1:7" x14ac:dyDescent="0.25">
      <c r="A1516" s="112"/>
      <c r="B1516" s="21" t="s">
        <v>4686</v>
      </c>
      <c r="C1516" s="21" t="s">
        <v>4687</v>
      </c>
      <c r="D1516" s="76" t="s">
        <v>3072</v>
      </c>
      <c r="E1516" s="77" t="b">
        <v>0</v>
      </c>
      <c r="F1516" s="72" t="str">
        <f>HYPERLINK("http://nsgreg.nga.mil/genc/view?v=292997&amp;end_month=6&amp;end_day=30&amp;end_year=2019","Lola")</f>
        <v>Lola</v>
      </c>
      <c r="G1516" s="72" t="str">
        <f>HYPERLINK("http://api.nsgreg.nga.mil/geo-division/GENC/6/3-11/GN-LO","as:GENC:6:3-11:GN-LO")</f>
        <v>as:GENC:6:3-11:GN-LO</v>
      </c>
    </row>
    <row r="1517" spans="1:7" x14ac:dyDescent="0.25">
      <c r="A1517" s="112"/>
      <c r="B1517" s="21" t="s">
        <v>4688</v>
      </c>
      <c r="C1517" s="21" t="s">
        <v>4689</v>
      </c>
      <c r="D1517" s="76" t="s">
        <v>3072</v>
      </c>
      <c r="E1517" s="77" t="b">
        <v>0</v>
      </c>
      <c r="F1517" s="72" t="str">
        <f>HYPERLINK("http://nsgreg.nga.mil/genc/view?v=292999&amp;end_month=6&amp;end_day=30&amp;end_year=2019","Macenta")</f>
        <v>Macenta</v>
      </c>
      <c r="G1517" s="72" t="str">
        <f>HYPERLINK("http://api.nsgreg.nga.mil/geo-division/GENC/6/3-11/GN-MC","as:GENC:6:3-11:GN-MC")</f>
        <v>as:GENC:6:3-11:GN-MC</v>
      </c>
    </row>
    <row r="1518" spans="1:7" x14ac:dyDescent="0.25">
      <c r="A1518" s="112"/>
      <c r="B1518" s="21" t="s">
        <v>4690</v>
      </c>
      <c r="C1518" s="21" t="s">
        <v>4691</v>
      </c>
      <c r="D1518" s="76" t="s">
        <v>3072</v>
      </c>
      <c r="E1518" s="77" t="b">
        <v>0</v>
      </c>
      <c r="F1518" s="72" t="str">
        <f>HYPERLINK("http://nsgreg.nga.mil/genc/view?v=293004&amp;end_month=6&amp;end_day=30&amp;end_year=2019","N’Zérékoré")</f>
        <v>N’Zérékoré</v>
      </c>
      <c r="G1518" s="72" t="str">
        <f>HYPERLINK("http://api.nsgreg.nga.mil/geo-division/GENC/6/3-11/GN-NZ","as:GENC:6:3-11:GN-NZ")</f>
        <v>as:GENC:6:3-11:GN-NZ</v>
      </c>
    </row>
    <row r="1519" spans="1:7" x14ac:dyDescent="0.25">
      <c r="A1519" s="113"/>
      <c r="B1519" s="47" t="s">
        <v>4692</v>
      </c>
      <c r="C1519" s="47" t="s">
        <v>4693</v>
      </c>
      <c r="D1519" s="78" t="s">
        <v>3072</v>
      </c>
      <c r="E1519" s="79" t="b">
        <v>0</v>
      </c>
      <c r="F1519" s="73" t="str">
        <f>HYPERLINK("http://nsgreg.nga.mil/genc/view?v=293009&amp;end_month=6&amp;end_day=30&amp;end_year=2019","Yomou")</f>
        <v>Yomou</v>
      </c>
      <c r="G1519" s="73" t="str">
        <f>HYPERLINK("http://api.nsgreg.nga.mil/geo-division/GENC/6/3-11/GN-YO","as:GENC:6:3-11:GN-YO")</f>
        <v>as:GENC:6:3-11:GN-YO</v>
      </c>
    </row>
    <row r="1520" spans="1:7" x14ac:dyDescent="0.25">
      <c r="A1520" s="111" t="str">
        <f>HYPERLINK("[#]Codes_for_GE_Names!A116:I116","GUINEA-BISSAU")</f>
        <v>GUINEA-BISSAU</v>
      </c>
      <c r="B1520" s="42" t="s">
        <v>4694</v>
      </c>
      <c r="C1520" s="42" t="s">
        <v>4695</v>
      </c>
      <c r="D1520" s="42" t="s">
        <v>4696</v>
      </c>
      <c r="E1520" s="49" t="b">
        <v>1</v>
      </c>
      <c r="F1520" s="74" t="str">
        <f>HYPERLINK("http://nsgreg.nga.mil/genc/view?v=293058&amp;end_month=6&amp;end_day=30&amp;end_year=2019","Bissau")</f>
        <v>Bissau</v>
      </c>
      <c r="G1520" s="74" t="str">
        <f>HYPERLINK("http://api.nsgreg.nga.mil/geo-division/GENC/6/3-11/GW-BS","as:GENC:6:3-11:GW-BS")</f>
        <v>as:GENC:6:3-11:GW-BS</v>
      </c>
    </row>
    <row r="1521" spans="1:7" x14ac:dyDescent="0.25">
      <c r="A1521" s="112"/>
      <c r="B1521" s="21" t="s">
        <v>4697</v>
      </c>
      <c r="C1521" s="21" t="s">
        <v>4698</v>
      </c>
      <c r="D1521" s="76" t="s">
        <v>1668</v>
      </c>
      <c r="E1521" s="77" t="b">
        <v>0</v>
      </c>
      <c r="F1521" s="72" t="str">
        <f>HYPERLINK("http://nsgreg.nga.mil/genc/view?v=293061&amp;end_month=6&amp;end_day=30&amp;end_year=2019","Leste")</f>
        <v>Leste</v>
      </c>
      <c r="G1521" s="72" t="str">
        <f>HYPERLINK("http://api.nsgreg.nga.mil/geo-division/GENC/6/3-11/GW-L","as:GENC:6:3-11:GW-L")</f>
        <v>as:GENC:6:3-11:GW-L</v>
      </c>
    </row>
    <row r="1522" spans="1:7" x14ac:dyDescent="0.25">
      <c r="A1522" s="112"/>
      <c r="B1522" s="21" t="s">
        <v>4699</v>
      </c>
      <c r="C1522" s="21" t="s">
        <v>4700</v>
      </c>
      <c r="D1522" s="21" t="s">
        <v>1975</v>
      </c>
      <c r="E1522" s="50" t="b">
        <v>1</v>
      </c>
      <c r="F1522" s="72" t="str">
        <f>HYPERLINK("http://nsgreg.nga.mil/genc/view?v=293055&amp;end_month=6&amp;end_day=30&amp;end_year=2019","Bafatá")</f>
        <v>Bafatá</v>
      </c>
      <c r="G1522" s="72" t="str">
        <f>HYPERLINK("http://api.nsgreg.nga.mil/geo-division/GENC/6/3-11/GW-BA","as:GENC:6:3-11:GW-BA")</f>
        <v>as:GENC:6:3-11:GW-BA</v>
      </c>
    </row>
    <row r="1523" spans="1:7" x14ac:dyDescent="0.25">
      <c r="A1523" s="112"/>
      <c r="B1523" s="21" t="s">
        <v>4701</v>
      </c>
      <c r="C1523" s="21" t="s">
        <v>4702</v>
      </c>
      <c r="D1523" s="21" t="s">
        <v>1975</v>
      </c>
      <c r="E1523" s="50" t="b">
        <v>1</v>
      </c>
      <c r="F1523" s="72" t="str">
        <f>HYPERLINK("http://nsgreg.nga.mil/genc/view?v=293060&amp;end_month=6&amp;end_day=30&amp;end_year=2019","Gabú")</f>
        <v>Gabú</v>
      </c>
      <c r="G1523" s="72" t="str">
        <f>HYPERLINK("http://api.nsgreg.nga.mil/geo-division/GENC/6/3-11/GW-GA","as:GENC:6:3-11:GW-GA")</f>
        <v>as:GENC:6:3-11:GW-GA</v>
      </c>
    </row>
    <row r="1524" spans="1:7" x14ac:dyDescent="0.25">
      <c r="A1524" s="112"/>
      <c r="B1524" s="21" t="s">
        <v>4703</v>
      </c>
      <c r="C1524" s="21" t="s">
        <v>4704</v>
      </c>
      <c r="D1524" s="76" t="s">
        <v>1668</v>
      </c>
      <c r="E1524" s="77" t="b">
        <v>0</v>
      </c>
      <c r="F1524" s="72" t="str">
        <f>HYPERLINK("http://nsgreg.nga.mil/genc/view?v=293062&amp;end_month=6&amp;end_day=30&amp;end_year=2019","Norte")</f>
        <v>Norte</v>
      </c>
      <c r="G1524" s="72" t="str">
        <f>HYPERLINK("http://api.nsgreg.nga.mil/geo-division/GENC/6/3-11/GW-N","as:GENC:6:3-11:GW-N")</f>
        <v>as:GENC:6:3-11:GW-N</v>
      </c>
    </row>
    <row r="1525" spans="1:7" x14ac:dyDescent="0.25">
      <c r="A1525" s="112"/>
      <c r="B1525" s="21" t="s">
        <v>4705</v>
      </c>
      <c r="C1525" s="21" t="s">
        <v>4706</v>
      </c>
      <c r="D1525" s="21" t="s">
        <v>1975</v>
      </c>
      <c r="E1525" s="50" t="b">
        <v>1</v>
      </c>
      <c r="F1525" s="72" t="str">
        <f>HYPERLINK("http://nsgreg.nga.mil/genc/view?v=293057&amp;end_month=6&amp;end_day=30&amp;end_year=2019","Biombo")</f>
        <v>Biombo</v>
      </c>
      <c r="G1525" s="72" t="str">
        <f>HYPERLINK("http://api.nsgreg.nga.mil/geo-division/GENC/6/3-11/GW-BM","as:GENC:6:3-11:GW-BM")</f>
        <v>as:GENC:6:3-11:GW-BM</v>
      </c>
    </row>
    <row r="1526" spans="1:7" x14ac:dyDescent="0.25">
      <c r="A1526" s="112"/>
      <c r="B1526" s="21" t="s">
        <v>4707</v>
      </c>
      <c r="C1526" s="21" t="s">
        <v>4708</v>
      </c>
      <c r="D1526" s="21" t="s">
        <v>1975</v>
      </c>
      <c r="E1526" s="50" t="b">
        <v>1</v>
      </c>
      <c r="F1526" s="72" t="str">
        <f>HYPERLINK("http://nsgreg.nga.mil/genc/view?v=293059&amp;end_month=6&amp;end_day=30&amp;end_year=2019","Cacheu")</f>
        <v>Cacheu</v>
      </c>
      <c r="G1526" s="72" t="str">
        <f>HYPERLINK("http://api.nsgreg.nga.mil/geo-division/GENC/6/3-11/GW-CA","as:GENC:6:3-11:GW-CA")</f>
        <v>as:GENC:6:3-11:GW-CA</v>
      </c>
    </row>
    <row r="1527" spans="1:7" x14ac:dyDescent="0.25">
      <c r="A1527" s="112"/>
      <c r="B1527" s="21" t="s">
        <v>4709</v>
      </c>
      <c r="C1527" s="21" t="s">
        <v>4710</v>
      </c>
      <c r="D1527" s="21" t="s">
        <v>1975</v>
      </c>
      <c r="E1527" s="50" t="b">
        <v>1</v>
      </c>
      <c r="F1527" s="72" t="str">
        <f>HYPERLINK("http://nsgreg.nga.mil/genc/view?v=293063&amp;end_month=6&amp;end_day=30&amp;end_year=2019","Oio")</f>
        <v>Oio</v>
      </c>
      <c r="G1527" s="72" t="str">
        <f>HYPERLINK("http://api.nsgreg.nga.mil/geo-division/GENC/6/3-11/GW-OI","as:GENC:6:3-11:GW-OI")</f>
        <v>as:GENC:6:3-11:GW-OI</v>
      </c>
    </row>
    <row r="1528" spans="1:7" x14ac:dyDescent="0.25">
      <c r="A1528" s="112"/>
      <c r="B1528" s="21" t="s">
        <v>4711</v>
      </c>
      <c r="C1528" s="21" t="s">
        <v>4712</v>
      </c>
      <c r="D1528" s="76" t="s">
        <v>1668</v>
      </c>
      <c r="E1528" s="77" t="b">
        <v>0</v>
      </c>
      <c r="F1528" s="72" t="str">
        <f>HYPERLINK("http://nsgreg.nga.mil/genc/view?v=293065&amp;end_month=6&amp;end_day=30&amp;end_year=2019","Sul")</f>
        <v>Sul</v>
      </c>
      <c r="G1528" s="72" t="str">
        <f>HYPERLINK("http://api.nsgreg.nga.mil/geo-division/GENC/6/3-11/GW-S","as:GENC:6:3-11:GW-S")</f>
        <v>as:GENC:6:3-11:GW-S</v>
      </c>
    </row>
    <row r="1529" spans="1:7" x14ac:dyDescent="0.25">
      <c r="A1529" s="112"/>
      <c r="B1529" s="21" t="s">
        <v>4713</v>
      </c>
      <c r="C1529" s="21" t="s">
        <v>4714</v>
      </c>
      <c r="D1529" s="21" t="s">
        <v>1975</v>
      </c>
      <c r="E1529" s="50" t="b">
        <v>1</v>
      </c>
      <c r="F1529" s="72" t="str">
        <f>HYPERLINK("http://nsgreg.nga.mil/genc/view?v=293056&amp;end_month=6&amp;end_day=30&amp;end_year=2019","Bolama/Bijagós")</f>
        <v>Bolama/Bijagós</v>
      </c>
      <c r="G1529" s="72" t="str">
        <f>HYPERLINK("http://api.nsgreg.nga.mil/geo-division/GENC/6/3-11/GW-BL","as:GENC:6:3-11:GW-BL")</f>
        <v>as:GENC:6:3-11:GW-BL</v>
      </c>
    </row>
    <row r="1530" spans="1:7" x14ac:dyDescent="0.25">
      <c r="A1530" s="112"/>
      <c r="B1530" s="21" t="s">
        <v>4715</v>
      </c>
      <c r="C1530" s="21" t="s">
        <v>4716</v>
      </c>
      <c r="D1530" s="21" t="s">
        <v>1975</v>
      </c>
      <c r="E1530" s="50" t="b">
        <v>1</v>
      </c>
      <c r="F1530" s="72" t="str">
        <f>HYPERLINK("http://nsgreg.nga.mil/genc/view?v=293064&amp;end_month=6&amp;end_day=30&amp;end_year=2019","Quinara")</f>
        <v>Quinara</v>
      </c>
      <c r="G1530" s="72" t="str">
        <f>HYPERLINK("http://api.nsgreg.nga.mil/geo-division/GENC/6/3-11/GW-QU","as:GENC:6:3-11:GW-QU")</f>
        <v>as:GENC:6:3-11:GW-QU</v>
      </c>
    </row>
    <row r="1531" spans="1:7" x14ac:dyDescent="0.25">
      <c r="A1531" s="113"/>
      <c r="B1531" s="47" t="s">
        <v>4717</v>
      </c>
      <c r="C1531" s="47" t="s">
        <v>4718</v>
      </c>
      <c r="D1531" s="47" t="s">
        <v>1975</v>
      </c>
      <c r="E1531" s="51" t="b">
        <v>1</v>
      </c>
      <c r="F1531" s="73" t="str">
        <f>HYPERLINK("http://nsgreg.nga.mil/genc/view?v=293066&amp;end_month=6&amp;end_day=30&amp;end_year=2019","Tombali")</f>
        <v>Tombali</v>
      </c>
      <c r="G1531" s="73" t="str">
        <f>HYPERLINK("http://api.nsgreg.nga.mil/geo-division/GENC/6/3-11/GW-TO","as:GENC:6:3-11:GW-TO")</f>
        <v>as:GENC:6:3-11:GW-TO</v>
      </c>
    </row>
    <row r="1532" spans="1:7" x14ac:dyDescent="0.25">
      <c r="A1532" s="111" t="str">
        <f>HYPERLINK("[#]Codes_for_GE_Names!A117:I117","GUYANA")</f>
        <v>GUYANA</v>
      </c>
      <c r="B1532" s="42" t="s">
        <v>4719</v>
      </c>
      <c r="C1532" s="42" t="s">
        <v>4720</v>
      </c>
      <c r="D1532" s="42" t="s">
        <v>1975</v>
      </c>
      <c r="E1532" s="49" t="b">
        <v>1</v>
      </c>
      <c r="F1532" s="74" t="str">
        <f>HYPERLINK("http://nsgreg.nga.mil/genc/view?v=293067&amp;end_month=6&amp;end_day=30&amp;end_year=2019","Barima-Waini")</f>
        <v>Barima-Waini</v>
      </c>
      <c r="G1532" s="74" t="str">
        <f>HYPERLINK("http://api.nsgreg.nga.mil/geo-division/GENC/6/3-11/GY-BA","as:GENC:6:3-11:GY-BA")</f>
        <v>as:GENC:6:3-11:GY-BA</v>
      </c>
    </row>
    <row r="1533" spans="1:7" x14ac:dyDescent="0.25">
      <c r="A1533" s="112"/>
      <c r="B1533" s="21" t="s">
        <v>4721</v>
      </c>
      <c r="C1533" s="21" t="s">
        <v>4722</v>
      </c>
      <c r="D1533" s="21" t="s">
        <v>1975</v>
      </c>
      <c r="E1533" s="50" t="b">
        <v>1</v>
      </c>
      <c r="F1533" s="72" t="str">
        <f>HYPERLINK("http://nsgreg.nga.mil/genc/view?v=293068&amp;end_month=6&amp;end_day=30&amp;end_year=2019","Cuyuni-Mazaruni")</f>
        <v>Cuyuni-Mazaruni</v>
      </c>
      <c r="G1533" s="72" t="str">
        <f>HYPERLINK("http://api.nsgreg.nga.mil/geo-division/GENC/6/3-11/GY-CU","as:GENC:6:3-11:GY-CU")</f>
        <v>as:GENC:6:3-11:GY-CU</v>
      </c>
    </row>
    <row r="1534" spans="1:7" x14ac:dyDescent="0.25">
      <c r="A1534" s="112"/>
      <c r="B1534" s="21" t="s">
        <v>4723</v>
      </c>
      <c r="C1534" s="21" t="s">
        <v>4724</v>
      </c>
      <c r="D1534" s="21" t="s">
        <v>1975</v>
      </c>
      <c r="E1534" s="50" t="b">
        <v>1</v>
      </c>
      <c r="F1534" s="72" t="str">
        <f>HYPERLINK("http://nsgreg.nga.mil/genc/view?v=293069&amp;end_month=6&amp;end_day=30&amp;end_year=2019","Demerara-Mahaica")</f>
        <v>Demerara-Mahaica</v>
      </c>
      <c r="G1534" s="72" t="str">
        <f>HYPERLINK("http://api.nsgreg.nga.mil/geo-division/GENC/6/3-11/GY-DE","as:GENC:6:3-11:GY-DE")</f>
        <v>as:GENC:6:3-11:GY-DE</v>
      </c>
    </row>
    <row r="1535" spans="1:7" x14ac:dyDescent="0.25">
      <c r="A1535" s="112"/>
      <c r="B1535" s="21" t="s">
        <v>4725</v>
      </c>
      <c r="C1535" s="21" t="s">
        <v>4726</v>
      </c>
      <c r="D1535" s="21" t="s">
        <v>1975</v>
      </c>
      <c r="E1535" s="50" t="b">
        <v>1</v>
      </c>
      <c r="F1535" s="72" t="str">
        <f>HYPERLINK("http://nsgreg.nga.mil/genc/view?v=293070&amp;end_month=6&amp;end_day=30&amp;end_year=2019","East Berbice-Corentyne")</f>
        <v>East Berbice-Corentyne</v>
      </c>
      <c r="G1535" s="72" t="str">
        <f>HYPERLINK("http://api.nsgreg.nga.mil/geo-division/GENC/6/3-11/GY-EB","as:GENC:6:3-11:GY-EB")</f>
        <v>as:GENC:6:3-11:GY-EB</v>
      </c>
    </row>
    <row r="1536" spans="1:7" x14ac:dyDescent="0.25">
      <c r="A1536" s="112"/>
      <c r="B1536" s="21" t="s">
        <v>4727</v>
      </c>
      <c r="C1536" s="21" t="s">
        <v>4728</v>
      </c>
      <c r="D1536" s="21" t="s">
        <v>1975</v>
      </c>
      <c r="E1536" s="50" t="b">
        <v>1</v>
      </c>
      <c r="F1536" s="72" t="str">
        <f>HYPERLINK("http://nsgreg.nga.mil/genc/view?v=293071&amp;end_month=6&amp;end_day=30&amp;end_year=2019","Essequibo Islands-West Demerara")</f>
        <v>Essequibo Islands-West Demerara</v>
      </c>
      <c r="G1536" s="72" t="str">
        <f>HYPERLINK("http://api.nsgreg.nga.mil/geo-division/GENC/6/3-11/GY-ES","as:GENC:6:3-11:GY-ES")</f>
        <v>as:GENC:6:3-11:GY-ES</v>
      </c>
    </row>
    <row r="1537" spans="1:7" x14ac:dyDescent="0.25">
      <c r="A1537" s="112"/>
      <c r="B1537" s="21" t="s">
        <v>4729</v>
      </c>
      <c r="C1537" s="21" t="s">
        <v>4730</v>
      </c>
      <c r="D1537" s="21" t="s">
        <v>1975</v>
      </c>
      <c r="E1537" s="50" t="b">
        <v>1</v>
      </c>
      <c r="F1537" s="72" t="str">
        <f>HYPERLINK("http://nsgreg.nga.mil/genc/view?v=293072&amp;end_month=6&amp;end_day=30&amp;end_year=2019","Mahaica-Berbice")</f>
        <v>Mahaica-Berbice</v>
      </c>
      <c r="G1537" s="72" t="str">
        <f>HYPERLINK("http://api.nsgreg.nga.mil/geo-division/GENC/6/3-11/GY-MA","as:GENC:6:3-11:GY-MA")</f>
        <v>as:GENC:6:3-11:GY-MA</v>
      </c>
    </row>
    <row r="1538" spans="1:7" x14ac:dyDescent="0.25">
      <c r="A1538" s="112"/>
      <c r="B1538" s="21" t="s">
        <v>4731</v>
      </c>
      <c r="C1538" s="21" t="s">
        <v>4732</v>
      </c>
      <c r="D1538" s="21" t="s">
        <v>1975</v>
      </c>
      <c r="E1538" s="50" t="b">
        <v>1</v>
      </c>
      <c r="F1538" s="72" t="str">
        <f>HYPERLINK("http://nsgreg.nga.mil/genc/view?v=293073&amp;end_month=6&amp;end_day=30&amp;end_year=2019","Pomeroon-Supenaam")</f>
        <v>Pomeroon-Supenaam</v>
      </c>
      <c r="G1538" s="72" t="str">
        <f>HYPERLINK("http://api.nsgreg.nga.mil/geo-division/GENC/6/3-11/GY-PM","as:GENC:6:3-11:GY-PM")</f>
        <v>as:GENC:6:3-11:GY-PM</v>
      </c>
    </row>
    <row r="1539" spans="1:7" x14ac:dyDescent="0.25">
      <c r="A1539" s="112"/>
      <c r="B1539" s="21" t="s">
        <v>4733</v>
      </c>
      <c r="C1539" s="21" t="s">
        <v>4734</v>
      </c>
      <c r="D1539" s="21" t="s">
        <v>1975</v>
      </c>
      <c r="E1539" s="50" t="b">
        <v>1</v>
      </c>
      <c r="F1539" s="72" t="str">
        <f>HYPERLINK("http://nsgreg.nga.mil/genc/view?v=293074&amp;end_month=6&amp;end_day=30&amp;end_year=2019","Potaro-Siparuni")</f>
        <v>Potaro-Siparuni</v>
      </c>
      <c r="G1539" s="72" t="str">
        <f>HYPERLINK("http://api.nsgreg.nga.mil/geo-division/GENC/6/3-11/GY-PT","as:GENC:6:3-11:GY-PT")</f>
        <v>as:GENC:6:3-11:GY-PT</v>
      </c>
    </row>
    <row r="1540" spans="1:7" x14ac:dyDescent="0.25">
      <c r="A1540" s="112"/>
      <c r="B1540" s="21" t="s">
        <v>4735</v>
      </c>
      <c r="C1540" s="21" t="s">
        <v>4736</v>
      </c>
      <c r="D1540" s="21" t="s">
        <v>1975</v>
      </c>
      <c r="E1540" s="50" t="b">
        <v>1</v>
      </c>
      <c r="F1540" s="72" t="str">
        <f>HYPERLINK("http://nsgreg.nga.mil/genc/view?v=293075&amp;end_month=6&amp;end_day=30&amp;end_year=2019","Upper Demerara-Berbice")</f>
        <v>Upper Demerara-Berbice</v>
      </c>
      <c r="G1540" s="72" t="str">
        <f>HYPERLINK("http://api.nsgreg.nga.mil/geo-division/GENC/6/3-11/GY-UD","as:GENC:6:3-11:GY-UD")</f>
        <v>as:GENC:6:3-11:GY-UD</v>
      </c>
    </row>
    <row r="1541" spans="1:7" x14ac:dyDescent="0.25">
      <c r="A1541" s="113"/>
      <c r="B1541" s="47" t="s">
        <v>4737</v>
      </c>
      <c r="C1541" s="47" t="s">
        <v>4738</v>
      </c>
      <c r="D1541" s="47" t="s">
        <v>1975</v>
      </c>
      <c r="E1541" s="51" t="b">
        <v>1</v>
      </c>
      <c r="F1541" s="73" t="str">
        <f>HYPERLINK("http://nsgreg.nga.mil/genc/view?v=293076&amp;end_month=6&amp;end_day=30&amp;end_year=2019","Upper Takutu-Upper Essequibo")</f>
        <v>Upper Takutu-Upper Essequibo</v>
      </c>
      <c r="G1541" s="73" t="str">
        <f>HYPERLINK("http://api.nsgreg.nga.mil/geo-division/GENC/6/3-11/GY-UT","as:GENC:6:3-11:GY-UT")</f>
        <v>as:GENC:6:3-11:GY-UT</v>
      </c>
    </row>
    <row r="1542" spans="1:7" x14ac:dyDescent="0.25">
      <c r="A1542" s="111" t="str">
        <f>HYPERLINK("[#]Codes_for_GE_Names!A118:I118","HAITI")</f>
        <v>HAITI</v>
      </c>
      <c r="B1542" s="42" t="s">
        <v>4739</v>
      </c>
      <c r="C1542" s="42" t="s">
        <v>4740</v>
      </c>
      <c r="D1542" s="42" t="s">
        <v>2478</v>
      </c>
      <c r="E1542" s="49" t="b">
        <v>1</v>
      </c>
      <c r="F1542" s="74" t="str">
        <f>HYPERLINK("http://nsgreg.nga.mil/genc/view?v=293116&amp;end_month=6&amp;end_day=30&amp;end_year=2019","Artibonite")</f>
        <v>Artibonite</v>
      </c>
      <c r="G1542" s="74" t="str">
        <f>HYPERLINK("http://api.nsgreg.nga.mil/geo-division/GENC/6/3-11/HT-AR","as:GENC:6:3-11:HT-AR")</f>
        <v>as:GENC:6:3-11:HT-AR</v>
      </c>
    </row>
    <row r="1543" spans="1:7" x14ac:dyDescent="0.25">
      <c r="A1543" s="112"/>
      <c r="B1543" s="21" t="s">
        <v>4741</v>
      </c>
      <c r="C1543" s="21" t="s">
        <v>2767</v>
      </c>
      <c r="D1543" s="21" t="s">
        <v>2478</v>
      </c>
      <c r="E1543" s="50" t="b">
        <v>1</v>
      </c>
      <c r="F1543" s="72" t="str">
        <f>HYPERLINK("http://nsgreg.nga.mil/genc/view?v=293117&amp;end_month=6&amp;end_day=30&amp;end_year=2019","Centre")</f>
        <v>Centre</v>
      </c>
      <c r="G1543" s="72" t="str">
        <f>HYPERLINK("http://api.nsgreg.nga.mil/geo-division/GENC/6/3-11/HT-CE","as:GENC:6:3-11:HT-CE")</f>
        <v>as:GENC:6:3-11:HT-CE</v>
      </c>
    </row>
    <row r="1544" spans="1:7" x14ac:dyDescent="0.25">
      <c r="A1544" s="112"/>
      <c r="B1544" s="21" t="s">
        <v>4742</v>
      </c>
      <c r="C1544" s="21" t="s">
        <v>4743</v>
      </c>
      <c r="D1544" s="21" t="s">
        <v>2478</v>
      </c>
      <c r="E1544" s="50" t="b">
        <v>1</v>
      </c>
      <c r="F1544" s="72" t="str">
        <f>HYPERLINK("http://nsgreg.nga.mil/genc/view?v=293118&amp;end_month=6&amp;end_day=30&amp;end_year=2019","Grand’Anse")</f>
        <v>Grand’Anse</v>
      </c>
      <c r="G1544" s="72" t="str">
        <f>HYPERLINK("http://api.nsgreg.nga.mil/geo-division/GENC/6/3-11/HT-GA","as:GENC:6:3-11:HT-GA")</f>
        <v>as:GENC:6:3-11:HT-GA</v>
      </c>
    </row>
    <row r="1545" spans="1:7" x14ac:dyDescent="0.25">
      <c r="A1545" s="112"/>
      <c r="B1545" s="21" t="s">
        <v>4744</v>
      </c>
      <c r="C1545" s="21" t="s">
        <v>4745</v>
      </c>
      <c r="D1545" s="21" t="s">
        <v>2478</v>
      </c>
      <c r="E1545" s="50" t="b">
        <v>1</v>
      </c>
      <c r="F1545" s="72" t="str">
        <f>HYPERLINK("http://nsgreg.nga.mil/genc/view?v=293121&amp;end_month=6&amp;end_day=30&amp;end_year=2019","Nippes")</f>
        <v>Nippes</v>
      </c>
      <c r="G1545" s="72" t="str">
        <f>HYPERLINK("http://api.nsgreg.nga.mil/geo-division/GENC/6/3-11/HT-NI","as:GENC:6:3-11:HT-NI")</f>
        <v>as:GENC:6:3-11:HT-NI</v>
      </c>
    </row>
    <row r="1546" spans="1:7" x14ac:dyDescent="0.25">
      <c r="A1546" s="112"/>
      <c r="B1546" s="21" t="s">
        <v>4746</v>
      </c>
      <c r="C1546" s="21" t="s">
        <v>2825</v>
      </c>
      <c r="D1546" s="21" t="s">
        <v>2478</v>
      </c>
      <c r="E1546" s="50" t="b">
        <v>1</v>
      </c>
      <c r="F1546" s="72" t="str">
        <f>HYPERLINK("http://nsgreg.nga.mil/genc/view?v=293119&amp;end_month=6&amp;end_day=30&amp;end_year=2019","Nord")</f>
        <v>Nord</v>
      </c>
      <c r="G1546" s="72" t="str">
        <f>HYPERLINK("http://api.nsgreg.nga.mil/geo-division/GENC/6/3-11/HT-ND","as:GENC:6:3-11:HT-ND")</f>
        <v>as:GENC:6:3-11:HT-ND</v>
      </c>
    </row>
    <row r="1547" spans="1:7" x14ac:dyDescent="0.25">
      <c r="A1547" s="112"/>
      <c r="B1547" s="21" t="s">
        <v>4747</v>
      </c>
      <c r="C1547" s="21" t="s">
        <v>4748</v>
      </c>
      <c r="D1547" s="21" t="s">
        <v>2478</v>
      </c>
      <c r="E1547" s="50" t="b">
        <v>1</v>
      </c>
      <c r="F1547" s="72" t="str">
        <f>HYPERLINK("http://nsgreg.nga.mil/genc/view?v=293120&amp;end_month=6&amp;end_day=30&amp;end_year=2019","Nord-Est")</f>
        <v>Nord-Est</v>
      </c>
      <c r="G1547" s="72" t="str">
        <f>HYPERLINK("http://api.nsgreg.nga.mil/geo-division/GENC/6/3-11/HT-NE","as:GENC:6:3-11:HT-NE")</f>
        <v>as:GENC:6:3-11:HT-NE</v>
      </c>
    </row>
    <row r="1548" spans="1:7" x14ac:dyDescent="0.25">
      <c r="A1548" s="112"/>
      <c r="B1548" s="21" t="s">
        <v>4749</v>
      </c>
      <c r="C1548" s="21" t="s">
        <v>4750</v>
      </c>
      <c r="D1548" s="21" t="s">
        <v>2478</v>
      </c>
      <c r="E1548" s="50" t="b">
        <v>1</v>
      </c>
      <c r="F1548" s="72" t="str">
        <f>HYPERLINK("http://nsgreg.nga.mil/genc/view?v=293122&amp;end_month=6&amp;end_day=30&amp;end_year=2019","Nord-Ouest")</f>
        <v>Nord-Ouest</v>
      </c>
      <c r="G1548" s="72" t="str">
        <f>HYPERLINK("http://api.nsgreg.nga.mil/geo-division/GENC/6/3-11/HT-NO","as:GENC:6:3-11:HT-NO")</f>
        <v>as:GENC:6:3-11:HT-NO</v>
      </c>
    </row>
    <row r="1549" spans="1:7" x14ac:dyDescent="0.25">
      <c r="A1549" s="112"/>
      <c r="B1549" s="21" t="s">
        <v>4751</v>
      </c>
      <c r="C1549" s="21" t="s">
        <v>3039</v>
      </c>
      <c r="D1549" s="21" t="s">
        <v>2478</v>
      </c>
      <c r="E1549" s="50" t="b">
        <v>1</v>
      </c>
      <c r="F1549" s="72" t="str">
        <f>HYPERLINK("http://nsgreg.nga.mil/genc/view?v=293123&amp;end_month=6&amp;end_day=30&amp;end_year=2019","Ouest")</f>
        <v>Ouest</v>
      </c>
      <c r="G1549" s="72" t="str">
        <f>HYPERLINK("http://api.nsgreg.nga.mil/geo-division/GENC/6/3-11/HT-OU","as:GENC:6:3-11:HT-OU")</f>
        <v>as:GENC:6:3-11:HT-OU</v>
      </c>
    </row>
    <row r="1550" spans="1:7" x14ac:dyDescent="0.25">
      <c r="A1550" s="112"/>
      <c r="B1550" s="21" t="s">
        <v>4752</v>
      </c>
      <c r="C1550" s="21" t="s">
        <v>3043</v>
      </c>
      <c r="D1550" s="21" t="s">
        <v>2478</v>
      </c>
      <c r="E1550" s="50" t="b">
        <v>1</v>
      </c>
      <c r="F1550" s="72" t="str">
        <f>HYPERLINK("http://nsgreg.nga.mil/genc/view?v=293124&amp;end_month=6&amp;end_day=30&amp;end_year=2019","Sud")</f>
        <v>Sud</v>
      </c>
      <c r="G1550" s="72" t="str">
        <f>HYPERLINK("http://api.nsgreg.nga.mil/geo-division/GENC/6/3-11/HT-SD","as:GENC:6:3-11:HT-SD")</f>
        <v>as:GENC:6:3-11:HT-SD</v>
      </c>
    </row>
    <row r="1551" spans="1:7" x14ac:dyDescent="0.25">
      <c r="A1551" s="113"/>
      <c r="B1551" s="47" t="s">
        <v>4753</v>
      </c>
      <c r="C1551" s="47" t="s">
        <v>4754</v>
      </c>
      <c r="D1551" s="47" t="s">
        <v>2478</v>
      </c>
      <c r="E1551" s="51" t="b">
        <v>1</v>
      </c>
      <c r="F1551" s="73" t="str">
        <f>HYPERLINK("http://nsgreg.nga.mil/genc/view?v=293125&amp;end_month=6&amp;end_day=30&amp;end_year=2019","Sud-Est")</f>
        <v>Sud-Est</v>
      </c>
      <c r="G1551" s="73" t="str">
        <f>HYPERLINK("http://api.nsgreg.nga.mil/geo-division/GENC/6/3-11/HT-SE","as:GENC:6:3-11:HT-SE")</f>
        <v>as:GENC:6:3-11:HT-SE</v>
      </c>
    </row>
    <row r="1552" spans="1:7" x14ac:dyDescent="0.25">
      <c r="A1552" s="111" t="str">
        <f>HYPERLINK("[#]Codes_for_GE_Names!A120:I120","HONDURAS")</f>
        <v>HONDURAS</v>
      </c>
      <c r="B1552" s="42" t="s">
        <v>4755</v>
      </c>
      <c r="C1552" s="42" t="s">
        <v>4756</v>
      </c>
      <c r="D1552" s="42" t="s">
        <v>2478</v>
      </c>
      <c r="E1552" s="49" t="b">
        <v>1</v>
      </c>
      <c r="F1552" s="74" t="str">
        <f>HYPERLINK("http://nsgreg.nga.mil/genc/view?v=293077&amp;end_month=6&amp;end_day=30&amp;end_year=2019","Atlántida")</f>
        <v>Atlántida</v>
      </c>
      <c r="G1552" s="74" t="str">
        <f>HYPERLINK("http://api.nsgreg.nga.mil/geo-division/GENC/6/3-11/HN-AT","as:GENC:6:3-11:HN-AT")</f>
        <v>as:GENC:6:3-11:HN-AT</v>
      </c>
    </row>
    <row r="1553" spans="1:7" x14ac:dyDescent="0.25">
      <c r="A1553" s="112"/>
      <c r="B1553" s="21" t="s">
        <v>4757</v>
      </c>
      <c r="C1553" s="21" t="s">
        <v>4758</v>
      </c>
      <c r="D1553" s="21" t="s">
        <v>2478</v>
      </c>
      <c r="E1553" s="50" t="b">
        <v>1</v>
      </c>
      <c r="F1553" s="72" t="str">
        <f>HYPERLINK("http://nsgreg.nga.mil/genc/view?v=293078&amp;end_month=6&amp;end_day=30&amp;end_year=2019","Choluteca")</f>
        <v>Choluteca</v>
      </c>
      <c r="G1553" s="72" t="str">
        <f>HYPERLINK("http://api.nsgreg.nga.mil/geo-division/GENC/6/3-11/HN-CH","as:GENC:6:3-11:HN-CH")</f>
        <v>as:GENC:6:3-11:HN-CH</v>
      </c>
    </row>
    <row r="1554" spans="1:7" x14ac:dyDescent="0.25">
      <c r="A1554" s="112"/>
      <c r="B1554" s="21" t="s">
        <v>4759</v>
      </c>
      <c r="C1554" s="21" t="s">
        <v>4760</v>
      </c>
      <c r="D1554" s="21" t="s">
        <v>2478</v>
      </c>
      <c r="E1554" s="50" t="b">
        <v>1</v>
      </c>
      <c r="F1554" s="72" t="str">
        <f>HYPERLINK("http://nsgreg.nga.mil/genc/view?v=293079&amp;end_month=6&amp;end_day=30&amp;end_year=2019","Colón")</f>
        <v>Colón</v>
      </c>
      <c r="G1554" s="72" t="str">
        <f>HYPERLINK("http://api.nsgreg.nga.mil/geo-division/GENC/6/3-11/HN-CL","as:GENC:6:3-11:HN-CL")</f>
        <v>as:GENC:6:3-11:HN-CL</v>
      </c>
    </row>
    <row r="1555" spans="1:7" x14ac:dyDescent="0.25">
      <c r="A1555" s="112"/>
      <c r="B1555" s="21" t="s">
        <v>4761</v>
      </c>
      <c r="C1555" s="21" t="s">
        <v>4762</v>
      </c>
      <c r="D1555" s="21" t="s">
        <v>2478</v>
      </c>
      <c r="E1555" s="50" t="b">
        <v>1</v>
      </c>
      <c r="F1555" s="72" t="str">
        <f>HYPERLINK("http://nsgreg.nga.mil/genc/view?v=293080&amp;end_month=6&amp;end_day=30&amp;end_year=2019","Comayagua")</f>
        <v>Comayagua</v>
      </c>
      <c r="G1555" s="72" t="str">
        <f>HYPERLINK("http://api.nsgreg.nga.mil/geo-division/GENC/6/3-11/HN-CM","as:GENC:6:3-11:HN-CM")</f>
        <v>as:GENC:6:3-11:HN-CM</v>
      </c>
    </row>
    <row r="1556" spans="1:7" x14ac:dyDescent="0.25">
      <c r="A1556" s="112"/>
      <c r="B1556" s="21" t="s">
        <v>4763</v>
      </c>
      <c r="C1556" s="21" t="s">
        <v>4764</v>
      </c>
      <c r="D1556" s="21" t="s">
        <v>2478</v>
      </c>
      <c r="E1556" s="50" t="b">
        <v>1</v>
      </c>
      <c r="F1556" s="72" t="str">
        <f>HYPERLINK("http://nsgreg.nga.mil/genc/view?v=293081&amp;end_month=6&amp;end_day=30&amp;end_year=2019","Copán")</f>
        <v>Copán</v>
      </c>
      <c r="G1556" s="72" t="str">
        <f>HYPERLINK("http://api.nsgreg.nga.mil/geo-division/GENC/6/3-11/HN-CP","as:GENC:6:3-11:HN-CP")</f>
        <v>as:GENC:6:3-11:HN-CP</v>
      </c>
    </row>
    <row r="1557" spans="1:7" x14ac:dyDescent="0.25">
      <c r="A1557" s="112"/>
      <c r="B1557" s="21" t="s">
        <v>4765</v>
      </c>
      <c r="C1557" s="21" t="s">
        <v>4766</v>
      </c>
      <c r="D1557" s="21" t="s">
        <v>2478</v>
      </c>
      <c r="E1557" s="50" t="b">
        <v>1</v>
      </c>
      <c r="F1557" s="72" t="str">
        <f>HYPERLINK("http://nsgreg.nga.mil/genc/view?v=293082&amp;end_month=6&amp;end_day=30&amp;end_year=2019","Cortés")</f>
        <v>Cortés</v>
      </c>
      <c r="G1557" s="72" t="str">
        <f>HYPERLINK("http://api.nsgreg.nga.mil/geo-division/GENC/6/3-11/HN-CR","as:GENC:6:3-11:HN-CR")</f>
        <v>as:GENC:6:3-11:HN-CR</v>
      </c>
    </row>
    <row r="1558" spans="1:7" x14ac:dyDescent="0.25">
      <c r="A1558" s="112"/>
      <c r="B1558" s="21" t="s">
        <v>4767</v>
      </c>
      <c r="C1558" s="21" t="s">
        <v>4768</v>
      </c>
      <c r="D1558" s="21" t="s">
        <v>2478</v>
      </c>
      <c r="E1558" s="50" t="b">
        <v>1</v>
      </c>
      <c r="F1558" s="72" t="str">
        <f>HYPERLINK("http://nsgreg.nga.mil/genc/view?v=293083&amp;end_month=6&amp;end_day=30&amp;end_year=2019","El Paraíso")</f>
        <v>El Paraíso</v>
      </c>
      <c r="G1558" s="72" t="str">
        <f>HYPERLINK("http://api.nsgreg.nga.mil/geo-division/GENC/6/3-11/HN-EP","as:GENC:6:3-11:HN-EP")</f>
        <v>as:GENC:6:3-11:HN-EP</v>
      </c>
    </row>
    <row r="1559" spans="1:7" x14ac:dyDescent="0.25">
      <c r="A1559" s="112"/>
      <c r="B1559" s="21" t="s">
        <v>4769</v>
      </c>
      <c r="C1559" s="21" t="s">
        <v>4770</v>
      </c>
      <c r="D1559" s="21" t="s">
        <v>2478</v>
      </c>
      <c r="E1559" s="50" t="b">
        <v>1</v>
      </c>
      <c r="F1559" s="72" t="str">
        <f>HYPERLINK("http://nsgreg.nga.mil/genc/view?v=293084&amp;end_month=6&amp;end_day=30&amp;end_year=2019","Francisco Morazán")</f>
        <v>Francisco Morazán</v>
      </c>
      <c r="G1559" s="72" t="str">
        <f>HYPERLINK("http://api.nsgreg.nga.mil/geo-division/GENC/6/3-11/HN-FM","as:GENC:6:3-11:HN-FM")</f>
        <v>as:GENC:6:3-11:HN-FM</v>
      </c>
    </row>
    <row r="1560" spans="1:7" x14ac:dyDescent="0.25">
      <c r="A1560" s="112"/>
      <c r="B1560" s="21" t="s">
        <v>4771</v>
      </c>
      <c r="C1560" s="21" t="s">
        <v>4772</v>
      </c>
      <c r="D1560" s="21" t="s">
        <v>2478</v>
      </c>
      <c r="E1560" s="50" t="b">
        <v>1</v>
      </c>
      <c r="F1560" s="72" t="str">
        <f>HYPERLINK("http://nsgreg.nga.mil/genc/view?v=293085&amp;end_month=6&amp;end_day=30&amp;end_year=2019","Gracias a Dios")</f>
        <v>Gracias a Dios</v>
      </c>
      <c r="G1560" s="72" t="str">
        <f>HYPERLINK("http://api.nsgreg.nga.mil/geo-division/GENC/6/3-11/HN-GD","as:GENC:6:3-11:HN-GD")</f>
        <v>as:GENC:6:3-11:HN-GD</v>
      </c>
    </row>
    <row r="1561" spans="1:7" x14ac:dyDescent="0.25">
      <c r="A1561" s="112"/>
      <c r="B1561" s="21" t="s">
        <v>4773</v>
      </c>
      <c r="C1561" s="21" t="s">
        <v>4774</v>
      </c>
      <c r="D1561" s="21" t="s">
        <v>2478</v>
      </c>
      <c r="E1561" s="50" t="b">
        <v>1</v>
      </c>
      <c r="F1561" s="72" t="str">
        <f>HYPERLINK("http://nsgreg.nga.mil/genc/view?v=293087&amp;end_month=6&amp;end_day=30&amp;end_year=2019","Intibucá")</f>
        <v>Intibucá</v>
      </c>
      <c r="G1561" s="72" t="str">
        <f>HYPERLINK("http://api.nsgreg.nga.mil/geo-division/GENC/6/3-11/HN-IN","as:GENC:6:3-11:HN-IN")</f>
        <v>as:GENC:6:3-11:HN-IN</v>
      </c>
    </row>
    <row r="1562" spans="1:7" x14ac:dyDescent="0.25">
      <c r="A1562" s="112"/>
      <c r="B1562" s="21" t="s">
        <v>4775</v>
      </c>
      <c r="C1562" s="21" t="s">
        <v>4776</v>
      </c>
      <c r="D1562" s="21" t="s">
        <v>2478</v>
      </c>
      <c r="E1562" s="50" t="b">
        <v>1</v>
      </c>
      <c r="F1562" s="72" t="str">
        <f>HYPERLINK("http://nsgreg.nga.mil/genc/view?v=293086&amp;end_month=6&amp;end_day=30&amp;end_year=2019","Islas de la Bahía")</f>
        <v>Islas de la Bahía</v>
      </c>
      <c r="G1562" s="72" t="str">
        <f>HYPERLINK("http://api.nsgreg.nga.mil/geo-division/GENC/6/3-11/HN-IB","as:GENC:6:3-11:HN-IB")</f>
        <v>as:GENC:6:3-11:HN-IB</v>
      </c>
    </row>
    <row r="1563" spans="1:7" x14ac:dyDescent="0.25">
      <c r="A1563" s="112"/>
      <c r="B1563" s="21" t="s">
        <v>4777</v>
      </c>
      <c r="C1563" s="21" t="s">
        <v>2569</v>
      </c>
      <c r="D1563" s="21" t="s">
        <v>2478</v>
      </c>
      <c r="E1563" s="50" t="b">
        <v>1</v>
      </c>
      <c r="F1563" s="72" t="str">
        <f>HYPERLINK("http://nsgreg.nga.mil/genc/view?v=293089&amp;end_month=6&amp;end_day=30&amp;end_year=2019","La Paz")</f>
        <v>La Paz</v>
      </c>
      <c r="G1563" s="72" t="str">
        <f>HYPERLINK("http://api.nsgreg.nga.mil/geo-division/GENC/6/3-11/HN-LP","as:GENC:6:3-11:HN-LP")</f>
        <v>as:GENC:6:3-11:HN-LP</v>
      </c>
    </row>
    <row r="1564" spans="1:7" x14ac:dyDescent="0.25">
      <c r="A1564" s="112"/>
      <c r="B1564" s="21" t="s">
        <v>4778</v>
      </c>
      <c r="C1564" s="21" t="s">
        <v>4779</v>
      </c>
      <c r="D1564" s="21" t="s">
        <v>2478</v>
      </c>
      <c r="E1564" s="50" t="b">
        <v>1</v>
      </c>
      <c r="F1564" s="72" t="str">
        <f>HYPERLINK("http://nsgreg.nga.mil/genc/view?v=293088&amp;end_month=6&amp;end_day=30&amp;end_year=2019","Lempira")</f>
        <v>Lempira</v>
      </c>
      <c r="G1564" s="72" t="str">
        <f>HYPERLINK("http://api.nsgreg.nga.mil/geo-division/GENC/6/3-11/HN-LE","as:GENC:6:3-11:HN-LE")</f>
        <v>as:GENC:6:3-11:HN-LE</v>
      </c>
    </row>
    <row r="1565" spans="1:7" x14ac:dyDescent="0.25">
      <c r="A1565" s="112"/>
      <c r="B1565" s="21" t="s">
        <v>4780</v>
      </c>
      <c r="C1565" s="21" t="s">
        <v>4781</v>
      </c>
      <c r="D1565" s="21" t="s">
        <v>2478</v>
      </c>
      <c r="E1565" s="50" t="b">
        <v>1</v>
      </c>
      <c r="F1565" s="72" t="str">
        <f>HYPERLINK("http://nsgreg.nga.mil/genc/view?v=293090&amp;end_month=6&amp;end_day=30&amp;end_year=2019","Ocotepeque")</f>
        <v>Ocotepeque</v>
      </c>
      <c r="G1565" s="72" t="str">
        <f>HYPERLINK("http://api.nsgreg.nga.mil/geo-division/GENC/6/3-11/HN-OC","as:GENC:6:3-11:HN-OC")</f>
        <v>as:GENC:6:3-11:HN-OC</v>
      </c>
    </row>
    <row r="1566" spans="1:7" x14ac:dyDescent="0.25">
      <c r="A1566" s="112"/>
      <c r="B1566" s="21" t="s">
        <v>4782</v>
      </c>
      <c r="C1566" s="21" t="s">
        <v>4783</v>
      </c>
      <c r="D1566" s="21" t="s">
        <v>2478</v>
      </c>
      <c r="E1566" s="50" t="b">
        <v>1</v>
      </c>
      <c r="F1566" s="72" t="str">
        <f>HYPERLINK("http://nsgreg.nga.mil/genc/view?v=293091&amp;end_month=6&amp;end_day=30&amp;end_year=2019","Olancho")</f>
        <v>Olancho</v>
      </c>
      <c r="G1566" s="72" t="str">
        <f>HYPERLINK("http://api.nsgreg.nga.mil/geo-division/GENC/6/3-11/HN-OL","as:GENC:6:3-11:HN-OL")</f>
        <v>as:GENC:6:3-11:HN-OL</v>
      </c>
    </row>
    <row r="1567" spans="1:7" x14ac:dyDescent="0.25">
      <c r="A1567" s="112"/>
      <c r="B1567" s="21" t="s">
        <v>4784</v>
      </c>
      <c r="C1567" s="21" t="s">
        <v>4785</v>
      </c>
      <c r="D1567" s="21" t="s">
        <v>2478</v>
      </c>
      <c r="E1567" s="50" t="b">
        <v>1</v>
      </c>
      <c r="F1567" s="72" t="str">
        <f>HYPERLINK("http://nsgreg.nga.mil/genc/view?v=293092&amp;end_month=6&amp;end_day=30&amp;end_year=2019","Santa Bárbara")</f>
        <v>Santa Bárbara</v>
      </c>
      <c r="G1567" s="72" t="str">
        <f>HYPERLINK("http://api.nsgreg.nga.mil/geo-division/GENC/6/3-11/HN-SB","as:GENC:6:3-11:HN-SB")</f>
        <v>as:GENC:6:3-11:HN-SB</v>
      </c>
    </row>
    <row r="1568" spans="1:7" x14ac:dyDescent="0.25">
      <c r="A1568" s="112"/>
      <c r="B1568" s="21" t="s">
        <v>4786</v>
      </c>
      <c r="C1568" s="21" t="s">
        <v>4787</v>
      </c>
      <c r="D1568" s="21" t="s">
        <v>2478</v>
      </c>
      <c r="E1568" s="50" t="b">
        <v>1</v>
      </c>
      <c r="F1568" s="72" t="str">
        <f>HYPERLINK("http://nsgreg.nga.mil/genc/view?v=293093&amp;end_month=6&amp;end_day=30&amp;end_year=2019","Valle")</f>
        <v>Valle</v>
      </c>
      <c r="G1568" s="72" t="str">
        <f>HYPERLINK("http://api.nsgreg.nga.mil/geo-division/GENC/6/3-11/HN-VA","as:GENC:6:3-11:HN-VA")</f>
        <v>as:GENC:6:3-11:HN-VA</v>
      </c>
    </row>
    <row r="1569" spans="1:7" x14ac:dyDescent="0.25">
      <c r="A1569" s="113"/>
      <c r="B1569" s="47" t="s">
        <v>4788</v>
      </c>
      <c r="C1569" s="47" t="s">
        <v>4789</v>
      </c>
      <c r="D1569" s="47" t="s">
        <v>2478</v>
      </c>
      <c r="E1569" s="51" t="b">
        <v>1</v>
      </c>
      <c r="F1569" s="73" t="str">
        <f>HYPERLINK("http://nsgreg.nga.mil/genc/view?v=293094&amp;end_month=6&amp;end_day=30&amp;end_year=2019","Yoro")</f>
        <v>Yoro</v>
      </c>
      <c r="G1569" s="73" t="str">
        <f>HYPERLINK("http://api.nsgreg.nga.mil/geo-division/GENC/6/3-11/HN-YO","as:GENC:6:3-11:HN-YO")</f>
        <v>as:GENC:6:3-11:HN-YO</v>
      </c>
    </row>
    <row r="1570" spans="1:7" x14ac:dyDescent="0.25">
      <c r="A1570" s="111" t="str">
        <f>HYPERLINK("[#]Codes_for_GE_Names!A123:I123","HUNGARY")</f>
        <v>HUNGARY</v>
      </c>
      <c r="B1570" s="42" t="s">
        <v>4790</v>
      </c>
      <c r="C1570" s="42" t="s">
        <v>4791</v>
      </c>
      <c r="D1570" s="42" t="s">
        <v>1737</v>
      </c>
      <c r="E1570" s="49" t="b">
        <v>1</v>
      </c>
      <c r="F1570" s="74" t="str">
        <f>HYPERLINK("http://nsgreg.nga.mil/genc/view?v=293129&amp;end_month=6&amp;end_day=30&amp;end_year=2019","Bács-Kiskun")</f>
        <v>Bács-Kiskun</v>
      </c>
      <c r="G1570" s="74" t="str">
        <f>HYPERLINK("http://api.nsgreg.nga.mil/geo-division/GENC/6/3-11/HU-BK","as:GENC:6:3-11:HU-BK")</f>
        <v>as:GENC:6:3-11:HU-BK</v>
      </c>
    </row>
    <row r="1571" spans="1:7" x14ac:dyDescent="0.25">
      <c r="A1571" s="112"/>
      <c r="B1571" s="21" t="s">
        <v>4792</v>
      </c>
      <c r="C1571" s="21" t="s">
        <v>4793</v>
      </c>
      <c r="D1571" s="21" t="s">
        <v>1737</v>
      </c>
      <c r="E1571" s="50" t="b">
        <v>1</v>
      </c>
      <c r="F1571" s="72" t="str">
        <f>HYPERLINK("http://nsgreg.nga.mil/genc/view?v=293126&amp;end_month=6&amp;end_day=30&amp;end_year=2019","Baranya")</f>
        <v>Baranya</v>
      </c>
      <c r="G1571" s="72" t="str">
        <f>HYPERLINK("http://api.nsgreg.nga.mil/geo-division/GENC/6/3-11/HU-BA","as:GENC:6:3-11:HU-BA")</f>
        <v>as:GENC:6:3-11:HU-BA</v>
      </c>
    </row>
    <row r="1572" spans="1:7" x14ac:dyDescent="0.25">
      <c r="A1572" s="112"/>
      <c r="B1572" s="21" t="s">
        <v>4794</v>
      </c>
      <c r="C1572" s="21" t="s">
        <v>4795</v>
      </c>
      <c r="D1572" s="21" t="s">
        <v>1737</v>
      </c>
      <c r="E1572" s="50" t="b">
        <v>1</v>
      </c>
      <c r="F1572" s="72" t="str">
        <f>HYPERLINK("http://nsgreg.nga.mil/genc/view?v=293128&amp;end_month=6&amp;end_day=30&amp;end_year=2019","Békés")</f>
        <v>Békés</v>
      </c>
      <c r="G1572" s="72" t="str">
        <f>HYPERLINK("http://api.nsgreg.nga.mil/geo-division/GENC/6/3-11/HU-BE","as:GENC:6:3-11:HU-BE")</f>
        <v>as:GENC:6:3-11:HU-BE</v>
      </c>
    </row>
    <row r="1573" spans="1:7" x14ac:dyDescent="0.25">
      <c r="A1573" s="112"/>
      <c r="B1573" s="21" t="s">
        <v>4796</v>
      </c>
      <c r="C1573" s="21" t="s">
        <v>4797</v>
      </c>
      <c r="D1573" s="21" t="s">
        <v>4798</v>
      </c>
      <c r="E1573" s="50" t="b">
        <v>1</v>
      </c>
      <c r="F1573" s="72" t="str">
        <f>HYPERLINK("http://nsgreg.nga.mil/genc/view?v=293127&amp;end_month=6&amp;end_day=30&amp;end_year=2019","Békéscsaba")</f>
        <v>Békéscsaba</v>
      </c>
      <c r="G1573" s="72" t="str">
        <f>HYPERLINK("http://api.nsgreg.nga.mil/geo-division/GENC/6/3-11/HU-BC","as:GENC:6:3-11:HU-BC")</f>
        <v>as:GENC:6:3-11:HU-BC</v>
      </c>
    </row>
    <row r="1574" spans="1:7" x14ac:dyDescent="0.25">
      <c r="A1574" s="112"/>
      <c r="B1574" s="21" t="s">
        <v>4799</v>
      </c>
      <c r="C1574" s="21" t="s">
        <v>4800</v>
      </c>
      <c r="D1574" s="21" t="s">
        <v>1737</v>
      </c>
      <c r="E1574" s="50" t="b">
        <v>1</v>
      </c>
      <c r="F1574" s="72" t="str">
        <f>HYPERLINK("http://nsgreg.nga.mil/genc/view?v=293131&amp;end_month=6&amp;end_day=30&amp;end_year=2019","Borsod-Abaúj-Zemplén")</f>
        <v>Borsod-Abaúj-Zemplén</v>
      </c>
      <c r="G1574" s="72" t="str">
        <f>HYPERLINK("http://api.nsgreg.nga.mil/geo-division/GENC/6/3-11/HU-BZ","as:GENC:6:3-11:HU-BZ")</f>
        <v>as:GENC:6:3-11:HU-BZ</v>
      </c>
    </row>
    <row r="1575" spans="1:7" x14ac:dyDescent="0.25">
      <c r="A1575" s="112"/>
      <c r="B1575" s="21" t="s">
        <v>4801</v>
      </c>
      <c r="C1575" s="21" t="s">
        <v>4802</v>
      </c>
      <c r="D1575" s="21" t="s">
        <v>3641</v>
      </c>
      <c r="E1575" s="50" t="b">
        <v>1</v>
      </c>
      <c r="F1575" s="72" t="str">
        <f>HYPERLINK("http://nsgreg.nga.mil/genc/view?v=293130&amp;end_month=6&amp;end_day=30&amp;end_year=2019","Budapest")</f>
        <v>Budapest</v>
      </c>
      <c r="G1575" s="72" t="str">
        <f>HYPERLINK("http://api.nsgreg.nga.mil/geo-division/GENC/6/3-11/HU-BU","as:GENC:6:3-11:HU-BU")</f>
        <v>as:GENC:6:3-11:HU-BU</v>
      </c>
    </row>
    <row r="1576" spans="1:7" x14ac:dyDescent="0.25">
      <c r="A1576" s="112"/>
      <c r="B1576" s="21" t="s">
        <v>4803</v>
      </c>
      <c r="C1576" s="21" t="s">
        <v>4804</v>
      </c>
      <c r="D1576" s="21" t="s">
        <v>1737</v>
      </c>
      <c r="E1576" s="50" t="b">
        <v>1</v>
      </c>
      <c r="F1576" s="72" t="str">
        <f>HYPERLINK("http://nsgreg.nga.mil/genc/view?v=293132&amp;end_month=6&amp;end_day=30&amp;end_year=2019","Csongrád")</f>
        <v>Csongrád</v>
      </c>
      <c r="G1576" s="72" t="str">
        <f>HYPERLINK("http://api.nsgreg.nga.mil/geo-division/GENC/6/3-11/HU-CS","as:GENC:6:3-11:HU-CS")</f>
        <v>as:GENC:6:3-11:HU-CS</v>
      </c>
    </row>
    <row r="1577" spans="1:7" x14ac:dyDescent="0.25">
      <c r="A1577" s="112"/>
      <c r="B1577" s="21" t="s">
        <v>4805</v>
      </c>
      <c r="C1577" s="21" t="s">
        <v>4806</v>
      </c>
      <c r="D1577" s="21" t="s">
        <v>4798</v>
      </c>
      <c r="E1577" s="50" t="b">
        <v>1</v>
      </c>
      <c r="F1577" s="72" t="str">
        <f>HYPERLINK("http://nsgreg.nga.mil/genc/view?v=293133&amp;end_month=6&amp;end_day=30&amp;end_year=2019","Debrecen")</f>
        <v>Debrecen</v>
      </c>
      <c r="G1577" s="72" t="str">
        <f>HYPERLINK("http://api.nsgreg.nga.mil/geo-division/GENC/6/3-11/HU-DE","as:GENC:6:3-11:HU-DE")</f>
        <v>as:GENC:6:3-11:HU-DE</v>
      </c>
    </row>
    <row r="1578" spans="1:7" x14ac:dyDescent="0.25">
      <c r="A1578" s="112"/>
      <c r="B1578" s="21" t="s">
        <v>4807</v>
      </c>
      <c r="C1578" s="21" t="s">
        <v>4808</v>
      </c>
      <c r="D1578" s="21" t="s">
        <v>4798</v>
      </c>
      <c r="E1578" s="50" t="b">
        <v>1</v>
      </c>
      <c r="F1578" s="72" t="str">
        <f>HYPERLINK("http://nsgreg.nga.mil/genc/view?v=293134&amp;end_month=6&amp;end_day=30&amp;end_year=2019","Dunaújváros")</f>
        <v>Dunaújváros</v>
      </c>
      <c r="G1578" s="72" t="str">
        <f>HYPERLINK("http://api.nsgreg.nga.mil/geo-division/GENC/6/3-11/HU-DU","as:GENC:6:3-11:HU-DU")</f>
        <v>as:GENC:6:3-11:HU-DU</v>
      </c>
    </row>
    <row r="1579" spans="1:7" x14ac:dyDescent="0.25">
      <c r="A1579" s="112"/>
      <c r="B1579" s="21" t="s">
        <v>4809</v>
      </c>
      <c r="C1579" s="21" t="s">
        <v>4810</v>
      </c>
      <c r="D1579" s="21" t="s">
        <v>4798</v>
      </c>
      <c r="E1579" s="50" t="b">
        <v>1</v>
      </c>
      <c r="F1579" s="72" t="str">
        <f>HYPERLINK("http://nsgreg.nga.mil/genc/view?v=293135&amp;end_month=6&amp;end_day=30&amp;end_year=2019","Eger")</f>
        <v>Eger</v>
      </c>
      <c r="G1579" s="72" t="str">
        <f>HYPERLINK("http://api.nsgreg.nga.mil/geo-division/GENC/6/3-11/HU-EG","as:GENC:6:3-11:HU-EG")</f>
        <v>as:GENC:6:3-11:HU-EG</v>
      </c>
    </row>
    <row r="1580" spans="1:7" x14ac:dyDescent="0.25">
      <c r="A1580" s="112"/>
      <c r="B1580" s="21" t="s">
        <v>4811</v>
      </c>
      <c r="C1580" s="21" t="s">
        <v>4812</v>
      </c>
      <c r="D1580" s="21" t="s">
        <v>4798</v>
      </c>
      <c r="E1580" s="50" t="b">
        <v>1</v>
      </c>
      <c r="F1580" s="72" t="str">
        <f>HYPERLINK("http://nsgreg.nga.mil/genc/view?v=293136&amp;end_month=6&amp;end_day=30&amp;end_year=2019","Érd")</f>
        <v>Érd</v>
      </c>
      <c r="G1580" s="72" t="str">
        <f>HYPERLINK("http://api.nsgreg.nga.mil/geo-division/GENC/6/3-11/HU-ER","as:GENC:6:3-11:HU-ER")</f>
        <v>as:GENC:6:3-11:HU-ER</v>
      </c>
    </row>
    <row r="1581" spans="1:7" x14ac:dyDescent="0.25">
      <c r="A1581" s="112"/>
      <c r="B1581" s="21" t="s">
        <v>4813</v>
      </c>
      <c r="C1581" s="21" t="s">
        <v>4814</v>
      </c>
      <c r="D1581" s="21" t="s">
        <v>1737</v>
      </c>
      <c r="E1581" s="50" t="b">
        <v>1</v>
      </c>
      <c r="F1581" s="72" t="str">
        <f>HYPERLINK("http://nsgreg.nga.mil/genc/view?v=293137&amp;end_month=6&amp;end_day=30&amp;end_year=2019","Fejér")</f>
        <v>Fejér</v>
      </c>
      <c r="G1581" s="72" t="str">
        <f>HYPERLINK("http://api.nsgreg.nga.mil/geo-division/GENC/6/3-11/HU-FE","as:GENC:6:3-11:HU-FE")</f>
        <v>as:GENC:6:3-11:HU-FE</v>
      </c>
    </row>
    <row r="1582" spans="1:7" x14ac:dyDescent="0.25">
      <c r="A1582" s="112"/>
      <c r="B1582" s="21" t="s">
        <v>4815</v>
      </c>
      <c r="C1582" s="21" t="s">
        <v>4816</v>
      </c>
      <c r="D1582" s="21" t="s">
        <v>4798</v>
      </c>
      <c r="E1582" s="50" t="b">
        <v>1</v>
      </c>
      <c r="F1582" s="72" t="str">
        <f>HYPERLINK("http://nsgreg.nga.mil/genc/view?v=293139&amp;end_month=6&amp;end_day=30&amp;end_year=2019","Győr")</f>
        <v>Győr</v>
      </c>
      <c r="G1582" s="72" t="str">
        <f>HYPERLINK("http://api.nsgreg.nga.mil/geo-division/GENC/6/3-11/HU-GY","as:GENC:6:3-11:HU-GY")</f>
        <v>as:GENC:6:3-11:HU-GY</v>
      </c>
    </row>
    <row r="1583" spans="1:7" x14ac:dyDescent="0.25">
      <c r="A1583" s="112"/>
      <c r="B1583" s="21" t="s">
        <v>4817</v>
      </c>
      <c r="C1583" s="21" t="s">
        <v>4818</v>
      </c>
      <c r="D1583" s="21" t="s">
        <v>1737</v>
      </c>
      <c r="E1583" s="50" t="b">
        <v>1</v>
      </c>
      <c r="F1583" s="72" t="str">
        <f>HYPERLINK("http://nsgreg.nga.mil/genc/view?v=293138&amp;end_month=6&amp;end_day=30&amp;end_year=2019","Győr-Moson-Sopron")</f>
        <v>Győr-Moson-Sopron</v>
      </c>
      <c r="G1583" s="72" t="str">
        <f>HYPERLINK("http://api.nsgreg.nga.mil/geo-division/GENC/6/3-11/HU-GS","as:GENC:6:3-11:HU-GS")</f>
        <v>as:GENC:6:3-11:HU-GS</v>
      </c>
    </row>
    <row r="1584" spans="1:7" x14ac:dyDescent="0.25">
      <c r="A1584" s="112"/>
      <c r="B1584" s="21" t="s">
        <v>4819</v>
      </c>
      <c r="C1584" s="21" t="s">
        <v>4820</v>
      </c>
      <c r="D1584" s="21" t="s">
        <v>1737</v>
      </c>
      <c r="E1584" s="50" t="b">
        <v>1</v>
      </c>
      <c r="F1584" s="72" t="str">
        <f>HYPERLINK("http://nsgreg.nga.mil/genc/view?v=293140&amp;end_month=6&amp;end_day=30&amp;end_year=2019","Hajdú-Bihar")</f>
        <v>Hajdú-Bihar</v>
      </c>
      <c r="G1584" s="72" t="str">
        <f>HYPERLINK("http://api.nsgreg.nga.mil/geo-division/GENC/6/3-11/HU-HB","as:GENC:6:3-11:HU-HB")</f>
        <v>as:GENC:6:3-11:HU-HB</v>
      </c>
    </row>
    <row r="1585" spans="1:7" x14ac:dyDescent="0.25">
      <c r="A1585" s="112"/>
      <c r="B1585" s="21" t="s">
        <v>4821</v>
      </c>
      <c r="C1585" s="21" t="s">
        <v>4822</v>
      </c>
      <c r="D1585" s="21" t="s">
        <v>1737</v>
      </c>
      <c r="E1585" s="50" t="b">
        <v>1</v>
      </c>
      <c r="F1585" s="72" t="str">
        <f>HYPERLINK("http://nsgreg.nga.mil/genc/view?v=293141&amp;end_month=6&amp;end_day=30&amp;end_year=2019","Heves")</f>
        <v>Heves</v>
      </c>
      <c r="G1585" s="72" t="str">
        <f>HYPERLINK("http://api.nsgreg.nga.mil/geo-division/GENC/6/3-11/HU-HE","as:GENC:6:3-11:HU-HE")</f>
        <v>as:GENC:6:3-11:HU-HE</v>
      </c>
    </row>
    <row r="1586" spans="1:7" x14ac:dyDescent="0.25">
      <c r="A1586" s="112"/>
      <c r="B1586" s="21" t="s">
        <v>4823</v>
      </c>
      <c r="C1586" s="21" t="s">
        <v>4824</v>
      </c>
      <c r="D1586" s="21" t="s">
        <v>4798</v>
      </c>
      <c r="E1586" s="50" t="b">
        <v>1</v>
      </c>
      <c r="F1586" s="72" t="str">
        <f>HYPERLINK("http://nsgreg.nga.mil/genc/view?v=293142&amp;end_month=6&amp;end_day=30&amp;end_year=2019","Hódmezővásárhely")</f>
        <v>Hódmezővásárhely</v>
      </c>
      <c r="G1586" s="72" t="str">
        <f>HYPERLINK("http://api.nsgreg.nga.mil/geo-division/GENC/6/3-11/HU-HV","as:GENC:6:3-11:HU-HV")</f>
        <v>as:GENC:6:3-11:HU-HV</v>
      </c>
    </row>
    <row r="1587" spans="1:7" x14ac:dyDescent="0.25">
      <c r="A1587" s="112"/>
      <c r="B1587" s="21" t="s">
        <v>4825</v>
      </c>
      <c r="C1587" s="21" t="s">
        <v>4826</v>
      </c>
      <c r="D1587" s="21" t="s">
        <v>1737</v>
      </c>
      <c r="E1587" s="50" t="b">
        <v>1</v>
      </c>
      <c r="F1587" s="72" t="str">
        <f>HYPERLINK("http://nsgreg.nga.mil/genc/view?v=293143&amp;end_month=6&amp;end_day=30&amp;end_year=2019","Jász-Nagykun-Szolnok")</f>
        <v>Jász-Nagykun-Szolnok</v>
      </c>
      <c r="G1587" s="72" t="str">
        <f>HYPERLINK("http://api.nsgreg.nga.mil/geo-division/GENC/6/3-11/HU-JN","as:GENC:6:3-11:HU-JN")</f>
        <v>as:GENC:6:3-11:HU-JN</v>
      </c>
    </row>
    <row r="1588" spans="1:7" x14ac:dyDescent="0.25">
      <c r="A1588" s="112"/>
      <c r="B1588" s="21" t="s">
        <v>4827</v>
      </c>
      <c r="C1588" s="21" t="s">
        <v>4828</v>
      </c>
      <c r="D1588" s="21" t="s">
        <v>4798</v>
      </c>
      <c r="E1588" s="50" t="b">
        <v>1</v>
      </c>
      <c r="F1588" s="72" t="str">
        <f>HYPERLINK("http://nsgreg.nga.mil/genc/view?v=293146&amp;end_month=6&amp;end_day=30&amp;end_year=2019","Kaposvár")</f>
        <v>Kaposvár</v>
      </c>
      <c r="G1588" s="72" t="str">
        <f>HYPERLINK("http://api.nsgreg.nga.mil/geo-division/GENC/6/3-11/HU-KV","as:GENC:6:3-11:HU-KV")</f>
        <v>as:GENC:6:3-11:HU-KV</v>
      </c>
    </row>
    <row r="1589" spans="1:7" x14ac:dyDescent="0.25">
      <c r="A1589" s="112"/>
      <c r="B1589" s="21" t="s">
        <v>4829</v>
      </c>
      <c r="C1589" s="21" t="s">
        <v>4830</v>
      </c>
      <c r="D1589" s="21" t="s">
        <v>4798</v>
      </c>
      <c r="E1589" s="50" t="b">
        <v>1</v>
      </c>
      <c r="F1589" s="72" t="str">
        <f>HYPERLINK("http://nsgreg.nga.mil/genc/view?v=293145&amp;end_month=6&amp;end_day=30&amp;end_year=2019","Kecskemét")</f>
        <v>Kecskemét</v>
      </c>
      <c r="G1589" s="72" t="str">
        <f>HYPERLINK("http://api.nsgreg.nga.mil/geo-division/GENC/6/3-11/HU-KM","as:GENC:6:3-11:HU-KM")</f>
        <v>as:GENC:6:3-11:HU-KM</v>
      </c>
    </row>
    <row r="1590" spans="1:7" x14ac:dyDescent="0.25">
      <c r="A1590" s="112"/>
      <c r="B1590" s="21" t="s">
        <v>4831</v>
      </c>
      <c r="C1590" s="21" t="s">
        <v>4832</v>
      </c>
      <c r="D1590" s="21" t="s">
        <v>1737</v>
      </c>
      <c r="E1590" s="50" t="b">
        <v>1</v>
      </c>
      <c r="F1590" s="72" t="str">
        <f>HYPERLINK("http://nsgreg.nga.mil/genc/view?v=293144&amp;end_month=6&amp;end_day=30&amp;end_year=2019","Komárom-Esztergom")</f>
        <v>Komárom-Esztergom</v>
      </c>
      <c r="G1590" s="72" t="str">
        <f>HYPERLINK("http://api.nsgreg.nga.mil/geo-division/GENC/6/3-11/HU-KE","as:GENC:6:3-11:HU-KE")</f>
        <v>as:GENC:6:3-11:HU-KE</v>
      </c>
    </row>
    <row r="1591" spans="1:7" x14ac:dyDescent="0.25">
      <c r="A1591" s="112"/>
      <c r="B1591" s="21" t="s">
        <v>4833</v>
      </c>
      <c r="C1591" s="21" t="s">
        <v>4834</v>
      </c>
      <c r="D1591" s="21" t="s">
        <v>4798</v>
      </c>
      <c r="E1591" s="50" t="b">
        <v>1</v>
      </c>
      <c r="F1591" s="72" t="str">
        <f>HYPERLINK("http://nsgreg.nga.mil/genc/view?v=293147&amp;end_month=6&amp;end_day=30&amp;end_year=2019","Miskolc")</f>
        <v>Miskolc</v>
      </c>
      <c r="G1591" s="72" t="str">
        <f>HYPERLINK("http://api.nsgreg.nga.mil/geo-division/GENC/6/3-11/HU-MI","as:GENC:6:3-11:HU-MI")</f>
        <v>as:GENC:6:3-11:HU-MI</v>
      </c>
    </row>
    <row r="1592" spans="1:7" x14ac:dyDescent="0.25">
      <c r="A1592" s="112"/>
      <c r="B1592" s="21" t="s">
        <v>4835</v>
      </c>
      <c r="C1592" s="21" t="s">
        <v>4836</v>
      </c>
      <c r="D1592" s="21" t="s">
        <v>4798</v>
      </c>
      <c r="E1592" s="50" t="b">
        <v>1</v>
      </c>
      <c r="F1592" s="72" t="str">
        <f>HYPERLINK("http://nsgreg.nga.mil/genc/view?v=293148&amp;end_month=6&amp;end_day=30&amp;end_year=2019","Nagykanizsa")</f>
        <v>Nagykanizsa</v>
      </c>
      <c r="G1592" s="72" t="str">
        <f>HYPERLINK("http://api.nsgreg.nga.mil/geo-division/GENC/6/3-11/HU-NK","as:GENC:6:3-11:HU-NK")</f>
        <v>as:GENC:6:3-11:HU-NK</v>
      </c>
    </row>
    <row r="1593" spans="1:7" x14ac:dyDescent="0.25">
      <c r="A1593" s="112"/>
      <c r="B1593" s="21" t="s">
        <v>4837</v>
      </c>
      <c r="C1593" s="21" t="s">
        <v>4838</v>
      </c>
      <c r="D1593" s="21" t="s">
        <v>1737</v>
      </c>
      <c r="E1593" s="50" t="b">
        <v>1</v>
      </c>
      <c r="F1593" s="72" t="str">
        <f>HYPERLINK("http://nsgreg.nga.mil/genc/view?v=293149&amp;end_month=6&amp;end_day=30&amp;end_year=2019","Nógrád")</f>
        <v>Nógrád</v>
      </c>
      <c r="G1593" s="72" t="str">
        <f>HYPERLINK("http://api.nsgreg.nga.mil/geo-division/GENC/6/3-11/HU-NO","as:GENC:6:3-11:HU-NO")</f>
        <v>as:GENC:6:3-11:HU-NO</v>
      </c>
    </row>
    <row r="1594" spans="1:7" x14ac:dyDescent="0.25">
      <c r="A1594" s="112"/>
      <c r="B1594" s="21" t="s">
        <v>4839</v>
      </c>
      <c r="C1594" s="21" t="s">
        <v>4840</v>
      </c>
      <c r="D1594" s="21" t="s">
        <v>4798</v>
      </c>
      <c r="E1594" s="50" t="b">
        <v>1</v>
      </c>
      <c r="F1594" s="72" t="str">
        <f>HYPERLINK("http://nsgreg.nga.mil/genc/view?v=293150&amp;end_month=6&amp;end_day=30&amp;end_year=2019","Nyíregyháza")</f>
        <v>Nyíregyháza</v>
      </c>
      <c r="G1594" s="72" t="str">
        <f>HYPERLINK("http://api.nsgreg.nga.mil/geo-division/GENC/6/3-11/HU-NY","as:GENC:6:3-11:HU-NY")</f>
        <v>as:GENC:6:3-11:HU-NY</v>
      </c>
    </row>
    <row r="1595" spans="1:7" x14ac:dyDescent="0.25">
      <c r="A1595" s="112"/>
      <c r="B1595" s="21" t="s">
        <v>4841</v>
      </c>
      <c r="C1595" s="21" t="s">
        <v>4842</v>
      </c>
      <c r="D1595" s="21" t="s">
        <v>4798</v>
      </c>
      <c r="E1595" s="50" t="b">
        <v>1</v>
      </c>
      <c r="F1595" s="72" t="str">
        <f>HYPERLINK("http://nsgreg.nga.mil/genc/view?v=293152&amp;end_month=6&amp;end_day=30&amp;end_year=2019","Pécs")</f>
        <v>Pécs</v>
      </c>
      <c r="G1595" s="72" t="str">
        <f>HYPERLINK("http://api.nsgreg.nga.mil/geo-division/GENC/6/3-11/HU-PS","as:GENC:6:3-11:HU-PS")</f>
        <v>as:GENC:6:3-11:HU-PS</v>
      </c>
    </row>
    <row r="1596" spans="1:7" x14ac:dyDescent="0.25">
      <c r="A1596" s="112"/>
      <c r="B1596" s="21" t="s">
        <v>4843</v>
      </c>
      <c r="C1596" s="21" t="s">
        <v>4844</v>
      </c>
      <c r="D1596" s="21" t="s">
        <v>1737</v>
      </c>
      <c r="E1596" s="50" t="b">
        <v>1</v>
      </c>
      <c r="F1596" s="72" t="str">
        <f>HYPERLINK("http://nsgreg.nga.mil/genc/view?v=293151&amp;end_month=6&amp;end_day=30&amp;end_year=2019","Pest")</f>
        <v>Pest</v>
      </c>
      <c r="G1596" s="72" t="str">
        <f>HYPERLINK("http://api.nsgreg.nga.mil/geo-division/GENC/6/3-11/HU-PE","as:GENC:6:3-11:HU-PE")</f>
        <v>as:GENC:6:3-11:HU-PE</v>
      </c>
    </row>
    <row r="1597" spans="1:7" x14ac:dyDescent="0.25">
      <c r="A1597" s="112"/>
      <c r="B1597" s="21" t="s">
        <v>4845</v>
      </c>
      <c r="C1597" s="21" t="s">
        <v>4846</v>
      </c>
      <c r="D1597" s="21" t="s">
        <v>4798</v>
      </c>
      <c r="E1597" s="50" t="b">
        <v>1</v>
      </c>
      <c r="F1597" s="72" t="str">
        <f>HYPERLINK("http://nsgreg.nga.mil/genc/view?v=293160&amp;end_month=6&amp;end_day=30&amp;end_year=2019","Salgótarján")</f>
        <v>Salgótarján</v>
      </c>
      <c r="G1597" s="72" t="str">
        <f>HYPERLINK("http://api.nsgreg.nga.mil/geo-division/GENC/6/3-11/HU-ST","as:GENC:6:3-11:HU-ST")</f>
        <v>as:GENC:6:3-11:HU-ST</v>
      </c>
    </row>
    <row r="1598" spans="1:7" x14ac:dyDescent="0.25">
      <c r="A1598" s="112"/>
      <c r="B1598" s="21" t="s">
        <v>4847</v>
      </c>
      <c r="C1598" s="21" t="s">
        <v>4848</v>
      </c>
      <c r="D1598" s="21" t="s">
        <v>1737</v>
      </c>
      <c r="E1598" s="50" t="b">
        <v>1</v>
      </c>
      <c r="F1598" s="72" t="str">
        <f>HYPERLINK("http://nsgreg.nga.mil/genc/view?v=293158&amp;end_month=6&amp;end_day=30&amp;end_year=2019","Somogy")</f>
        <v>Somogy</v>
      </c>
      <c r="G1598" s="72" t="str">
        <f>HYPERLINK("http://api.nsgreg.nga.mil/geo-division/GENC/6/3-11/HU-SO","as:GENC:6:3-11:HU-SO")</f>
        <v>as:GENC:6:3-11:HU-SO</v>
      </c>
    </row>
    <row r="1599" spans="1:7" x14ac:dyDescent="0.25">
      <c r="A1599" s="112"/>
      <c r="B1599" s="21" t="s">
        <v>4849</v>
      </c>
      <c r="C1599" s="21" t="s">
        <v>4850</v>
      </c>
      <c r="D1599" s="21" t="s">
        <v>4798</v>
      </c>
      <c r="E1599" s="50" t="b">
        <v>1</v>
      </c>
      <c r="F1599" s="72" t="str">
        <f>HYPERLINK("http://nsgreg.nga.mil/genc/view?v=293157&amp;end_month=6&amp;end_day=30&amp;end_year=2019","Sopron")</f>
        <v>Sopron</v>
      </c>
      <c r="G1599" s="72" t="str">
        <f>HYPERLINK("http://api.nsgreg.nga.mil/geo-division/GENC/6/3-11/HU-SN","as:GENC:6:3-11:HU-SN")</f>
        <v>as:GENC:6:3-11:HU-SN</v>
      </c>
    </row>
    <row r="1600" spans="1:7" x14ac:dyDescent="0.25">
      <c r="A1600" s="112"/>
      <c r="B1600" s="21" t="s">
        <v>4851</v>
      </c>
      <c r="C1600" s="21" t="s">
        <v>4852</v>
      </c>
      <c r="D1600" s="21" t="s">
        <v>1737</v>
      </c>
      <c r="E1600" s="50" t="b">
        <v>1</v>
      </c>
      <c r="F1600" s="72" t="str">
        <f>HYPERLINK("http://nsgreg.nga.mil/genc/view?v=293161&amp;end_month=6&amp;end_day=30&amp;end_year=2019","Szabolcs-Szatmár-Bereg")</f>
        <v>Szabolcs-Szatmár-Bereg</v>
      </c>
      <c r="G1600" s="72" t="str">
        <f>HYPERLINK("http://api.nsgreg.nga.mil/geo-division/GENC/6/3-11/HU-SZ","as:GENC:6:3-11:HU-SZ")</f>
        <v>as:GENC:6:3-11:HU-SZ</v>
      </c>
    </row>
    <row r="1601" spans="1:7" x14ac:dyDescent="0.25">
      <c r="A1601" s="112"/>
      <c r="B1601" s="21" t="s">
        <v>4853</v>
      </c>
      <c r="C1601" s="21" t="s">
        <v>4854</v>
      </c>
      <c r="D1601" s="21" t="s">
        <v>4798</v>
      </c>
      <c r="E1601" s="50" t="b">
        <v>1</v>
      </c>
      <c r="F1601" s="72" t="str">
        <f>HYPERLINK("http://nsgreg.nga.mil/genc/view?v=293153&amp;end_month=6&amp;end_day=30&amp;end_year=2019","Szeged")</f>
        <v>Szeged</v>
      </c>
      <c r="G1601" s="72" t="str">
        <f>HYPERLINK("http://api.nsgreg.nga.mil/geo-division/GENC/6/3-11/HU-SD","as:GENC:6:3-11:HU-SD")</f>
        <v>as:GENC:6:3-11:HU-SD</v>
      </c>
    </row>
    <row r="1602" spans="1:7" x14ac:dyDescent="0.25">
      <c r="A1602" s="112"/>
      <c r="B1602" s="21" t="s">
        <v>4855</v>
      </c>
      <c r="C1602" s="21" t="s">
        <v>4856</v>
      </c>
      <c r="D1602" s="21" t="s">
        <v>4798</v>
      </c>
      <c r="E1602" s="50" t="b">
        <v>1</v>
      </c>
      <c r="F1602" s="72" t="str">
        <f>HYPERLINK("http://nsgreg.nga.mil/genc/view?v=293154&amp;end_month=6&amp;end_day=30&amp;end_year=2019","Székesfehérvár")</f>
        <v>Székesfehérvár</v>
      </c>
      <c r="G1602" s="72" t="str">
        <f>HYPERLINK("http://api.nsgreg.nga.mil/geo-division/GENC/6/3-11/HU-SF","as:GENC:6:3-11:HU-SF")</f>
        <v>as:GENC:6:3-11:HU-SF</v>
      </c>
    </row>
    <row r="1603" spans="1:7" x14ac:dyDescent="0.25">
      <c r="A1603" s="112"/>
      <c r="B1603" s="21" t="s">
        <v>4857</v>
      </c>
      <c r="C1603" s="21" t="s">
        <v>4858</v>
      </c>
      <c r="D1603" s="21" t="s">
        <v>4798</v>
      </c>
      <c r="E1603" s="50" t="b">
        <v>1</v>
      </c>
      <c r="F1603" s="72" t="str">
        <f>HYPERLINK("http://nsgreg.nga.mil/genc/view?v=293159&amp;end_month=6&amp;end_day=30&amp;end_year=2019","Szekszárd")</f>
        <v>Szekszárd</v>
      </c>
      <c r="G1603" s="72" t="str">
        <f>HYPERLINK("http://api.nsgreg.nga.mil/geo-division/GENC/6/3-11/HU-SS","as:GENC:6:3-11:HU-SS")</f>
        <v>as:GENC:6:3-11:HU-SS</v>
      </c>
    </row>
    <row r="1604" spans="1:7" x14ac:dyDescent="0.25">
      <c r="A1604" s="112"/>
      <c r="B1604" s="21" t="s">
        <v>4859</v>
      </c>
      <c r="C1604" s="21" t="s">
        <v>4860</v>
      </c>
      <c r="D1604" s="21" t="s">
        <v>4798</v>
      </c>
      <c r="E1604" s="50" t="b">
        <v>1</v>
      </c>
      <c r="F1604" s="72" t="str">
        <f>HYPERLINK("http://nsgreg.nga.mil/genc/view?v=293156&amp;end_month=6&amp;end_day=30&amp;end_year=2019","Szolnok")</f>
        <v>Szolnok</v>
      </c>
      <c r="G1604" s="72" t="str">
        <f>HYPERLINK("http://api.nsgreg.nga.mil/geo-division/GENC/6/3-11/HU-SK","as:GENC:6:3-11:HU-SK")</f>
        <v>as:GENC:6:3-11:HU-SK</v>
      </c>
    </row>
    <row r="1605" spans="1:7" x14ac:dyDescent="0.25">
      <c r="A1605" s="112"/>
      <c r="B1605" s="21" t="s">
        <v>4861</v>
      </c>
      <c r="C1605" s="21" t="s">
        <v>4862</v>
      </c>
      <c r="D1605" s="21" t="s">
        <v>4798</v>
      </c>
      <c r="E1605" s="50" t="b">
        <v>1</v>
      </c>
      <c r="F1605" s="72" t="str">
        <f>HYPERLINK("http://nsgreg.nga.mil/genc/view?v=293155&amp;end_month=6&amp;end_day=30&amp;end_year=2019","Szombathely")</f>
        <v>Szombathely</v>
      </c>
      <c r="G1605" s="72" t="str">
        <f>HYPERLINK("http://api.nsgreg.nga.mil/geo-division/GENC/6/3-11/HU-SH","as:GENC:6:3-11:HU-SH")</f>
        <v>as:GENC:6:3-11:HU-SH</v>
      </c>
    </row>
    <row r="1606" spans="1:7" x14ac:dyDescent="0.25">
      <c r="A1606" s="112"/>
      <c r="B1606" s="21" t="s">
        <v>4863</v>
      </c>
      <c r="C1606" s="21" t="s">
        <v>4864</v>
      </c>
      <c r="D1606" s="21" t="s">
        <v>4798</v>
      </c>
      <c r="E1606" s="50" t="b">
        <v>1</v>
      </c>
      <c r="F1606" s="72" t="str">
        <f>HYPERLINK("http://nsgreg.nga.mil/genc/view?v=293162&amp;end_month=6&amp;end_day=30&amp;end_year=2019","Tatabánya")</f>
        <v>Tatabánya</v>
      </c>
      <c r="G1606" s="72" t="str">
        <f>HYPERLINK("http://api.nsgreg.nga.mil/geo-division/GENC/6/3-11/HU-TB","as:GENC:6:3-11:HU-TB")</f>
        <v>as:GENC:6:3-11:HU-TB</v>
      </c>
    </row>
    <row r="1607" spans="1:7" x14ac:dyDescent="0.25">
      <c r="A1607" s="112"/>
      <c r="B1607" s="21" t="s">
        <v>4865</v>
      </c>
      <c r="C1607" s="21" t="s">
        <v>4866</v>
      </c>
      <c r="D1607" s="21" t="s">
        <v>1737</v>
      </c>
      <c r="E1607" s="50" t="b">
        <v>1</v>
      </c>
      <c r="F1607" s="72" t="str">
        <f>HYPERLINK("http://nsgreg.nga.mil/genc/view?v=293163&amp;end_month=6&amp;end_day=30&amp;end_year=2019","Tolna")</f>
        <v>Tolna</v>
      </c>
      <c r="G1607" s="72" t="str">
        <f>HYPERLINK("http://api.nsgreg.nga.mil/geo-division/GENC/6/3-11/HU-TO","as:GENC:6:3-11:HU-TO")</f>
        <v>as:GENC:6:3-11:HU-TO</v>
      </c>
    </row>
    <row r="1608" spans="1:7" x14ac:dyDescent="0.25">
      <c r="A1608" s="112"/>
      <c r="B1608" s="21" t="s">
        <v>4867</v>
      </c>
      <c r="C1608" s="21" t="s">
        <v>4868</v>
      </c>
      <c r="D1608" s="21" t="s">
        <v>1737</v>
      </c>
      <c r="E1608" s="50" t="b">
        <v>1</v>
      </c>
      <c r="F1608" s="72" t="str">
        <f>HYPERLINK("http://nsgreg.nga.mil/genc/view?v=293164&amp;end_month=6&amp;end_day=30&amp;end_year=2019","Vas")</f>
        <v>Vas</v>
      </c>
      <c r="G1608" s="72" t="str">
        <f>HYPERLINK("http://api.nsgreg.nga.mil/geo-division/GENC/6/3-11/HU-VA","as:GENC:6:3-11:HU-VA")</f>
        <v>as:GENC:6:3-11:HU-VA</v>
      </c>
    </row>
    <row r="1609" spans="1:7" x14ac:dyDescent="0.25">
      <c r="A1609" s="112"/>
      <c r="B1609" s="21" t="s">
        <v>4869</v>
      </c>
      <c r="C1609" s="21" t="s">
        <v>4870</v>
      </c>
      <c r="D1609" s="21" t="s">
        <v>1737</v>
      </c>
      <c r="E1609" s="50" t="b">
        <v>1</v>
      </c>
      <c r="F1609" s="72" t="str">
        <f>HYPERLINK("http://nsgreg.nga.mil/genc/view?v=293165&amp;end_month=6&amp;end_day=30&amp;end_year=2019","Veszprém")</f>
        <v>Veszprém</v>
      </c>
      <c r="G1609" s="72" t="str">
        <f>HYPERLINK("http://api.nsgreg.nga.mil/geo-division/GENC/6/3-11/HU-VE","as:GENC:6:3-11:HU-VE")</f>
        <v>as:GENC:6:3-11:HU-VE</v>
      </c>
    </row>
    <row r="1610" spans="1:7" x14ac:dyDescent="0.25">
      <c r="A1610" s="112"/>
      <c r="B1610" s="21" t="s">
        <v>4871</v>
      </c>
      <c r="C1610" s="21" t="s">
        <v>4870</v>
      </c>
      <c r="D1610" s="21" t="s">
        <v>4798</v>
      </c>
      <c r="E1610" s="50" t="b">
        <v>1</v>
      </c>
      <c r="F1610" s="72" t="str">
        <f>HYPERLINK("http://nsgreg.nga.mil/genc/view?v=293166&amp;end_month=6&amp;end_day=30&amp;end_year=2019","Veszprém")</f>
        <v>Veszprém</v>
      </c>
      <c r="G1610" s="72" t="str">
        <f>HYPERLINK("http://api.nsgreg.nga.mil/geo-division/GENC/6/3-11/HU-VM","as:GENC:6:3-11:HU-VM")</f>
        <v>as:GENC:6:3-11:HU-VM</v>
      </c>
    </row>
    <row r="1611" spans="1:7" x14ac:dyDescent="0.25">
      <c r="A1611" s="112"/>
      <c r="B1611" s="21" t="s">
        <v>4872</v>
      </c>
      <c r="C1611" s="21" t="s">
        <v>4873</v>
      </c>
      <c r="D1611" s="21" t="s">
        <v>1737</v>
      </c>
      <c r="E1611" s="50" t="b">
        <v>1</v>
      </c>
      <c r="F1611" s="72" t="str">
        <f>HYPERLINK("http://nsgreg.nga.mil/genc/view?v=293167&amp;end_month=6&amp;end_day=30&amp;end_year=2019","Zala")</f>
        <v>Zala</v>
      </c>
      <c r="G1611" s="72" t="str">
        <f>HYPERLINK("http://api.nsgreg.nga.mil/geo-division/GENC/6/3-11/HU-ZA","as:GENC:6:3-11:HU-ZA")</f>
        <v>as:GENC:6:3-11:HU-ZA</v>
      </c>
    </row>
    <row r="1612" spans="1:7" x14ac:dyDescent="0.25">
      <c r="A1612" s="113"/>
      <c r="B1612" s="47" t="s">
        <v>4874</v>
      </c>
      <c r="C1612" s="47" t="s">
        <v>4875</v>
      </c>
      <c r="D1612" s="47" t="s">
        <v>4798</v>
      </c>
      <c r="E1612" s="51" t="b">
        <v>1</v>
      </c>
      <c r="F1612" s="73" t="str">
        <f>HYPERLINK("http://nsgreg.nga.mil/genc/view?v=293168&amp;end_month=6&amp;end_day=30&amp;end_year=2019","Zalaegerszeg")</f>
        <v>Zalaegerszeg</v>
      </c>
      <c r="G1612" s="73" t="str">
        <f>HYPERLINK("http://api.nsgreg.nga.mil/geo-division/GENC/6/3-11/HU-ZE","as:GENC:6:3-11:HU-ZE")</f>
        <v>as:GENC:6:3-11:HU-ZE</v>
      </c>
    </row>
    <row r="1613" spans="1:7" x14ac:dyDescent="0.25">
      <c r="A1613" s="111" t="str">
        <f>HYPERLINK("[#]Codes_for_GE_Names!A124:I124","ICELAND")</f>
        <v>ICELAND</v>
      </c>
      <c r="B1613" s="42" t="s">
        <v>4876</v>
      </c>
      <c r="C1613" s="42" t="s">
        <v>4877</v>
      </c>
      <c r="D1613" s="42" t="s">
        <v>2505</v>
      </c>
      <c r="E1613" s="49" t="b">
        <v>1</v>
      </c>
      <c r="F1613" s="74" t="str">
        <f>HYPERLINK("http://nsgreg.nga.mil/genc/view?v=293420&amp;end_month=6&amp;end_day=30&amp;end_year=2019","Akrahreppur")</f>
        <v>Akrahreppur</v>
      </c>
      <c r="G1613" s="74" t="str">
        <f>HYPERLINK("http://api.nsgreg.nga.mil/geo-division/GENC/6/3-11/IS-9","as:GENC:6:3-11:IS-9")</f>
        <v>as:GENC:6:3-11:IS-9</v>
      </c>
    </row>
    <row r="1614" spans="1:7" x14ac:dyDescent="0.25">
      <c r="A1614" s="112"/>
      <c r="B1614" s="21" t="s">
        <v>4878</v>
      </c>
      <c r="C1614" s="21" t="s">
        <v>4879</v>
      </c>
      <c r="D1614" s="21" t="s">
        <v>2505</v>
      </c>
      <c r="E1614" s="50" t="b">
        <v>1</v>
      </c>
      <c r="F1614" s="72" t="str">
        <f>HYPERLINK("http://nsgreg.nga.mil/genc/view?v=293340&amp;end_month=6&amp;end_day=30&amp;end_year=2019","Akranes")</f>
        <v>Akranes</v>
      </c>
      <c r="G1614" s="72" t="str">
        <f>HYPERLINK("http://api.nsgreg.nga.mil/geo-division/GENC/6/3-11/IS-10","as:GENC:6:3-11:IS-10")</f>
        <v>as:GENC:6:3-11:IS-10</v>
      </c>
    </row>
    <row r="1615" spans="1:7" x14ac:dyDescent="0.25">
      <c r="A1615" s="112"/>
      <c r="B1615" s="21" t="s">
        <v>4880</v>
      </c>
      <c r="C1615" s="21" t="s">
        <v>4881</v>
      </c>
      <c r="D1615" s="21" t="s">
        <v>2505</v>
      </c>
      <c r="E1615" s="50" t="b">
        <v>1</v>
      </c>
      <c r="F1615" s="72" t="str">
        <f>HYPERLINK("http://nsgreg.nga.mil/genc/view?v=293341&amp;end_month=6&amp;end_day=30&amp;end_year=2019","Akureyri")</f>
        <v>Akureyri</v>
      </c>
      <c r="G1615" s="72" t="str">
        <f>HYPERLINK("http://api.nsgreg.nga.mil/geo-division/GENC/6/3-11/IS-11","as:GENC:6:3-11:IS-11")</f>
        <v>as:GENC:6:3-11:IS-11</v>
      </c>
    </row>
    <row r="1616" spans="1:7" x14ac:dyDescent="0.25">
      <c r="A1616" s="112"/>
      <c r="B1616" s="21" t="s">
        <v>4882</v>
      </c>
      <c r="C1616" s="21" t="s">
        <v>4883</v>
      </c>
      <c r="D1616" s="21" t="s">
        <v>2505</v>
      </c>
      <c r="E1616" s="50" t="b">
        <v>1</v>
      </c>
      <c r="F1616" s="72" t="str">
        <f>HYPERLINK("http://nsgreg.nga.mil/genc/view?v=293342&amp;end_month=6&amp;end_day=30&amp;end_year=2019","Árneshreppur")</f>
        <v>Árneshreppur</v>
      </c>
      <c r="G1616" s="72" t="str">
        <f>HYPERLINK("http://api.nsgreg.nga.mil/geo-division/GENC/6/3-11/IS-12","as:GENC:6:3-11:IS-12")</f>
        <v>as:GENC:6:3-11:IS-12</v>
      </c>
    </row>
    <row r="1617" spans="1:7" x14ac:dyDescent="0.25">
      <c r="A1617" s="112"/>
      <c r="B1617" s="21" t="s">
        <v>4884</v>
      </c>
      <c r="C1617" s="21" t="s">
        <v>4885</v>
      </c>
      <c r="D1617" s="21" t="s">
        <v>2505</v>
      </c>
      <c r="E1617" s="50" t="b">
        <v>1</v>
      </c>
      <c r="F1617" s="72" t="str">
        <f>HYPERLINK("http://nsgreg.nga.mil/genc/view?v=293343&amp;end_month=6&amp;end_day=30&amp;end_year=2019","Ásahreppur")</f>
        <v>Ásahreppur</v>
      </c>
      <c r="G1617" s="72" t="str">
        <f>HYPERLINK("http://api.nsgreg.nga.mil/geo-division/GENC/6/3-11/IS-13","as:GENC:6:3-11:IS-13")</f>
        <v>as:GENC:6:3-11:IS-13</v>
      </c>
    </row>
    <row r="1618" spans="1:7" x14ac:dyDescent="0.25">
      <c r="A1618" s="112"/>
      <c r="B1618" s="21" t="s">
        <v>4886</v>
      </c>
      <c r="C1618" s="21" t="s">
        <v>4887</v>
      </c>
      <c r="D1618" s="21" t="s">
        <v>2505</v>
      </c>
      <c r="E1618" s="50" t="b">
        <v>1</v>
      </c>
      <c r="F1618" s="72" t="str">
        <f>HYPERLINK("http://nsgreg.nga.mil/genc/view?v=293344&amp;end_month=6&amp;end_day=30&amp;end_year=2019","Bláskógabyggð")</f>
        <v>Bláskógabyggð</v>
      </c>
      <c r="G1618" s="72" t="str">
        <f>HYPERLINK("http://api.nsgreg.nga.mil/geo-division/GENC/6/3-11/IS-14","as:GENC:6:3-11:IS-14")</f>
        <v>as:GENC:6:3-11:IS-14</v>
      </c>
    </row>
    <row r="1619" spans="1:7" x14ac:dyDescent="0.25">
      <c r="A1619" s="112"/>
      <c r="B1619" s="21" t="s">
        <v>4888</v>
      </c>
      <c r="C1619" s="21" t="s">
        <v>4889</v>
      </c>
      <c r="D1619" s="21" t="s">
        <v>2505</v>
      </c>
      <c r="E1619" s="50" t="b">
        <v>1</v>
      </c>
      <c r="F1619" s="72" t="str">
        <f>HYPERLINK("http://nsgreg.nga.mil/genc/view?v=293345&amp;end_month=6&amp;end_day=30&amp;end_year=2019","Blönduósbær")</f>
        <v>Blönduósbær</v>
      </c>
      <c r="G1619" s="72" t="str">
        <f>HYPERLINK("http://api.nsgreg.nga.mil/geo-division/GENC/6/3-11/IS-15","as:GENC:6:3-11:IS-15")</f>
        <v>as:GENC:6:3-11:IS-15</v>
      </c>
    </row>
    <row r="1620" spans="1:7" x14ac:dyDescent="0.25">
      <c r="A1620" s="112"/>
      <c r="B1620" s="21" t="s">
        <v>4890</v>
      </c>
      <c r="C1620" s="21" t="s">
        <v>4891</v>
      </c>
      <c r="D1620" s="21" t="s">
        <v>2505</v>
      </c>
      <c r="E1620" s="50" t="b">
        <v>1</v>
      </c>
      <c r="F1620" s="72" t="str">
        <f>HYPERLINK("http://nsgreg.nga.mil/genc/view?v=293346&amp;end_month=6&amp;end_day=30&amp;end_year=2019","Bolungarvík")</f>
        <v>Bolungarvík</v>
      </c>
      <c r="G1620" s="72" t="str">
        <f>HYPERLINK("http://api.nsgreg.nga.mil/geo-division/GENC/6/3-11/IS-16","as:GENC:6:3-11:IS-16")</f>
        <v>as:GENC:6:3-11:IS-16</v>
      </c>
    </row>
    <row r="1621" spans="1:7" x14ac:dyDescent="0.25">
      <c r="A1621" s="112"/>
      <c r="B1621" s="21" t="s">
        <v>4892</v>
      </c>
      <c r="C1621" s="21" t="s">
        <v>4893</v>
      </c>
      <c r="D1621" s="21" t="s">
        <v>2505</v>
      </c>
      <c r="E1621" s="50" t="b">
        <v>1</v>
      </c>
      <c r="F1621" s="72" t="str">
        <f>HYPERLINK("http://nsgreg.nga.mil/genc/view?v=293347&amp;end_month=6&amp;end_day=30&amp;end_year=2019","Borgarbyggð")</f>
        <v>Borgarbyggð</v>
      </c>
      <c r="G1621" s="72" t="str">
        <f>HYPERLINK("http://api.nsgreg.nga.mil/geo-division/GENC/6/3-11/IS-17","as:GENC:6:3-11:IS-17")</f>
        <v>as:GENC:6:3-11:IS-17</v>
      </c>
    </row>
    <row r="1622" spans="1:7" x14ac:dyDescent="0.25">
      <c r="A1622" s="112"/>
      <c r="B1622" s="21" t="s">
        <v>4894</v>
      </c>
      <c r="C1622" s="21" t="s">
        <v>4895</v>
      </c>
      <c r="D1622" s="21" t="s">
        <v>2505</v>
      </c>
      <c r="E1622" s="50" t="b">
        <v>1</v>
      </c>
      <c r="F1622" s="72" t="str">
        <f>HYPERLINK("http://nsgreg.nga.mil/genc/view?v=293348&amp;end_month=6&amp;end_day=30&amp;end_year=2019","Borgarfjarðarhreppur")</f>
        <v>Borgarfjarðarhreppur</v>
      </c>
      <c r="G1622" s="72" t="str">
        <f>HYPERLINK("http://api.nsgreg.nga.mil/geo-division/GENC/6/3-11/IS-18","as:GENC:6:3-11:IS-18")</f>
        <v>as:GENC:6:3-11:IS-18</v>
      </c>
    </row>
    <row r="1623" spans="1:7" x14ac:dyDescent="0.25">
      <c r="A1623" s="112"/>
      <c r="B1623" s="21" t="s">
        <v>4896</v>
      </c>
      <c r="C1623" s="21" t="s">
        <v>4897</v>
      </c>
      <c r="D1623" s="21" t="s">
        <v>2505</v>
      </c>
      <c r="E1623" s="50" t="b">
        <v>1</v>
      </c>
      <c r="F1623" s="72" t="str">
        <f>HYPERLINK("http://nsgreg.nga.mil/genc/view?v=293349&amp;end_month=6&amp;end_day=30&amp;end_year=2019","Breiðdalshreppur")</f>
        <v>Breiðdalshreppur</v>
      </c>
      <c r="G1623" s="72" t="str">
        <f>HYPERLINK("http://api.nsgreg.nga.mil/geo-division/GENC/6/3-11/IS-19","as:GENC:6:3-11:IS-19")</f>
        <v>as:GENC:6:3-11:IS-19</v>
      </c>
    </row>
    <row r="1624" spans="1:7" x14ac:dyDescent="0.25">
      <c r="A1624" s="112"/>
      <c r="B1624" s="21" t="s">
        <v>4898</v>
      </c>
      <c r="C1624" s="21" t="s">
        <v>4899</v>
      </c>
      <c r="D1624" s="21" t="s">
        <v>2505</v>
      </c>
      <c r="E1624" s="50" t="b">
        <v>1</v>
      </c>
      <c r="F1624" s="72" t="str">
        <f>HYPERLINK("http://nsgreg.nga.mil/genc/view?v=293351&amp;end_month=6&amp;end_day=30&amp;end_year=2019","Dalabyggð")</f>
        <v>Dalabyggð</v>
      </c>
      <c r="G1624" s="72" t="str">
        <f>HYPERLINK("http://api.nsgreg.nga.mil/geo-division/GENC/6/3-11/IS-20","as:GENC:6:3-11:IS-20")</f>
        <v>as:GENC:6:3-11:IS-20</v>
      </c>
    </row>
    <row r="1625" spans="1:7" x14ac:dyDescent="0.25">
      <c r="A1625" s="112"/>
      <c r="B1625" s="21" t="s">
        <v>4900</v>
      </c>
      <c r="C1625" s="21" t="s">
        <v>4901</v>
      </c>
      <c r="D1625" s="21" t="s">
        <v>2505</v>
      </c>
      <c r="E1625" s="50" t="b">
        <v>1</v>
      </c>
      <c r="F1625" s="72" t="str">
        <f>HYPERLINK("http://nsgreg.nga.mil/genc/view?v=293352&amp;end_month=6&amp;end_day=30&amp;end_year=2019","Dalvíkurbyggð")</f>
        <v>Dalvíkurbyggð</v>
      </c>
      <c r="G1625" s="72" t="str">
        <f>HYPERLINK("http://api.nsgreg.nga.mil/geo-division/GENC/6/3-11/IS-21","as:GENC:6:3-11:IS-21")</f>
        <v>as:GENC:6:3-11:IS-21</v>
      </c>
    </row>
    <row r="1626" spans="1:7" x14ac:dyDescent="0.25">
      <c r="A1626" s="112"/>
      <c r="B1626" s="21" t="s">
        <v>4902</v>
      </c>
      <c r="C1626" s="21" t="s">
        <v>4903</v>
      </c>
      <c r="D1626" s="21" t="s">
        <v>2505</v>
      </c>
      <c r="E1626" s="50" t="b">
        <v>1</v>
      </c>
      <c r="F1626" s="72" t="str">
        <f>HYPERLINK("http://nsgreg.nga.mil/genc/view?v=293353&amp;end_month=6&amp;end_day=30&amp;end_year=2019","Djúpavogshreppur")</f>
        <v>Djúpavogshreppur</v>
      </c>
      <c r="G1626" s="72" t="str">
        <f>HYPERLINK("http://api.nsgreg.nga.mil/geo-division/GENC/6/3-11/IS-22","as:GENC:6:3-11:IS-22")</f>
        <v>as:GENC:6:3-11:IS-22</v>
      </c>
    </row>
    <row r="1627" spans="1:7" x14ac:dyDescent="0.25">
      <c r="A1627" s="112"/>
      <c r="B1627" s="21" t="s">
        <v>4904</v>
      </c>
      <c r="C1627" s="21" t="s">
        <v>4905</v>
      </c>
      <c r="D1627" s="21" t="s">
        <v>2505</v>
      </c>
      <c r="E1627" s="50" t="b">
        <v>1</v>
      </c>
      <c r="F1627" s="72" t="str">
        <f>HYPERLINK("http://nsgreg.nga.mil/genc/view?v=293354&amp;end_month=6&amp;end_day=30&amp;end_year=2019","Eyjafjarðarsveit")</f>
        <v>Eyjafjarðarsveit</v>
      </c>
      <c r="G1627" s="72" t="str">
        <f>HYPERLINK("http://api.nsgreg.nga.mil/geo-division/GENC/6/3-11/IS-23","as:GENC:6:3-11:IS-23")</f>
        <v>as:GENC:6:3-11:IS-23</v>
      </c>
    </row>
    <row r="1628" spans="1:7" x14ac:dyDescent="0.25">
      <c r="A1628" s="112"/>
      <c r="B1628" s="21" t="s">
        <v>4906</v>
      </c>
      <c r="C1628" s="21" t="s">
        <v>4907</v>
      </c>
      <c r="D1628" s="21" t="s">
        <v>2505</v>
      </c>
      <c r="E1628" s="50" t="b">
        <v>1</v>
      </c>
      <c r="F1628" s="72" t="str">
        <f>HYPERLINK("http://nsgreg.nga.mil/genc/view?v=293355&amp;end_month=6&amp;end_day=30&amp;end_year=2019","Eyja- og Miklaholtshreppur")</f>
        <v>Eyja- og Miklaholtshreppur</v>
      </c>
      <c r="G1628" s="72" t="str">
        <f>HYPERLINK("http://api.nsgreg.nga.mil/geo-division/GENC/6/3-11/IS-24","as:GENC:6:3-11:IS-24")</f>
        <v>as:GENC:6:3-11:IS-24</v>
      </c>
    </row>
    <row r="1629" spans="1:7" x14ac:dyDescent="0.25">
      <c r="A1629" s="112"/>
      <c r="B1629" s="21" t="s">
        <v>4908</v>
      </c>
      <c r="C1629" s="21" t="s">
        <v>4909</v>
      </c>
      <c r="D1629" s="21" t="s">
        <v>2505</v>
      </c>
      <c r="E1629" s="50" t="b">
        <v>1</v>
      </c>
      <c r="F1629" s="72" t="str">
        <f>HYPERLINK("http://nsgreg.nga.mil/genc/view?v=293356&amp;end_month=6&amp;end_day=30&amp;end_year=2019","Fjallabyggð")</f>
        <v>Fjallabyggð</v>
      </c>
      <c r="G1629" s="72" t="str">
        <f>HYPERLINK("http://api.nsgreg.nga.mil/geo-division/GENC/6/3-11/IS-25","as:GENC:6:3-11:IS-25")</f>
        <v>as:GENC:6:3-11:IS-25</v>
      </c>
    </row>
    <row r="1630" spans="1:7" x14ac:dyDescent="0.25">
      <c r="A1630" s="112"/>
      <c r="B1630" s="21" t="s">
        <v>4910</v>
      </c>
      <c r="C1630" s="21" t="s">
        <v>4911</v>
      </c>
      <c r="D1630" s="21" t="s">
        <v>2505</v>
      </c>
      <c r="E1630" s="50" t="b">
        <v>1</v>
      </c>
      <c r="F1630" s="72" t="str">
        <f>HYPERLINK("http://nsgreg.nga.mil/genc/view?v=293357&amp;end_month=6&amp;end_day=30&amp;end_year=2019","Fjarðabyggð")</f>
        <v>Fjarðabyggð</v>
      </c>
      <c r="G1630" s="72" t="str">
        <f>HYPERLINK("http://api.nsgreg.nga.mil/geo-division/GENC/6/3-11/IS-26","as:GENC:6:3-11:IS-26")</f>
        <v>as:GENC:6:3-11:IS-26</v>
      </c>
    </row>
    <row r="1631" spans="1:7" x14ac:dyDescent="0.25">
      <c r="A1631" s="112"/>
      <c r="B1631" s="21" t="s">
        <v>4912</v>
      </c>
      <c r="C1631" s="21" t="s">
        <v>4913</v>
      </c>
      <c r="D1631" s="21" t="s">
        <v>2505</v>
      </c>
      <c r="E1631" s="50" t="b">
        <v>1</v>
      </c>
      <c r="F1631" s="72" t="str">
        <f>HYPERLINK("http://nsgreg.nga.mil/genc/view?v=293358&amp;end_month=6&amp;end_day=30&amp;end_year=2019","Fljótsdalshérað")</f>
        <v>Fljótsdalshérað</v>
      </c>
      <c r="G1631" s="72" t="str">
        <f>HYPERLINK("http://api.nsgreg.nga.mil/geo-division/GENC/6/3-11/IS-27","as:GENC:6:3-11:IS-27")</f>
        <v>as:GENC:6:3-11:IS-27</v>
      </c>
    </row>
    <row r="1632" spans="1:7" x14ac:dyDescent="0.25">
      <c r="A1632" s="112"/>
      <c r="B1632" s="21" t="s">
        <v>4914</v>
      </c>
      <c r="C1632" s="21" t="s">
        <v>4915</v>
      </c>
      <c r="D1632" s="21" t="s">
        <v>2505</v>
      </c>
      <c r="E1632" s="50" t="b">
        <v>1</v>
      </c>
      <c r="F1632" s="72" t="str">
        <f>HYPERLINK("http://nsgreg.nga.mil/genc/view?v=293359&amp;end_month=6&amp;end_day=30&amp;end_year=2019","Fljótsdalshreppur")</f>
        <v>Fljótsdalshreppur</v>
      </c>
      <c r="G1632" s="72" t="str">
        <f>HYPERLINK("http://api.nsgreg.nga.mil/geo-division/GENC/6/3-11/IS-28","as:GENC:6:3-11:IS-28")</f>
        <v>as:GENC:6:3-11:IS-28</v>
      </c>
    </row>
    <row r="1633" spans="1:7" x14ac:dyDescent="0.25">
      <c r="A1633" s="112"/>
      <c r="B1633" s="21" t="s">
        <v>4916</v>
      </c>
      <c r="C1633" s="21" t="s">
        <v>4917</v>
      </c>
      <c r="D1633" s="21" t="s">
        <v>2505</v>
      </c>
      <c r="E1633" s="50" t="b">
        <v>1</v>
      </c>
      <c r="F1633" s="72" t="str">
        <f>HYPERLINK("http://nsgreg.nga.mil/genc/view?v=293360&amp;end_month=6&amp;end_day=30&amp;end_year=2019","Flóahreppur")</f>
        <v>Flóahreppur</v>
      </c>
      <c r="G1633" s="72" t="str">
        <f>HYPERLINK("http://api.nsgreg.nga.mil/geo-division/GENC/6/3-11/IS-29","as:GENC:6:3-11:IS-29")</f>
        <v>as:GENC:6:3-11:IS-29</v>
      </c>
    </row>
    <row r="1634" spans="1:7" x14ac:dyDescent="0.25">
      <c r="A1634" s="112"/>
      <c r="B1634" s="21" t="s">
        <v>4918</v>
      </c>
      <c r="C1634" s="21" t="s">
        <v>4919</v>
      </c>
      <c r="D1634" s="21" t="s">
        <v>2505</v>
      </c>
      <c r="E1634" s="50" t="b">
        <v>1</v>
      </c>
      <c r="F1634" s="72" t="str">
        <f>HYPERLINK("http://nsgreg.nga.mil/genc/view?v=293362&amp;end_month=6&amp;end_day=30&amp;end_year=2019","Garðabær")</f>
        <v>Garðabær</v>
      </c>
      <c r="G1634" s="72" t="str">
        <f>HYPERLINK("http://api.nsgreg.nga.mil/geo-division/GENC/6/3-11/IS-30","as:GENC:6:3-11:IS-30")</f>
        <v>as:GENC:6:3-11:IS-30</v>
      </c>
    </row>
    <row r="1635" spans="1:7" x14ac:dyDescent="0.25">
      <c r="A1635" s="112"/>
      <c r="B1635" s="21" t="s">
        <v>4920</v>
      </c>
      <c r="C1635" s="21" t="s">
        <v>4921</v>
      </c>
      <c r="D1635" s="21" t="s">
        <v>2505</v>
      </c>
      <c r="E1635" s="50" t="b">
        <v>1</v>
      </c>
      <c r="F1635" s="72" t="str">
        <f>HYPERLINK("http://nsgreg.nga.mil/genc/view?v=293363&amp;end_month=6&amp;end_day=30&amp;end_year=2019","Grímsnes- og Grafningshreppur")</f>
        <v>Grímsnes- og Grafningshreppur</v>
      </c>
      <c r="G1635" s="72" t="str">
        <f>HYPERLINK("http://api.nsgreg.nga.mil/geo-division/GENC/6/3-11/IS-31","as:GENC:6:3-11:IS-31")</f>
        <v>as:GENC:6:3-11:IS-31</v>
      </c>
    </row>
    <row r="1636" spans="1:7" x14ac:dyDescent="0.25">
      <c r="A1636" s="112"/>
      <c r="B1636" s="21" t="s">
        <v>4922</v>
      </c>
      <c r="C1636" s="21" t="s">
        <v>4923</v>
      </c>
      <c r="D1636" s="21" t="s">
        <v>2505</v>
      </c>
      <c r="E1636" s="50" t="b">
        <v>1</v>
      </c>
      <c r="F1636" s="72" t="str">
        <f>HYPERLINK("http://nsgreg.nga.mil/genc/view?v=293364&amp;end_month=6&amp;end_day=30&amp;end_year=2019","Grindavíkurbær")</f>
        <v>Grindavíkurbær</v>
      </c>
      <c r="G1636" s="72" t="str">
        <f>HYPERLINK("http://api.nsgreg.nga.mil/geo-division/GENC/6/3-11/IS-32","as:GENC:6:3-11:IS-32")</f>
        <v>as:GENC:6:3-11:IS-32</v>
      </c>
    </row>
    <row r="1637" spans="1:7" x14ac:dyDescent="0.25">
      <c r="A1637" s="112"/>
      <c r="B1637" s="21" t="s">
        <v>4924</v>
      </c>
      <c r="C1637" s="21" t="s">
        <v>4925</v>
      </c>
      <c r="D1637" s="21" t="s">
        <v>2505</v>
      </c>
      <c r="E1637" s="50" t="b">
        <v>1</v>
      </c>
      <c r="F1637" s="72" t="str">
        <f>HYPERLINK("http://nsgreg.nga.mil/genc/view?v=293365&amp;end_month=6&amp;end_day=30&amp;end_year=2019","Grundarfjarðarbær")</f>
        <v>Grundarfjarðarbær</v>
      </c>
      <c r="G1637" s="72" t="str">
        <f>HYPERLINK("http://api.nsgreg.nga.mil/geo-division/GENC/6/3-11/IS-33","as:GENC:6:3-11:IS-33")</f>
        <v>as:GENC:6:3-11:IS-33</v>
      </c>
    </row>
    <row r="1638" spans="1:7" x14ac:dyDescent="0.25">
      <c r="A1638" s="112"/>
      <c r="B1638" s="21" t="s">
        <v>4926</v>
      </c>
      <c r="C1638" s="21" t="s">
        <v>4927</v>
      </c>
      <c r="D1638" s="21" t="s">
        <v>2505</v>
      </c>
      <c r="E1638" s="50" t="b">
        <v>1</v>
      </c>
      <c r="F1638" s="72" t="str">
        <f>HYPERLINK("http://nsgreg.nga.mil/genc/view?v=293366&amp;end_month=6&amp;end_day=30&amp;end_year=2019","Grýtubakkahreppur")</f>
        <v>Grýtubakkahreppur</v>
      </c>
      <c r="G1638" s="72" t="str">
        <f>HYPERLINK("http://api.nsgreg.nga.mil/geo-division/GENC/6/3-11/IS-34","as:GENC:6:3-11:IS-34")</f>
        <v>as:GENC:6:3-11:IS-34</v>
      </c>
    </row>
    <row r="1639" spans="1:7" x14ac:dyDescent="0.25">
      <c r="A1639" s="112"/>
      <c r="B1639" s="21" t="s">
        <v>4928</v>
      </c>
      <c r="C1639" s="21" t="s">
        <v>4929</v>
      </c>
      <c r="D1639" s="21" t="s">
        <v>2505</v>
      </c>
      <c r="E1639" s="50" t="b">
        <v>1</v>
      </c>
      <c r="F1639" s="72" t="str">
        <f>HYPERLINK("http://nsgreg.nga.mil/genc/view?v=293367&amp;end_month=6&amp;end_day=30&amp;end_year=2019","Hafnarfjörður")</f>
        <v>Hafnarfjörður</v>
      </c>
      <c r="G1639" s="72" t="str">
        <f>HYPERLINK("http://api.nsgreg.nga.mil/geo-division/GENC/6/3-11/IS-35","as:GENC:6:3-11:IS-35")</f>
        <v>as:GENC:6:3-11:IS-35</v>
      </c>
    </row>
    <row r="1640" spans="1:7" x14ac:dyDescent="0.25">
      <c r="A1640" s="112"/>
      <c r="B1640" s="21" t="s">
        <v>4930</v>
      </c>
      <c r="C1640" s="21" t="s">
        <v>4931</v>
      </c>
      <c r="D1640" s="21" t="s">
        <v>2505</v>
      </c>
      <c r="E1640" s="50" t="b">
        <v>1</v>
      </c>
      <c r="F1640" s="72" t="str">
        <f>HYPERLINK("http://nsgreg.nga.mil/genc/view?v=293368&amp;end_month=6&amp;end_day=30&amp;end_year=2019","Helgafellssveit")</f>
        <v>Helgafellssveit</v>
      </c>
      <c r="G1640" s="72" t="str">
        <f>HYPERLINK("http://api.nsgreg.nga.mil/geo-division/GENC/6/3-11/IS-36","as:GENC:6:3-11:IS-36")</f>
        <v>as:GENC:6:3-11:IS-36</v>
      </c>
    </row>
    <row r="1641" spans="1:7" x14ac:dyDescent="0.25">
      <c r="A1641" s="112"/>
      <c r="B1641" s="21" t="s">
        <v>4932</v>
      </c>
      <c r="C1641" s="21" t="s">
        <v>4933</v>
      </c>
      <c r="D1641" s="21" t="s">
        <v>2505</v>
      </c>
      <c r="E1641" s="50" t="b">
        <v>1</v>
      </c>
      <c r="F1641" s="72" t="str">
        <f>HYPERLINK("http://nsgreg.nga.mil/genc/view?v=293369&amp;end_month=6&amp;end_day=30&amp;end_year=2019","Hörgársveit")</f>
        <v>Hörgársveit</v>
      </c>
      <c r="G1641" s="72" t="str">
        <f>HYPERLINK("http://api.nsgreg.nga.mil/geo-division/GENC/6/3-11/IS-37","as:GENC:6:3-11:IS-37")</f>
        <v>as:GENC:6:3-11:IS-37</v>
      </c>
    </row>
    <row r="1642" spans="1:7" x14ac:dyDescent="0.25">
      <c r="A1642" s="112"/>
      <c r="B1642" s="21" t="s">
        <v>4934</v>
      </c>
      <c r="C1642" s="21" t="s">
        <v>4935</v>
      </c>
      <c r="D1642" s="21" t="s">
        <v>2505</v>
      </c>
      <c r="E1642" s="50" t="b">
        <v>1</v>
      </c>
      <c r="F1642" s="72" t="str">
        <f>HYPERLINK("http://nsgreg.nga.mil/genc/view?v=293370&amp;end_month=6&amp;end_day=30&amp;end_year=2019","Hrunamannahreppur")</f>
        <v>Hrunamannahreppur</v>
      </c>
      <c r="G1642" s="72" t="str">
        <f>HYPERLINK("http://api.nsgreg.nga.mil/geo-division/GENC/6/3-11/IS-38","as:GENC:6:3-11:IS-38")</f>
        <v>as:GENC:6:3-11:IS-38</v>
      </c>
    </row>
    <row r="1643" spans="1:7" x14ac:dyDescent="0.25">
      <c r="A1643" s="112"/>
      <c r="B1643" s="21" t="s">
        <v>4936</v>
      </c>
      <c r="C1643" s="21" t="s">
        <v>4937</v>
      </c>
      <c r="D1643" s="21" t="s">
        <v>2505</v>
      </c>
      <c r="E1643" s="50" t="b">
        <v>1</v>
      </c>
      <c r="F1643" s="72" t="str">
        <f>HYPERLINK("http://nsgreg.nga.mil/genc/view?v=293371&amp;end_month=6&amp;end_day=30&amp;end_year=2019","Húnaþing Vestra")</f>
        <v>Húnaþing Vestra</v>
      </c>
      <c r="G1643" s="72" t="str">
        <f>HYPERLINK("http://api.nsgreg.nga.mil/geo-division/GENC/6/3-11/IS-39","as:GENC:6:3-11:IS-39")</f>
        <v>as:GENC:6:3-11:IS-39</v>
      </c>
    </row>
    <row r="1644" spans="1:7" x14ac:dyDescent="0.25">
      <c r="A1644" s="112"/>
      <c r="B1644" s="21" t="s">
        <v>4938</v>
      </c>
      <c r="C1644" s="21" t="s">
        <v>4939</v>
      </c>
      <c r="D1644" s="21" t="s">
        <v>2505</v>
      </c>
      <c r="E1644" s="50" t="b">
        <v>1</v>
      </c>
      <c r="F1644" s="72" t="str">
        <f>HYPERLINK("http://nsgreg.nga.mil/genc/view?v=293373&amp;end_month=6&amp;end_day=30&amp;end_year=2019","Húnavatnshreppur")</f>
        <v>Húnavatnshreppur</v>
      </c>
      <c r="G1644" s="72" t="str">
        <f>HYPERLINK("http://api.nsgreg.nga.mil/geo-division/GENC/6/3-11/IS-40","as:GENC:6:3-11:IS-40")</f>
        <v>as:GENC:6:3-11:IS-40</v>
      </c>
    </row>
    <row r="1645" spans="1:7" x14ac:dyDescent="0.25">
      <c r="A1645" s="112"/>
      <c r="B1645" s="21" t="s">
        <v>4940</v>
      </c>
      <c r="C1645" s="21" t="s">
        <v>4941</v>
      </c>
      <c r="D1645" s="21" t="s">
        <v>2505</v>
      </c>
      <c r="E1645" s="50" t="b">
        <v>1</v>
      </c>
      <c r="F1645" s="72" t="str">
        <f>HYPERLINK("http://nsgreg.nga.mil/genc/view?v=293374&amp;end_month=6&amp;end_day=30&amp;end_year=2019","Hvalfjarðarsveit")</f>
        <v>Hvalfjarðarsveit</v>
      </c>
      <c r="G1645" s="72" t="str">
        <f>HYPERLINK("http://api.nsgreg.nga.mil/geo-division/GENC/6/3-11/IS-41","as:GENC:6:3-11:IS-41")</f>
        <v>as:GENC:6:3-11:IS-41</v>
      </c>
    </row>
    <row r="1646" spans="1:7" x14ac:dyDescent="0.25">
      <c r="A1646" s="112"/>
      <c r="B1646" s="21" t="s">
        <v>4942</v>
      </c>
      <c r="C1646" s="21" t="s">
        <v>4943</v>
      </c>
      <c r="D1646" s="21" t="s">
        <v>2505</v>
      </c>
      <c r="E1646" s="50" t="b">
        <v>1</v>
      </c>
      <c r="F1646" s="72" t="str">
        <f>HYPERLINK("http://nsgreg.nga.mil/genc/view?v=293375&amp;end_month=6&amp;end_day=30&amp;end_year=2019","Hveragerði")</f>
        <v>Hveragerði</v>
      </c>
      <c r="G1646" s="72" t="str">
        <f>HYPERLINK("http://api.nsgreg.nga.mil/geo-division/GENC/6/3-11/IS-42","as:GENC:6:3-11:IS-42")</f>
        <v>as:GENC:6:3-11:IS-42</v>
      </c>
    </row>
    <row r="1647" spans="1:7" x14ac:dyDescent="0.25">
      <c r="A1647" s="112"/>
      <c r="B1647" s="21" t="s">
        <v>4944</v>
      </c>
      <c r="C1647" s="21" t="s">
        <v>4945</v>
      </c>
      <c r="D1647" s="21" t="s">
        <v>2505</v>
      </c>
      <c r="E1647" s="50" t="b">
        <v>1</v>
      </c>
      <c r="F1647" s="72" t="str">
        <f>HYPERLINK("http://nsgreg.nga.mil/genc/view?v=293376&amp;end_month=6&amp;end_day=30&amp;end_year=2019","Ísafjarðarbær")</f>
        <v>Ísafjarðarbær</v>
      </c>
      <c r="G1647" s="72" t="str">
        <f>HYPERLINK("http://api.nsgreg.nga.mil/geo-division/GENC/6/3-11/IS-43","as:GENC:6:3-11:IS-43")</f>
        <v>as:GENC:6:3-11:IS-43</v>
      </c>
    </row>
    <row r="1648" spans="1:7" x14ac:dyDescent="0.25">
      <c r="A1648" s="112"/>
      <c r="B1648" s="21" t="s">
        <v>4946</v>
      </c>
      <c r="C1648" s="21" t="s">
        <v>4947</v>
      </c>
      <c r="D1648" s="21" t="s">
        <v>2505</v>
      </c>
      <c r="E1648" s="50" t="b">
        <v>1</v>
      </c>
      <c r="F1648" s="72" t="str">
        <f>HYPERLINK("http://nsgreg.nga.mil/genc/view?v=293377&amp;end_month=6&amp;end_day=30&amp;end_year=2019","Kaldrananeshreppur")</f>
        <v>Kaldrananeshreppur</v>
      </c>
      <c r="G1648" s="72" t="str">
        <f>HYPERLINK("http://api.nsgreg.nga.mil/geo-division/GENC/6/3-11/IS-44","as:GENC:6:3-11:IS-44")</f>
        <v>as:GENC:6:3-11:IS-44</v>
      </c>
    </row>
    <row r="1649" spans="1:7" x14ac:dyDescent="0.25">
      <c r="A1649" s="112"/>
      <c r="B1649" s="21" t="s">
        <v>4948</v>
      </c>
      <c r="C1649" s="21" t="s">
        <v>4949</v>
      </c>
      <c r="D1649" s="21" t="s">
        <v>2505</v>
      </c>
      <c r="E1649" s="50" t="b">
        <v>1</v>
      </c>
      <c r="F1649" s="72" t="str">
        <f>HYPERLINK("http://nsgreg.nga.mil/genc/view?v=293378&amp;end_month=6&amp;end_day=30&amp;end_year=2019","Kjósarhreppur")</f>
        <v>Kjósarhreppur</v>
      </c>
      <c r="G1649" s="72" t="str">
        <f>HYPERLINK("http://api.nsgreg.nga.mil/geo-division/GENC/6/3-11/IS-45","as:GENC:6:3-11:IS-45")</f>
        <v>as:GENC:6:3-11:IS-45</v>
      </c>
    </row>
    <row r="1650" spans="1:7" x14ac:dyDescent="0.25">
      <c r="A1650" s="112"/>
      <c r="B1650" s="21" t="s">
        <v>4950</v>
      </c>
      <c r="C1650" s="21" t="s">
        <v>4951</v>
      </c>
      <c r="D1650" s="21" t="s">
        <v>2505</v>
      </c>
      <c r="E1650" s="50" t="b">
        <v>1</v>
      </c>
      <c r="F1650" s="72" t="str">
        <f>HYPERLINK("http://nsgreg.nga.mil/genc/view?v=293379&amp;end_month=6&amp;end_day=30&amp;end_year=2019","Kópavogur")</f>
        <v>Kópavogur</v>
      </c>
      <c r="G1650" s="72" t="str">
        <f>HYPERLINK("http://api.nsgreg.nga.mil/geo-division/GENC/6/3-11/IS-46","as:GENC:6:3-11:IS-46")</f>
        <v>as:GENC:6:3-11:IS-46</v>
      </c>
    </row>
    <row r="1651" spans="1:7" x14ac:dyDescent="0.25">
      <c r="A1651" s="112"/>
      <c r="B1651" s="21" t="s">
        <v>4952</v>
      </c>
      <c r="C1651" s="21" t="s">
        <v>4953</v>
      </c>
      <c r="D1651" s="21" t="s">
        <v>2505</v>
      </c>
      <c r="E1651" s="50" t="b">
        <v>1</v>
      </c>
      <c r="F1651" s="72" t="str">
        <f>HYPERLINK("http://nsgreg.nga.mil/genc/view?v=293380&amp;end_month=6&amp;end_day=30&amp;end_year=2019","Langanesbyggð")</f>
        <v>Langanesbyggð</v>
      </c>
      <c r="G1651" s="72" t="str">
        <f>HYPERLINK("http://api.nsgreg.nga.mil/geo-division/GENC/6/3-11/IS-47","as:GENC:6:3-11:IS-47")</f>
        <v>as:GENC:6:3-11:IS-47</v>
      </c>
    </row>
    <row r="1652" spans="1:7" x14ac:dyDescent="0.25">
      <c r="A1652" s="112"/>
      <c r="B1652" s="21" t="s">
        <v>4954</v>
      </c>
      <c r="C1652" s="21" t="s">
        <v>4955</v>
      </c>
      <c r="D1652" s="21" t="s">
        <v>2505</v>
      </c>
      <c r="E1652" s="50" t="b">
        <v>1</v>
      </c>
      <c r="F1652" s="72" t="str">
        <f>HYPERLINK("http://nsgreg.nga.mil/genc/view?v=293381&amp;end_month=6&amp;end_day=30&amp;end_year=2019","Mosfellsbær")</f>
        <v>Mosfellsbær</v>
      </c>
      <c r="G1652" s="72" t="str">
        <f>HYPERLINK("http://api.nsgreg.nga.mil/geo-division/GENC/6/3-11/IS-48","as:GENC:6:3-11:IS-48")</f>
        <v>as:GENC:6:3-11:IS-48</v>
      </c>
    </row>
    <row r="1653" spans="1:7" x14ac:dyDescent="0.25">
      <c r="A1653" s="112"/>
      <c r="B1653" s="21" t="s">
        <v>4956</v>
      </c>
      <c r="C1653" s="21" t="s">
        <v>4957</v>
      </c>
      <c r="D1653" s="21" t="s">
        <v>2505</v>
      </c>
      <c r="E1653" s="50" t="b">
        <v>1</v>
      </c>
      <c r="F1653" s="72" t="str">
        <f>HYPERLINK("http://nsgreg.nga.mil/genc/view?v=293382&amp;end_month=6&amp;end_day=30&amp;end_year=2019","Mýrdalshreppur")</f>
        <v>Mýrdalshreppur</v>
      </c>
      <c r="G1653" s="72" t="str">
        <f>HYPERLINK("http://api.nsgreg.nga.mil/geo-division/GENC/6/3-11/IS-49","as:GENC:6:3-11:IS-49")</f>
        <v>as:GENC:6:3-11:IS-49</v>
      </c>
    </row>
    <row r="1654" spans="1:7" x14ac:dyDescent="0.25">
      <c r="A1654" s="112"/>
      <c r="B1654" s="21" t="s">
        <v>4958</v>
      </c>
      <c r="C1654" s="21" t="s">
        <v>4959</v>
      </c>
      <c r="D1654" s="21" t="s">
        <v>2505</v>
      </c>
      <c r="E1654" s="50" t="b">
        <v>1</v>
      </c>
      <c r="F1654" s="72" t="str">
        <f>HYPERLINK("http://nsgreg.nga.mil/genc/view?v=293384&amp;end_month=6&amp;end_day=30&amp;end_year=2019","Norðurþing")</f>
        <v>Norðurþing</v>
      </c>
      <c r="G1654" s="72" t="str">
        <f>HYPERLINK("http://api.nsgreg.nga.mil/geo-division/GENC/6/3-11/IS-50","as:GENC:6:3-11:IS-50")</f>
        <v>as:GENC:6:3-11:IS-50</v>
      </c>
    </row>
    <row r="1655" spans="1:7" x14ac:dyDescent="0.25">
      <c r="A1655" s="112"/>
      <c r="B1655" s="21" t="s">
        <v>4960</v>
      </c>
      <c r="C1655" s="21" t="s">
        <v>4961</v>
      </c>
      <c r="D1655" s="21" t="s">
        <v>2505</v>
      </c>
      <c r="E1655" s="50" t="b">
        <v>1</v>
      </c>
      <c r="F1655" s="72" t="str">
        <f>HYPERLINK("http://nsgreg.nga.mil/genc/view?v=293385&amp;end_month=6&amp;end_day=30&amp;end_year=2019","Rangárþing Eystra")</f>
        <v>Rangárþing Eystra</v>
      </c>
      <c r="G1655" s="72" t="str">
        <f>HYPERLINK("http://api.nsgreg.nga.mil/geo-division/GENC/6/3-11/IS-51","as:GENC:6:3-11:IS-51")</f>
        <v>as:GENC:6:3-11:IS-51</v>
      </c>
    </row>
    <row r="1656" spans="1:7" x14ac:dyDescent="0.25">
      <c r="A1656" s="112"/>
      <c r="B1656" s="21" t="s">
        <v>4962</v>
      </c>
      <c r="C1656" s="21" t="s">
        <v>4963</v>
      </c>
      <c r="D1656" s="21" t="s">
        <v>2505</v>
      </c>
      <c r="E1656" s="50" t="b">
        <v>1</v>
      </c>
      <c r="F1656" s="72" t="str">
        <f>HYPERLINK("http://nsgreg.nga.mil/genc/view?v=293386&amp;end_month=6&amp;end_day=30&amp;end_year=2019","Rangárþing Ytra")</f>
        <v>Rangárþing Ytra</v>
      </c>
      <c r="G1656" s="72" t="str">
        <f>HYPERLINK("http://api.nsgreg.nga.mil/geo-division/GENC/6/3-11/IS-52","as:GENC:6:3-11:IS-52")</f>
        <v>as:GENC:6:3-11:IS-52</v>
      </c>
    </row>
    <row r="1657" spans="1:7" x14ac:dyDescent="0.25">
      <c r="A1657" s="112"/>
      <c r="B1657" s="21" t="s">
        <v>4964</v>
      </c>
      <c r="C1657" s="21" t="s">
        <v>4965</v>
      </c>
      <c r="D1657" s="21" t="s">
        <v>2505</v>
      </c>
      <c r="E1657" s="50" t="b">
        <v>1</v>
      </c>
      <c r="F1657" s="72" t="str">
        <f>HYPERLINK("http://nsgreg.nga.mil/genc/view?v=293387&amp;end_month=6&amp;end_day=30&amp;end_year=2019","Reykhólahreppur")</f>
        <v>Reykhólahreppur</v>
      </c>
      <c r="G1657" s="72" t="str">
        <f>HYPERLINK("http://api.nsgreg.nga.mil/geo-division/GENC/6/3-11/IS-53","as:GENC:6:3-11:IS-53")</f>
        <v>as:GENC:6:3-11:IS-53</v>
      </c>
    </row>
    <row r="1658" spans="1:7" x14ac:dyDescent="0.25">
      <c r="A1658" s="112"/>
      <c r="B1658" s="21" t="s">
        <v>4966</v>
      </c>
      <c r="C1658" s="21" t="s">
        <v>4967</v>
      </c>
      <c r="D1658" s="21" t="s">
        <v>2505</v>
      </c>
      <c r="E1658" s="50" t="b">
        <v>1</v>
      </c>
      <c r="F1658" s="72" t="str">
        <f>HYPERLINK("http://nsgreg.nga.mil/genc/view?v=293388&amp;end_month=6&amp;end_day=30&amp;end_year=2019","Reykjanesbær")</f>
        <v>Reykjanesbær</v>
      </c>
      <c r="G1658" s="72" t="str">
        <f>HYPERLINK("http://api.nsgreg.nga.mil/geo-division/GENC/6/3-11/IS-54","as:GENC:6:3-11:IS-54")</f>
        <v>as:GENC:6:3-11:IS-54</v>
      </c>
    </row>
    <row r="1659" spans="1:7" x14ac:dyDescent="0.25">
      <c r="A1659" s="112"/>
      <c r="B1659" s="21" t="s">
        <v>4968</v>
      </c>
      <c r="C1659" s="21" t="s">
        <v>4969</v>
      </c>
      <c r="D1659" s="21" t="s">
        <v>2505</v>
      </c>
      <c r="E1659" s="50" t="b">
        <v>1</v>
      </c>
      <c r="F1659" s="72" t="str">
        <f>HYPERLINK("http://nsgreg.nga.mil/genc/view?v=293389&amp;end_month=6&amp;end_day=30&amp;end_year=2019","Reykjavík")</f>
        <v>Reykjavík</v>
      </c>
      <c r="G1659" s="72" t="str">
        <f>HYPERLINK("http://api.nsgreg.nga.mil/geo-division/GENC/6/3-11/IS-55","as:GENC:6:3-11:IS-55")</f>
        <v>as:GENC:6:3-11:IS-55</v>
      </c>
    </row>
    <row r="1660" spans="1:7" x14ac:dyDescent="0.25">
      <c r="A1660" s="112"/>
      <c r="B1660" s="21" t="s">
        <v>4970</v>
      </c>
      <c r="C1660" s="21" t="s">
        <v>4971</v>
      </c>
      <c r="D1660" s="21" t="s">
        <v>2505</v>
      </c>
      <c r="E1660" s="50" t="b">
        <v>1</v>
      </c>
      <c r="F1660" s="72" t="str">
        <f>HYPERLINK("http://nsgreg.nga.mil/genc/view?v=293390&amp;end_month=6&amp;end_day=30&amp;end_year=2019","Sandgerði")</f>
        <v>Sandgerði</v>
      </c>
      <c r="G1660" s="72" t="str">
        <f>HYPERLINK("http://api.nsgreg.nga.mil/geo-division/GENC/6/3-11/IS-56","as:GENC:6:3-11:IS-56")</f>
        <v>as:GENC:6:3-11:IS-56</v>
      </c>
    </row>
    <row r="1661" spans="1:7" x14ac:dyDescent="0.25">
      <c r="A1661" s="112"/>
      <c r="B1661" s="21" t="s">
        <v>4972</v>
      </c>
      <c r="C1661" s="21" t="s">
        <v>4973</v>
      </c>
      <c r="D1661" s="21" t="s">
        <v>2505</v>
      </c>
      <c r="E1661" s="50" t="b">
        <v>1</v>
      </c>
      <c r="F1661" s="72" t="str">
        <f>HYPERLINK("http://nsgreg.nga.mil/genc/view?v=293391&amp;end_month=6&amp;end_day=30&amp;end_year=2019","Seltjarnarnes")</f>
        <v>Seltjarnarnes</v>
      </c>
      <c r="G1661" s="72" t="str">
        <f>HYPERLINK("http://api.nsgreg.nga.mil/geo-division/GENC/6/3-11/IS-57","as:GENC:6:3-11:IS-57")</f>
        <v>as:GENC:6:3-11:IS-57</v>
      </c>
    </row>
    <row r="1662" spans="1:7" x14ac:dyDescent="0.25">
      <c r="A1662" s="112"/>
      <c r="B1662" s="21" t="s">
        <v>4974</v>
      </c>
      <c r="C1662" s="21" t="s">
        <v>4975</v>
      </c>
      <c r="D1662" s="21" t="s">
        <v>2505</v>
      </c>
      <c r="E1662" s="50" t="b">
        <v>1</v>
      </c>
      <c r="F1662" s="72" t="str">
        <f>HYPERLINK("http://nsgreg.nga.mil/genc/view?v=293392&amp;end_month=6&amp;end_day=30&amp;end_year=2019","Seyðisfjörður")</f>
        <v>Seyðisfjörður</v>
      </c>
      <c r="G1662" s="72" t="str">
        <f>HYPERLINK("http://api.nsgreg.nga.mil/geo-division/GENC/6/3-11/IS-58","as:GENC:6:3-11:IS-58")</f>
        <v>as:GENC:6:3-11:IS-58</v>
      </c>
    </row>
    <row r="1663" spans="1:7" x14ac:dyDescent="0.25">
      <c r="A1663" s="112"/>
      <c r="B1663" s="21" t="s">
        <v>4976</v>
      </c>
      <c r="C1663" s="21" t="s">
        <v>4977</v>
      </c>
      <c r="D1663" s="21" t="s">
        <v>2505</v>
      </c>
      <c r="E1663" s="50" t="b">
        <v>1</v>
      </c>
      <c r="F1663" s="72" t="str">
        <f>HYPERLINK("http://nsgreg.nga.mil/genc/view?v=293393&amp;end_month=6&amp;end_day=30&amp;end_year=2019","Skaftárhreppur")</f>
        <v>Skaftárhreppur</v>
      </c>
      <c r="G1663" s="72" t="str">
        <f>HYPERLINK("http://api.nsgreg.nga.mil/geo-division/GENC/6/3-11/IS-59","as:GENC:6:3-11:IS-59")</f>
        <v>as:GENC:6:3-11:IS-59</v>
      </c>
    </row>
    <row r="1664" spans="1:7" x14ac:dyDescent="0.25">
      <c r="A1664" s="112"/>
      <c r="B1664" s="21" t="s">
        <v>4978</v>
      </c>
      <c r="C1664" s="21" t="s">
        <v>4979</v>
      </c>
      <c r="D1664" s="21" t="s">
        <v>2505</v>
      </c>
      <c r="E1664" s="50" t="b">
        <v>1</v>
      </c>
      <c r="F1664" s="72" t="str">
        <f>HYPERLINK("http://nsgreg.nga.mil/genc/view?v=293395&amp;end_month=6&amp;end_day=30&amp;end_year=2019","Skagabyggð")</f>
        <v>Skagabyggð</v>
      </c>
      <c r="G1664" s="72" t="str">
        <f>HYPERLINK("http://api.nsgreg.nga.mil/geo-division/GENC/6/3-11/IS-60","as:GENC:6:3-11:IS-60")</f>
        <v>as:GENC:6:3-11:IS-60</v>
      </c>
    </row>
    <row r="1665" spans="1:7" x14ac:dyDescent="0.25">
      <c r="A1665" s="112"/>
      <c r="B1665" s="21" t="s">
        <v>4980</v>
      </c>
      <c r="C1665" s="21" t="s">
        <v>4981</v>
      </c>
      <c r="D1665" s="21" t="s">
        <v>2505</v>
      </c>
      <c r="E1665" s="50" t="b">
        <v>1</v>
      </c>
      <c r="F1665" s="72" t="str">
        <f>HYPERLINK("http://nsgreg.nga.mil/genc/view?v=293396&amp;end_month=6&amp;end_day=30&amp;end_year=2019","Skeiða- og Gnúpverjahreppur")</f>
        <v>Skeiða- og Gnúpverjahreppur</v>
      </c>
      <c r="G1665" s="72" t="str">
        <f>HYPERLINK("http://api.nsgreg.nga.mil/geo-division/GENC/6/3-11/IS-61","as:GENC:6:3-11:IS-61")</f>
        <v>as:GENC:6:3-11:IS-61</v>
      </c>
    </row>
    <row r="1666" spans="1:7" x14ac:dyDescent="0.25">
      <c r="A1666" s="112"/>
      <c r="B1666" s="21" t="s">
        <v>4982</v>
      </c>
      <c r="C1666" s="21" t="s">
        <v>4983</v>
      </c>
      <c r="D1666" s="21" t="s">
        <v>2505</v>
      </c>
      <c r="E1666" s="50" t="b">
        <v>1</v>
      </c>
      <c r="F1666" s="72" t="str">
        <f>HYPERLINK("http://nsgreg.nga.mil/genc/view?v=293397&amp;end_month=6&amp;end_day=30&amp;end_year=2019","Skorradalshreppur")</f>
        <v>Skorradalshreppur</v>
      </c>
      <c r="G1666" s="72" t="str">
        <f>HYPERLINK("http://api.nsgreg.nga.mil/geo-division/GENC/6/3-11/IS-62","as:GENC:6:3-11:IS-62")</f>
        <v>as:GENC:6:3-11:IS-62</v>
      </c>
    </row>
    <row r="1667" spans="1:7" x14ac:dyDescent="0.25">
      <c r="A1667" s="112"/>
      <c r="B1667" s="21" t="s">
        <v>4984</v>
      </c>
      <c r="C1667" s="21" t="s">
        <v>4985</v>
      </c>
      <c r="D1667" s="21" t="s">
        <v>2505</v>
      </c>
      <c r="E1667" s="50" t="b">
        <v>1</v>
      </c>
      <c r="F1667" s="72" t="str">
        <f>HYPERLINK("http://nsgreg.nga.mil/genc/view?v=293398&amp;end_month=6&amp;end_day=30&amp;end_year=2019","Skútustaðahreppur")</f>
        <v>Skútustaðahreppur</v>
      </c>
      <c r="G1667" s="72" t="str">
        <f>HYPERLINK("http://api.nsgreg.nga.mil/geo-division/GENC/6/3-11/IS-63","as:GENC:6:3-11:IS-63")</f>
        <v>as:GENC:6:3-11:IS-63</v>
      </c>
    </row>
    <row r="1668" spans="1:7" x14ac:dyDescent="0.25">
      <c r="A1668" s="112"/>
      <c r="B1668" s="21" t="s">
        <v>4986</v>
      </c>
      <c r="C1668" s="21" t="s">
        <v>4987</v>
      </c>
      <c r="D1668" s="21" t="s">
        <v>2505</v>
      </c>
      <c r="E1668" s="50" t="b">
        <v>1</v>
      </c>
      <c r="F1668" s="72" t="str">
        <f>HYPERLINK("http://nsgreg.nga.mil/genc/view?v=293399&amp;end_month=6&amp;end_day=30&amp;end_year=2019","Snæfellsbær")</f>
        <v>Snæfellsbær</v>
      </c>
      <c r="G1668" s="72" t="str">
        <f>HYPERLINK("http://api.nsgreg.nga.mil/geo-division/GENC/6/3-11/IS-64","as:GENC:6:3-11:IS-64")</f>
        <v>as:GENC:6:3-11:IS-64</v>
      </c>
    </row>
    <row r="1669" spans="1:7" x14ac:dyDescent="0.25">
      <c r="A1669" s="112"/>
      <c r="B1669" s="21" t="s">
        <v>4988</v>
      </c>
      <c r="C1669" s="21" t="s">
        <v>4989</v>
      </c>
      <c r="D1669" s="21" t="s">
        <v>2505</v>
      </c>
      <c r="E1669" s="50" t="b">
        <v>1</v>
      </c>
      <c r="F1669" s="72" t="str">
        <f>HYPERLINK("http://nsgreg.nga.mil/genc/view?v=293400&amp;end_month=6&amp;end_day=30&amp;end_year=2019","Strandabyggð")</f>
        <v>Strandabyggð</v>
      </c>
      <c r="G1669" s="72" t="str">
        <f>HYPERLINK("http://api.nsgreg.nga.mil/geo-division/GENC/6/3-11/IS-65","as:GENC:6:3-11:IS-65")</f>
        <v>as:GENC:6:3-11:IS-65</v>
      </c>
    </row>
    <row r="1670" spans="1:7" x14ac:dyDescent="0.25">
      <c r="A1670" s="112"/>
      <c r="B1670" s="21" t="s">
        <v>4990</v>
      </c>
      <c r="C1670" s="21" t="s">
        <v>4991</v>
      </c>
      <c r="D1670" s="21" t="s">
        <v>2505</v>
      </c>
      <c r="E1670" s="50" t="b">
        <v>1</v>
      </c>
      <c r="F1670" s="72" t="str">
        <f>HYPERLINK("http://nsgreg.nga.mil/genc/view?v=293401&amp;end_month=6&amp;end_day=30&amp;end_year=2019","Stykkishólmur")</f>
        <v>Stykkishólmur</v>
      </c>
      <c r="G1670" s="72" t="str">
        <f>HYPERLINK("http://api.nsgreg.nga.mil/geo-division/GENC/6/3-11/IS-66","as:GENC:6:3-11:IS-66")</f>
        <v>as:GENC:6:3-11:IS-66</v>
      </c>
    </row>
    <row r="1671" spans="1:7" x14ac:dyDescent="0.25">
      <c r="A1671" s="112"/>
      <c r="B1671" s="21" t="s">
        <v>4992</v>
      </c>
      <c r="C1671" s="21" t="s">
        <v>4993</v>
      </c>
      <c r="D1671" s="21" t="s">
        <v>2505</v>
      </c>
      <c r="E1671" s="50" t="b">
        <v>1</v>
      </c>
      <c r="F1671" s="72" t="str">
        <f>HYPERLINK("http://nsgreg.nga.mil/genc/view?v=293402&amp;end_month=6&amp;end_day=30&amp;end_year=2019","Súðavíkurhreppur")</f>
        <v>Súðavíkurhreppur</v>
      </c>
      <c r="G1671" s="72" t="str">
        <f>HYPERLINK("http://api.nsgreg.nga.mil/geo-division/GENC/6/3-11/IS-67","as:GENC:6:3-11:IS-67")</f>
        <v>as:GENC:6:3-11:IS-67</v>
      </c>
    </row>
    <row r="1672" spans="1:7" x14ac:dyDescent="0.25">
      <c r="A1672" s="112"/>
      <c r="B1672" s="21" t="s">
        <v>4994</v>
      </c>
      <c r="C1672" s="21" t="s">
        <v>4995</v>
      </c>
      <c r="D1672" s="21" t="s">
        <v>2505</v>
      </c>
      <c r="E1672" s="50" t="b">
        <v>1</v>
      </c>
      <c r="F1672" s="72" t="str">
        <f>HYPERLINK("http://nsgreg.nga.mil/genc/view?v=293403&amp;end_month=6&amp;end_day=30&amp;end_year=2019","Svalbarðshreppur")</f>
        <v>Svalbarðshreppur</v>
      </c>
      <c r="G1672" s="72" t="str">
        <f>HYPERLINK("http://api.nsgreg.nga.mil/geo-division/GENC/6/3-11/IS-68","as:GENC:6:3-11:IS-68")</f>
        <v>as:GENC:6:3-11:IS-68</v>
      </c>
    </row>
    <row r="1673" spans="1:7" x14ac:dyDescent="0.25">
      <c r="A1673" s="112"/>
      <c r="B1673" s="21" t="s">
        <v>4996</v>
      </c>
      <c r="C1673" s="21" t="s">
        <v>4997</v>
      </c>
      <c r="D1673" s="21" t="s">
        <v>2505</v>
      </c>
      <c r="E1673" s="50" t="b">
        <v>1</v>
      </c>
      <c r="F1673" s="72" t="str">
        <f>HYPERLINK("http://nsgreg.nga.mil/genc/view?v=293404&amp;end_month=6&amp;end_day=30&amp;end_year=2019","Svalbarðsstrandarhreppur")</f>
        <v>Svalbarðsstrandarhreppur</v>
      </c>
      <c r="G1673" s="72" t="str">
        <f>HYPERLINK("http://api.nsgreg.nga.mil/geo-division/GENC/6/3-11/IS-69","as:GENC:6:3-11:IS-69")</f>
        <v>as:GENC:6:3-11:IS-69</v>
      </c>
    </row>
    <row r="1674" spans="1:7" x14ac:dyDescent="0.25">
      <c r="A1674" s="112"/>
      <c r="B1674" s="21" t="s">
        <v>4998</v>
      </c>
      <c r="C1674" s="21" t="s">
        <v>4999</v>
      </c>
      <c r="D1674" s="21" t="s">
        <v>2505</v>
      </c>
      <c r="E1674" s="50" t="b">
        <v>1</v>
      </c>
      <c r="F1674" s="72" t="str">
        <f>HYPERLINK("http://nsgreg.nga.mil/genc/view?v=293406&amp;end_month=6&amp;end_day=30&amp;end_year=2019","Sveitarfélagið Árborg")</f>
        <v>Sveitarfélagið Árborg</v>
      </c>
      <c r="G1674" s="72" t="str">
        <f>HYPERLINK("http://api.nsgreg.nga.mil/geo-division/GENC/6/3-11/IS-70","as:GENC:6:3-11:IS-70")</f>
        <v>as:GENC:6:3-11:IS-70</v>
      </c>
    </row>
    <row r="1675" spans="1:7" x14ac:dyDescent="0.25">
      <c r="A1675" s="112"/>
      <c r="B1675" s="21" t="s">
        <v>5000</v>
      </c>
      <c r="C1675" s="21" t="s">
        <v>5001</v>
      </c>
      <c r="D1675" s="21" t="s">
        <v>2505</v>
      </c>
      <c r="E1675" s="50" t="b">
        <v>1</v>
      </c>
      <c r="F1675" s="72" t="str">
        <f>HYPERLINK("http://nsgreg.nga.mil/genc/view?v=293407&amp;end_month=6&amp;end_day=30&amp;end_year=2019","Sveitarfélagið Garður")</f>
        <v>Sveitarfélagið Garður</v>
      </c>
      <c r="G1675" s="72" t="str">
        <f>HYPERLINK("http://api.nsgreg.nga.mil/geo-division/GENC/6/3-11/IS-71","as:GENC:6:3-11:IS-71")</f>
        <v>as:GENC:6:3-11:IS-71</v>
      </c>
    </row>
    <row r="1676" spans="1:7" x14ac:dyDescent="0.25">
      <c r="A1676" s="112"/>
      <c r="B1676" s="21" t="s">
        <v>5002</v>
      </c>
      <c r="C1676" s="21" t="s">
        <v>5003</v>
      </c>
      <c r="D1676" s="21" t="s">
        <v>2505</v>
      </c>
      <c r="E1676" s="50" t="b">
        <v>1</v>
      </c>
      <c r="F1676" s="72" t="str">
        <f>HYPERLINK("http://nsgreg.nga.mil/genc/view?v=293408&amp;end_month=6&amp;end_day=30&amp;end_year=2019","Sveitarfélagið Hornafjörður")</f>
        <v>Sveitarfélagið Hornafjörður</v>
      </c>
      <c r="G1676" s="72" t="str">
        <f>HYPERLINK("http://api.nsgreg.nga.mil/geo-division/GENC/6/3-11/IS-72","as:GENC:6:3-11:IS-72")</f>
        <v>as:GENC:6:3-11:IS-72</v>
      </c>
    </row>
    <row r="1677" spans="1:7" x14ac:dyDescent="0.25">
      <c r="A1677" s="112"/>
      <c r="B1677" s="21" t="s">
        <v>5004</v>
      </c>
      <c r="C1677" s="21" t="s">
        <v>5005</v>
      </c>
      <c r="D1677" s="21" t="s">
        <v>2505</v>
      </c>
      <c r="E1677" s="50" t="b">
        <v>1</v>
      </c>
      <c r="F1677" s="72" t="str">
        <f>HYPERLINK("http://nsgreg.nga.mil/genc/view?v=293409&amp;end_month=6&amp;end_day=30&amp;end_year=2019","Sveitarfélagið Ölfus")</f>
        <v>Sveitarfélagið Ölfus</v>
      </c>
      <c r="G1677" s="72" t="str">
        <f>HYPERLINK("http://api.nsgreg.nga.mil/geo-division/GENC/6/3-11/IS-73","as:GENC:6:3-11:IS-73")</f>
        <v>as:GENC:6:3-11:IS-73</v>
      </c>
    </row>
    <row r="1678" spans="1:7" x14ac:dyDescent="0.25">
      <c r="A1678" s="112"/>
      <c r="B1678" s="21" t="s">
        <v>5006</v>
      </c>
      <c r="C1678" s="21" t="s">
        <v>5007</v>
      </c>
      <c r="D1678" s="21" t="s">
        <v>2505</v>
      </c>
      <c r="E1678" s="50" t="b">
        <v>1</v>
      </c>
      <c r="F1678" s="72" t="str">
        <f>HYPERLINK("http://nsgreg.nga.mil/genc/view?v=293410&amp;end_month=6&amp;end_day=30&amp;end_year=2019","Sveitarfélagið Skagafjörður")</f>
        <v>Sveitarfélagið Skagafjörður</v>
      </c>
      <c r="G1678" s="72" t="str">
        <f>HYPERLINK("http://api.nsgreg.nga.mil/geo-division/GENC/6/3-11/IS-74","as:GENC:6:3-11:IS-74")</f>
        <v>as:GENC:6:3-11:IS-74</v>
      </c>
    </row>
    <row r="1679" spans="1:7" x14ac:dyDescent="0.25">
      <c r="A1679" s="112"/>
      <c r="B1679" s="21" t="s">
        <v>5008</v>
      </c>
      <c r="C1679" s="21" t="s">
        <v>5009</v>
      </c>
      <c r="D1679" s="21" t="s">
        <v>2505</v>
      </c>
      <c r="E1679" s="50" t="b">
        <v>1</v>
      </c>
      <c r="F1679" s="72" t="str">
        <f>HYPERLINK("http://nsgreg.nga.mil/genc/view?v=293411&amp;end_month=6&amp;end_day=30&amp;end_year=2019","Sveitarfélagið Skagaströnd")</f>
        <v>Sveitarfélagið Skagaströnd</v>
      </c>
      <c r="G1679" s="72" t="str">
        <f>HYPERLINK("http://api.nsgreg.nga.mil/geo-division/GENC/6/3-11/IS-75","as:GENC:6:3-11:IS-75")</f>
        <v>as:GENC:6:3-11:IS-75</v>
      </c>
    </row>
    <row r="1680" spans="1:7" x14ac:dyDescent="0.25">
      <c r="A1680" s="112"/>
      <c r="B1680" s="21" t="s">
        <v>5010</v>
      </c>
      <c r="C1680" s="21" t="s">
        <v>5011</v>
      </c>
      <c r="D1680" s="21" t="s">
        <v>2505</v>
      </c>
      <c r="E1680" s="50" t="b">
        <v>1</v>
      </c>
      <c r="F1680" s="72" t="str">
        <f>HYPERLINK("http://nsgreg.nga.mil/genc/view?v=293412&amp;end_month=6&amp;end_day=30&amp;end_year=2019","Sveitarfélagið Vogar")</f>
        <v>Sveitarfélagið Vogar</v>
      </c>
      <c r="G1680" s="72" t="str">
        <f>HYPERLINK("http://api.nsgreg.nga.mil/geo-division/GENC/6/3-11/IS-76","as:GENC:6:3-11:IS-76")</f>
        <v>as:GENC:6:3-11:IS-76</v>
      </c>
    </row>
    <row r="1681" spans="1:7" x14ac:dyDescent="0.25">
      <c r="A1681" s="112"/>
      <c r="B1681" s="21" t="s">
        <v>5012</v>
      </c>
      <c r="C1681" s="21" t="s">
        <v>5013</v>
      </c>
      <c r="D1681" s="21" t="s">
        <v>2505</v>
      </c>
      <c r="E1681" s="50" t="b">
        <v>1</v>
      </c>
      <c r="F1681" s="72" t="str">
        <f>HYPERLINK("http://nsgreg.nga.mil/genc/view?v=293413&amp;end_month=6&amp;end_day=30&amp;end_year=2019","Tálknafjarðarhreppur")</f>
        <v>Tálknafjarðarhreppur</v>
      </c>
      <c r="G1681" s="72" t="str">
        <f>HYPERLINK("http://api.nsgreg.nga.mil/geo-division/GENC/6/3-11/IS-77","as:GENC:6:3-11:IS-77")</f>
        <v>as:GENC:6:3-11:IS-77</v>
      </c>
    </row>
    <row r="1682" spans="1:7" x14ac:dyDescent="0.25">
      <c r="A1682" s="112"/>
      <c r="B1682" s="21" t="s">
        <v>5014</v>
      </c>
      <c r="C1682" s="21" t="s">
        <v>5015</v>
      </c>
      <c r="D1682" s="21" t="s">
        <v>2505</v>
      </c>
      <c r="E1682" s="50" t="b">
        <v>1</v>
      </c>
      <c r="F1682" s="72" t="str">
        <f>HYPERLINK("http://nsgreg.nga.mil/genc/view?v=293414&amp;end_month=6&amp;end_day=30&amp;end_year=2019","Þingeyjarsveit")</f>
        <v>Þingeyjarsveit</v>
      </c>
      <c r="G1682" s="72" t="str">
        <f>HYPERLINK("http://api.nsgreg.nga.mil/geo-division/GENC/6/3-11/IS-78","as:GENC:6:3-11:IS-78")</f>
        <v>as:GENC:6:3-11:IS-78</v>
      </c>
    </row>
    <row r="1683" spans="1:7" x14ac:dyDescent="0.25">
      <c r="A1683" s="112"/>
      <c r="B1683" s="21" t="s">
        <v>5016</v>
      </c>
      <c r="C1683" s="21" t="s">
        <v>5017</v>
      </c>
      <c r="D1683" s="21" t="s">
        <v>2505</v>
      </c>
      <c r="E1683" s="50" t="b">
        <v>1</v>
      </c>
      <c r="F1683" s="72" t="str">
        <f>HYPERLINK("http://nsgreg.nga.mil/genc/view?v=293415&amp;end_month=6&amp;end_day=30&amp;end_year=2019","Tjörneshreppur")</f>
        <v>Tjörneshreppur</v>
      </c>
      <c r="G1683" s="72" t="str">
        <f>HYPERLINK("http://api.nsgreg.nga.mil/geo-division/GENC/6/3-11/IS-79","as:GENC:6:3-11:IS-79")</f>
        <v>as:GENC:6:3-11:IS-79</v>
      </c>
    </row>
    <row r="1684" spans="1:7" x14ac:dyDescent="0.25">
      <c r="A1684" s="112"/>
      <c r="B1684" s="21" t="s">
        <v>5018</v>
      </c>
      <c r="C1684" s="21" t="s">
        <v>5019</v>
      </c>
      <c r="D1684" s="21" t="s">
        <v>2505</v>
      </c>
      <c r="E1684" s="50" t="b">
        <v>1</v>
      </c>
      <c r="F1684" s="72" t="str">
        <f>HYPERLINK("http://nsgreg.nga.mil/genc/view?v=293417&amp;end_month=6&amp;end_day=30&amp;end_year=2019","Vestmannaeyjar")</f>
        <v>Vestmannaeyjar</v>
      </c>
      <c r="G1684" s="72" t="str">
        <f>HYPERLINK("http://api.nsgreg.nga.mil/geo-division/GENC/6/3-11/IS-80","as:GENC:6:3-11:IS-80")</f>
        <v>as:GENC:6:3-11:IS-80</v>
      </c>
    </row>
    <row r="1685" spans="1:7" x14ac:dyDescent="0.25">
      <c r="A1685" s="112"/>
      <c r="B1685" s="21" t="s">
        <v>5020</v>
      </c>
      <c r="C1685" s="21" t="s">
        <v>5021</v>
      </c>
      <c r="D1685" s="21" t="s">
        <v>2505</v>
      </c>
      <c r="E1685" s="50" t="b">
        <v>1</v>
      </c>
      <c r="F1685" s="72" t="str">
        <f>HYPERLINK("http://nsgreg.nga.mil/genc/view?v=293418&amp;end_month=6&amp;end_day=30&amp;end_year=2019","Vesturbyggð")</f>
        <v>Vesturbyggð</v>
      </c>
      <c r="G1685" s="72" t="str">
        <f>HYPERLINK("http://api.nsgreg.nga.mil/geo-division/GENC/6/3-11/IS-81","as:GENC:6:3-11:IS-81")</f>
        <v>as:GENC:6:3-11:IS-81</v>
      </c>
    </row>
    <row r="1686" spans="1:7" x14ac:dyDescent="0.25">
      <c r="A1686" s="113"/>
      <c r="B1686" s="47" t="s">
        <v>5022</v>
      </c>
      <c r="C1686" s="47" t="s">
        <v>5023</v>
      </c>
      <c r="D1686" s="47" t="s">
        <v>2505</v>
      </c>
      <c r="E1686" s="51" t="b">
        <v>1</v>
      </c>
      <c r="F1686" s="73" t="str">
        <f>HYPERLINK("http://nsgreg.nga.mil/genc/view?v=293419&amp;end_month=6&amp;end_day=30&amp;end_year=2019","Vopnafjarðarhreppur")</f>
        <v>Vopnafjarðarhreppur</v>
      </c>
      <c r="G1686" s="73" t="str">
        <f>HYPERLINK("http://api.nsgreg.nga.mil/geo-division/GENC/6/3-11/IS-82","as:GENC:6:3-11:IS-82")</f>
        <v>as:GENC:6:3-11:IS-82</v>
      </c>
    </row>
    <row r="1687" spans="1:7" x14ac:dyDescent="0.25">
      <c r="A1687" s="111" t="str">
        <f>HYPERLINK("[#]Codes_for_GE_Names!A125:I125","INDIA")</f>
        <v>INDIA</v>
      </c>
      <c r="B1687" s="42" t="s">
        <v>5024</v>
      </c>
      <c r="C1687" s="42" t="s">
        <v>5025</v>
      </c>
      <c r="D1687" s="42" t="s">
        <v>2882</v>
      </c>
      <c r="E1687" s="49" t="b">
        <v>1</v>
      </c>
      <c r="F1687" s="74" t="str">
        <f>HYPERLINK("http://nsgreg.nga.mil/genc/view?v=293254&amp;end_month=6&amp;end_day=30&amp;end_year=2019","Andaman and Nicobar Islands")</f>
        <v>Andaman and Nicobar Islands</v>
      </c>
      <c r="G1687" s="74" t="str">
        <f>HYPERLINK("http://api.nsgreg.nga.mil/geo-division/GENC/6/3-11/IN-AN","as:GENC:6:3-11:IN-AN")</f>
        <v>as:GENC:6:3-11:IN-AN</v>
      </c>
    </row>
    <row r="1688" spans="1:7" x14ac:dyDescent="0.25">
      <c r="A1688" s="112"/>
      <c r="B1688" s="21" t="s">
        <v>5026</v>
      </c>
      <c r="C1688" s="21" t="s">
        <v>5027</v>
      </c>
      <c r="D1688" s="21" t="s">
        <v>2002</v>
      </c>
      <c r="E1688" s="50" t="b">
        <v>1</v>
      </c>
      <c r="F1688" s="72" t="str">
        <f>HYPERLINK("http://nsgreg.nga.mil/genc/view?v=293255&amp;end_month=6&amp;end_day=30&amp;end_year=2019","Andhra Pradesh")</f>
        <v>Andhra Pradesh</v>
      </c>
      <c r="G1688" s="72" t="str">
        <f>HYPERLINK("http://api.nsgreg.nga.mil/geo-division/GENC/6/3-11/IN-AP","as:GENC:6:3-11:IN-AP")</f>
        <v>as:GENC:6:3-11:IN-AP</v>
      </c>
    </row>
    <row r="1689" spans="1:7" x14ac:dyDescent="0.25">
      <c r="A1689" s="112"/>
      <c r="B1689" s="21" t="s">
        <v>5028</v>
      </c>
      <c r="C1689" s="21" t="s">
        <v>5029</v>
      </c>
      <c r="D1689" s="21" t="s">
        <v>2002</v>
      </c>
      <c r="E1689" s="50" t="b">
        <v>1</v>
      </c>
      <c r="F1689" s="72" t="str">
        <f>HYPERLINK("http://nsgreg.nga.mil/genc/view?v=293256&amp;end_month=6&amp;end_day=30&amp;end_year=2019","Arunāchal Pradesh")</f>
        <v>Arunāchal Pradesh</v>
      </c>
      <c r="G1689" s="72" t="str">
        <f>HYPERLINK("http://api.nsgreg.nga.mil/geo-division/GENC/6/3-11/IN-AR","as:GENC:6:3-11:IN-AR")</f>
        <v>as:GENC:6:3-11:IN-AR</v>
      </c>
    </row>
    <row r="1690" spans="1:7" x14ac:dyDescent="0.25">
      <c r="A1690" s="112"/>
      <c r="B1690" s="21" t="s">
        <v>5030</v>
      </c>
      <c r="C1690" s="21" t="s">
        <v>5031</v>
      </c>
      <c r="D1690" s="21" t="s">
        <v>2002</v>
      </c>
      <c r="E1690" s="50" t="b">
        <v>1</v>
      </c>
      <c r="F1690" s="72" t="str">
        <f>HYPERLINK("http://nsgreg.nga.mil/genc/view?v=293257&amp;end_month=6&amp;end_day=30&amp;end_year=2019","Assam")</f>
        <v>Assam</v>
      </c>
      <c r="G1690" s="72" t="str">
        <f>HYPERLINK("http://api.nsgreg.nga.mil/geo-division/GENC/6/3-11/IN-AS","as:GENC:6:3-11:IN-AS")</f>
        <v>as:GENC:6:3-11:IN-AS</v>
      </c>
    </row>
    <row r="1691" spans="1:7" x14ac:dyDescent="0.25">
      <c r="A1691" s="112"/>
      <c r="B1691" s="21" t="s">
        <v>5032</v>
      </c>
      <c r="C1691" s="21" t="s">
        <v>5033</v>
      </c>
      <c r="D1691" s="21" t="s">
        <v>2002</v>
      </c>
      <c r="E1691" s="50" t="b">
        <v>1</v>
      </c>
      <c r="F1691" s="72" t="str">
        <f>HYPERLINK("http://nsgreg.nga.mil/genc/view?v=293258&amp;end_month=6&amp;end_day=30&amp;end_year=2019","Bihār")</f>
        <v>Bihār</v>
      </c>
      <c r="G1691" s="72" t="str">
        <f>HYPERLINK("http://api.nsgreg.nga.mil/geo-division/GENC/6/3-11/IN-BR","as:GENC:6:3-11:IN-BR")</f>
        <v>as:GENC:6:3-11:IN-BR</v>
      </c>
    </row>
    <row r="1692" spans="1:7" x14ac:dyDescent="0.25">
      <c r="A1692" s="112"/>
      <c r="B1692" s="21" t="s">
        <v>5034</v>
      </c>
      <c r="C1692" s="21" t="s">
        <v>5035</v>
      </c>
      <c r="D1692" s="21" t="s">
        <v>2882</v>
      </c>
      <c r="E1692" s="50" t="b">
        <v>1</v>
      </c>
      <c r="F1692" s="72" t="str">
        <f>HYPERLINK("http://nsgreg.nga.mil/genc/view?v=293259&amp;end_month=6&amp;end_day=30&amp;end_year=2019","Chandīgarh")</f>
        <v>Chandīgarh</v>
      </c>
      <c r="G1692" s="72" t="str">
        <f>HYPERLINK("http://api.nsgreg.nga.mil/geo-division/GENC/6/3-11/IN-CH","as:GENC:6:3-11:IN-CH")</f>
        <v>as:GENC:6:3-11:IN-CH</v>
      </c>
    </row>
    <row r="1693" spans="1:7" x14ac:dyDescent="0.25">
      <c r="A1693" s="112"/>
      <c r="B1693" s="21" t="s">
        <v>5036</v>
      </c>
      <c r="C1693" s="21" t="s">
        <v>5037</v>
      </c>
      <c r="D1693" s="21" t="s">
        <v>2002</v>
      </c>
      <c r="E1693" s="50" t="b">
        <v>1</v>
      </c>
      <c r="F1693" s="72" t="str">
        <f>HYPERLINK("http://nsgreg.nga.mil/genc/view?v=293260&amp;end_month=6&amp;end_day=30&amp;end_year=2019","Chhattīsgarh")</f>
        <v>Chhattīsgarh</v>
      </c>
      <c r="G1693" s="72" t="str">
        <f>HYPERLINK("http://api.nsgreg.nga.mil/geo-division/GENC/6/3-11/IN-CT","as:GENC:6:3-11:IN-CT")</f>
        <v>as:GENC:6:3-11:IN-CT</v>
      </c>
    </row>
    <row r="1694" spans="1:7" x14ac:dyDescent="0.25">
      <c r="A1694" s="112"/>
      <c r="B1694" s="21" t="s">
        <v>5038</v>
      </c>
      <c r="C1694" s="21" t="s">
        <v>5039</v>
      </c>
      <c r="D1694" s="21" t="s">
        <v>2882</v>
      </c>
      <c r="E1694" s="50" t="b">
        <v>1</v>
      </c>
      <c r="F1694" s="72" t="str">
        <f>HYPERLINK("http://nsgreg.nga.mil/genc/view?v=293263&amp;end_month=6&amp;end_day=30&amp;end_year=2019","Dādra and Nagar Haveli")</f>
        <v>Dādra and Nagar Haveli</v>
      </c>
      <c r="G1694" s="72" t="str">
        <f>HYPERLINK("http://api.nsgreg.nga.mil/geo-division/GENC/6/3-11/IN-DN","as:GENC:6:3-11:IN-DN")</f>
        <v>as:GENC:6:3-11:IN-DN</v>
      </c>
    </row>
    <row r="1695" spans="1:7" x14ac:dyDescent="0.25">
      <c r="A1695" s="112"/>
      <c r="B1695" s="21" t="s">
        <v>5040</v>
      </c>
      <c r="C1695" s="21" t="s">
        <v>5041</v>
      </c>
      <c r="D1695" s="21" t="s">
        <v>2882</v>
      </c>
      <c r="E1695" s="50" t="b">
        <v>1</v>
      </c>
      <c r="F1695" s="72" t="str">
        <f>HYPERLINK("http://nsgreg.nga.mil/genc/view?v=293261&amp;end_month=6&amp;end_day=30&amp;end_year=2019","Damān and Diu")</f>
        <v>Damān and Diu</v>
      </c>
      <c r="G1695" s="72" t="str">
        <f>HYPERLINK("http://api.nsgreg.nga.mil/geo-division/GENC/6/3-11/IN-DD","as:GENC:6:3-11:IN-DD")</f>
        <v>as:GENC:6:3-11:IN-DD</v>
      </c>
    </row>
    <row r="1696" spans="1:7" x14ac:dyDescent="0.25">
      <c r="A1696" s="112"/>
      <c r="B1696" s="21" t="s">
        <v>5042</v>
      </c>
      <c r="C1696" s="21" t="s">
        <v>5043</v>
      </c>
      <c r="D1696" s="21" t="s">
        <v>5044</v>
      </c>
      <c r="E1696" s="50" t="b">
        <v>1</v>
      </c>
      <c r="F1696" s="72" t="str">
        <f>HYPERLINK("http://nsgreg.nga.mil/genc/view?v=293262&amp;end_month=6&amp;end_day=30&amp;end_year=2019","Delhi")</f>
        <v>Delhi</v>
      </c>
      <c r="G1696" s="72" t="str">
        <f>HYPERLINK("http://api.nsgreg.nga.mil/geo-division/GENC/6/3-11/IN-DL","as:GENC:6:3-11:IN-DL")</f>
        <v>as:GENC:6:3-11:IN-DL</v>
      </c>
    </row>
    <row r="1697" spans="1:7" x14ac:dyDescent="0.25">
      <c r="A1697" s="112"/>
      <c r="B1697" s="21" t="s">
        <v>5045</v>
      </c>
      <c r="C1697" s="21" t="s">
        <v>5046</v>
      </c>
      <c r="D1697" s="21" t="s">
        <v>2002</v>
      </c>
      <c r="E1697" s="50" t="b">
        <v>1</v>
      </c>
      <c r="F1697" s="72" t="str">
        <f>HYPERLINK("http://nsgreg.nga.mil/genc/view?v=293264&amp;end_month=6&amp;end_day=30&amp;end_year=2019","Goa")</f>
        <v>Goa</v>
      </c>
      <c r="G1697" s="72" t="str">
        <f>HYPERLINK("http://api.nsgreg.nga.mil/geo-division/GENC/6/3-11/IN-GA","as:GENC:6:3-11:IN-GA")</f>
        <v>as:GENC:6:3-11:IN-GA</v>
      </c>
    </row>
    <row r="1698" spans="1:7" x14ac:dyDescent="0.25">
      <c r="A1698" s="112"/>
      <c r="B1698" s="21" t="s">
        <v>5047</v>
      </c>
      <c r="C1698" s="21" t="s">
        <v>5048</v>
      </c>
      <c r="D1698" s="21" t="s">
        <v>2002</v>
      </c>
      <c r="E1698" s="50" t="b">
        <v>1</v>
      </c>
      <c r="F1698" s="72" t="str">
        <f>HYPERLINK("http://nsgreg.nga.mil/genc/view?v=293265&amp;end_month=6&amp;end_day=30&amp;end_year=2019","Gujarāt")</f>
        <v>Gujarāt</v>
      </c>
      <c r="G1698" s="72" t="str">
        <f>HYPERLINK("http://api.nsgreg.nga.mil/geo-division/GENC/6/3-11/IN-GJ","as:GENC:6:3-11:IN-GJ")</f>
        <v>as:GENC:6:3-11:IN-GJ</v>
      </c>
    </row>
    <row r="1699" spans="1:7" x14ac:dyDescent="0.25">
      <c r="A1699" s="112"/>
      <c r="B1699" s="21" t="s">
        <v>5049</v>
      </c>
      <c r="C1699" s="21" t="s">
        <v>5050</v>
      </c>
      <c r="D1699" s="21" t="s">
        <v>2002</v>
      </c>
      <c r="E1699" s="50" t="b">
        <v>1</v>
      </c>
      <c r="F1699" s="72" t="str">
        <f>HYPERLINK("http://nsgreg.nga.mil/genc/view?v=293267&amp;end_month=6&amp;end_day=30&amp;end_year=2019","Haryāna")</f>
        <v>Haryāna</v>
      </c>
      <c r="G1699" s="72" t="str">
        <f>HYPERLINK("http://api.nsgreg.nga.mil/geo-division/GENC/6/3-11/IN-HR","as:GENC:6:3-11:IN-HR")</f>
        <v>as:GENC:6:3-11:IN-HR</v>
      </c>
    </row>
    <row r="1700" spans="1:7" x14ac:dyDescent="0.25">
      <c r="A1700" s="112"/>
      <c r="B1700" s="21" t="s">
        <v>5051</v>
      </c>
      <c r="C1700" s="21" t="s">
        <v>5052</v>
      </c>
      <c r="D1700" s="21" t="s">
        <v>2002</v>
      </c>
      <c r="E1700" s="50" t="b">
        <v>1</v>
      </c>
      <c r="F1700" s="72" t="str">
        <f>HYPERLINK("http://nsgreg.nga.mil/genc/view?v=293266&amp;end_month=6&amp;end_day=30&amp;end_year=2019","Himāchal Pradesh")</f>
        <v>Himāchal Pradesh</v>
      </c>
      <c r="G1700" s="72" t="str">
        <f>HYPERLINK("http://api.nsgreg.nga.mil/geo-division/GENC/6/3-11/IN-HP","as:GENC:6:3-11:IN-HP")</f>
        <v>as:GENC:6:3-11:IN-HP</v>
      </c>
    </row>
    <row r="1701" spans="1:7" x14ac:dyDescent="0.25">
      <c r="A1701" s="112"/>
      <c r="B1701" s="21" t="s">
        <v>5053</v>
      </c>
      <c r="C1701" s="21" t="s">
        <v>5054</v>
      </c>
      <c r="D1701" s="21" t="s">
        <v>2002</v>
      </c>
      <c r="E1701" s="50" t="b">
        <v>1</v>
      </c>
      <c r="F1701" s="72" t="str">
        <f>HYPERLINK("http://nsgreg.nga.mil/genc/view?v=293269&amp;end_month=6&amp;end_day=30&amp;end_year=2019","Jammu and Kashmīr")</f>
        <v>Jammu and Kashmīr</v>
      </c>
      <c r="G1701" s="72" t="str">
        <f>HYPERLINK("http://api.nsgreg.nga.mil/geo-division/GENC/6/3-11/IN-JK","as:GENC:6:3-11:IN-JK")</f>
        <v>as:GENC:6:3-11:IN-JK</v>
      </c>
    </row>
    <row r="1702" spans="1:7" x14ac:dyDescent="0.25">
      <c r="A1702" s="112"/>
      <c r="B1702" s="21" t="s">
        <v>5055</v>
      </c>
      <c r="C1702" s="21" t="s">
        <v>5056</v>
      </c>
      <c r="D1702" s="21" t="s">
        <v>2002</v>
      </c>
      <c r="E1702" s="50" t="b">
        <v>1</v>
      </c>
      <c r="F1702" s="72" t="str">
        <f>HYPERLINK("http://nsgreg.nga.mil/genc/view?v=293268&amp;end_month=6&amp;end_day=30&amp;end_year=2019","Jharkhand")</f>
        <v>Jharkhand</v>
      </c>
      <c r="G1702" s="72" t="str">
        <f>HYPERLINK("http://api.nsgreg.nga.mil/geo-division/GENC/6/3-11/IN-JH","as:GENC:6:3-11:IN-JH")</f>
        <v>as:GENC:6:3-11:IN-JH</v>
      </c>
    </row>
    <row r="1703" spans="1:7" x14ac:dyDescent="0.25">
      <c r="A1703" s="112"/>
      <c r="B1703" s="21" t="s">
        <v>5057</v>
      </c>
      <c r="C1703" s="21" t="s">
        <v>5058</v>
      </c>
      <c r="D1703" s="21" t="s">
        <v>2002</v>
      </c>
      <c r="E1703" s="50" t="b">
        <v>1</v>
      </c>
      <c r="F1703" s="72" t="str">
        <f>HYPERLINK("http://nsgreg.nga.mil/genc/view?v=293270&amp;end_month=6&amp;end_day=30&amp;end_year=2019","Karnātaka")</f>
        <v>Karnātaka</v>
      </c>
      <c r="G1703" s="72" t="str">
        <f>HYPERLINK("http://api.nsgreg.nga.mil/geo-division/GENC/6/3-11/IN-KA","as:GENC:6:3-11:IN-KA")</f>
        <v>as:GENC:6:3-11:IN-KA</v>
      </c>
    </row>
    <row r="1704" spans="1:7" x14ac:dyDescent="0.25">
      <c r="A1704" s="112"/>
      <c r="B1704" s="21" t="s">
        <v>5059</v>
      </c>
      <c r="C1704" s="21" t="s">
        <v>5060</v>
      </c>
      <c r="D1704" s="21" t="s">
        <v>2002</v>
      </c>
      <c r="E1704" s="50" t="b">
        <v>1</v>
      </c>
      <c r="F1704" s="72" t="str">
        <f>HYPERLINK("http://nsgreg.nga.mil/genc/view?v=293271&amp;end_month=6&amp;end_day=30&amp;end_year=2019","Kerala")</f>
        <v>Kerala</v>
      </c>
      <c r="G1704" s="72" t="str">
        <f>HYPERLINK("http://api.nsgreg.nga.mil/geo-division/GENC/6/3-11/IN-KL","as:GENC:6:3-11:IN-KL")</f>
        <v>as:GENC:6:3-11:IN-KL</v>
      </c>
    </row>
    <row r="1705" spans="1:7" x14ac:dyDescent="0.25">
      <c r="A1705" s="112"/>
      <c r="B1705" s="21" t="s">
        <v>5061</v>
      </c>
      <c r="C1705" s="21" t="s">
        <v>5062</v>
      </c>
      <c r="D1705" s="21" t="s">
        <v>2882</v>
      </c>
      <c r="E1705" s="50" t="b">
        <v>1</v>
      </c>
      <c r="F1705" s="72" t="str">
        <f>HYPERLINK("http://nsgreg.nga.mil/genc/view?v=293272&amp;end_month=6&amp;end_day=30&amp;end_year=2019","Lakshadweep")</f>
        <v>Lakshadweep</v>
      </c>
      <c r="G1705" s="72" t="str">
        <f>HYPERLINK("http://api.nsgreg.nga.mil/geo-division/GENC/6/3-11/IN-LD","as:GENC:6:3-11:IN-LD")</f>
        <v>as:GENC:6:3-11:IN-LD</v>
      </c>
    </row>
    <row r="1706" spans="1:7" x14ac:dyDescent="0.25">
      <c r="A1706" s="112"/>
      <c r="B1706" s="21" t="s">
        <v>5063</v>
      </c>
      <c r="C1706" s="21" t="s">
        <v>5064</v>
      </c>
      <c r="D1706" s="21" t="s">
        <v>2002</v>
      </c>
      <c r="E1706" s="50" t="b">
        <v>1</v>
      </c>
      <c r="F1706" s="72" t="str">
        <f>HYPERLINK("http://nsgreg.nga.mil/genc/view?v=293276&amp;end_month=6&amp;end_day=30&amp;end_year=2019","Madhya Pradesh")</f>
        <v>Madhya Pradesh</v>
      </c>
      <c r="G1706" s="72" t="str">
        <f>HYPERLINK("http://api.nsgreg.nga.mil/geo-division/GENC/6/3-11/IN-MP","as:GENC:6:3-11:IN-MP")</f>
        <v>as:GENC:6:3-11:IN-MP</v>
      </c>
    </row>
    <row r="1707" spans="1:7" x14ac:dyDescent="0.25">
      <c r="A1707" s="112"/>
      <c r="B1707" s="21" t="s">
        <v>5065</v>
      </c>
      <c r="C1707" s="21" t="s">
        <v>5066</v>
      </c>
      <c r="D1707" s="21" t="s">
        <v>2002</v>
      </c>
      <c r="E1707" s="50" t="b">
        <v>1</v>
      </c>
      <c r="F1707" s="72" t="str">
        <f>HYPERLINK("http://nsgreg.nga.mil/genc/view?v=293273&amp;end_month=6&amp;end_day=30&amp;end_year=2019","Mahārāshtra")</f>
        <v>Mahārāshtra</v>
      </c>
      <c r="G1707" s="72" t="str">
        <f>HYPERLINK("http://api.nsgreg.nga.mil/geo-division/GENC/6/3-11/IN-MH","as:GENC:6:3-11:IN-MH")</f>
        <v>as:GENC:6:3-11:IN-MH</v>
      </c>
    </row>
    <row r="1708" spans="1:7" x14ac:dyDescent="0.25">
      <c r="A1708" s="112"/>
      <c r="B1708" s="21" t="s">
        <v>5067</v>
      </c>
      <c r="C1708" s="21" t="s">
        <v>5068</v>
      </c>
      <c r="D1708" s="21" t="s">
        <v>2002</v>
      </c>
      <c r="E1708" s="50" t="b">
        <v>1</v>
      </c>
      <c r="F1708" s="72" t="str">
        <f>HYPERLINK("http://nsgreg.nga.mil/genc/view?v=293275&amp;end_month=6&amp;end_day=30&amp;end_year=2019","Manipur")</f>
        <v>Manipur</v>
      </c>
      <c r="G1708" s="72" t="str">
        <f>HYPERLINK("http://api.nsgreg.nga.mil/geo-division/GENC/6/3-11/IN-MN","as:GENC:6:3-11:IN-MN")</f>
        <v>as:GENC:6:3-11:IN-MN</v>
      </c>
    </row>
    <row r="1709" spans="1:7" x14ac:dyDescent="0.25">
      <c r="A1709" s="112"/>
      <c r="B1709" s="21" t="s">
        <v>5069</v>
      </c>
      <c r="C1709" s="21" t="s">
        <v>5070</v>
      </c>
      <c r="D1709" s="21" t="s">
        <v>2002</v>
      </c>
      <c r="E1709" s="50" t="b">
        <v>1</v>
      </c>
      <c r="F1709" s="72" t="str">
        <f>HYPERLINK("http://nsgreg.nga.mil/genc/view?v=293274&amp;end_month=6&amp;end_day=30&amp;end_year=2019","Meghālaya")</f>
        <v>Meghālaya</v>
      </c>
      <c r="G1709" s="72" t="str">
        <f>HYPERLINK("http://api.nsgreg.nga.mil/geo-division/GENC/6/3-11/IN-ML","as:GENC:6:3-11:IN-ML")</f>
        <v>as:GENC:6:3-11:IN-ML</v>
      </c>
    </row>
    <row r="1710" spans="1:7" x14ac:dyDescent="0.25">
      <c r="A1710" s="112"/>
      <c r="B1710" s="21" t="s">
        <v>5071</v>
      </c>
      <c r="C1710" s="21" t="s">
        <v>5072</v>
      </c>
      <c r="D1710" s="21" t="s">
        <v>2882</v>
      </c>
      <c r="E1710" s="50" t="b">
        <v>1</v>
      </c>
      <c r="F1710" s="72" t="str">
        <f>HYPERLINK("http://nsgreg.nga.mil/genc/view?v=293277&amp;end_month=6&amp;end_day=30&amp;end_year=2019","Mizoram")</f>
        <v>Mizoram</v>
      </c>
      <c r="G1710" s="72" t="str">
        <f>HYPERLINK("http://api.nsgreg.nga.mil/geo-division/GENC/6/3-11/IN-MZ","as:GENC:6:3-11:IN-MZ")</f>
        <v>as:GENC:6:3-11:IN-MZ</v>
      </c>
    </row>
    <row r="1711" spans="1:7" x14ac:dyDescent="0.25">
      <c r="A1711" s="112"/>
      <c r="B1711" s="21" t="s">
        <v>5073</v>
      </c>
      <c r="C1711" s="21" t="s">
        <v>5074</v>
      </c>
      <c r="D1711" s="21" t="s">
        <v>2002</v>
      </c>
      <c r="E1711" s="50" t="b">
        <v>1</v>
      </c>
      <c r="F1711" s="72" t="str">
        <f>HYPERLINK("http://nsgreg.nga.mil/genc/view?v=293278&amp;end_month=6&amp;end_day=30&amp;end_year=2019","Nāgāland")</f>
        <v>Nāgāland</v>
      </c>
      <c r="G1711" s="72" t="str">
        <f>HYPERLINK("http://api.nsgreg.nga.mil/geo-division/GENC/6/3-11/IN-NL","as:GENC:6:3-11:IN-NL")</f>
        <v>as:GENC:6:3-11:IN-NL</v>
      </c>
    </row>
    <row r="1712" spans="1:7" x14ac:dyDescent="0.25">
      <c r="A1712" s="112"/>
      <c r="B1712" s="21" t="s">
        <v>5075</v>
      </c>
      <c r="C1712" s="21" t="s">
        <v>5076</v>
      </c>
      <c r="D1712" s="21" t="s">
        <v>2002</v>
      </c>
      <c r="E1712" s="50" t="b">
        <v>1</v>
      </c>
      <c r="F1712" s="72" t="str">
        <f>HYPERLINK("http://nsgreg.nga.mil/genc/view?v=293279&amp;end_month=6&amp;end_day=30&amp;end_year=2019","Odisha")</f>
        <v>Odisha</v>
      </c>
      <c r="G1712" s="72" t="str">
        <f>HYPERLINK("http://api.nsgreg.nga.mil/geo-division/GENC/6/3-11/IN-OR","as:GENC:6:3-11:IN-OR")</f>
        <v>as:GENC:6:3-11:IN-OR</v>
      </c>
    </row>
    <row r="1713" spans="1:7" x14ac:dyDescent="0.25">
      <c r="A1713" s="112"/>
      <c r="B1713" s="21" t="s">
        <v>5077</v>
      </c>
      <c r="C1713" s="21" t="s">
        <v>5078</v>
      </c>
      <c r="D1713" s="21" t="s">
        <v>2882</v>
      </c>
      <c r="E1713" s="50" t="b">
        <v>1</v>
      </c>
      <c r="F1713" s="72" t="str">
        <f>HYPERLINK("http://nsgreg.nga.mil/genc/view?v=293281&amp;end_month=6&amp;end_day=30&amp;end_year=2019","Puducherry")</f>
        <v>Puducherry</v>
      </c>
      <c r="G1713" s="72" t="str">
        <f>HYPERLINK("http://api.nsgreg.nga.mil/geo-division/GENC/6/3-11/IN-PY","as:GENC:6:3-11:IN-PY")</f>
        <v>as:GENC:6:3-11:IN-PY</v>
      </c>
    </row>
    <row r="1714" spans="1:7" x14ac:dyDescent="0.25">
      <c r="A1714" s="112"/>
      <c r="B1714" s="21" t="s">
        <v>5079</v>
      </c>
      <c r="C1714" s="21" t="s">
        <v>5080</v>
      </c>
      <c r="D1714" s="21" t="s">
        <v>2002</v>
      </c>
      <c r="E1714" s="50" t="b">
        <v>1</v>
      </c>
      <c r="F1714" s="72" t="str">
        <f>HYPERLINK("http://nsgreg.nga.mil/genc/view?v=293280&amp;end_month=6&amp;end_day=30&amp;end_year=2019","Punjab")</f>
        <v>Punjab</v>
      </c>
      <c r="G1714" s="72" t="str">
        <f>HYPERLINK("http://api.nsgreg.nga.mil/geo-division/GENC/6/3-11/IN-PB","as:GENC:6:3-11:IN-PB")</f>
        <v>as:GENC:6:3-11:IN-PB</v>
      </c>
    </row>
    <row r="1715" spans="1:7" x14ac:dyDescent="0.25">
      <c r="A1715" s="112"/>
      <c r="B1715" s="21" t="s">
        <v>5081</v>
      </c>
      <c r="C1715" s="21" t="s">
        <v>5082</v>
      </c>
      <c r="D1715" s="21" t="s">
        <v>2002</v>
      </c>
      <c r="E1715" s="50" t="b">
        <v>1</v>
      </c>
      <c r="F1715" s="72" t="str">
        <f>HYPERLINK("http://nsgreg.nga.mil/genc/view?v=293282&amp;end_month=6&amp;end_day=30&amp;end_year=2019","Rājasthān")</f>
        <v>Rājasthān</v>
      </c>
      <c r="G1715" s="72" t="str">
        <f>HYPERLINK("http://api.nsgreg.nga.mil/geo-division/GENC/6/3-11/IN-RJ","as:GENC:6:3-11:IN-RJ")</f>
        <v>as:GENC:6:3-11:IN-RJ</v>
      </c>
    </row>
    <row r="1716" spans="1:7" x14ac:dyDescent="0.25">
      <c r="A1716" s="112"/>
      <c r="B1716" s="21" t="s">
        <v>5083</v>
      </c>
      <c r="C1716" s="21" t="s">
        <v>5084</v>
      </c>
      <c r="D1716" s="21" t="s">
        <v>2002</v>
      </c>
      <c r="E1716" s="50" t="b">
        <v>1</v>
      </c>
      <c r="F1716" s="72" t="str">
        <f>HYPERLINK("http://nsgreg.nga.mil/genc/view?v=293283&amp;end_month=6&amp;end_day=30&amp;end_year=2019","Sikkim")</f>
        <v>Sikkim</v>
      </c>
      <c r="G1716" s="72" t="str">
        <f>HYPERLINK("http://api.nsgreg.nga.mil/geo-division/GENC/6/3-11/IN-SK","as:GENC:6:3-11:IN-SK")</f>
        <v>as:GENC:6:3-11:IN-SK</v>
      </c>
    </row>
    <row r="1717" spans="1:7" x14ac:dyDescent="0.25">
      <c r="A1717" s="112"/>
      <c r="B1717" s="21" t="s">
        <v>5085</v>
      </c>
      <c r="C1717" s="21" t="s">
        <v>5086</v>
      </c>
      <c r="D1717" s="21" t="s">
        <v>2002</v>
      </c>
      <c r="E1717" s="50" t="b">
        <v>1</v>
      </c>
      <c r="F1717" s="72" t="str">
        <f>HYPERLINK("http://nsgreg.nga.mil/genc/view?v=293285&amp;end_month=6&amp;end_day=30&amp;end_year=2019","Tamil Nādu ")</f>
        <v xml:space="preserve">Tamil Nādu </v>
      </c>
      <c r="G1717" s="72" t="str">
        <f>HYPERLINK("http://api.nsgreg.nga.mil/geo-division/GENC/6/3-11/IN-TN","as:GENC:6:3-11:IN-TN")</f>
        <v>as:GENC:6:3-11:IN-TN</v>
      </c>
    </row>
    <row r="1718" spans="1:7" x14ac:dyDescent="0.25">
      <c r="A1718" s="112"/>
      <c r="B1718" s="21" t="s">
        <v>5087</v>
      </c>
      <c r="C1718" s="21" t="s">
        <v>5088</v>
      </c>
      <c r="D1718" s="21" t="s">
        <v>2002</v>
      </c>
      <c r="E1718" s="50" t="b">
        <v>1</v>
      </c>
      <c r="F1718" s="72" t="str">
        <f>HYPERLINK("http://nsgreg.nga.mil/genc/view?v=293284&amp;end_month=6&amp;end_day=30&amp;end_year=2019","Telangana")</f>
        <v>Telangana</v>
      </c>
      <c r="G1718" s="72" t="str">
        <f>HYPERLINK("http://api.nsgreg.nga.mil/geo-division/GENC/6/3-11/IN-TG","as:GENC:6:3-11:IN-TG")</f>
        <v>as:GENC:6:3-11:IN-TG</v>
      </c>
    </row>
    <row r="1719" spans="1:7" x14ac:dyDescent="0.25">
      <c r="A1719" s="112"/>
      <c r="B1719" s="21" t="s">
        <v>5089</v>
      </c>
      <c r="C1719" s="21" t="s">
        <v>5090</v>
      </c>
      <c r="D1719" s="21" t="s">
        <v>2002</v>
      </c>
      <c r="E1719" s="50" t="b">
        <v>1</v>
      </c>
      <c r="F1719" s="72" t="str">
        <f>HYPERLINK("http://nsgreg.nga.mil/genc/view?v=293286&amp;end_month=6&amp;end_day=30&amp;end_year=2019","Tripura")</f>
        <v>Tripura</v>
      </c>
      <c r="G1719" s="72" t="str">
        <f>HYPERLINK("http://api.nsgreg.nga.mil/geo-division/GENC/6/3-11/IN-TR","as:GENC:6:3-11:IN-TR")</f>
        <v>as:GENC:6:3-11:IN-TR</v>
      </c>
    </row>
    <row r="1720" spans="1:7" x14ac:dyDescent="0.25">
      <c r="A1720" s="112"/>
      <c r="B1720" s="21" t="s">
        <v>5091</v>
      </c>
      <c r="C1720" s="21" t="s">
        <v>5092</v>
      </c>
      <c r="D1720" s="21" t="s">
        <v>2002</v>
      </c>
      <c r="E1720" s="50" t="b">
        <v>1</v>
      </c>
      <c r="F1720" s="72" t="str">
        <f>HYPERLINK("http://nsgreg.nga.mil/genc/view?v=293288&amp;end_month=6&amp;end_day=30&amp;end_year=2019","Uttarakhand")</f>
        <v>Uttarakhand</v>
      </c>
      <c r="G1720" s="72" t="str">
        <f>HYPERLINK("http://api.nsgreg.nga.mil/geo-division/GENC/6/3-11/IN-UT","as:GENC:6:3-11:IN-UT")</f>
        <v>as:GENC:6:3-11:IN-UT</v>
      </c>
    </row>
    <row r="1721" spans="1:7" x14ac:dyDescent="0.25">
      <c r="A1721" s="112"/>
      <c r="B1721" s="21" t="s">
        <v>5093</v>
      </c>
      <c r="C1721" s="21" t="s">
        <v>5094</v>
      </c>
      <c r="D1721" s="21" t="s">
        <v>2002</v>
      </c>
      <c r="E1721" s="50" t="b">
        <v>1</v>
      </c>
      <c r="F1721" s="72" t="str">
        <f>HYPERLINK("http://nsgreg.nga.mil/genc/view?v=293287&amp;end_month=6&amp;end_day=30&amp;end_year=2019","Uttar Pradesh")</f>
        <v>Uttar Pradesh</v>
      </c>
      <c r="G1721" s="72" t="str">
        <f>HYPERLINK("http://api.nsgreg.nga.mil/geo-division/GENC/6/3-11/IN-UP","as:GENC:6:3-11:IN-UP")</f>
        <v>as:GENC:6:3-11:IN-UP</v>
      </c>
    </row>
    <row r="1722" spans="1:7" x14ac:dyDescent="0.25">
      <c r="A1722" s="113"/>
      <c r="B1722" s="47" t="s">
        <v>5095</v>
      </c>
      <c r="C1722" s="47" t="s">
        <v>5096</v>
      </c>
      <c r="D1722" s="47" t="s">
        <v>2002</v>
      </c>
      <c r="E1722" s="51" t="b">
        <v>1</v>
      </c>
      <c r="F1722" s="73" t="str">
        <f>HYPERLINK("http://nsgreg.nga.mil/genc/view?v=293289&amp;end_month=6&amp;end_day=30&amp;end_year=2019","West Bengal")</f>
        <v>West Bengal</v>
      </c>
      <c r="G1722" s="73" t="str">
        <f>HYPERLINK("http://api.nsgreg.nga.mil/geo-division/GENC/6/3-11/IN-WB","as:GENC:6:3-11:IN-WB")</f>
        <v>as:GENC:6:3-11:IN-WB</v>
      </c>
    </row>
    <row r="1723" spans="1:7" x14ac:dyDescent="0.25">
      <c r="A1723" s="111" t="str">
        <f>HYPERLINK("[#]Codes_for_GE_Names!A126:I126","INDONESIA")</f>
        <v>INDONESIA</v>
      </c>
      <c r="B1723" s="42" t="s">
        <v>5097</v>
      </c>
      <c r="C1723" s="42" t="s">
        <v>5098</v>
      </c>
      <c r="D1723" s="80" t="s">
        <v>5099</v>
      </c>
      <c r="E1723" s="81" t="b">
        <v>0</v>
      </c>
      <c r="F1723" s="74" t="str">
        <f>HYPERLINK("http://nsgreg.nga.mil/genc/view?v=293180&amp;end_month=6&amp;end_day=30&amp;end_year=2019","Jawa")</f>
        <v>Jawa</v>
      </c>
      <c r="G1723" s="74" t="str">
        <f>HYPERLINK("http://api.nsgreg.nga.mil/geo-division/GENC/6/3-11/ID-JW","as:GENC:6:3-11:ID-JW")</f>
        <v>as:GENC:6:3-11:ID-JW</v>
      </c>
    </row>
    <row r="1724" spans="1:7" x14ac:dyDescent="0.25">
      <c r="A1724" s="112"/>
      <c r="B1724" s="21" t="s">
        <v>5100</v>
      </c>
      <c r="C1724" s="21" t="s">
        <v>5101</v>
      </c>
      <c r="D1724" s="21" t="s">
        <v>1668</v>
      </c>
      <c r="E1724" s="50" t="b">
        <v>1</v>
      </c>
      <c r="F1724" s="72" t="str">
        <f>HYPERLINK("http://nsgreg.nga.mil/genc/view?v=293173&amp;end_month=6&amp;end_day=30&amp;end_year=2019","Banten")</f>
        <v>Banten</v>
      </c>
      <c r="G1724" s="72" t="str">
        <f>HYPERLINK("http://api.nsgreg.nga.mil/geo-division/GENC/6/3-11/ID-BT","as:GENC:6:3-11:ID-BT")</f>
        <v>as:GENC:6:3-11:ID-BT</v>
      </c>
    </row>
    <row r="1725" spans="1:7" x14ac:dyDescent="0.25">
      <c r="A1725" s="112"/>
      <c r="B1725" s="21" t="s">
        <v>5102</v>
      </c>
      <c r="C1725" s="21" t="s">
        <v>5103</v>
      </c>
      <c r="D1725" s="21" t="s">
        <v>3257</v>
      </c>
      <c r="E1725" s="50" t="b">
        <v>1</v>
      </c>
      <c r="F1725" s="72" t="str">
        <f>HYPERLINK("http://nsgreg.nga.mil/genc/view?v=293178&amp;end_month=6&amp;end_day=30&amp;end_year=2019","Jakarta")</f>
        <v>Jakarta</v>
      </c>
      <c r="G1725" s="72" t="str">
        <f>HYPERLINK("http://api.nsgreg.nga.mil/geo-division/GENC/6/3-11/ID-JK","as:GENC:6:3-11:ID-JK")</f>
        <v>as:GENC:6:3-11:ID-JK</v>
      </c>
    </row>
    <row r="1726" spans="1:7" x14ac:dyDescent="0.25">
      <c r="A1726" s="112"/>
      <c r="B1726" s="21" t="s">
        <v>5104</v>
      </c>
      <c r="C1726" s="21" t="s">
        <v>5105</v>
      </c>
      <c r="D1726" s="21" t="s">
        <v>1668</v>
      </c>
      <c r="E1726" s="50" t="b">
        <v>1</v>
      </c>
      <c r="F1726" s="72" t="str">
        <f>HYPERLINK("http://nsgreg.nga.mil/genc/view?v=293176&amp;end_month=6&amp;end_day=30&amp;end_year=2019","Jawa Barat")</f>
        <v>Jawa Barat</v>
      </c>
      <c r="G1726" s="72" t="str">
        <f>HYPERLINK("http://api.nsgreg.nga.mil/geo-division/GENC/6/3-11/ID-JB","as:GENC:6:3-11:ID-JB")</f>
        <v>as:GENC:6:3-11:ID-JB</v>
      </c>
    </row>
    <row r="1727" spans="1:7" x14ac:dyDescent="0.25">
      <c r="A1727" s="112"/>
      <c r="B1727" s="21" t="s">
        <v>5106</v>
      </c>
      <c r="C1727" s="21" t="s">
        <v>5107</v>
      </c>
      <c r="D1727" s="21" t="s">
        <v>1668</v>
      </c>
      <c r="E1727" s="50" t="b">
        <v>1</v>
      </c>
      <c r="F1727" s="72" t="str">
        <f>HYPERLINK("http://nsgreg.nga.mil/genc/view?v=293179&amp;end_month=6&amp;end_day=30&amp;end_year=2019","Jawa Tengah")</f>
        <v>Jawa Tengah</v>
      </c>
      <c r="G1727" s="72" t="str">
        <f>HYPERLINK("http://api.nsgreg.nga.mil/geo-division/GENC/6/3-11/ID-JT","as:GENC:6:3-11:ID-JT")</f>
        <v>as:GENC:6:3-11:ID-JT</v>
      </c>
    </row>
    <row r="1728" spans="1:7" x14ac:dyDescent="0.25">
      <c r="A1728" s="112"/>
      <c r="B1728" s="21" t="s">
        <v>5108</v>
      </c>
      <c r="C1728" s="21" t="s">
        <v>5109</v>
      </c>
      <c r="D1728" s="21" t="s">
        <v>1668</v>
      </c>
      <c r="E1728" s="50" t="b">
        <v>1</v>
      </c>
      <c r="F1728" s="72" t="str">
        <f>HYPERLINK("http://nsgreg.nga.mil/genc/view?v=293177&amp;end_month=6&amp;end_day=30&amp;end_year=2019","Jawa Timur")</f>
        <v>Jawa Timur</v>
      </c>
      <c r="G1728" s="72" t="str">
        <f>HYPERLINK("http://api.nsgreg.nga.mil/geo-division/GENC/6/3-11/ID-JI","as:GENC:6:3-11:ID-JI")</f>
        <v>as:GENC:6:3-11:ID-JI</v>
      </c>
    </row>
    <row r="1729" spans="1:7" x14ac:dyDescent="0.25">
      <c r="A1729" s="112"/>
      <c r="B1729" s="21" t="s">
        <v>5110</v>
      </c>
      <c r="C1729" s="21" t="s">
        <v>5111</v>
      </c>
      <c r="D1729" s="21" t="s">
        <v>5112</v>
      </c>
      <c r="E1729" s="50" t="b">
        <v>1</v>
      </c>
      <c r="F1729" s="72" t="str">
        <f>HYPERLINK("http://nsgreg.nga.mil/genc/view?v=293209&amp;end_month=6&amp;end_day=30&amp;end_year=2019","Yogyakarta")</f>
        <v>Yogyakarta</v>
      </c>
      <c r="G1729" s="72" t="str">
        <f>HYPERLINK("http://api.nsgreg.nga.mil/geo-division/GENC/6/3-11/ID-YO","as:GENC:6:3-11:ID-YO")</f>
        <v>as:GENC:6:3-11:ID-YO</v>
      </c>
    </row>
    <row r="1730" spans="1:7" x14ac:dyDescent="0.25">
      <c r="A1730" s="112"/>
      <c r="B1730" s="21" t="s">
        <v>5113</v>
      </c>
      <c r="C1730" s="21" t="s">
        <v>5114</v>
      </c>
      <c r="D1730" s="76" t="s">
        <v>5099</v>
      </c>
      <c r="E1730" s="77" t="b">
        <v>0</v>
      </c>
      <c r="F1730" s="72" t="str">
        <f>HYPERLINK("http://nsgreg.nga.mil/genc/view?v=293181&amp;end_month=6&amp;end_day=30&amp;end_year=2019","Kalimantan")</f>
        <v>Kalimantan</v>
      </c>
      <c r="G1730" s="72" t="str">
        <f>HYPERLINK("http://api.nsgreg.nga.mil/geo-division/GENC/6/3-11/ID-KA","as:GENC:6:3-11:ID-KA")</f>
        <v>as:GENC:6:3-11:ID-KA</v>
      </c>
    </row>
    <row r="1731" spans="1:7" x14ac:dyDescent="0.25">
      <c r="A1731" s="112"/>
      <c r="B1731" s="21" t="s">
        <v>5115</v>
      </c>
      <c r="C1731" s="21" t="s">
        <v>5116</v>
      </c>
      <c r="D1731" s="21" t="s">
        <v>1668</v>
      </c>
      <c r="E1731" s="50" t="b">
        <v>1</v>
      </c>
      <c r="F1731" s="72" t="str">
        <f>HYPERLINK("http://nsgreg.nga.mil/genc/view?v=293182&amp;end_month=6&amp;end_day=30&amp;end_year=2019","Kalimantan Barat")</f>
        <v>Kalimantan Barat</v>
      </c>
      <c r="G1731" s="72" t="str">
        <f>HYPERLINK("http://api.nsgreg.nga.mil/geo-division/GENC/6/3-11/ID-KB","as:GENC:6:3-11:ID-KB")</f>
        <v>as:GENC:6:3-11:ID-KB</v>
      </c>
    </row>
    <row r="1732" spans="1:7" x14ac:dyDescent="0.25">
      <c r="A1732" s="112"/>
      <c r="B1732" s="21" t="s">
        <v>5117</v>
      </c>
      <c r="C1732" s="21" t="s">
        <v>5118</v>
      </c>
      <c r="D1732" s="21" t="s">
        <v>1668</v>
      </c>
      <c r="E1732" s="50" t="b">
        <v>1</v>
      </c>
      <c r="F1732" s="72" t="str">
        <f>HYPERLINK("http://nsgreg.nga.mil/genc/view?v=293185&amp;end_month=6&amp;end_day=30&amp;end_year=2019","Kalimantan Selatan")</f>
        <v>Kalimantan Selatan</v>
      </c>
      <c r="G1732" s="72" t="str">
        <f>HYPERLINK("http://api.nsgreg.nga.mil/geo-division/GENC/6/3-11/ID-KS","as:GENC:6:3-11:ID-KS")</f>
        <v>as:GENC:6:3-11:ID-KS</v>
      </c>
    </row>
    <row r="1733" spans="1:7" x14ac:dyDescent="0.25">
      <c r="A1733" s="112"/>
      <c r="B1733" s="21" t="s">
        <v>5119</v>
      </c>
      <c r="C1733" s="21" t="s">
        <v>5120</v>
      </c>
      <c r="D1733" s="21" t="s">
        <v>1668</v>
      </c>
      <c r="E1733" s="50" t="b">
        <v>1</v>
      </c>
      <c r="F1733" s="72" t="str">
        <f>HYPERLINK("http://nsgreg.nga.mil/genc/view?v=293186&amp;end_month=6&amp;end_day=30&amp;end_year=2019","Kalimantan Tengah")</f>
        <v>Kalimantan Tengah</v>
      </c>
      <c r="G1733" s="72" t="str">
        <f>HYPERLINK("http://api.nsgreg.nga.mil/geo-division/GENC/6/3-11/ID-KT","as:GENC:6:3-11:ID-KT")</f>
        <v>as:GENC:6:3-11:ID-KT</v>
      </c>
    </row>
    <row r="1734" spans="1:7" x14ac:dyDescent="0.25">
      <c r="A1734" s="112"/>
      <c r="B1734" s="21" t="s">
        <v>5121</v>
      </c>
      <c r="C1734" s="21" t="s">
        <v>5122</v>
      </c>
      <c r="D1734" s="21" t="s">
        <v>1668</v>
      </c>
      <c r="E1734" s="50" t="b">
        <v>1</v>
      </c>
      <c r="F1734" s="72" t="str">
        <f>HYPERLINK("http://nsgreg.nga.mil/genc/view?v=293183&amp;end_month=6&amp;end_day=30&amp;end_year=2019","Kalimantan Timur")</f>
        <v>Kalimantan Timur</v>
      </c>
      <c r="G1734" s="72" t="str">
        <f>HYPERLINK("http://api.nsgreg.nga.mil/geo-division/GENC/6/3-11/ID-KI","as:GENC:6:3-11:ID-KI")</f>
        <v>as:GENC:6:3-11:ID-KI</v>
      </c>
    </row>
    <row r="1735" spans="1:7" x14ac:dyDescent="0.25">
      <c r="A1735" s="112"/>
      <c r="B1735" s="21" t="s">
        <v>5123</v>
      </c>
      <c r="C1735" s="21" t="s">
        <v>5124</v>
      </c>
      <c r="D1735" s="21" t="s">
        <v>1668</v>
      </c>
      <c r="E1735" s="50" t="b">
        <v>1</v>
      </c>
      <c r="F1735" s="72" t="str">
        <f>HYPERLINK("http://nsgreg.nga.mil/genc/view?v=293187&amp;end_month=6&amp;end_day=30&amp;end_year=2019","Kalimantan Utara")</f>
        <v>Kalimantan Utara</v>
      </c>
      <c r="G1735" s="72" t="str">
        <f>HYPERLINK("http://api.nsgreg.nga.mil/geo-division/GENC/6/3-11/ID-KU","as:GENC:6:3-11:ID-KU")</f>
        <v>as:GENC:6:3-11:ID-KU</v>
      </c>
    </row>
    <row r="1736" spans="1:7" x14ac:dyDescent="0.25">
      <c r="A1736" s="112"/>
      <c r="B1736" s="21" t="s">
        <v>5125</v>
      </c>
      <c r="C1736" s="21" t="s">
        <v>5126</v>
      </c>
      <c r="D1736" s="76" t="s">
        <v>5099</v>
      </c>
      <c r="E1736" s="77" t="b">
        <v>0</v>
      </c>
      <c r="F1736" s="72" t="str">
        <f>HYPERLINK("http://nsgreg.nga.mil/genc/view?v=293190&amp;end_month=6&amp;end_day=30&amp;end_year=2019","Maluku")</f>
        <v>Maluku</v>
      </c>
      <c r="G1736" s="72" t="str">
        <f>HYPERLINK("http://api.nsgreg.nga.mil/geo-division/GENC/6/3-11/ID-ML","as:GENC:6:3-11:ID-ML")</f>
        <v>as:GENC:6:3-11:ID-ML</v>
      </c>
    </row>
    <row r="1737" spans="1:7" x14ac:dyDescent="0.25">
      <c r="A1737" s="112"/>
      <c r="B1737" s="21" t="s">
        <v>5127</v>
      </c>
      <c r="C1737" s="21" t="s">
        <v>5128</v>
      </c>
      <c r="D1737" s="21" t="s">
        <v>1668</v>
      </c>
      <c r="E1737" s="50" t="b">
        <v>1</v>
      </c>
      <c r="F1737" s="72" t="str">
        <f>HYPERLINK("http://nsgreg.nga.mil/genc/view?v=293189&amp;end_month=6&amp;end_day=30&amp;end_year=2019","Maluku")</f>
        <v>Maluku</v>
      </c>
      <c r="G1737" s="72" t="str">
        <f>HYPERLINK("http://api.nsgreg.nga.mil/geo-division/GENC/6/3-11/ID-MA","as:GENC:6:3-11:ID-MA")</f>
        <v>as:GENC:6:3-11:ID-MA</v>
      </c>
    </row>
    <row r="1738" spans="1:7" x14ac:dyDescent="0.25">
      <c r="A1738" s="112"/>
      <c r="B1738" s="21" t="s">
        <v>5129</v>
      </c>
      <c r="C1738" s="21" t="s">
        <v>5130</v>
      </c>
      <c r="D1738" s="21" t="s">
        <v>1668</v>
      </c>
      <c r="E1738" s="50" t="b">
        <v>1</v>
      </c>
      <c r="F1738" s="72" t="str">
        <f>HYPERLINK("http://nsgreg.nga.mil/genc/view?v=293191&amp;end_month=6&amp;end_day=30&amp;end_year=2019","Maluku Utara")</f>
        <v>Maluku Utara</v>
      </c>
      <c r="G1738" s="72" t="str">
        <f>HYPERLINK("http://api.nsgreg.nga.mil/geo-division/GENC/6/3-11/ID-MU","as:GENC:6:3-11:ID-MU")</f>
        <v>as:GENC:6:3-11:ID-MU</v>
      </c>
    </row>
    <row r="1739" spans="1:7" x14ac:dyDescent="0.25">
      <c r="A1739" s="112"/>
      <c r="B1739" s="21" t="s">
        <v>5131</v>
      </c>
      <c r="C1739" s="21" t="s">
        <v>5132</v>
      </c>
      <c r="D1739" s="76" t="s">
        <v>5099</v>
      </c>
      <c r="E1739" s="77" t="b">
        <v>0</v>
      </c>
      <c r="F1739" s="72" t="str">
        <f>HYPERLINK("http://nsgreg.nga.mil/genc/view?v=293194&amp;end_month=6&amp;end_day=30&amp;end_year=2019","Nusa Tenggara")</f>
        <v>Nusa Tenggara</v>
      </c>
      <c r="G1739" s="72" t="str">
        <f>HYPERLINK("http://api.nsgreg.nga.mil/geo-division/GENC/6/3-11/ID-NU","as:GENC:6:3-11:ID-NU")</f>
        <v>as:GENC:6:3-11:ID-NU</v>
      </c>
    </row>
    <row r="1740" spans="1:7" x14ac:dyDescent="0.25">
      <c r="A1740" s="112"/>
      <c r="B1740" s="21" t="s">
        <v>5133</v>
      </c>
      <c r="C1740" s="21" t="s">
        <v>5134</v>
      </c>
      <c r="D1740" s="21" t="s">
        <v>1668</v>
      </c>
      <c r="E1740" s="50" t="b">
        <v>1</v>
      </c>
      <c r="F1740" s="72" t="str">
        <f>HYPERLINK("http://nsgreg.nga.mil/genc/view?v=293170&amp;end_month=6&amp;end_day=30&amp;end_year=2019","Bali")</f>
        <v>Bali</v>
      </c>
      <c r="G1740" s="72" t="str">
        <f>HYPERLINK("http://api.nsgreg.nga.mil/geo-division/GENC/6/3-11/ID-BA","as:GENC:6:3-11:ID-BA")</f>
        <v>as:GENC:6:3-11:ID-BA</v>
      </c>
    </row>
    <row r="1741" spans="1:7" x14ac:dyDescent="0.25">
      <c r="A1741" s="112"/>
      <c r="B1741" s="21" t="s">
        <v>5135</v>
      </c>
      <c r="C1741" s="21" t="s">
        <v>5136</v>
      </c>
      <c r="D1741" s="21" t="s">
        <v>1668</v>
      </c>
      <c r="E1741" s="50" t="b">
        <v>1</v>
      </c>
      <c r="F1741" s="72" t="str">
        <f>HYPERLINK("http://nsgreg.nga.mil/genc/view?v=293192&amp;end_month=6&amp;end_day=30&amp;end_year=2019","Nusa Tenggara Barat")</f>
        <v>Nusa Tenggara Barat</v>
      </c>
      <c r="G1741" s="72" t="str">
        <f>HYPERLINK("http://api.nsgreg.nga.mil/geo-division/GENC/6/3-11/ID-NB","as:GENC:6:3-11:ID-NB")</f>
        <v>as:GENC:6:3-11:ID-NB</v>
      </c>
    </row>
    <row r="1742" spans="1:7" x14ac:dyDescent="0.25">
      <c r="A1742" s="112"/>
      <c r="B1742" s="21" t="s">
        <v>5137</v>
      </c>
      <c r="C1742" s="21" t="s">
        <v>5138</v>
      </c>
      <c r="D1742" s="21" t="s">
        <v>1668</v>
      </c>
      <c r="E1742" s="50" t="b">
        <v>1</v>
      </c>
      <c r="F1742" s="72" t="str">
        <f>HYPERLINK("http://nsgreg.nga.mil/genc/view?v=293193&amp;end_month=6&amp;end_day=30&amp;end_year=2019","Nusa Tenggara Timur")</f>
        <v>Nusa Tenggara Timur</v>
      </c>
      <c r="G1742" s="72" t="str">
        <f>HYPERLINK("http://api.nsgreg.nga.mil/geo-division/GENC/6/3-11/ID-NT","as:GENC:6:3-11:ID-NT")</f>
        <v>as:GENC:6:3-11:ID-NT</v>
      </c>
    </row>
    <row r="1743" spans="1:7" x14ac:dyDescent="0.25">
      <c r="A1743" s="112"/>
      <c r="B1743" s="21" t="s">
        <v>5139</v>
      </c>
      <c r="C1743" s="21" t="s">
        <v>5140</v>
      </c>
      <c r="D1743" s="76" t="s">
        <v>5099</v>
      </c>
      <c r="E1743" s="77" t="b">
        <v>0</v>
      </c>
      <c r="F1743" s="72" t="str">
        <f>HYPERLINK("http://nsgreg.nga.mil/genc/view?v=293197&amp;end_month=6&amp;end_day=30&amp;end_year=2019","Papua")</f>
        <v>Papua</v>
      </c>
      <c r="G1743" s="72" t="str">
        <f>HYPERLINK("http://api.nsgreg.nga.mil/geo-division/GENC/6/3-11/ID-PP","as:GENC:6:3-11:ID-PP")</f>
        <v>as:GENC:6:3-11:ID-PP</v>
      </c>
    </row>
    <row r="1744" spans="1:7" x14ac:dyDescent="0.25">
      <c r="A1744" s="112"/>
      <c r="B1744" s="21" t="s">
        <v>5141</v>
      </c>
      <c r="C1744" s="21" t="s">
        <v>5142</v>
      </c>
      <c r="D1744" s="21" t="s">
        <v>1668</v>
      </c>
      <c r="E1744" s="50" t="b">
        <v>1</v>
      </c>
      <c r="F1744" s="72" t="str">
        <f>HYPERLINK("http://nsgreg.nga.mil/genc/view?v=293195&amp;end_month=6&amp;end_day=30&amp;end_year=2019","Papua")</f>
        <v>Papua</v>
      </c>
      <c r="G1744" s="72" t="str">
        <f>HYPERLINK("http://api.nsgreg.nga.mil/geo-division/GENC/6/3-11/ID-PA","as:GENC:6:3-11:ID-PA")</f>
        <v>as:GENC:6:3-11:ID-PA</v>
      </c>
    </row>
    <row r="1745" spans="1:7" x14ac:dyDescent="0.25">
      <c r="A1745" s="112"/>
      <c r="B1745" s="21" t="s">
        <v>5143</v>
      </c>
      <c r="C1745" s="21" t="s">
        <v>5144</v>
      </c>
      <c r="D1745" s="21" t="s">
        <v>1668</v>
      </c>
      <c r="E1745" s="50" t="b">
        <v>1</v>
      </c>
      <c r="F1745" s="72" t="str">
        <f>HYPERLINK("http://nsgreg.nga.mil/genc/view?v=293196&amp;end_month=6&amp;end_day=30&amp;end_year=2019","Papua Barat")</f>
        <v>Papua Barat</v>
      </c>
      <c r="G1745" s="72" t="str">
        <f>HYPERLINK("http://api.nsgreg.nga.mil/geo-division/GENC/6/3-11/ID-PB","as:GENC:6:3-11:ID-PB")</f>
        <v>as:GENC:6:3-11:ID-PB</v>
      </c>
    </row>
    <row r="1746" spans="1:7" x14ac:dyDescent="0.25">
      <c r="A1746" s="112"/>
      <c r="B1746" s="21" t="s">
        <v>5145</v>
      </c>
      <c r="C1746" s="21" t="s">
        <v>5146</v>
      </c>
      <c r="D1746" s="76" t="s">
        <v>5099</v>
      </c>
      <c r="E1746" s="77" t="b">
        <v>0</v>
      </c>
      <c r="F1746" s="72" t="str">
        <f>HYPERLINK("http://nsgreg.nga.mil/genc/view?v=293202&amp;end_month=6&amp;end_day=30&amp;end_year=2019","Sulawesi")</f>
        <v>Sulawesi</v>
      </c>
      <c r="G1746" s="72" t="str">
        <f>HYPERLINK("http://api.nsgreg.nga.mil/geo-division/GENC/6/3-11/ID-SL","as:GENC:6:3-11:ID-SL")</f>
        <v>as:GENC:6:3-11:ID-SL</v>
      </c>
    </row>
    <row r="1747" spans="1:7" x14ac:dyDescent="0.25">
      <c r="A1747" s="112"/>
      <c r="B1747" s="21" t="s">
        <v>5147</v>
      </c>
      <c r="C1747" s="21" t="s">
        <v>5148</v>
      </c>
      <c r="D1747" s="21" t="s">
        <v>1668</v>
      </c>
      <c r="E1747" s="50" t="b">
        <v>1</v>
      </c>
      <c r="F1747" s="72" t="str">
        <f>HYPERLINK("http://nsgreg.nga.mil/genc/view?v=293174&amp;end_month=6&amp;end_day=30&amp;end_year=2019","Gorontalo")</f>
        <v>Gorontalo</v>
      </c>
      <c r="G1747" s="72" t="str">
        <f>HYPERLINK("http://api.nsgreg.nga.mil/geo-division/GENC/6/3-11/ID-GO","as:GENC:6:3-11:ID-GO")</f>
        <v>as:GENC:6:3-11:ID-GO</v>
      </c>
    </row>
    <row r="1748" spans="1:7" x14ac:dyDescent="0.25">
      <c r="A1748" s="112"/>
      <c r="B1748" s="21" t="s">
        <v>5149</v>
      </c>
      <c r="C1748" s="21" t="s">
        <v>5150</v>
      </c>
      <c r="D1748" s="21" t="s">
        <v>1668</v>
      </c>
      <c r="E1748" s="50" t="b">
        <v>1</v>
      </c>
      <c r="F1748" s="72" t="str">
        <f>HYPERLINK("http://nsgreg.nga.mil/genc/view?v=293205&amp;end_month=6&amp;end_day=30&amp;end_year=2019","Sulawesi Barat")</f>
        <v>Sulawesi Barat</v>
      </c>
      <c r="G1748" s="72" t="str">
        <f>HYPERLINK("http://api.nsgreg.nga.mil/geo-division/GENC/6/3-11/ID-SR","as:GENC:6:3-11:ID-SR")</f>
        <v>as:GENC:6:3-11:ID-SR</v>
      </c>
    </row>
    <row r="1749" spans="1:7" x14ac:dyDescent="0.25">
      <c r="A1749" s="112"/>
      <c r="B1749" s="21" t="s">
        <v>5151</v>
      </c>
      <c r="C1749" s="21" t="s">
        <v>5152</v>
      </c>
      <c r="D1749" s="21" t="s">
        <v>1668</v>
      </c>
      <c r="E1749" s="50" t="b">
        <v>1</v>
      </c>
      <c r="F1749" s="72" t="str">
        <f>HYPERLINK("http://nsgreg.nga.mil/genc/view?v=293204&amp;end_month=6&amp;end_day=30&amp;end_year=2019","Sulawesi Selatan")</f>
        <v>Sulawesi Selatan</v>
      </c>
      <c r="G1749" s="72" t="str">
        <f>HYPERLINK("http://api.nsgreg.nga.mil/geo-division/GENC/6/3-11/ID-SN","as:GENC:6:3-11:ID-SN")</f>
        <v>as:GENC:6:3-11:ID-SN</v>
      </c>
    </row>
    <row r="1750" spans="1:7" x14ac:dyDescent="0.25">
      <c r="A1750" s="112"/>
      <c r="B1750" s="21" t="s">
        <v>5153</v>
      </c>
      <c r="C1750" s="21" t="s">
        <v>5154</v>
      </c>
      <c r="D1750" s="21" t="s">
        <v>1668</v>
      </c>
      <c r="E1750" s="50" t="b">
        <v>1</v>
      </c>
      <c r="F1750" s="72" t="str">
        <f>HYPERLINK("http://nsgreg.nga.mil/genc/view?v=293207&amp;end_month=6&amp;end_day=30&amp;end_year=2019","Sulawesi Tengah")</f>
        <v>Sulawesi Tengah</v>
      </c>
      <c r="G1750" s="72" t="str">
        <f>HYPERLINK("http://api.nsgreg.nga.mil/geo-division/GENC/6/3-11/ID-ST","as:GENC:6:3-11:ID-ST")</f>
        <v>as:GENC:6:3-11:ID-ST</v>
      </c>
    </row>
    <row r="1751" spans="1:7" x14ac:dyDescent="0.25">
      <c r="A1751" s="112"/>
      <c r="B1751" s="21" t="s">
        <v>5155</v>
      </c>
      <c r="C1751" s="21" t="s">
        <v>5156</v>
      </c>
      <c r="D1751" s="21" t="s">
        <v>1668</v>
      </c>
      <c r="E1751" s="50" t="b">
        <v>1</v>
      </c>
      <c r="F1751" s="72" t="str">
        <f>HYPERLINK("http://nsgreg.nga.mil/genc/view?v=293201&amp;end_month=6&amp;end_day=30&amp;end_year=2019","Sulawesi Tenggara")</f>
        <v>Sulawesi Tenggara</v>
      </c>
      <c r="G1751" s="72" t="str">
        <f>HYPERLINK("http://api.nsgreg.nga.mil/geo-division/GENC/6/3-11/ID-SG","as:GENC:6:3-11:ID-SG")</f>
        <v>as:GENC:6:3-11:ID-SG</v>
      </c>
    </row>
    <row r="1752" spans="1:7" x14ac:dyDescent="0.25">
      <c r="A1752" s="112"/>
      <c r="B1752" s="21" t="s">
        <v>5157</v>
      </c>
      <c r="C1752" s="21" t="s">
        <v>5158</v>
      </c>
      <c r="D1752" s="21" t="s">
        <v>1668</v>
      </c>
      <c r="E1752" s="50" t="b">
        <v>1</v>
      </c>
      <c r="F1752" s="72" t="str">
        <f>HYPERLINK("http://nsgreg.nga.mil/genc/view?v=293199&amp;end_month=6&amp;end_day=30&amp;end_year=2019","Sulawesi Utara")</f>
        <v>Sulawesi Utara</v>
      </c>
      <c r="G1752" s="72" t="str">
        <f>HYPERLINK("http://api.nsgreg.nga.mil/geo-division/GENC/6/3-11/ID-SA","as:GENC:6:3-11:ID-SA")</f>
        <v>as:GENC:6:3-11:ID-SA</v>
      </c>
    </row>
    <row r="1753" spans="1:7" x14ac:dyDescent="0.25">
      <c r="A1753" s="112"/>
      <c r="B1753" s="21" t="s">
        <v>5159</v>
      </c>
      <c r="C1753" s="21" t="s">
        <v>5160</v>
      </c>
      <c r="D1753" s="76" t="s">
        <v>5099</v>
      </c>
      <c r="E1753" s="77" t="b">
        <v>0</v>
      </c>
      <c r="F1753" s="72" t="str">
        <f>HYPERLINK("http://nsgreg.nga.mil/genc/view?v=293203&amp;end_month=6&amp;end_day=30&amp;end_year=2019","Sumatera")</f>
        <v>Sumatera</v>
      </c>
      <c r="G1753" s="72" t="str">
        <f>HYPERLINK("http://api.nsgreg.nga.mil/geo-division/GENC/6/3-11/ID-SM","as:GENC:6:3-11:ID-SM")</f>
        <v>as:GENC:6:3-11:ID-SM</v>
      </c>
    </row>
    <row r="1754" spans="1:7" x14ac:dyDescent="0.25">
      <c r="A1754" s="112"/>
      <c r="B1754" s="21" t="s">
        <v>5161</v>
      </c>
      <c r="C1754" s="21" t="s">
        <v>5162</v>
      </c>
      <c r="D1754" s="21" t="s">
        <v>1668</v>
      </c>
      <c r="E1754" s="50" t="b">
        <v>1</v>
      </c>
      <c r="F1754" s="72" t="str">
        <f>HYPERLINK("http://nsgreg.nga.mil/genc/view?v=293169&amp;end_month=6&amp;end_day=30&amp;end_year=2019","Aceh")</f>
        <v>Aceh</v>
      </c>
      <c r="G1754" s="72" t="str">
        <f>HYPERLINK("http://api.nsgreg.nga.mil/geo-division/GENC/6/3-11/ID-AC","as:GENC:6:3-11:ID-AC")</f>
        <v>as:GENC:6:3-11:ID-AC</v>
      </c>
    </row>
    <row r="1755" spans="1:7" x14ac:dyDescent="0.25">
      <c r="A1755" s="112"/>
      <c r="B1755" s="21" t="s">
        <v>5163</v>
      </c>
      <c r="C1755" s="21" t="s">
        <v>5164</v>
      </c>
      <c r="D1755" s="21" t="s">
        <v>1668</v>
      </c>
      <c r="E1755" s="50" t="b">
        <v>1</v>
      </c>
      <c r="F1755" s="72" t="str">
        <f>HYPERLINK("http://nsgreg.nga.mil/genc/view?v=293172&amp;end_month=6&amp;end_day=30&amp;end_year=2019","Bengkulu")</f>
        <v>Bengkulu</v>
      </c>
      <c r="G1755" s="72" t="str">
        <f>HYPERLINK("http://api.nsgreg.nga.mil/geo-division/GENC/6/3-11/ID-BE","as:GENC:6:3-11:ID-BE")</f>
        <v>as:GENC:6:3-11:ID-BE</v>
      </c>
    </row>
    <row r="1756" spans="1:7" x14ac:dyDescent="0.25">
      <c r="A1756" s="112"/>
      <c r="B1756" s="21" t="s">
        <v>5165</v>
      </c>
      <c r="C1756" s="21" t="s">
        <v>5166</v>
      </c>
      <c r="D1756" s="21" t="s">
        <v>1668</v>
      </c>
      <c r="E1756" s="50" t="b">
        <v>1</v>
      </c>
      <c r="F1756" s="72" t="str">
        <f>HYPERLINK("http://nsgreg.nga.mil/genc/view?v=293175&amp;end_month=6&amp;end_day=30&amp;end_year=2019","Jambi")</f>
        <v>Jambi</v>
      </c>
      <c r="G1756" s="72" t="str">
        <f>HYPERLINK("http://api.nsgreg.nga.mil/geo-division/GENC/6/3-11/ID-JA","as:GENC:6:3-11:ID-JA")</f>
        <v>as:GENC:6:3-11:ID-JA</v>
      </c>
    </row>
    <row r="1757" spans="1:7" x14ac:dyDescent="0.25">
      <c r="A1757" s="112"/>
      <c r="B1757" s="21" t="s">
        <v>5167</v>
      </c>
      <c r="C1757" s="21" t="s">
        <v>5168</v>
      </c>
      <c r="D1757" s="21" t="s">
        <v>1668</v>
      </c>
      <c r="E1757" s="50" t="b">
        <v>1</v>
      </c>
      <c r="F1757" s="72" t="str">
        <f>HYPERLINK("http://nsgreg.nga.mil/genc/view?v=293171&amp;end_month=6&amp;end_day=30&amp;end_year=2019","Kepulauan Bangka Belitung")</f>
        <v>Kepulauan Bangka Belitung</v>
      </c>
      <c r="G1757" s="72" t="str">
        <f>HYPERLINK("http://api.nsgreg.nga.mil/geo-division/GENC/6/3-11/ID-BB","as:GENC:6:3-11:ID-BB")</f>
        <v>as:GENC:6:3-11:ID-BB</v>
      </c>
    </row>
    <row r="1758" spans="1:7" x14ac:dyDescent="0.25">
      <c r="A1758" s="112"/>
      <c r="B1758" s="21" t="s">
        <v>5169</v>
      </c>
      <c r="C1758" s="21" t="s">
        <v>5170</v>
      </c>
      <c r="D1758" s="21" t="s">
        <v>1668</v>
      </c>
      <c r="E1758" s="50" t="b">
        <v>1</v>
      </c>
      <c r="F1758" s="72" t="str">
        <f>HYPERLINK("http://nsgreg.nga.mil/genc/view?v=293184&amp;end_month=6&amp;end_day=30&amp;end_year=2019","Kepulauan Riau")</f>
        <v>Kepulauan Riau</v>
      </c>
      <c r="G1758" s="72" t="str">
        <f>HYPERLINK("http://api.nsgreg.nga.mil/geo-division/GENC/6/3-11/ID-KR","as:GENC:6:3-11:ID-KR")</f>
        <v>as:GENC:6:3-11:ID-KR</v>
      </c>
    </row>
    <row r="1759" spans="1:7" x14ac:dyDescent="0.25">
      <c r="A1759" s="112"/>
      <c r="B1759" s="21" t="s">
        <v>5171</v>
      </c>
      <c r="C1759" s="21" t="s">
        <v>5172</v>
      </c>
      <c r="D1759" s="21" t="s">
        <v>1668</v>
      </c>
      <c r="E1759" s="50" t="b">
        <v>1</v>
      </c>
      <c r="F1759" s="72" t="str">
        <f>HYPERLINK("http://nsgreg.nga.mil/genc/view?v=293188&amp;end_month=6&amp;end_day=30&amp;end_year=2019","Lampung")</f>
        <v>Lampung</v>
      </c>
      <c r="G1759" s="72" t="str">
        <f>HYPERLINK("http://api.nsgreg.nga.mil/geo-division/GENC/6/3-11/ID-LA","as:GENC:6:3-11:ID-LA")</f>
        <v>as:GENC:6:3-11:ID-LA</v>
      </c>
    </row>
    <row r="1760" spans="1:7" x14ac:dyDescent="0.25">
      <c r="A1760" s="112"/>
      <c r="B1760" s="21" t="s">
        <v>5173</v>
      </c>
      <c r="C1760" s="21" t="s">
        <v>5174</v>
      </c>
      <c r="D1760" s="21" t="s">
        <v>1668</v>
      </c>
      <c r="E1760" s="50" t="b">
        <v>1</v>
      </c>
      <c r="F1760" s="72" t="str">
        <f>HYPERLINK("http://nsgreg.nga.mil/genc/view?v=293198&amp;end_month=6&amp;end_day=30&amp;end_year=2019","Riau")</f>
        <v>Riau</v>
      </c>
      <c r="G1760" s="72" t="str">
        <f>HYPERLINK("http://api.nsgreg.nga.mil/geo-division/GENC/6/3-11/ID-RI","as:GENC:6:3-11:ID-RI")</f>
        <v>as:GENC:6:3-11:ID-RI</v>
      </c>
    </row>
    <row r="1761" spans="1:7" x14ac:dyDescent="0.25">
      <c r="A1761" s="112"/>
      <c r="B1761" s="21" t="s">
        <v>5175</v>
      </c>
      <c r="C1761" s="21" t="s">
        <v>5176</v>
      </c>
      <c r="D1761" s="21" t="s">
        <v>1668</v>
      </c>
      <c r="E1761" s="50" t="b">
        <v>1</v>
      </c>
      <c r="F1761" s="72" t="str">
        <f>HYPERLINK("http://nsgreg.nga.mil/genc/view?v=293200&amp;end_month=6&amp;end_day=30&amp;end_year=2019","Sumatera Barat")</f>
        <v>Sumatera Barat</v>
      </c>
      <c r="G1761" s="72" t="str">
        <f>HYPERLINK("http://api.nsgreg.nga.mil/geo-division/GENC/6/3-11/ID-SB","as:GENC:6:3-11:ID-SB")</f>
        <v>as:GENC:6:3-11:ID-SB</v>
      </c>
    </row>
    <row r="1762" spans="1:7" x14ac:dyDescent="0.25">
      <c r="A1762" s="112"/>
      <c r="B1762" s="21" t="s">
        <v>5177</v>
      </c>
      <c r="C1762" s="21" t="s">
        <v>5178</v>
      </c>
      <c r="D1762" s="21" t="s">
        <v>1668</v>
      </c>
      <c r="E1762" s="50" t="b">
        <v>1</v>
      </c>
      <c r="F1762" s="72" t="str">
        <f>HYPERLINK("http://nsgreg.nga.mil/genc/view?v=293206&amp;end_month=6&amp;end_day=30&amp;end_year=2019","Sumatera Selatan")</f>
        <v>Sumatera Selatan</v>
      </c>
      <c r="G1762" s="72" t="str">
        <f>HYPERLINK("http://api.nsgreg.nga.mil/geo-division/GENC/6/3-11/ID-SS","as:GENC:6:3-11:ID-SS")</f>
        <v>as:GENC:6:3-11:ID-SS</v>
      </c>
    </row>
    <row r="1763" spans="1:7" x14ac:dyDescent="0.25">
      <c r="A1763" s="113"/>
      <c r="B1763" s="47" t="s">
        <v>5179</v>
      </c>
      <c r="C1763" s="47" t="s">
        <v>5180</v>
      </c>
      <c r="D1763" s="47" t="s">
        <v>1668</v>
      </c>
      <c r="E1763" s="51" t="b">
        <v>1</v>
      </c>
      <c r="F1763" s="73" t="str">
        <f>HYPERLINK("http://nsgreg.nga.mil/genc/view?v=293208&amp;end_month=6&amp;end_day=30&amp;end_year=2019","Sumatera Utara")</f>
        <v>Sumatera Utara</v>
      </c>
      <c r="G1763" s="73" t="str">
        <f>HYPERLINK("http://api.nsgreg.nga.mil/geo-division/GENC/6/3-11/ID-SU","as:GENC:6:3-11:ID-SU")</f>
        <v>as:GENC:6:3-11:ID-SU</v>
      </c>
    </row>
    <row r="1764" spans="1:7" x14ac:dyDescent="0.25">
      <c r="A1764" s="111" t="str">
        <f>HYPERLINK("[#]Codes_for_GE_Names!A127:I127","IRAN")</f>
        <v>IRAN</v>
      </c>
      <c r="B1764" s="42" t="s">
        <v>5181</v>
      </c>
      <c r="C1764" s="42" t="s">
        <v>5182</v>
      </c>
      <c r="D1764" s="42" t="s">
        <v>1668</v>
      </c>
      <c r="E1764" s="49" t="b">
        <v>1</v>
      </c>
      <c r="F1764" s="74" t="str">
        <f>HYPERLINK("http://nsgreg.nga.mil/genc/view?v=293338&amp;end_month=6&amp;end_day=30&amp;end_year=2019","Alborz")</f>
        <v>Alborz</v>
      </c>
      <c r="G1764" s="74" t="str">
        <f>HYPERLINK("http://api.nsgreg.nga.mil/geo-division/GENC/6/3-11/IR-32","as:GENC:6:3-11:IR-32")</f>
        <v>as:GENC:6:3-11:IR-32</v>
      </c>
    </row>
    <row r="1765" spans="1:7" x14ac:dyDescent="0.25">
      <c r="A1765" s="112"/>
      <c r="B1765" s="21" t="s">
        <v>5183</v>
      </c>
      <c r="C1765" s="21" t="s">
        <v>5184</v>
      </c>
      <c r="D1765" s="21" t="s">
        <v>1668</v>
      </c>
      <c r="E1765" s="50" t="b">
        <v>1</v>
      </c>
      <c r="F1765" s="72" t="str">
        <f>HYPERLINK("http://nsgreg.nga.mil/genc/view?v=293310&amp;end_month=6&amp;end_day=30&amp;end_year=2019","Ardabīl")</f>
        <v>Ardabīl</v>
      </c>
      <c r="G1765" s="72" t="str">
        <f>HYPERLINK("http://api.nsgreg.nga.mil/geo-division/GENC/6/3-11/IR-03","as:GENC:6:3-11:IR-03")</f>
        <v>as:GENC:6:3-11:IR-03</v>
      </c>
    </row>
    <row r="1766" spans="1:7" x14ac:dyDescent="0.25">
      <c r="A1766" s="112"/>
      <c r="B1766" s="21" t="s">
        <v>5185</v>
      </c>
      <c r="C1766" s="21" t="s">
        <v>5186</v>
      </c>
      <c r="D1766" s="21" t="s">
        <v>1668</v>
      </c>
      <c r="E1766" s="50" t="b">
        <v>1</v>
      </c>
      <c r="F1766" s="72" t="str">
        <f>HYPERLINK("http://nsgreg.nga.mil/genc/view?v=293309&amp;end_month=6&amp;end_day=30&amp;end_year=2019","Āz̄arbāyjān-e Gharbī")</f>
        <v>Āz̄arbāyjān-e Gharbī</v>
      </c>
      <c r="G1766" s="72" t="str">
        <f>HYPERLINK("http://api.nsgreg.nga.mil/geo-division/GENC/6/3-11/IR-02","as:GENC:6:3-11:IR-02")</f>
        <v>as:GENC:6:3-11:IR-02</v>
      </c>
    </row>
    <row r="1767" spans="1:7" x14ac:dyDescent="0.25">
      <c r="A1767" s="112"/>
      <c r="B1767" s="21" t="s">
        <v>5187</v>
      </c>
      <c r="C1767" s="21" t="s">
        <v>5188</v>
      </c>
      <c r="D1767" s="21" t="s">
        <v>1668</v>
      </c>
      <c r="E1767" s="50" t="b">
        <v>1</v>
      </c>
      <c r="F1767" s="72" t="str">
        <f>HYPERLINK("http://nsgreg.nga.mil/genc/view?v=293308&amp;end_month=6&amp;end_day=30&amp;end_year=2019","Āz̄arbāyjān-e Sharqī")</f>
        <v>Āz̄arbāyjān-e Sharqī</v>
      </c>
      <c r="G1767" s="72" t="str">
        <f>HYPERLINK("http://api.nsgreg.nga.mil/geo-division/GENC/6/3-11/IR-01","as:GENC:6:3-11:IR-01")</f>
        <v>as:GENC:6:3-11:IR-01</v>
      </c>
    </row>
    <row r="1768" spans="1:7" x14ac:dyDescent="0.25">
      <c r="A1768" s="112"/>
      <c r="B1768" s="21" t="s">
        <v>5189</v>
      </c>
      <c r="C1768" s="21" t="s">
        <v>5190</v>
      </c>
      <c r="D1768" s="21" t="s">
        <v>1668</v>
      </c>
      <c r="E1768" s="50" t="b">
        <v>1</v>
      </c>
      <c r="F1768" s="72" t="str">
        <f>HYPERLINK("http://nsgreg.nga.mil/genc/view?v=293313&amp;end_month=6&amp;end_day=30&amp;end_year=2019","Būshehr")</f>
        <v>Būshehr</v>
      </c>
      <c r="G1768" s="72" t="str">
        <f>HYPERLINK("http://api.nsgreg.nga.mil/geo-division/GENC/6/3-11/IR-06","as:GENC:6:3-11:IR-06")</f>
        <v>as:GENC:6:3-11:IR-06</v>
      </c>
    </row>
    <row r="1769" spans="1:7" x14ac:dyDescent="0.25">
      <c r="A1769" s="112"/>
      <c r="B1769" s="21" t="s">
        <v>5191</v>
      </c>
      <c r="C1769" s="21" t="s">
        <v>5192</v>
      </c>
      <c r="D1769" s="21" t="s">
        <v>1668</v>
      </c>
      <c r="E1769" s="50" t="b">
        <v>1</v>
      </c>
      <c r="F1769" s="72" t="str">
        <f>HYPERLINK("http://nsgreg.nga.mil/genc/view?v=293315&amp;end_month=6&amp;end_day=30&amp;end_year=2019","Chahār Maḩāl va Bakhtīārī")</f>
        <v>Chahār Maḩāl va Bakhtīārī</v>
      </c>
      <c r="G1769" s="72" t="str">
        <f>HYPERLINK("http://api.nsgreg.nga.mil/geo-division/GENC/6/3-11/IR-08","as:GENC:6:3-11:IR-08")</f>
        <v>as:GENC:6:3-11:IR-08</v>
      </c>
    </row>
    <row r="1770" spans="1:7" x14ac:dyDescent="0.25">
      <c r="A1770" s="112"/>
      <c r="B1770" s="21" t="s">
        <v>5193</v>
      </c>
      <c r="C1770" s="21" t="s">
        <v>5194</v>
      </c>
      <c r="D1770" s="21" t="s">
        <v>1668</v>
      </c>
      <c r="E1770" s="50" t="b">
        <v>1</v>
      </c>
      <c r="F1770" s="72" t="str">
        <f>HYPERLINK("http://nsgreg.nga.mil/genc/view?v=293311&amp;end_month=6&amp;end_day=30&amp;end_year=2019","Eşfahān")</f>
        <v>Eşfahān</v>
      </c>
      <c r="G1770" s="72" t="str">
        <f>HYPERLINK("http://api.nsgreg.nga.mil/geo-division/GENC/6/3-11/IR-04","as:GENC:6:3-11:IR-04")</f>
        <v>as:GENC:6:3-11:IR-04</v>
      </c>
    </row>
    <row r="1771" spans="1:7" x14ac:dyDescent="0.25">
      <c r="A1771" s="112"/>
      <c r="B1771" s="21" t="s">
        <v>5195</v>
      </c>
      <c r="C1771" s="21" t="s">
        <v>5196</v>
      </c>
      <c r="D1771" s="21" t="s">
        <v>1668</v>
      </c>
      <c r="E1771" s="50" t="b">
        <v>1</v>
      </c>
      <c r="F1771" s="72" t="str">
        <f>HYPERLINK("http://nsgreg.nga.mil/genc/view?v=293320&amp;end_month=6&amp;end_day=30&amp;end_year=2019","Fārs")</f>
        <v>Fārs</v>
      </c>
      <c r="G1771" s="72" t="str">
        <f>HYPERLINK("http://api.nsgreg.nga.mil/geo-division/GENC/6/3-11/IR-14","as:GENC:6:3-11:IR-14")</f>
        <v>as:GENC:6:3-11:IR-14</v>
      </c>
    </row>
    <row r="1772" spans="1:7" x14ac:dyDescent="0.25">
      <c r="A1772" s="112"/>
      <c r="B1772" s="21" t="s">
        <v>5197</v>
      </c>
      <c r="C1772" s="21" t="s">
        <v>5198</v>
      </c>
      <c r="D1772" s="21" t="s">
        <v>1668</v>
      </c>
      <c r="E1772" s="50" t="b">
        <v>1</v>
      </c>
      <c r="F1772" s="72" t="str">
        <f>HYPERLINK("http://nsgreg.nga.mil/genc/view?v=293325&amp;end_month=6&amp;end_day=30&amp;end_year=2019","Gīlān")</f>
        <v>Gīlān</v>
      </c>
      <c r="G1772" s="72" t="str">
        <f>HYPERLINK("http://api.nsgreg.nga.mil/geo-division/GENC/6/3-11/IR-19","as:GENC:6:3-11:IR-19")</f>
        <v>as:GENC:6:3-11:IR-19</v>
      </c>
    </row>
    <row r="1773" spans="1:7" x14ac:dyDescent="0.25">
      <c r="A1773" s="112"/>
      <c r="B1773" s="21" t="s">
        <v>5199</v>
      </c>
      <c r="C1773" s="21" t="s">
        <v>5200</v>
      </c>
      <c r="D1773" s="21" t="s">
        <v>1668</v>
      </c>
      <c r="E1773" s="50" t="b">
        <v>1</v>
      </c>
      <c r="F1773" s="72" t="str">
        <f>HYPERLINK("http://nsgreg.nga.mil/genc/view?v=293333&amp;end_month=6&amp;end_day=30&amp;end_year=2019","Golestān")</f>
        <v>Golestān</v>
      </c>
      <c r="G1773" s="72" t="str">
        <f>HYPERLINK("http://api.nsgreg.nga.mil/geo-division/GENC/6/3-11/IR-27","as:GENC:6:3-11:IR-27")</f>
        <v>as:GENC:6:3-11:IR-27</v>
      </c>
    </row>
    <row r="1774" spans="1:7" x14ac:dyDescent="0.25">
      <c r="A1774" s="112"/>
      <c r="B1774" s="21" t="s">
        <v>5201</v>
      </c>
      <c r="C1774" s="21" t="s">
        <v>5202</v>
      </c>
      <c r="D1774" s="21" t="s">
        <v>1668</v>
      </c>
      <c r="E1774" s="50" t="b">
        <v>1</v>
      </c>
      <c r="F1774" s="72" t="str">
        <f>HYPERLINK("http://nsgreg.nga.mil/genc/view?v=293330&amp;end_month=6&amp;end_day=30&amp;end_year=2019","Hamadān")</f>
        <v>Hamadān</v>
      </c>
      <c r="G1774" s="72" t="str">
        <f>HYPERLINK("http://api.nsgreg.nga.mil/geo-division/GENC/6/3-11/IR-24","as:GENC:6:3-11:IR-24")</f>
        <v>as:GENC:6:3-11:IR-24</v>
      </c>
    </row>
    <row r="1775" spans="1:7" x14ac:dyDescent="0.25">
      <c r="A1775" s="112"/>
      <c r="B1775" s="21" t="s">
        <v>5203</v>
      </c>
      <c r="C1775" s="21" t="s">
        <v>5204</v>
      </c>
      <c r="D1775" s="21" t="s">
        <v>1668</v>
      </c>
      <c r="E1775" s="50" t="b">
        <v>1</v>
      </c>
      <c r="F1775" s="72" t="str">
        <f>HYPERLINK("http://nsgreg.nga.mil/genc/view?v=293329&amp;end_month=6&amp;end_day=30&amp;end_year=2019","Hormozgān")</f>
        <v>Hormozgān</v>
      </c>
      <c r="G1775" s="72" t="str">
        <f>HYPERLINK("http://api.nsgreg.nga.mil/geo-division/GENC/6/3-11/IR-23","as:GENC:6:3-11:IR-23")</f>
        <v>as:GENC:6:3-11:IR-23</v>
      </c>
    </row>
    <row r="1776" spans="1:7" x14ac:dyDescent="0.25">
      <c r="A1776" s="112"/>
      <c r="B1776" s="21" t="s">
        <v>5205</v>
      </c>
      <c r="C1776" s="21" t="s">
        <v>5206</v>
      </c>
      <c r="D1776" s="21" t="s">
        <v>1668</v>
      </c>
      <c r="E1776" s="50" t="b">
        <v>1</v>
      </c>
      <c r="F1776" s="72" t="str">
        <f>HYPERLINK("http://nsgreg.nga.mil/genc/view?v=293312&amp;end_month=6&amp;end_day=30&amp;end_year=2019","Īlām")</f>
        <v>Īlām</v>
      </c>
      <c r="G1776" s="72" t="str">
        <f>HYPERLINK("http://api.nsgreg.nga.mil/geo-division/GENC/6/3-11/IR-05","as:GENC:6:3-11:IR-05")</f>
        <v>as:GENC:6:3-11:IR-05</v>
      </c>
    </row>
    <row r="1777" spans="1:7" x14ac:dyDescent="0.25">
      <c r="A1777" s="112"/>
      <c r="B1777" s="21" t="s">
        <v>5207</v>
      </c>
      <c r="C1777" s="21" t="s">
        <v>5208</v>
      </c>
      <c r="D1777" s="21" t="s">
        <v>1668</v>
      </c>
      <c r="E1777" s="50" t="b">
        <v>1</v>
      </c>
      <c r="F1777" s="72" t="str">
        <f>HYPERLINK("http://nsgreg.nga.mil/genc/view?v=293321&amp;end_month=6&amp;end_day=30&amp;end_year=2019","Kermān")</f>
        <v>Kermān</v>
      </c>
      <c r="G1777" s="72" t="str">
        <f>HYPERLINK("http://api.nsgreg.nga.mil/geo-division/GENC/6/3-11/IR-15","as:GENC:6:3-11:IR-15")</f>
        <v>as:GENC:6:3-11:IR-15</v>
      </c>
    </row>
    <row r="1778" spans="1:7" x14ac:dyDescent="0.25">
      <c r="A1778" s="112"/>
      <c r="B1778" s="21" t="s">
        <v>5209</v>
      </c>
      <c r="C1778" s="21" t="s">
        <v>5210</v>
      </c>
      <c r="D1778" s="21" t="s">
        <v>1668</v>
      </c>
      <c r="E1778" s="50" t="b">
        <v>1</v>
      </c>
      <c r="F1778" s="72" t="str">
        <f>HYPERLINK("http://nsgreg.nga.mil/genc/view?v=293323&amp;end_month=6&amp;end_day=30&amp;end_year=2019","Kermānshāh")</f>
        <v>Kermānshāh</v>
      </c>
      <c r="G1778" s="72" t="str">
        <f>HYPERLINK("http://api.nsgreg.nga.mil/geo-division/GENC/6/3-11/IR-17","as:GENC:6:3-11:IR-17")</f>
        <v>as:GENC:6:3-11:IR-17</v>
      </c>
    </row>
    <row r="1779" spans="1:7" x14ac:dyDescent="0.25">
      <c r="A1779" s="112"/>
      <c r="B1779" s="21" t="s">
        <v>5211</v>
      </c>
      <c r="C1779" s="21" t="s">
        <v>5212</v>
      </c>
      <c r="D1779" s="21" t="s">
        <v>1668</v>
      </c>
      <c r="E1779" s="50" t="b">
        <v>1</v>
      </c>
      <c r="F1779" s="72" t="str">
        <f>HYPERLINK("http://nsgreg.nga.mil/genc/view?v=293335&amp;end_month=6&amp;end_day=30&amp;end_year=2019","Khorāsān-e Jonūbī")</f>
        <v>Khorāsān-e Jonūbī</v>
      </c>
      <c r="G1779" s="72" t="str">
        <f>HYPERLINK("http://api.nsgreg.nga.mil/geo-division/GENC/6/3-11/IR-29","as:GENC:6:3-11:IR-29")</f>
        <v>as:GENC:6:3-11:IR-29</v>
      </c>
    </row>
    <row r="1780" spans="1:7" x14ac:dyDescent="0.25">
      <c r="A1780" s="112"/>
      <c r="B1780" s="21" t="s">
        <v>5213</v>
      </c>
      <c r="C1780" s="21" t="s">
        <v>5214</v>
      </c>
      <c r="D1780" s="21" t="s">
        <v>1668</v>
      </c>
      <c r="E1780" s="50" t="b">
        <v>1</v>
      </c>
      <c r="F1780" s="72" t="str">
        <f>HYPERLINK("http://nsgreg.nga.mil/genc/view?v=293336&amp;end_month=6&amp;end_day=30&amp;end_year=2019","Khorāsān-e Raẕavī")</f>
        <v>Khorāsān-e Raẕavī</v>
      </c>
      <c r="G1780" s="72" t="str">
        <f>HYPERLINK("http://api.nsgreg.nga.mil/geo-division/GENC/6/3-11/IR-30","as:GENC:6:3-11:IR-30")</f>
        <v>as:GENC:6:3-11:IR-30</v>
      </c>
    </row>
    <row r="1781" spans="1:7" x14ac:dyDescent="0.25">
      <c r="A1781" s="112"/>
      <c r="B1781" s="21" t="s">
        <v>5215</v>
      </c>
      <c r="C1781" s="21" t="s">
        <v>5216</v>
      </c>
      <c r="D1781" s="21" t="s">
        <v>1668</v>
      </c>
      <c r="E1781" s="50" t="b">
        <v>1</v>
      </c>
      <c r="F1781" s="72" t="str">
        <f>HYPERLINK("http://nsgreg.nga.mil/genc/view?v=293337&amp;end_month=6&amp;end_day=30&amp;end_year=2019","Khorāsān-e Shomālī")</f>
        <v>Khorāsān-e Shomālī</v>
      </c>
      <c r="G1781" s="72" t="str">
        <f>HYPERLINK("http://api.nsgreg.nga.mil/geo-division/GENC/6/3-11/IR-31","as:GENC:6:3-11:IR-31")</f>
        <v>as:GENC:6:3-11:IR-31</v>
      </c>
    </row>
    <row r="1782" spans="1:7" x14ac:dyDescent="0.25">
      <c r="A1782" s="112"/>
      <c r="B1782" s="21" t="s">
        <v>5217</v>
      </c>
      <c r="C1782" s="21" t="s">
        <v>5218</v>
      </c>
      <c r="D1782" s="21" t="s">
        <v>1668</v>
      </c>
      <c r="E1782" s="50" t="b">
        <v>1</v>
      </c>
      <c r="F1782" s="72" t="str">
        <f>HYPERLINK("http://nsgreg.nga.mil/genc/view?v=293316&amp;end_month=6&amp;end_day=30&amp;end_year=2019","Khūzestān")</f>
        <v>Khūzestān</v>
      </c>
      <c r="G1782" s="72" t="str">
        <f>HYPERLINK("http://api.nsgreg.nga.mil/geo-division/GENC/6/3-11/IR-10","as:GENC:6:3-11:IR-10")</f>
        <v>as:GENC:6:3-11:IR-10</v>
      </c>
    </row>
    <row r="1783" spans="1:7" x14ac:dyDescent="0.25">
      <c r="A1783" s="112"/>
      <c r="B1783" s="21" t="s">
        <v>5219</v>
      </c>
      <c r="C1783" s="21" t="s">
        <v>5220</v>
      </c>
      <c r="D1783" s="21" t="s">
        <v>1668</v>
      </c>
      <c r="E1783" s="50" t="b">
        <v>1</v>
      </c>
      <c r="F1783" s="72" t="str">
        <f>HYPERLINK("http://nsgreg.nga.mil/genc/view?v=293324&amp;end_month=6&amp;end_day=30&amp;end_year=2019","Kohgīlūyeh va Bowyer Aḩmad")</f>
        <v>Kohgīlūyeh va Bowyer Aḩmad</v>
      </c>
      <c r="G1783" s="72" t="str">
        <f>HYPERLINK("http://api.nsgreg.nga.mil/geo-division/GENC/6/3-11/IR-18","as:GENC:6:3-11:IR-18")</f>
        <v>as:GENC:6:3-11:IR-18</v>
      </c>
    </row>
    <row r="1784" spans="1:7" x14ac:dyDescent="0.25">
      <c r="A1784" s="112"/>
      <c r="B1784" s="21" t="s">
        <v>5221</v>
      </c>
      <c r="C1784" s="21" t="s">
        <v>5222</v>
      </c>
      <c r="D1784" s="21" t="s">
        <v>1668</v>
      </c>
      <c r="E1784" s="50" t="b">
        <v>1</v>
      </c>
      <c r="F1784" s="72" t="str">
        <f>HYPERLINK("http://nsgreg.nga.mil/genc/view?v=293322&amp;end_month=6&amp;end_day=30&amp;end_year=2019","Kordestān")</f>
        <v>Kordestān</v>
      </c>
      <c r="G1784" s="72" t="str">
        <f>HYPERLINK("http://api.nsgreg.nga.mil/geo-division/GENC/6/3-11/IR-16","as:GENC:6:3-11:IR-16")</f>
        <v>as:GENC:6:3-11:IR-16</v>
      </c>
    </row>
    <row r="1785" spans="1:7" x14ac:dyDescent="0.25">
      <c r="A1785" s="112"/>
      <c r="B1785" s="21" t="s">
        <v>5223</v>
      </c>
      <c r="C1785" s="21" t="s">
        <v>5224</v>
      </c>
      <c r="D1785" s="21" t="s">
        <v>1668</v>
      </c>
      <c r="E1785" s="50" t="b">
        <v>1</v>
      </c>
      <c r="F1785" s="72" t="str">
        <f>HYPERLINK("http://nsgreg.nga.mil/genc/view?v=293326&amp;end_month=6&amp;end_day=30&amp;end_year=2019","Lorestān")</f>
        <v>Lorestān</v>
      </c>
      <c r="G1785" s="72" t="str">
        <f>HYPERLINK("http://api.nsgreg.nga.mil/geo-division/GENC/6/3-11/IR-20","as:GENC:6:3-11:IR-20")</f>
        <v>as:GENC:6:3-11:IR-20</v>
      </c>
    </row>
    <row r="1786" spans="1:7" x14ac:dyDescent="0.25">
      <c r="A1786" s="112"/>
      <c r="B1786" s="21" t="s">
        <v>5225</v>
      </c>
      <c r="C1786" s="21" t="s">
        <v>5226</v>
      </c>
      <c r="D1786" s="21" t="s">
        <v>1668</v>
      </c>
      <c r="E1786" s="50" t="b">
        <v>1</v>
      </c>
      <c r="F1786" s="72" t="str">
        <f>HYPERLINK("http://nsgreg.nga.mil/genc/view?v=293328&amp;end_month=6&amp;end_day=30&amp;end_year=2019","Markazī")</f>
        <v>Markazī</v>
      </c>
      <c r="G1786" s="72" t="str">
        <f>HYPERLINK("http://api.nsgreg.nga.mil/geo-division/GENC/6/3-11/IR-22","as:GENC:6:3-11:IR-22")</f>
        <v>as:GENC:6:3-11:IR-22</v>
      </c>
    </row>
    <row r="1787" spans="1:7" x14ac:dyDescent="0.25">
      <c r="A1787" s="112"/>
      <c r="B1787" s="21" t="s">
        <v>5227</v>
      </c>
      <c r="C1787" s="21" t="s">
        <v>5228</v>
      </c>
      <c r="D1787" s="21" t="s">
        <v>1668</v>
      </c>
      <c r="E1787" s="50" t="b">
        <v>1</v>
      </c>
      <c r="F1787" s="72" t="str">
        <f>HYPERLINK("http://nsgreg.nga.mil/genc/view?v=293327&amp;end_month=6&amp;end_day=30&amp;end_year=2019","Māzandarān")</f>
        <v>Māzandarān</v>
      </c>
      <c r="G1787" s="72" t="str">
        <f>HYPERLINK("http://api.nsgreg.nga.mil/geo-division/GENC/6/3-11/IR-21","as:GENC:6:3-11:IR-21")</f>
        <v>as:GENC:6:3-11:IR-21</v>
      </c>
    </row>
    <row r="1788" spans="1:7" x14ac:dyDescent="0.25">
      <c r="A1788" s="112"/>
      <c r="B1788" s="21" t="s">
        <v>5229</v>
      </c>
      <c r="C1788" s="21" t="s">
        <v>5230</v>
      </c>
      <c r="D1788" s="21" t="s">
        <v>1668</v>
      </c>
      <c r="E1788" s="50" t="b">
        <v>1</v>
      </c>
      <c r="F1788" s="72" t="str">
        <f>HYPERLINK("http://nsgreg.nga.mil/genc/view?v=293334&amp;end_month=6&amp;end_day=30&amp;end_year=2019","Qazvīn")</f>
        <v>Qazvīn</v>
      </c>
      <c r="G1788" s="72" t="str">
        <f>HYPERLINK("http://api.nsgreg.nga.mil/geo-division/GENC/6/3-11/IR-28","as:GENC:6:3-11:IR-28")</f>
        <v>as:GENC:6:3-11:IR-28</v>
      </c>
    </row>
    <row r="1789" spans="1:7" x14ac:dyDescent="0.25">
      <c r="A1789" s="112"/>
      <c r="B1789" s="21" t="s">
        <v>5231</v>
      </c>
      <c r="C1789" s="21" t="s">
        <v>5232</v>
      </c>
      <c r="D1789" s="21" t="s">
        <v>1668</v>
      </c>
      <c r="E1789" s="50" t="b">
        <v>1</v>
      </c>
      <c r="F1789" s="72" t="str">
        <f>HYPERLINK("http://nsgreg.nga.mil/genc/view?v=293332&amp;end_month=6&amp;end_day=30&amp;end_year=2019","Qom")</f>
        <v>Qom</v>
      </c>
      <c r="G1789" s="72" t="str">
        <f>HYPERLINK("http://api.nsgreg.nga.mil/geo-division/GENC/6/3-11/IR-26","as:GENC:6:3-11:IR-26")</f>
        <v>as:GENC:6:3-11:IR-26</v>
      </c>
    </row>
    <row r="1790" spans="1:7" x14ac:dyDescent="0.25">
      <c r="A1790" s="112"/>
      <c r="B1790" s="21" t="s">
        <v>5233</v>
      </c>
      <c r="C1790" s="21" t="s">
        <v>5234</v>
      </c>
      <c r="D1790" s="21" t="s">
        <v>1668</v>
      </c>
      <c r="E1790" s="50" t="b">
        <v>1</v>
      </c>
      <c r="F1790" s="72" t="str">
        <f>HYPERLINK("http://nsgreg.nga.mil/genc/view?v=293318&amp;end_month=6&amp;end_day=30&amp;end_year=2019","Semnān")</f>
        <v>Semnān</v>
      </c>
      <c r="G1790" s="72" t="str">
        <f>HYPERLINK("http://api.nsgreg.nga.mil/geo-division/GENC/6/3-11/IR-12","as:GENC:6:3-11:IR-12")</f>
        <v>as:GENC:6:3-11:IR-12</v>
      </c>
    </row>
    <row r="1791" spans="1:7" x14ac:dyDescent="0.25">
      <c r="A1791" s="112"/>
      <c r="B1791" s="21" t="s">
        <v>5235</v>
      </c>
      <c r="C1791" s="21" t="s">
        <v>5236</v>
      </c>
      <c r="D1791" s="21" t="s">
        <v>1668</v>
      </c>
      <c r="E1791" s="50" t="b">
        <v>1</v>
      </c>
      <c r="F1791" s="72" t="str">
        <f>HYPERLINK("http://nsgreg.nga.mil/genc/view?v=293319&amp;end_month=6&amp;end_day=30&amp;end_year=2019","Sīstān va Balūchestān")</f>
        <v>Sīstān va Balūchestān</v>
      </c>
      <c r="G1791" s="72" t="str">
        <f>HYPERLINK("http://api.nsgreg.nga.mil/geo-division/GENC/6/3-11/IR-13","as:GENC:6:3-11:IR-13")</f>
        <v>as:GENC:6:3-11:IR-13</v>
      </c>
    </row>
    <row r="1792" spans="1:7" x14ac:dyDescent="0.25">
      <c r="A1792" s="112"/>
      <c r="B1792" s="21" t="s">
        <v>5237</v>
      </c>
      <c r="C1792" s="21" t="s">
        <v>5238</v>
      </c>
      <c r="D1792" s="21" t="s">
        <v>1668</v>
      </c>
      <c r="E1792" s="50" t="b">
        <v>1</v>
      </c>
      <c r="F1792" s="72" t="str">
        <f>HYPERLINK("http://nsgreg.nga.mil/genc/view?v=293314&amp;end_month=6&amp;end_day=30&amp;end_year=2019","Tehrān")</f>
        <v>Tehrān</v>
      </c>
      <c r="G1792" s="72" t="str">
        <f>HYPERLINK("http://api.nsgreg.nga.mil/geo-division/GENC/6/3-11/IR-07","as:GENC:6:3-11:IR-07")</f>
        <v>as:GENC:6:3-11:IR-07</v>
      </c>
    </row>
    <row r="1793" spans="1:7" x14ac:dyDescent="0.25">
      <c r="A1793" s="112"/>
      <c r="B1793" s="21" t="s">
        <v>5239</v>
      </c>
      <c r="C1793" s="21" t="s">
        <v>5240</v>
      </c>
      <c r="D1793" s="21" t="s">
        <v>1668</v>
      </c>
      <c r="E1793" s="50" t="b">
        <v>1</v>
      </c>
      <c r="F1793" s="72" t="str">
        <f>HYPERLINK("http://nsgreg.nga.mil/genc/view?v=293331&amp;end_month=6&amp;end_day=30&amp;end_year=2019","Yazd")</f>
        <v>Yazd</v>
      </c>
      <c r="G1793" s="72" t="str">
        <f>HYPERLINK("http://api.nsgreg.nga.mil/geo-division/GENC/6/3-11/IR-25","as:GENC:6:3-11:IR-25")</f>
        <v>as:GENC:6:3-11:IR-25</v>
      </c>
    </row>
    <row r="1794" spans="1:7" x14ac:dyDescent="0.25">
      <c r="A1794" s="113"/>
      <c r="B1794" s="47" t="s">
        <v>5241</v>
      </c>
      <c r="C1794" s="47" t="s">
        <v>5242</v>
      </c>
      <c r="D1794" s="47" t="s">
        <v>1668</v>
      </c>
      <c r="E1794" s="51" t="b">
        <v>1</v>
      </c>
      <c r="F1794" s="73" t="str">
        <f>HYPERLINK("http://nsgreg.nga.mil/genc/view?v=293317&amp;end_month=6&amp;end_day=30&amp;end_year=2019","Zanjān")</f>
        <v>Zanjān</v>
      </c>
      <c r="G1794" s="73" t="str">
        <f>HYPERLINK("http://api.nsgreg.nga.mil/geo-division/GENC/6/3-11/IR-11","as:GENC:6:3-11:IR-11")</f>
        <v>as:GENC:6:3-11:IR-11</v>
      </c>
    </row>
    <row r="1795" spans="1:7" x14ac:dyDescent="0.25">
      <c r="A1795" s="111" t="str">
        <f>HYPERLINK("[#]Codes_for_GE_Names!A128:I128","IRAQ")</f>
        <v>IRAQ</v>
      </c>
      <c r="B1795" s="42" t="s">
        <v>5243</v>
      </c>
      <c r="C1795" s="42" t="s">
        <v>5244</v>
      </c>
      <c r="D1795" s="42" t="s">
        <v>2255</v>
      </c>
      <c r="E1795" s="49" t="b">
        <v>1</v>
      </c>
      <c r="F1795" s="74" t="str">
        <f>HYPERLINK("http://nsgreg.nga.mil/genc/view?v=293290&amp;end_month=6&amp;end_day=30&amp;end_year=2019","Al Anbār")</f>
        <v>Al Anbār</v>
      </c>
      <c r="G1795" s="74" t="str">
        <f>HYPERLINK("http://api.nsgreg.nga.mil/geo-division/GENC/6/3-11/IQ-AN","as:GENC:6:3-11:IQ-AN")</f>
        <v>as:GENC:6:3-11:IQ-AN</v>
      </c>
    </row>
    <row r="1796" spans="1:7" x14ac:dyDescent="0.25">
      <c r="A1796" s="112"/>
      <c r="B1796" s="21" t="s">
        <v>5245</v>
      </c>
      <c r="C1796" s="21" t="s">
        <v>5246</v>
      </c>
      <c r="D1796" s="21" t="s">
        <v>2255</v>
      </c>
      <c r="E1796" s="50" t="b">
        <v>1</v>
      </c>
      <c r="F1796" s="72" t="str">
        <f>HYPERLINK("http://nsgreg.nga.mil/genc/view?v=293292&amp;end_month=6&amp;end_day=30&amp;end_year=2019","Al Başrah")</f>
        <v>Al Başrah</v>
      </c>
      <c r="G1796" s="72" t="str">
        <f>HYPERLINK("http://api.nsgreg.nga.mil/geo-division/GENC/6/3-11/IQ-BA","as:GENC:6:3-11:IQ-BA")</f>
        <v>as:GENC:6:3-11:IQ-BA</v>
      </c>
    </row>
    <row r="1797" spans="1:7" x14ac:dyDescent="0.25">
      <c r="A1797" s="112"/>
      <c r="B1797" s="21" t="s">
        <v>5247</v>
      </c>
      <c r="C1797" s="21" t="s">
        <v>5248</v>
      </c>
      <c r="D1797" s="21" t="s">
        <v>2255</v>
      </c>
      <c r="E1797" s="50" t="b">
        <v>1</v>
      </c>
      <c r="F1797" s="72" t="str">
        <f>HYPERLINK("http://nsgreg.nga.mil/genc/view?v=293301&amp;end_month=6&amp;end_day=30&amp;end_year=2019","Al Muthanná")</f>
        <v>Al Muthanná</v>
      </c>
      <c r="G1797" s="72" t="str">
        <f>HYPERLINK("http://api.nsgreg.nga.mil/geo-division/GENC/6/3-11/IQ-MU","as:GENC:6:3-11:IQ-MU")</f>
        <v>as:GENC:6:3-11:IQ-MU</v>
      </c>
    </row>
    <row r="1798" spans="1:7" x14ac:dyDescent="0.25">
      <c r="A1798" s="112"/>
      <c r="B1798" s="21" t="s">
        <v>5249</v>
      </c>
      <c r="C1798" s="21" t="s">
        <v>5250</v>
      </c>
      <c r="D1798" s="21" t="s">
        <v>2255</v>
      </c>
      <c r="E1798" s="50" t="b">
        <v>1</v>
      </c>
      <c r="F1798" s="72" t="str">
        <f>HYPERLINK("http://nsgreg.nga.mil/genc/view?v=293304&amp;end_month=6&amp;end_day=30&amp;end_year=2019","Al Qādisīyah")</f>
        <v>Al Qādisīyah</v>
      </c>
      <c r="G1798" s="72" t="str">
        <f>HYPERLINK("http://api.nsgreg.nga.mil/geo-division/GENC/6/3-11/IQ-QA","as:GENC:6:3-11:IQ-QA")</f>
        <v>as:GENC:6:3-11:IQ-QA</v>
      </c>
    </row>
    <row r="1799" spans="1:7" x14ac:dyDescent="0.25">
      <c r="A1799" s="112"/>
      <c r="B1799" s="21" t="s">
        <v>5251</v>
      </c>
      <c r="C1799" s="21" t="s">
        <v>5252</v>
      </c>
      <c r="D1799" s="21" t="s">
        <v>2255</v>
      </c>
      <c r="E1799" s="50" t="b">
        <v>1</v>
      </c>
      <c r="F1799" s="72" t="str">
        <f>HYPERLINK("http://nsgreg.nga.mil/genc/view?v=293302&amp;end_month=6&amp;end_day=30&amp;end_year=2019","An Najaf")</f>
        <v>An Najaf</v>
      </c>
      <c r="G1799" s="72" t="str">
        <f>HYPERLINK("http://api.nsgreg.nga.mil/geo-division/GENC/6/3-11/IQ-NA","as:GENC:6:3-11:IQ-NA")</f>
        <v>as:GENC:6:3-11:IQ-NA</v>
      </c>
    </row>
    <row r="1800" spans="1:7" x14ac:dyDescent="0.25">
      <c r="A1800" s="112"/>
      <c r="B1800" s="21" t="s">
        <v>5253</v>
      </c>
      <c r="C1800" s="21" t="s">
        <v>5254</v>
      </c>
      <c r="D1800" s="21" t="s">
        <v>2255</v>
      </c>
      <c r="E1800" s="50" t="b">
        <v>1</v>
      </c>
      <c r="F1800" s="72" t="str">
        <f>HYPERLINK("http://nsgreg.nga.mil/genc/view?v=293291&amp;end_month=6&amp;end_day=30&amp;end_year=2019","Arbīl")</f>
        <v>Arbīl</v>
      </c>
      <c r="G1800" s="72" t="str">
        <f>HYPERLINK("http://api.nsgreg.nga.mil/geo-division/GENC/6/3-11/IQ-AR","as:GENC:6:3-11:IQ-AR")</f>
        <v>as:GENC:6:3-11:IQ-AR</v>
      </c>
    </row>
    <row r="1801" spans="1:7" x14ac:dyDescent="0.25">
      <c r="A1801" s="112"/>
      <c r="B1801" s="21" t="s">
        <v>5255</v>
      </c>
      <c r="C1801" s="21" t="s">
        <v>5256</v>
      </c>
      <c r="D1801" s="21" t="s">
        <v>2255</v>
      </c>
      <c r="E1801" s="50" t="b">
        <v>1</v>
      </c>
      <c r="F1801" s="72" t="str">
        <f>HYPERLINK("http://nsgreg.nga.mil/genc/view?v=293306&amp;end_month=6&amp;end_day=30&amp;end_year=2019","As Sulaymānīyah")</f>
        <v>As Sulaymānīyah</v>
      </c>
      <c r="G1801" s="72" t="str">
        <f>HYPERLINK("http://api.nsgreg.nga.mil/geo-division/GENC/6/3-11/IQ-SU","as:GENC:6:3-11:IQ-SU")</f>
        <v>as:GENC:6:3-11:IQ-SU</v>
      </c>
    </row>
    <row r="1802" spans="1:7" x14ac:dyDescent="0.25">
      <c r="A1802" s="112"/>
      <c r="B1802" s="21" t="s">
        <v>5257</v>
      </c>
      <c r="C1802" s="21" t="s">
        <v>5258</v>
      </c>
      <c r="D1802" s="21" t="s">
        <v>2255</v>
      </c>
      <c r="E1802" s="50" t="b">
        <v>1</v>
      </c>
      <c r="F1802" s="72" t="str">
        <f>HYPERLINK("http://nsgreg.nga.mil/genc/view?v=293293&amp;end_month=6&amp;end_day=30&amp;end_year=2019","Bābil")</f>
        <v>Bābil</v>
      </c>
      <c r="G1802" s="72" t="str">
        <f>HYPERLINK("http://api.nsgreg.nga.mil/geo-division/GENC/6/3-11/IQ-BB","as:GENC:6:3-11:IQ-BB")</f>
        <v>as:GENC:6:3-11:IQ-BB</v>
      </c>
    </row>
    <row r="1803" spans="1:7" x14ac:dyDescent="0.25">
      <c r="A1803" s="112"/>
      <c r="B1803" s="21" t="s">
        <v>5259</v>
      </c>
      <c r="C1803" s="21" t="s">
        <v>5260</v>
      </c>
      <c r="D1803" s="21" t="s">
        <v>2255</v>
      </c>
      <c r="E1803" s="50" t="b">
        <v>1</v>
      </c>
      <c r="F1803" s="72" t="str">
        <f>HYPERLINK("http://nsgreg.nga.mil/genc/view?v=293294&amp;end_month=6&amp;end_day=30&amp;end_year=2019","Baghdād")</f>
        <v>Baghdād</v>
      </c>
      <c r="G1803" s="72" t="str">
        <f>HYPERLINK("http://api.nsgreg.nga.mil/geo-division/GENC/6/3-11/IQ-BG","as:GENC:6:3-11:IQ-BG")</f>
        <v>as:GENC:6:3-11:IQ-BG</v>
      </c>
    </row>
    <row r="1804" spans="1:7" x14ac:dyDescent="0.25">
      <c r="A1804" s="112"/>
      <c r="B1804" s="21" t="s">
        <v>5261</v>
      </c>
      <c r="C1804" s="21" t="s">
        <v>5262</v>
      </c>
      <c r="D1804" s="21" t="s">
        <v>2255</v>
      </c>
      <c r="E1804" s="50" t="b">
        <v>1</v>
      </c>
      <c r="F1804" s="72" t="str">
        <f>HYPERLINK("http://nsgreg.nga.mil/genc/view?v=293295&amp;end_month=6&amp;end_day=30&amp;end_year=2019","Dahūk")</f>
        <v>Dahūk</v>
      </c>
      <c r="G1804" s="72" t="str">
        <f>HYPERLINK("http://api.nsgreg.nga.mil/geo-division/GENC/6/3-11/IQ-DA","as:GENC:6:3-11:IQ-DA")</f>
        <v>as:GENC:6:3-11:IQ-DA</v>
      </c>
    </row>
    <row r="1805" spans="1:7" x14ac:dyDescent="0.25">
      <c r="A1805" s="112"/>
      <c r="B1805" s="21" t="s">
        <v>5263</v>
      </c>
      <c r="C1805" s="21" t="s">
        <v>5264</v>
      </c>
      <c r="D1805" s="21" t="s">
        <v>2255</v>
      </c>
      <c r="E1805" s="50" t="b">
        <v>1</v>
      </c>
      <c r="F1805" s="72" t="str">
        <f>HYPERLINK("http://nsgreg.nga.mil/genc/view?v=293297&amp;end_month=6&amp;end_day=30&amp;end_year=2019","Dhī Qār")</f>
        <v>Dhī Qār</v>
      </c>
      <c r="G1805" s="72" t="str">
        <f>HYPERLINK("http://api.nsgreg.nga.mil/geo-division/GENC/6/3-11/IQ-DQ","as:GENC:6:3-11:IQ-DQ")</f>
        <v>as:GENC:6:3-11:IQ-DQ</v>
      </c>
    </row>
    <row r="1806" spans="1:7" x14ac:dyDescent="0.25">
      <c r="A1806" s="112"/>
      <c r="B1806" s="21" t="s">
        <v>5265</v>
      </c>
      <c r="C1806" s="21" t="s">
        <v>5266</v>
      </c>
      <c r="D1806" s="21" t="s">
        <v>2255</v>
      </c>
      <c r="E1806" s="50" t="b">
        <v>1</v>
      </c>
      <c r="F1806" s="72" t="str">
        <f>HYPERLINK("http://nsgreg.nga.mil/genc/view?v=293296&amp;end_month=6&amp;end_day=30&amp;end_year=2019","Diyālá")</f>
        <v>Diyālá</v>
      </c>
      <c r="G1806" s="72" t="str">
        <f>HYPERLINK("http://api.nsgreg.nga.mil/geo-division/GENC/6/3-11/IQ-DI","as:GENC:6:3-11:IQ-DI")</f>
        <v>as:GENC:6:3-11:IQ-DI</v>
      </c>
    </row>
    <row r="1807" spans="1:7" x14ac:dyDescent="0.25">
      <c r="A1807" s="112"/>
      <c r="B1807" s="21" t="s">
        <v>5267</v>
      </c>
      <c r="C1807" s="21" t="s">
        <v>5268</v>
      </c>
      <c r="D1807" s="21" t="s">
        <v>2255</v>
      </c>
      <c r="E1807" s="50" t="b">
        <v>1</v>
      </c>
      <c r="F1807" s="72" t="str">
        <f>HYPERLINK("http://nsgreg.nga.mil/genc/view?v=293298&amp;end_month=6&amp;end_day=30&amp;end_year=2019","Karbalā’")</f>
        <v>Karbalā’</v>
      </c>
      <c r="G1807" s="72" t="str">
        <f>HYPERLINK("http://api.nsgreg.nga.mil/geo-division/GENC/6/3-11/IQ-KA","as:GENC:6:3-11:IQ-KA")</f>
        <v>as:GENC:6:3-11:IQ-KA</v>
      </c>
    </row>
    <row r="1808" spans="1:7" x14ac:dyDescent="0.25">
      <c r="A1808" s="112"/>
      <c r="B1808" s="21" t="s">
        <v>5269</v>
      </c>
      <c r="C1808" s="21" t="s">
        <v>5270</v>
      </c>
      <c r="D1808" s="21" t="s">
        <v>2255</v>
      </c>
      <c r="E1808" s="50" t="b">
        <v>1</v>
      </c>
      <c r="F1808" s="72" t="str">
        <f>HYPERLINK("http://nsgreg.nga.mil/genc/view?v=293299&amp;end_month=6&amp;end_day=30&amp;end_year=2019","Kirkūk")</f>
        <v>Kirkūk</v>
      </c>
      <c r="G1808" s="72" t="str">
        <f>HYPERLINK("http://api.nsgreg.nga.mil/geo-division/GENC/6/3-11/IQ-KI","as:GENC:6:3-11:IQ-KI")</f>
        <v>as:GENC:6:3-11:IQ-KI</v>
      </c>
    </row>
    <row r="1809" spans="1:7" x14ac:dyDescent="0.25">
      <c r="A1809" s="112"/>
      <c r="B1809" s="21" t="s">
        <v>5271</v>
      </c>
      <c r="C1809" s="21" t="s">
        <v>5272</v>
      </c>
      <c r="D1809" s="21" t="s">
        <v>2255</v>
      </c>
      <c r="E1809" s="50" t="b">
        <v>1</v>
      </c>
      <c r="F1809" s="72" t="str">
        <f>HYPERLINK("http://nsgreg.nga.mil/genc/view?v=293300&amp;end_month=6&amp;end_day=30&amp;end_year=2019","Maysān")</f>
        <v>Maysān</v>
      </c>
      <c r="G1809" s="72" t="str">
        <f>HYPERLINK("http://api.nsgreg.nga.mil/geo-division/GENC/6/3-11/IQ-MA","as:GENC:6:3-11:IQ-MA")</f>
        <v>as:GENC:6:3-11:IQ-MA</v>
      </c>
    </row>
    <row r="1810" spans="1:7" x14ac:dyDescent="0.25">
      <c r="A1810" s="112"/>
      <c r="B1810" s="21" t="s">
        <v>5273</v>
      </c>
      <c r="C1810" s="21" t="s">
        <v>5274</v>
      </c>
      <c r="D1810" s="21" t="s">
        <v>2255</v>
      </c>
      <c r="E1810" s="50" t="b">
        <v>1</v>
      </c>
      <c r="F1810" s="72" t="str">
        <f>HYPERLINK("http://nsgreg.nga.mil/genc/view?v=293303&amp;end_month=6&amp;end_day=30&amp;end_year=2019","Nīnawá")</f>
        <v>Nīnawá</v>
      </c>
      <c r="G1810" s="72" t="str">
        <f>HYPERLINK("http://api.nsgreg.nga.mil/geo-division/GENC/6/3-11/IQ-NI","as:GENC:6:3-11:IQ-NI")</f>
        <v>as:GENC:6:3-11:IQ-NI</v>
      </c>
    </row>
    <row r="1811" spans="1:7" x14ac:dyDescent="0.25">
      <c r="A1811" s="112"/>
      <c r="B1811" s="21" t="s">
        <v>5275</v>
      </c>
      <c r="C1811" s="21" t="s">
        <v>5276</v>
      </c>
      <c r="D1811" s="21" t="s">
        <v>2255</v>
      </c>
      <c r="E1811" s="50" t="b">
        <v>1</v>
      </c>
      <c r="F1811" s="72" t="str">
        <f>HYPERLINK("http://nsgreg.nga.mil/genc/view?v=293305&amp;end_month=6&amp;end_day=30&amp;end_year=2019","Şalāḩ ad Dīn")</f>
        <v>Şalāḩ ad Dīn</v>
      </c>
      <c r="G1811" s="72" t="str">
        <f>HYPERLINK("http://api.nsgreg.nga.mil/geo-division/GENC/6/3-11/IQ-SD","as:GENC:6:3-11:IQ-SD")</f>
        <v>as:GENC:6:3-11:IQ-SD</v>
      </c>
    </row>
    <row r="1812" spans="1:7" x14ac:dyDescent="0.25">
      <c r="A1812" s="113"/>
      <c r="B1812" s="47" t="s">
        <v>5277</v>
      </c>
      <c r="C1812" s="47" t="s">
        <v>5278</v>
      </c>
      <c r="D1812" s="47" t="s">
        <v>2255</v>
      </c>
      <c r="E1812" s="51" t="b">
        <v>1</v>
      </c>
      <c r="F1812" s="73" t="str">
        <f>HYPERLINK("http://nsgreg.nga.mil/genc/view?v=293307&amp;end_month=6&amp;end_day=30&amp;end_year=2019","Wāsiţ")</f>
        <v>Wāsiţ</v>
      </c>
      <c r="G1812" s="73" t="str">
        <f>HYPERLINK("http://api.nsgreg.nga.mil/geo-division/GENC/6/3-11/IQ-WA","as:GENC:6:3-11:IQ-WA")</f>
        <v>as:GENC:6:3-11:IQ-WA</v>
      </c>
    </row>
    <row r="1813" spans="1:7" x14ac:dyDescent="0.25">
      <c r="A1813" s="111" t="str">
        <f>HYPERLINK("[#]Codes_for_GE_Names!A129:I129","IRELAND")</f>
        <v>IRELAND</v>
      </c>
      <c r="B1813" s="42" t="s">
        <v>5279</v>
      </c>
      <c r="C1813" s="42" t="s">
        <v>5280</v>
      </c>
      <c r="D1813" s="80" t="s">
        <v>1668</v>
      </c>
      <c r="E1813" s="81" t="b">
        <v>0</v>
      </c>
      <c r="F1813" s="74" t="str">
        <f>HYPERLINK("http://nsgreg.nga.mil/genc/view?v=293210&amp;end_month=6&amp;end_day=30&amp;end_year=2019","Connaught")</f>
        <v>Connaught</v>
      </c>
      <c r="G1813" s="74" t="str">
        <f>HYPERLINK("http://api.nsgreg.nga.mil/geo-division/GENC/6/3-11/IE-C","as:GENC:6:3-11:IE-C")</f>
        <v>as:GENC:6:3-11:IE-C</v>
      </c>
    </row>
    <row r="1814" spans="1:7" x14ac:dyDescent="0.25">
      <c r="A1814" s="112"/>
      <c r="B1814" s="21" t="s">
        <v>5281</v>
      </c>
      <c r="C1814" s="21" t="s">
        <v>5282</v>
      </c>
      <c r="D1814" s="21" t="s">
        <v>1996</v>
      </c>
      <c r="E1814" s="50" t="b">
        <v>1</v>
      </c>
      <c r="F1814" s="72" t="str">
        <f>HYPERLINK("http://nsgreg.nga.mil/genc/view?v=293222&amp;end_month=6&amp;end_day=30&amp;end_year=2019","Galway")</f>
        <v>Galway</v>
      </c>
      <c r="G1814" s="72" t="str">
        <f>HYPERLINK("http://api.nsgreg.nga.mil/geo-division/GENC/6/3-11/IE-GA","as:GENC:6:3-11:IE-GA")</f>
        <v>as:GENC:6:3-11:IE-GA</v>
      </c>
    </row>
    <row r="1815" spans="1:7" x14ac:dyDescent="0.25">
      <c r="A1815" s="112"/>
      <c r="B1815" s="21" t="s">
        <v>5283</v>
      </c>
      <c r="C1815" s="21" t="s">
        <v>5282</v>
      </c>
      <c r="D1815" s="21" t="s">
        <v>1737</v>
      </c>
      <c r="E1815" s="50" t="b">
        <v>1</v>
      </c>
      <c r="F1815" s="72" t="str">
        <f>HYPERLINK("http://nsgreg.nga.mil/genc/view?v=293221&amp;end_month=6&amp;end_day=30&amp;end_year=2019","Galway")</f>
        <v>Galway</v>
      </c>
      <c r="G1815" s="72" t="str">
        <f>HYPERLINK("http://api.nsgreg.nga.mil/geo-division/GENC/6/3-11/IE-G","as:GENC:6:3-11:IE-G")</f>
        <v>as:GENC:6:3-11:IE-G</v>
      </c>
    </row>
    <row r="1816" spans="1:7" x14ac:dyDescent="0.25">
      <c r="A1816" s="112"/>
      <c r="B1816" s="21" t="s">
        <v>5284</v>
      </c>
      <c r="C1816" s="21" t="s">
        <v>5285</v>
      </c>
      <c r="D1816" s="21" t="s">
        <v>1737</v>
      </c>
      <c r="E1816" s="50" t="b">
        <v>1</v>
      </c>
      <c r="F1816" s="72" t="str">
        <f>HYPERLINK("http://nsgreg.nga.mil/genc/view?v=293231&amp;end_month=6&amp;end_day=30&amp;end_year=2019","Leitrim")</f>
        <v>Leitrim</v>
      </c>
      <c r="G1816" s="72" t="str">
        <f>HYPERLINK("http://api.nsgreg.nga.mil/geo-division/GENC/6/3-11/IE-LM","as:GENC:6:3-11:IE-LM")</f>
        <v>as:GENC:6:3-11:IE-LM</v>
      </c>
    </row>
    <row r="1817" spans="1:7" x14ac:dyDescent="0.25">
      <c r="A1817" s="112"/>
      <c r="B1817" s="21" t="s">
        <v>5286</v>
      </c>
      <c r="C1817" s="21" t="s">
        <v>5287</v>
      </c>
      <c r="D1817" s="21" t="s">
        <v>1737</v>
      </c>
      <c r="E1817" s="50" t="b">
        <v>1</v>
      </c>
      <c r="F1817" s="72" t="str">
        <f>HYPERLINK("http://nsgreg.nga.mil/genc/view?v=293236&amp;end_month=6&amp;end_day=30&amp;end_year=2019","Mayo")</f>
        <v>Mayo</v>
      </c>
      <c r="G1817" s="72" t="str">
        <f>HYPERLINK("http://api.nsgreg.nga.mil/geo-division/GENC/6/3-11/IE-MO","as:GENC:6:3-11:IE-MO")</f>
        <v>as:GENC:6:3-11:IE-MO</v>
      </c>
    </row>
    <row r="1818" spans="1:7" x14ac:dyDescent="0.25">
      <c r="A1818" s="112"/>
      <c r="B1818" s="21" t="s">
        <v>5288</v>
      </c>
      <c r="C1818" s="21" t="s">
        <v>5289</v>
      </c>
      <c r="D1818" s="21" t="s">
        <v>1737</v>
      </c>
      <c r="E1818" s="50" t="b">
        <v>1</v>
      </c>
      <c r="F1818" s="72" t="str">
        <f>HYPERLINK("http://nsgreg.nga.mil/genc/view?v=293238&amp;end_month=6&amp;end_day=30&amp;end_year=2019","Roscommon")</f>
        <v>Roscommon</v>
      </c>
      <c r="G1818" s="72" t="str">
        <f>HYPERLINK("http://api.nsgreg.nga.mil/geo-division/GENC/6/3-11/IE-RN","as:GENC:6:3-11:IE-RN")</f>
        <v>as:GENC:6:3-11:IE-RN</v>
      </c>
    </row>
    <row r="1819" spans="1:7" x14ac:dyDescent="0.25">
      <c r="A1819" s="112"/>
      <c r="B1819" s="21" t="s">
        <v>5290</v>
      </c>
      <c r="C1819" s="21" t="s">
        <v>5291</v>
      </c>
      <c r="D1819" s="21" t="s">
        <v>1737</v>
      </c>
      <c r="E1819" s="50" t="b">
        <v>1</v>
      </c>
      <c r="F1819" s="72" t="str">
        <f>HYPERLINK("http://nsgreg.nga.mil/genc/view?v=293240&amp;end_month=6&amp;end_day=30&amp;end_year=2019","Sligo")</f>
        <v>Sligo</v>
      </c>
      <c r="G1819" s="72" t="str">
        <f>HYPERLINK("http://api.nsgreg.nga.mil/geo-division/GENC/6/3-11/IE-SO","as:GENC:6:3-11:IE-SO")</f>
        <v>as:GENC:6:3-11:IE-SO</v>
      </c>
    </row>
    <row r="1820" spans="1:7" x14ac:dyDescent="0.25">
      <c r="A1820" s="112"/>
      <c r="B1820" s="21" t="s">
        <v>5292</v>
      </c>
      <c r="C1820" s="21" t="s">
        <v>5293</v>
      </c>
      <c r="D1820" s="76" t="s">
        <v>1668</v>
      </c>
      <c r="E1820" s="77" t="b">
        <v>0</v>
      </c>
      <c r="F1820" s="72" t="str">
        <f>HYPERLINK("http://nsgreg.nga.mil/genc/view?v=293226&amp;end_month=6&amp;end_day=30&amp;end_year=2019","Leinster")</f>
        <v>Leinster</v>
      </c>
      <c r="G1820" s="72" t="str">
        <f>HYPERLINK("http://api.nsgreg.nga.mil/geo-division/GENC/6/3-11/IE-L","as:GENC:6:3-11:IE-L")</f>
        <v>as:GENC:6:3-11:IE-L</v>
      </c>
    </row>
    <row r="1821" spans="1:7" x14ac:dyDescent="0.25">
      <c r="A1821" s="112"/>
      <c r="B1821" s="21" t="s">
        <v>5294</v>
      </c>
      <c r="C1821" s="21" t="s">
        <v>5295</v>
      </c>
      <c r="D1821" s="21" t="s">
        <v>1737</v>
      </c>
      <c r="E1821" s="50" t="b">
        <v>1</v>
      </c>
      <c r="F1821" s="72" t="str">
        <f>HYPERLINK("http://nsgreg.nga.mil/genc/view?v=293215&amp;end_month=6&amp;end_day=30&amp;end_year=2019","Carlow")</f>
        <v>Carlow</v>
      </c>
      <c r="G1821" s="72" t="str">
        <f>HYPERLINK("http://api.nsgreg.nga.mil/geo-division/GENC/6/3-11/IE-CW","as:GENC:6:3-11:IE-CW")</f>
        <v>as:GENC:6:3-11:IE-CW</v>
      </c>
    </row>
    <row r="1822" spans="1:7" x14ac:dyDescent="0.25">
      <c r="A1822" s="112"/>
      <c r="B1822" s="21" t="s">
        <v>5296</v>
      </c>
      <c r="C1822" s="21" t="s">
        <v>5297</v>
      </c>
      <c r="D1822" s="21" t="s">
        <v>1996</v>
      </c>
      <c r="E1822" s="50" t="b">
        <v>1</v>
      </c>
      <c r="F1822" s="72" t="str">
        <f>HYPERLINK("http://nsgreg.nga.mil/genc/view?v=293219&amp;end_month=6&amp;end_day=30&amp;end_year=2019","Dublin")</f>
        <v>Dublin</v>
      </c>
      <c r="G1822" s="72" t="str">
        <f>HYPERLINK("http://api.nsgreg.nga.mil/geo-division/GENC/6/3-11/IE-DU","as:GENC:6:3-11:IE-DU")</f>
        <v>as:GENC:6:3-11:IE-DU</v>
      </c>
    </row>
    <row r="1823" spans="1:7" x14ac:dyDescent="0.25">
      <c r="A1823" s="112"/>
      <c r="B1823" s="21" t="s">
        <v>5298</v>
      </c>
      <c r="C1823" s="21" t="s">
        <v>5299</v>
      </c>
      <c r="D1823" s="21" t="s">
        <v>1737</v>
      </c>
      <c r="E1823" s="50" t="b">
        <v>1</v>
      </c>
      <c r="F1823" s="72" t="str">
        <f>HYPERLINK("http://nsgreg.nga.mil/genc/view?v=293218&amp;end_month=6&amp;end_day=30&amp;end_year=2019","Dún Laoghaire-Rathdown")</f>
        <v>Dún Laoghaire-Rathdown</v>
      </c>
      <c r="G1823" s="72" t="str">
        <f>HYPERLINK("http://api.nsgreg.nga.mil/geo-division/GENC/6/3-11/IE-DR","as:GENC:6:3-11:IE-DR")</f>
        <v>as:GENC:6:3-11:IE-DR</v>
      </c>
    </row>
    <row r="1824" spans="1:7" x14ac:dyDescent="0.25">
      <c r="A1824" s="112"/>
      <c r="B1824" s="21" t="s">
        <v>5300</v>
      </c>
      <c r="C1824" s="21" t="s">
        <v>5301</v>
      </c>
      <c r="D1824" s="21" t="s">
        <v>1737</v>
      </c>
      <c r="E1824" s="50" t="b">
        <v>1</v>
      </c>
      <c r="F1824" s="72" t="str">
        <f>HYPERLINK("http://nsgreg.nga.mil/genc/view?v=293220&amp;end_month=6&amp;end_day=30&amp;end_year=2019","Fingal")</f>
        <v>Fingal</v>
      </c>
      <c r="G1824" s="72" t="str">
        <f>HYPERLINK("http://api.nsgreg.nga.mil/geo-division/GENC/6/3-11/IE-FI","as:GENC:6:3-11:IE-FI")</f>
        <v>as:GENC:6:3-11:IE-FI</v>
      </c>
    </row>
    <row r="1825" spans="1:7" x14ac:dyDescent="0.25">
      <c r="A1825" s="112"/>
      <c r="B1825" s="21" t="s">
        <v>5302</v>
      </c>
      <c r="C1825" s="21" t="s">
        <v>5303</v>
      </c>
      <c r="D1825" s="21" t="s">
        <v>1737</v>
      </c>
      <c r="E1825" s="50" t="b">
        <v>1</v>
      </c>
      <c r="F1825" s="72" t="str">
        <f>HYPERLINK("http://nsgreg.nga.mil/genc/view?v=293223&amp;end_month=6&amp;end_day=30&amp;end_year=2019","Kildare")</f>
        <v>Kildare</v>
      </c>
      <c r="G1825" s="72" t="str">
        <f>HYPERLINK("http://api.nsgreg.nga.mil/geo-division/GENC/6/3-11/IE-KE","as:GENC:6:3-11:IE-KE")</f>
        <v>as:GENC:6:3-11:IE-KE</v>
      </c>
    </row>
    <row r="1826" spans="1:7" x14ac:dyDescent="0.25">
      <c r="A1826" s="112"/>
      <c r="B1826" s="21" t="s">
        <v>5304</v>
      </c>
      <c r="C1826" s="21" t="s">
        <v>5305</v>
      </c>
      <c r="D1826" s="21" t="s">
        <v>1737</v>
      </c>
      <c r="E1826" s="50" t="b">
        <v>1</v>
      </c>
      <c r="F1826" s="72" t="str">
        <f>HYPERLINK("http://nsgreg.nga.mil/genc/view?v=293224&amp;end_month=6&amp;end_day=30&amp;end_year=2019","Kilkenny")</f>
        <v>Kilkenny</v>
      </c>
      <c r="G1826" s="72" t="str">
        <f>HYPERLINK("http://api.nsgreg.nga.mil/geo-division/GENC/6/3-11/IE-KK","as:GENC:6:3-11:IE-KK")</f>
        <v>as:GENC:6:3-11:IE-KK</v>
      </c>
    </row>
    <row r="1827" spans="1:7" x14ac:dyDescent="0.25">
      <c r="A1827" s="112"/>
      <c r="B1827" s="21" t="s">
        <v>5306</v>
      </c>
      <c r="C1827" s="21" t="s">
        <v>5307</v>
      </c>
      <c r="D1827" s="21" t="s">
        <v>1737</v>
      </c>
      <c r="E1827" s="50" t="b">
        <v>1</v>
      </c>
      <c r="F1827" s="72" t="str">
        <f>HYPERLINK("http://nsgreg.nga.mil/genc/view?v=293232&amp;end_month=6&amp;end_day=30&amp;end_year=2019","Laois")</f>
        <v>Laois</v>
      </c>
      <c r="G1827" s="72" t="str">
        <f>HYPERLINK("http://api.nsgreg.nga.mil/geo-division/GENC/6/3-11/IE-LS","as:GENC:6:3-11:IE-LS")</f>
        <v>as:GENC:6:3-11:IE-LS</v>
      </c>
    </row>
    <row r="1828" spans="1:7" x14ac:dyDescent="0.25">
      <c r="A1828" s="112"/>
      <c r="B1828" s="21" t="s">
        <v>5308</v>
      </c>
      <c r="C1828" s="21" t="s">
        <v>5309</v>
      </c>
      <c r="D1828" s="21" t="s">
        <v>1737</v>
      </c>
      <c r="E1828" s="50" t="b">
        <v>1</v>
      </c>
      <c r="F1828" s="72" t="str">
        <f>HYPERLINK("http://nsgreg.nga.mil/genc/view?v=293228&amp;end_month=6&amp;end_day=30&amp;end_year=2019","Longford")</f>
        <v>Longford</v>
      </c>
      <c r="G1828" s="72" t="str">
        <f>HYPERLINK("http://api.nsgreg.nga.mil/geo-division/GENC/6/3-11/IE-LD","as:GENC:6:3-11:IE-LD")</f>
        <v>as:GENC:6:3-11:IE-LD</v>
      </c>
    </row>
    <row r="1829" spans="1:7" x14ac:dyDescent="0.25">
      <c r="A1829" s="112"/>
      <c r="B1829" s="21" t="s">
        <v>5310</v>
      </c>
      <c r="C1829" s="21" t="s">
        <v>5311</v>
      </c>
      <c r="D1829" s="21" t="s">
        <v>1737</v>
      </c>
      <c r="E1829" s="50" t="b">
        <v>1</v>
      </c>
      <c r="F1829" s="72" t="str">
        <f>HYPERLINK("http://nsgreg.nga.mil/genc/view?v=293229&amp;end_month=6&amp;end_day=30&amp;end_year=2019","Louth")</f>
        <v>Louth</v>
      </c>
      <c r="G1829" s="72" t="str">
        <f>HYPERLINK("http://api.nsgreg.nga.mil/geo-division/GENC/6/3-11/IE-LH","as:GENC:6:3-11:IE-LH")</f>
        <v>as:GENC:6:3-11:IE-LH</v>
      </c>
    </row>
    <row r="1830" spans="1:7" x14ac:dyDescent="0.25">
      <c r="A1830" s="112"/>
      <c r="B1830" s="21" t="s">
        <v>5312</v>
      </c>
      <c r="C1830" s="21" t="s">
        <v>5313</v>
      </c>
      <c r="D1830" s="21" t="s">
        <v>1737</v>
      </c>
      <c r="E1830" s="50" t="b">
        <v>1</v>
      </c>
      <c r="F1830" s="72" t="str">
        <f>HYPERLINK("http://nsgreg.nga.mil/genc/view?v=293234&amp;end_month=6&amp;end_day=30&amp;end_year=2019","Meath")</f>
        <v>Meath</v>
      </c>
      <c r="G1830" s="72" t="str">
        <f>HYPERLINK("http://api.nsgreg.nga.mil/geo-division/GENC/6/3-11/IE-MH","as:GENC:6:3-11:IE-MH")</f>
        <v>as:GENC:6:3-11:IE-MH</v>
      </c>
    </row>
    <row r="1831" spans="1:7" x14ac:dyDescent="0.25">
      <c r="A1831" s="112"/>
      <c r="B1831" s="21" t="s">
        <v>5314</v>
      </c>
      <c r="C1831" s="21" t="s">
        <v>5315</v>
      </c>
      <c r="D1831" s="21" t="s">
        <v>1737</v>
      </c>
      <c r="E1831" s="50" t="b">
        <v>1</v>
      </c>
      <c r="F1831" s="72" t="str">
        <f>HYPERLINK("http://nsgreg.nga.mil/genc/view?v=293237&amp;end_month=6&amp;end_day=30&amp;end_year=2019","Offaly")</f>
        <v>Offaly</v>
      </c>
      <c r="G1831" s="72" t="str">
        <f>HYPERLINK("http://api.nsgreg.nga.mil/geo-division/GENC/6/3-11/IE-OY","as:GENC:6:3-11:IE-OY")</f>
        <v>as:GENC:6:3-11:IE-OY</v>
      </c>
    </row>
    <row r="1832" spans="1:7" x14ac:dyDescent="0.25">
      <c r="A1832" s="112"/>
      <c r="B1832" s="21" t="s">
        <v>5316</v>
      </c>
      <c r="C1832" s="21" t="s">
        <v>5317</v>
      </c>
      <c r="D1832" s="21" t="s">
        <v>1737</v>
      </c>
      <c r="E1832" s="50" t="b">
        <v>1</v>
      </c>
      <c r="F1832" s="72" t="str">
        <f>HYPERLINK("http://nsgreg.nga.mil/genc/view?v=293239&amp;end_month=6&amp;end_day=30&amp;end_year=2019","South Dublin")</f>
        <v>South Dublin</v>
      </c>
      <c r="G1832" s="72" t="str">
        <f>HYPERLINK("http://api.nsgreg.nga.mil/geo-division/GENC/6/3-11/IE-SD","as:GENC:6:3-11:IE-SD")</f>
        <v>as:GENC:6:3-11:IE-SD</v>
      </c>
    </row>
    <row r="1833" spans="1:7" x14ac:dyDescent="0.25">
      <c r="A1833" s="112"/>
      <c r="B1833" s="21" t="s">
        <v>5318</v>
      </c>
      <c r="C1833" s="21" t="s">
        <v>5319</v>
      </c>
      <c r="D1833" s="21" t="s">
        <v>1737</v>
      </c>
      <c r="E1833" s="50" t="b">
        <v>1</v>
      </c>
      <c r="F1833" s="72" t="str">
        <f>HYPERLINK("http://nsgreg.nga.mil/genc/view?v=293245&amp;end_month=6&amp;end_day=30&amp;end_year=2019","Westmeath")</f>
        <v>Westmeath</v>
      </c>
      <c r="G1833" s="72" t="str">
        <f>HYPERLINK("http://api.nsgreg.nga.mil/geo-division/GENC/6/3-11/IE-WH","as:GENC:6:3-11:IE-WH")</f>
        <v>as:GENC:6:3-11:IE-WH</v>
      </c>
    </row>
    <row r="1834" spans="1:7" x14ac:dyDescent="0.25">
      <c r="A1834" s="112"/>
      <c r="B1834" s="21" t="s">
        <v>5320</v>
      </c>
      <c r="C1834" s="21" t="s">
        <v>5321</v>
      </c>
      <c r="D1834" s="21" t="s">
        <v>1737</v>
      </c>
      <c r="E1834" s="50" t="b">
        <v>1</v>
      </c>
      <c r="F1834" s="72" t="str">
        <f>HYPERLINK("http://nsgreg.nga.mil/genc/view?v=293247&amp;end_month=6&amp;end_day=30&amp;end_year=2019","Wexford")</f>
        <v>Wexford</v>
      </c>
      <c r="G1834" s="72" t="str">
        <f>HYPERLINK("http://api.nsgreg.nga.mil/geo-division/GENC/6/3-11/IE-WX","as:GENC:6:3-11:IE-WX")</f>
        <v>as:GENC:6:3-11:IE-WX</v>
      </c>
    </row>
    <row r="1835" spans="1:7" x14ac:dyDescent="0.25">
      <c r="A1835" s="112"/>
      <c r="B1835" s="21" t="s">
        <v>5322</v>
      </c>
      <c r="C1835" s="21" t="s">
        <v>5323</v>
      </c>
      <c r="D1835" s="21" t="s">
        <v>1737</v>
      </c>
      <c r="E1835" s="50" t="b">
        <v>1</v>
      </c>
      <c r="F1835" s="72" t="str">
        <f>HYPERLINK("http://nsgreg.nga.mil/genc/view?v=293246&amp;end_month=6&amp;end_day=30&amp;end_year=2019","Wicklow")</f>
        <v>Wicklow</v>
      </c>
      <c r="G1835" s="72" t="str">
        <f>HYPERLINK("http://api.nsgreg.nga.mil/geo-division/GENC/6/3-11/IE-WW","as:GENC:6:3-11:IE-WW")</f>
        <v>as:GENC:6:3-11:IE-WW</v>
      </c>
    </row>
    <row r="1836" spans="1:7" x14ac:dyDescent="0.25">
      <c r="A1836" s="112"/>
      <c r="B1836" s="21" t="s">
        <v>5324</v>
      </c>
      <c r="C1836" s="21" t="s">
        <v>5325</v>
      </c>
      <c r="D1836" s="76" t="s">
        <v>1668</v>
      </c>
      <c r="E1836" s="77" t="b">
        <v>0</v>
      </c>
      <c r="F1836" s="72" t="str">
        <f>HYPERLINK("http://nsgreg.nga.mil/genc/view?v=293233&amp;end_month=6&amp;end_day=30&amp;end_year=2019","Munster")</f>
        <v>Munster</v>
      </c>
      <c r="G1836" s="72" t="str">
        <f>HYPERLINK("http://api.nsgreg.nga.mil/geo-division/GENC/6/3-11/IE-M","as:GENC:6:3-11:IE-M")</f>
        <v>as:GENC:6:3-11:IE-M</v>
      </c>
    </row>
    <row r="1837" spans="1:7" x14ac:dyDescent="0.25">
      <c r="A1837" s="112"/>
      <c r="B1837" s="21" t="s">
        <v>5326</v>
      </c>
      <c r="C1837" s="21" t="s">
        <v>5327</v>
      </c>
      <c r="D1837" s="21" t="s">
        <v>1737</v>
      </c>
      <c r="E1837" s="50" t="b">
        <v>1</v>
      </c>
      <c r="F1837" s="72" t="str">
        <f>HYPERLINK("http://nsgreg.nga.mil/genc/view?v=293211&amp;end_month=6&amp;end_day=30&amp;end_year=2019","Clare")</f>
        <v>Clare</v>
      </c>
      <c r="G1837" s="72" t="str">
        <f>HYPERLINK("http://api.nsgreg.nga.mil/geo-division/GENC/6/3-11/IE-CE","as:GENC:6:3-11:IE-CE")</f>
        <v>as:GENC:6:3-11:IE-CE</v>
      </c>
    </row>
    <row r="1838" spans="1:7" x14ac:dyDescent="0.25">
      <c r="A1838" s="112"/>
      <c r="B1838" s="21" t="s">
        <v>5328</v>
      </c>
      <c r="C1838" s="21" t="s">
        <v>5329</v>
      </c>
      <c r="D1838" s="21" t="s">
        <v>1996</v>
      </c>
      <c r="E1838" s="50" t="b">
        <v>1</v>
      </c>
      <c r="F1838" s="72" t="str">
        <f>HYPERLINK("http://nsgreg.nga.mil/genc/view?v=293214&amp;end_month=6&amp;end_day=30&amp;end_year=2019","Cork")</f>
        <v>Cork</v>
      </c>
      <c r="G1838" s="72" t="str">
        <f>HYPERLINK("http://api.nsgreg.nga.mil/geo-division/GENC/6/3-11/IE-CR","as:GENC:6:3-11:IE-CR")</f>
        <v>as:GENC:6:3-11:IE-CR</v>
      </c>
    </row>
    <row r="1839" spans="1:7" x14ac:dyDescent="0.25">
      <c r="A1839" s="112"/>
      <c r="B1839" s="21" t="s">
        <v>5330</v>
      </c>
      <c r="C1839" s="21" t="s">
        <v>5329</v>
      </c>
      <c r="D1839" s="21" t="s">
        <v>1737</v>
      </c>
      <c r="E1839" s="50" t="b">
        <v>1</v>
      </c>
      <c r="F1839" s="72" t="str">
        <f>HYPERLINK("http://nsgreg.nga.mil/genc/view?v=293213&amp;end_month=6&amp;end_day=30&amp;end_year=2019","Cork")</f>
        <v>Cork</v>
      </c>
      <c r="G1839" s="72" t="str">
        <f>HYPERLINK("http://api.nsgreg.nga.mil/geo-division/GENC/6/3-11/IE-CO","as:GENC:6:3-11:IE-CO")</f>
        <v>as:GENC:6:3-11:IE-CO</v>
      </c>
    </row>
    <row r="1840" spans="1:7" x14ac:dyDescent="0.25">
      <c r="A1840" s="112"/>
      <c r="B1840" s="21" t="s">
        <v>5331</v>
      </c>
      <c r="C1840" s="21" t="s">
        <v>5332</v>
      </c>
      <c r="D1840" s="21" t="s">
        <v>1737</v>
      </c>
      <c r="E1840" s="50" t="b">
        <v>1</v>
      </c>
      <c r="F1840" s="72" t="str">
        <f>HYPERLINK("http://nsgreg.nga.mil/genc/view?v=293225&amp;end_month=6&amp;end_day=30&amp;end_year=2019","Kerry")</f>
        <v>Kerry</v>
      </c>
      <c r="G1840" s="72" t="str">
        <f>HYPERLINK("http://api.nsgreg.nga.mil/geo-division/GENC/6/3-11/IE-KY","as:GENC:6:3-11:IE-KY")</f>
        <v>as:GENC:6:3-11:IE-KY</v>
      </c>
    </row>
    <row r="1841" spans="1:7" x14ac:dyDescent="0.25">
      <c r="A1841" s="112"/>
      <c r="B1841" s="21" t="s">
        <v>5333</v>
      </c>
      <c r="C1841" s="21" t="s">
        <v>5334</v>
      </c>
      <c r="D1841" s="21" t="s">
        <v>5335</v>
      </c>
      <c r="E1841" s="50" t="b">
        <v>1</v>
      </c>
      <c r="F1841" s="72" t="str">
        <f>HYPERLINK("http://nsgreg.nga.mil/genc/view?v=293227&amp;end_month=6&amp;end_day=30&amp;end_year=2019","Limerick")</f>
        <v>Limerick</v>
      </c>
      <c r="G1841" s="72" t="str">
        <f>HYPERLINK("http://api.nsgreg.nga.mil/geo-division/GENC/6/3-11/IE-LC","as:GENC:6:3-11:IE-LC")</f>
        <v>as:GENC:6:3-11:IE-LC</v>
      </c>
    </row>
    <row r="1842" spans="1:7" x14ac:dyDescent="0.25">
      <c r="A1842" s="112"/>
      <c r="B1842" s="21" t="s">
        <v>5336</v>
      </c>
      <c r="C1842" s="21" t="s">
        <v>5337</v>
      </c>
      <c r="D1842" s="21" t="s">
        <v>1737</v>
      </c>
      <c r="E1842" s="50" t="b">
        <v>1</v>
      </c>
      <c r="F1842" s="72" t="str">
        <f>HYPERLINK("http://nsgreg.nga.mil/genc/view?v=293241&amp;end_month=6&amp;end_day=30&amp;end_year=2019","Tipperary")</f>
        <v>Tipperary</v>
      </c>
      <c r="G1842" s="72" t="str">
        <f>HYPERLINK("http://api.nsgreg.nga.mil/geo-division/GENC/6/3-11/IE-TA","as:GENC:6:3-11:IE-TA")</f>
        <v>as:GENC:6:3-11:IE-TA</v>
      </c>
    </row>
    <row r="1843" spans="1:7" x14ac:dyDescent="0.25">
      <c r="A1843" s="112"/>
      <c r="B1843" s="21" t="s">
        <v>5338</v>
      </c>
      <c r="C1843" s="21" t="s">
        <v>5339</v>
      </c>
      <c r="D1843" s="21" t="s">
        <v>5335</v>
      </c>
      <c r="E1843" s="50" t="b">
        <v>1</v>
      </c>
      <c r="F1843" s="72" t="str">
        <f>HYPERLINK("http://nsgreg.nga.mil/genc/view?v=293244&amp;end_month=6&amp;end_day=30&amp;end_year=2019","Waterford")</f>
        <v>Waterford</v>
      </c>
      <c r="G1843" s="72" t="str">
        <f>HYPERLINK("http://api.nsgreg.nga.mil/geo-division/GENC/6/3-11/IE-WF","as:GENC:6:3-11:IE-WF")</f>
        <v>as:GENC:6:3-11:IE-WF</v>
      </c>
    </row>
    <row r="1844" spans="1:7" x14ac:dyDescent="0.25">
      <c r="A1844" s="112"/>
      <c r="B1844" s="21" t="s">
        <v>5340</v>
      </c>
      <c r="C1844" s="21" t="s">
        <v>5341</v>
      </c>
      <c r="D1844" s="76" t="s">
        <v>1668</v>
      </c>
      <c r="E1844" s="77" t="b">
        <v>0</v>
      </c>
      <c r="F1844" s="72" t="str">
        <f>HYPERLINK("http://nsgreg.nga.mil/genc/view?v=293242&amp;end_month=6&amp;end_day=30&amp;end_year=2019","Ulster")</f>
        <v>Ulster</v>
      </c>
      <c r="G1844" s="72" t="str">
        <f>HYPERLINK("http://api.nsgreg.nga.mil/geo-division/GENC/6/3-11/IE-U","as:GENC:6:3-11:IE-U")</f>
        <v>as:GENC:6:3-11:IE-U</v>
      </c>
    </row>
    <row r="1845" spans="1:7" x14ac:dyDescent="0.25">
      <c r="A1845" s="112"/>
      <c r="B1845" s="21" t="s">
        <v>5342</v>
      </c>
      <c r="C1845" s="21" t="s">
        <v>5343</v>
      </c>
      <c r="D1845" s="21" t="s">
        <v>1737</v>
      </c>
      <c r="E1845" s="50" t="b">
        <v>1</v>
      </c>
      <c r="F1845" s="72" t="str">
        <f>HYPERLINK("http://nsgreg.nga.mil/genc/view?v=293212&amp;end_month=6&amp;end_day=30&amp;end_year=2019","Cavan")</f>
        <v>Cavan</v>
      </c>
      <c r="G1845" s="72" t="str">
        <f>HYPERLINK("http://api.nsgreg.nga.mil/geo-division/GENC/6/3-11/IE-CN","as:GENC:6:3-11:IE-CN")</f>
        <v>as:GENC:6:3-11:IE-CN</v>
      </c>
    </row>
    <row r="1846" spans="1:7" x14ac:dyDescent="0.25">
      <c r="A1846" s="112"/>
      <c r="B1846" s="21" t="s">
        <v>5344</v>
      </c>
      <c r="C1846" s="21" t="s">
        <v>5345</v>
      </c>
      <c r="D1846" s="21" t="s">
        <v>1737</v>
      </c>
      <c r="E1846" s="50" t="b">
        <v>1</v>
      </c>
      <c r="F1846" s="72" t="str">
        <f>HYPERLINK("http://nsgreg.nga.mil/genc/view?v=293217&amp;end_month=6&amp;end_day=30&amp;end_year=2019","Donegal")</f>
        <v>Donegal</v>
      </c>
      <c r="G1846" s="72" t="str">
        <f>HYPERLINK("http://api.nsgreg.nga.mil/geo-division/GENC/6/3-11/IE-DL","as:GENC:6:3-11:IE-DL")</f>
        <v>as:GENC:6:3-11:IE-DL</v>
      </c>
    </row>
    <row r="1847" spans="1:7" x14ac:dyDescent="0.25">
      <c r="A1847" s="113"/>
      <c r="B1847" s="47" t="s">
        <v>5346</v>
      </c>
      <c r="C1847" s="47" t="s">
        <v>5347</v>
      </c>
      <c r="D1847" s="47" t="s">
        <v>1737</v>
      </c>
      <c r="E1847" s="51" t="b">
        <v>1</v>
      </c>
      <c r="F1847" s="73" t="str">
        <f>HYPERLINK("http://nsgreg.nga.mil/genc/view?v=293235&amp;end_month=6&amp;end_day=30&amp;end_year=2019","Monaghan")</f>
        <v>Monaghan</v>
      </c>
      <c r="G1847" s="73" t="str">
        <f>HYPERLINK("http://api.nsgreg.nga.mil/geo-division/GENC/6/3-11/IE-MN","as:GENC:6:3-11:IE-MN")</f>
        <v>as:GENC:6:3-11:IE-MN</v>
      </c>
    </row>
    <row r="1848" spans="1:7" x14ac:dyDescent="0.25">
      <c r="A1848" s="111" t="str">
        <f>HYPERLINK("[#]Codes_for_GE_Names!A131:I131","ISRAEL")</f>
        <v>ISRAEL</v>
      </c>
      <c r="B1848" s="42" t="s">
        <v>5348</v>
      </c>
      <c r="C1848" s="42" t="s">
        <v>2595</v>
      </c>
      <c r="D1848" s="42" t="s">
        <v>2035</v>
      </c>
      <c r="E1848" s="49" t="b">
        <v>1</v>
      </c>
      <c r="F1848" s="74" t="str">
        <f>HYPERLINK("http://nsgreg.nga.mil/genc/view?v=293251&amp;end_month=6&amp;end_day=30&amp;end_year=2019","Central")</f>
        <v>Central</v>
      </c>
      <c r="G1848" s="74" t="str">
        <f>HYPERLINK("http://api.nsgreg.nga.mil/geo-division/GENC/6/3-11/IL-M","as:GENC:6:3-11:IL-M")</f>
        <v>as:GENC:6:3-11:IL-M</v>
      </c>
    </row>
    <row r="1849" spans="1:7" x14ac:dyDescent="0.25">
      <c r="A1849" s="112"/>
      <c r="B1849" s="21" t="s">
        <v>5349</v>
      </c>
      <c r="C1849" s="21" t="s">
        <v>5350</v>
      </c>
      <c r="D1849" s="21" t="s">
        <v>2035</v>
      </c>
      <c r="E1849" s="50" t="b">
        <v>1</v>
      </c>
      <c r="F1849" s="72" t="str">
        <f>HYPERLINK("http://nsgreg.nga.mil/genc/view?v=293249&amp;end_month=6&amp;end_day=30&amp;end_year=2019","Haifa")</f>
        <v>Haifa</v>
      </c>
      <c r="G1849" s="72" t="str">
        <f>HYPERLINK("http://api.nsgreg.nga.mil/geo-division/GENC/6/3-11/IL-HA","as:GENC:6:3-11:IL-HA")</f>
        <v>as:GENC:6:3-11:IL-HA</v>
      </c>
    </row>
    <row r="1850" spans="1:7" x14ac:dyDescent="0.25">
      <c r="A1850" s="112"/>
      <c r="B1850" s="21" t="s">
        <v>5351</v>
      </c>
      <c r="C1850" s="21" t="s">
        <v>5352</v>
      </c>
      <c r="D1850" s="21" t="s">
        <v>2035</v>
      </c>
      <c r="E1850" s="50" t="b">
        <v>1</v>
      </c>
      <c r="F1850" s="72" t="str">
        <f>HYPERLINK("http://nsgreg.nga.mil/genc/view?v=293250&amp;end_month=6&amp;end_day=30&amp;end_year=2019","Jerusalem")</f>
        <v>Jerusalem</v>
      </c>
      <c r="G1850" s="72" t="str">
        <f>HYPERLINK("http://api.nsgreg.nga.mil/geo-division/GENC/6/3-11/IL-JM","as:GENC:6:3-11:IL-JM")</f>
        <v>as:GENC:6:3-11:IL-JM</v>
      </c>
    </row>
    <row r="1851" spans="1:7" x14ac:dyDescent="0.25">
      <c r="A1851" s="112"/>
      <c r="B1851" s="21" t="s">
        <v>5353</v>
      </c>
      <c r="C1851" s="21" t="s">
        <v>4121</v>
      </c>
      <c r="D1851" s="21" t="s">
        <v>2035</v>
      </c>
      <c r="E1851" s="50" t="b">
        <v>1</v>
      </c>
      <c r="F1851" s="72" t="str">
        <f>HYPERLINK("http://nsgreg.nga.mil/genc/view?v=293253&amp;end_month=6&amp;end_day=30&amp;end_year=2019","Northern")</f>
        <v>Northern</v>
      </c>
      <c r="G1851" s="72" t="str">
        <f>HYPERLINK("http://api.nsgreg.nga.mil/geo-division/GENC/6/3-11/IL-Z","as:GENC:6:3-11:IL-Z")</f>
        <v>as:GENC:6:3-11:IL-Z</v>
      </c>
    </row>
    <row r="1852" spans="1:7" x14ac:dyDescent="0.25">
      <c r="A1852" s="112"/>
      <c r="B1852" s="21" t="s">
        <v>5354</v>
      </c>
      <c r="C1852" s="21" t="s">
        <v>2624</v>
      </c>
      <c r="D1852" s="21" t="s">
        <v>2035</v>
      </c>
      <c r="E1852" s="50" t="b">
        <v>1</v>
      </c>
      <c r="F1852" s="72" t="str">
        <f>HYPERLINK("http://nsgreg.nga.mil/genc/view?v=293248&amp;end_month=6&amp;end_day=30&amp;end_year=2019","Southern")</f>
        <v>Southern</v>
      </c>
      <c r="G1852" s="72" t="str">
        <f>HYPERLINK("http://api.nsgreg.nga.mil/geo-division/GENC/6/3-11/IL-D","as:GENC:6:3-11:IL-D")</f>
        <v>as:GENC:6:3-11:IL-D</v>
      </c>
    </row>
    <row r="1853" spans="1:7" x14ac:dyDescent="0.25">
      <c r="A1853" s="113"/>
      <c r="B1853" s="47" t="s">
        <v>5355</v>
      </c>
      <c r="C1853" s="47" t="s">
        <v>5356</v>
      </c>
      <c r="D1853" s="47" t="s">
        <v>2035</v>
      </c>
      <c r="E1853" s="51" t="b">
        <v>1</v>
      </c>
      <c r="F1853" s="73" t="str">
        <f>HYPERLINK("http://nsgreg.nga.mil/genc/view?v=293252&amp;end_month=6&amp;end_day=30&amp;end_year=2019","Tel Aviv")</f>
        <v>Tel Aviv</v>
      </c>
      <c r="G1853" s="73" t="str">
        <f>HYPERLINK("http://api.nsgreg.nga.mil/geo-division/GENC/6/3-11/IL-TA","as:GENC:6:3-11:IL-TA")</f>
        <v>as:GENC:6:3-11:IL-TA</v>
      </c>
    </row>
    <row r="1854" spans="1:7" x14ac:dyDescent="0.25">
      <c r="A1854" s="111" t="str">
        <f>HYPERLINK("[#]Codes_for_GE_Names!A132:I132","ITALY")</f>
        <v>ITALY</v>
      </c>
      <c r="B1854" s="42" t="s">
        <v>5357</v>
      </c>
      <c r="C1854" s="42" t="s">
        <v>5358</v>
      </c>
      <c r="D1854" s="42" t="s">
        <v>1975</v>
      </c>
      <c r="E1854" s="49" t="b">
        <v>1</v>
      </c>
      <c r="F1854" s="74" t="str">
        <f>HYPERLINK("http://nsgreg.nga.mil/genc/view?v=293433&amp;end_month=6&amp;end_day=30&amp;end_year=2019","Abruzzo")</f>
        <v>Abruzzo</v>
      </c>
      <c r="G1854" s="74" t="str">
        <f>HYPERLINK("http://api.nsgreg.nga.mil/geo-division/GENC/6/3-11/IT-65","as:GENC:6:3-11:IT-65")</f>
        <v>as:GENC:6:3-11:IT-65</v>
      </c>
    </row>
    <row r="1855" spans="1:7" x14ac:dyDescent="0.25">
      <c r="A1855" s="112"/>
      <c r="B1855" s="21" t="s">
        <v>5359</v>
      </c>
      <c r="C1855" s="21" t="s">
        <v>5360</v>
      </c>
      <c r="D1855" s="76" t="s">
        <v>1668</v>
      </c>
      <c r="E1855" s="77" t="b">
        <v>0</v>
      </c>
      <c r="F1855" s="72" t="str">
        <f>HYPERLINK("http://nsgreg.nga.mil/genc/view?v=293463&amp;end_month=6&amp;end_day=30&amp;end_year=2019","Chieti")</f>
        <v>Chieti</v>
      </c>
      <c r="G1855" s="72" t="str">
        <f>HYPERLINK("http://api.nsgreg.nga.mil/geo-division/GENC/6/3-11/IT-CH","as:GENC:6:3-11:IT-CH")</f>
        <v>as:GENC:6:3-11:IT-CH</v>
      </c>
    </row>
    <row r="1856" spans="1:7" x14ac:dyDescent="0.25">
      <c r="A1856" s="112"/>
      <c r="B1856" s="21" t="s">
        <v>5361</v>
      </c>
      <c r="C1856" s="21" t="s">
        <v>5362</v>
      </c>
      <c r="D1856" s="76" t="s">
        <v>1668</v>
      </c>
      <c r="E1856" s="77" t="b">
        <v>0</v>
      </c>
      <c r="F1856" s="72" t="str">
        <f>HYPERLINK("http://nsgreg.nga.mil/genc/view?v=293446&amp;end_month=6&amp;end_day=30&amp;end_year=2019","L’Aquila")</f>
        <v>L’Aquila</v>
      </c>
      <c r="G1856" s="72" t="str">
        <f>HYPERLINK("http://api.nsgreg.nga.mil/geo-division/GENC/6/3-11/IT-AQ","as:GENC:6:3-11:IT-AQ")</f>
        <v>as:GENC:6:3-11:IT-AQ</v>
      </c>
    </row>
    <row r="1857" spans="1:7" x14ac:dyDescent="0.25">
      <c r="A1857" s="112"/>
      <c r="B1857" s="21" t="s">
        <v>5363</v>
      </c>
      <c r="C1857" s="21" t="s">
        <v>5364</v>
      </c>
      <c r="D1857" s="76" t="s">
        <v>1668</v>
      </c>
      <c r="E1857" s="77" t="b">
        <v>0</v>
      </c>
      <c r="F1857" s="72" t="str">
        <f>HYPERLINK("http://nsgreg.nga.mil/genc/view?v=293508&amp;end_month=6&amp;end_day=30&amp;end_year=2019","Pescara")</f>
        <v>Pescara</v>
      </c>
      <c r="G1857" s="72" t="str">
        <f>HYPERLINK("http://api.nsgreg.nga.mil/geo-division/GENC/6/3-11/IT-PE","as:GENC:6:3-11:IT-PE")</f>
        <v>as:GENC:6:3-11:IT-PE</v>
      </c>
    </row>
    <row r="1858" spans="1:7" x14ac:dyDescent="0.25">
      <c r="A1858" s="112"/>
      <c r="B1858" s="21" t="s">
        <v>5365</v>
      </c>
      <c r="C1858" s="21" t="s">
        <v>5366</v>
      </c>
      <c r="D1858" s="76" t="s">
        <v>1668</v>
      </c>
      <c r="E1858" s="77" t="b">
        <v>0</v>
      </c>
      <c r="F1858" s="72" t="str">
        <f>HYPERLINK("http://nsgreg.nga.mil/genc/view?v=293535&amp;end_month=6&amp;end_day=30&amp;end_year=2019","Teramo")</f>
        <v>Teramo</v>
      </c>
      <c r="G1858" s="72" t="str">
        <f>HYPERLINK("http://api.nsgreg.nga.mil/geo-division/GENC/6/3-11/IT-TE","as:GENC:6:3-11:IT-TE")</f>
        <v>as:GENC:6:3-11:IT-TE</v>
      </c>
    </row>
    <row r="1859" spans="1:7" x14ac:dyDescent="0.25">
      <c r="A1859" s="112"/>
      <c r="B1859" s="21" t="s">
        <v>5367</v>
      </c>
      <c r="C1859" s="21" t="s">
        <v>5368</v>
      </c>
      <c r="D1859" s="21" t="s">
        <v>1975</v>
      </c>
      <c r="E1859" s="50" t="b">
        <v>1</v>
      </c>
      <c r="F1859" s="72" t="str">
        <f>HYPERLINK("http://nsgreg.nga.mil/genc/view?v=293437&amp;end_month=6&amp;end_day=30&amp;end_year=2019","Basilicata")</f>
        <v>Basilicata</v>
      </c>
      <c r="G1859" s="72" t="str">
        <f>HYPERLINK("http://api.nsgreg.nga.mil/geo-division/GENC/6/3-11/IT-77","as:GENC:6:3-11:IT-77")</f>
        <v>as:GENC:6:3-11:IT-77</v>
      </c>
    </row>
    <row r="1860" spans="1:7" x14ac:dyDescent="0.25">
      <c r="A1860" s="112"/>
      <c r="B1860" s="21" t="s">
        <v>5369</v>
      </c>
      <c r="C1860" s="21" t="s">
        <v>5370</v>
      </c>
      <c r="D1860" s="76" t="s">
        <v>1668</v>
      </c>
      <c r="E1860" s="77" t="b">
        <v>0</v>
      </c>
      <c r="F1860" s="72" t="str">
        <f>HYPERLINK("http://nsgreg.nga.mil/genc/view?v=293498&amp;end_month=6&amp;end_day=30&amp;end_year=2019","Matera")</f>
        <v>Matera</v>
      </c>
      <c r="G1860" s="72" t="str">
        <f>HYPERLINK("http://api.nsgreg.nga.mil/geo-division/GENC/6/3-11/IT-MT","as:GENC:6:3-11:IT-MT")</f>
        <v>as:GENC:6:3-11:IT-MT</v>
      </c>
    </row>
    <row r="1861" spans="1:7" x14ac:dyDescent="0.25">
      <c r="A1861" s="112"/>
      <c r="B1861" s="21" t="s">
        <v>5371</v>
      </c>
      <c r="C1861" s="21" t="s">
        <v>5372</v>
      </c>
      <c r="D1861" s="76" t="s">
        <v>1668</v>
      </c>
      <c r="E1861" s="77" t="b">
        <v>0</v>
      </c>
      <c r="F1861" s="72" t="str">
        <f>HYPERLINK("http://nsgreg.nga.mil/genc/view?v=293517&amp;end_month=6&amp;end_day=30&amp;end_year=2019","Potenza")</f>
        <v>Potenza</v>
      </c>
      <c r="G1861" s="72" t="str">
        <f>HYPERLINK("http://api.nsgreg.nga.mil/geo-division/GENC/6/3-11/IT-PZ","as:GENC:6:3-11:IT-PZ")</f>
        <v>as:GENC:6:3-11:IT-PZ</v>
      </c>
    </row>
    <row r="1862" spans="1:7" x14ac:dyDescent="0.25">
      <c r="A1862" s="112"/>
      <c r="B1862" s="21" t="s">
        <v>5373</v>
      </c>
      <c r="C1862" s="21" t="s">
        <v>5374</v>
      </c>
      <c r="D1862" s="21" t="s">
        <v>1975</v>
      </c>
      <c r="E1862" s="50" t="b">
        <v>1</v>
      </c>
      <c r="F1862" s="72" t="str">
        <f>HYPERLINK("http://nsgreg.nga.mil/genc/view?v=293438&amp;end_month=6&amp;end_day=30&amp;end_year=2019","Calabria")</f>
        <v>Calabria</v>
      </c>
      <c r="G1862" s="72" t="str">
        <f>HYPERLINK("http://api.nsgreg.nga.mil/geo-division/GENC/6/3-11/IT-78","as:GENC:6:3-11:IT-78")</f>
        <v>as:GENC:6:3-11:IT-78</v>
      </c>
    </row>
    <row r="1863" spans="1:7" x14ac:dyDescent="0.25">
      <c r="A1863" s="112"/>
      <c r="B1863" s="21" t="s">
        <v>5375</v>
      </c>
      <c r="C1863" s="21" t="s">
        <v>5376</v>
      </c>
      <c r="D1863" s="76" t="s">
        <v>1668</v>
      </c>
      <c r="E1863" s="77" t="b">
        <v>0</v>
      </c>
      <c r="F1863" s="72" t="str">
        <f>HYPERLINK("http://nsgreg.nga.mil/genc/view?v=293471&amp;end_month=6&amp;end_day=30&amp;end_year=2019","Catanzaro")</f>
        <v>Catanzaro</v>
      </c>
      <c r="G1863" s="72" t="str">
        <f>HYPERLINK("http://api.nsgreg.nga.mil/geo-division/GENC/6/3-11/IT-CZ","as:GENC:6:3-11:IT-CZ")</f>
        <v>as:GENC:6:3-11:IT-CZ</v>
      </c>
    </row>
    <row r="1864" spans="1:7" x14ac:dyDescent="0.25">
      <c r="A1864" s="112"/>
      <c r="B1864" s="21" t="s">
        <v>5377</v>
      </c>
      <c r="C1864" s="21" t="s">
        <v>5378</v>
      </c>
      <c r="D1864" s="76" t="s">
        <v>1668</v>
      </c>
      <c r="E1864" s="77" t="b">
        <v>0</v>
      </c>
      <c r="F1864" s="72" t="str">
        <f>HYPERLINK("http://nsgreg.nga.mil/genc/view?v=293469&amp;end_month=6&amp;end_day=30&amp;end_year=2019","Cosenza")</f>
        <v>Cosenza</v>
      </c>
      <c r="G1864" s="72" t="str">
        <f>HYPERLINK("http://api.nsgreg.nga.mil/geo-division/GENC/6/3-11/IT-CS","as:GENC:6:3-11:IT-CS")</f>
        <v>as:GENC:6:3-11:IT-CS</v>
      </c>
    </row>
    <row r="1865" spans="1:7" x14ac:dyDescent="0.25">
      <c r="A1865" s="112"/>
      <c r="B1865" s="21" t="s">
        <v>5379</v>
      </c>
      <c r="C1865" s="21" t="s">
        <v>5380</v>
      </c>
      <c r="D1865" s="76" t="s">
        <v>1668</v>
      </c>
      <c r="E1865" s="77" t="b">
        <v>0</v>
      </c>
      <c r="F1865" s="72" t="str">
        <f>HYPERLINK("http://nsgreg.nga.mil/genc/view?v=293484&amp;end_month=6&amp;end_day=30&amp;end_year=2019","Crotone")</f>
        <v>Crotone</v>
      </c>
      <c r="G1865" s="72" t="str">
        <f>HYPERLINK("http://api.nsgreg.nga.mil/geo-division/GENC/6/3-11/IT-KR","as:GENC:6:3-11:IT-KR")</f>
        <v>as:GENC:6:3-11:IT-KR</v>
      </c>
    </row>
    <row r="1866" spans="1:7" x14ac:dyDescent="0.25">
      <c r="A1866" s="112"/>
      <c r="B1866" s="21" t="s">
        <v>5381</v>
      </c>
      <c r="C1866" s="21" t="s">
        <v>5382</v>
      </c>
      <c r="D1866" s="76" t="s">
        <v>5383</v>
      </c>
      <c r="E1866" s="77" t="b">
        <v>0</v>
      </c>
      <c r="F1866" s="72" t="str">
        <f>HYPERLINK("http://nsgreg.nga.mil/genc/view?v=293519&amp;end_month=6&amp;end_day=30&amp;end_year=2019","Reggio di Calabria")</f>
        <v>Reggio di Calabria</v>
      </c>
      <c r="G1866" s="72" t="str">
        <f>HYPERLINK("http://api.nsgreg.nga.mil/geo-division/GENC/6/3-11/IT-RC","as:GENC:6:3-11:IT-RC")</f>
        <v>as:GENC:6:3-11:IT-RC</v>
      </c>
    </row>
    <row r="1867" spans="1:7" x14ac:dyDescent="0.25">
      <c r="A1867" s="112"/>
      <c r="B1867" s="21" t="s">
        <v>5384</v>
      </c>
      <c r="C1867" s="21" t="s">
        <v>5385</v>
      </c>
      <c r="D1867" s="76" t="s">
        <v>1668</v>
      </c>
      <c r="E1867" s="77" t="b">
        <v>0</v>
      </c>
      <c r="F1867" s="72" t="str">
        <f>HYPERLINK("http://nsgreg.nga.mil/genc/view?v=293551&amp;end_month=6&amp;end_day=30&amp;end_year=2019","Vibo Valentia")</f>
        <v>Vibo Valentia</v>
      </c>
      <c r="G1867" s="72" t="str">
        <f>HYPERLINK("http://api.nsgreg.nga.mil/geo-division/GENC/6/3-11/IT-VV","as:GENC:6:3-11:IT-VV")</f>
        <v>as:GENC:6:3-11:IT-VV</v>
      </c>
    </row>
    <row r="1868" spans="1:7" x14ac:dyDescent="0.25">
      <c r="A1868" s="112"/>
      <c r="B1868" s="21" t="s">
        <v>5386</v>
      </c>
      <c r="C1868" s="21" t="s">
        <v>5387</v>
      </c>
      <c r="D1868" s="21" t="s">
        <v>1975</v>
      </c>
      <c r="E1868" s="50" t="b">
        <v>1</v>
      </c>
      <c r="F1868" s="72" t="str">
        <f>HYPERLINK("http://nsgreg.nga.mil/genc/view?v=293435&amp;end_month=6&amp;end_day=30&amp;end_year=2019","Campania")</f>
        <v>Campania</v>
      </c>
      <c r="G1868" s="72" t="str">
        <f>HYPERLINK("http://api.nsgreg.nga.mil/geo-division/GENC/6/3-11/IT-72","as:GENC:6:3-11:IT-72")</f>
        <v>as:GENC:6:3-11:IT-72</v>
      </c>
    </row>
    <row r="1869" spans="1:7" x14ac:dyDescent="0.25">
      <c r="A1869" s="112"/>
      <c r="B1869" s="21" t="s">
        <v>5388</v>
      </c>
      <c r="C1869" s="21" t="s">
        <v>5389</v>
      </c>
      <c r="D1869" s="76" t="s">
        <v>1668</v>
      </c>
      <c r="E1869" s="77" t="b">
        <v>0</v>
      </c>
      <c r="F1869" s="72" t="str">
        <f>HYPERLINK("http://nsgreg.nga.mil/genc/view?v=293449&amp;end_month=6&amp;end_day=30&amp;end_year=2019","Avellino")</f>
        <v>Avellino</v>
      </c>
      <c r="G1869" s="72" t="str">
        <f>HYPERLINK("http://api.nsgreg.nga.mil/geo-division/GENC/6/3-11/IT-AV","as:GENC:6:3-11:IT-AV")</f>
        <v>as:GENC:6:3-11:IT-AV</v>
      </c>
    </row>
    <row r="1870" spans="1:7" x14ac:dyDescent="0.25">
      <c r="A1870" s="112"/>
      <c r="B1870" s="21" t="s">
        <v>5390</v>
      </c>
      <c r="C1870" s="21" t="s">
        <v>5391</v>
      </c>
      <c r="D1870" s="76" t="s">
        <v>1668</v>
      </c>
      <c r="E1870" s="77" t="b">
        <v>0</v>
      </c>
      <c r="F1870" s="72" t="str">
        <f>HYPERLINK("http://nsgreg.nga.mil/genc/view?v=293454&amp;end_month=6&amp;end_day=30&amp;end_year=2019","Benevento")</f>
        <v>Benevento</v>
      </c>
      <c r="G1870" s="72" t="str">
        <f>HYPERLINK("http://api.nsgreg.nga.mil/geo-division/GENC/6/3-11/IT-BN","as:GENC:6:3-11:IT-BN")</f>
        <v>as:GENC:6:3-11:IT-BN</v>
      </c>
    </row>
    <row r="1871" spans="1:7" x14ac:dyDescent="0.25">
      <c r="A1871" s="112"/>
      <c r="B1871" s="21" t="s">
        <v>5392</v>
      </c>
      <c r="C1871" s="21" t="s">
        <v>5393</v>
      </c>
      <c r="D1871" s="76" t="s">
        <v>1668</v>
      </c>
      <c r="E1871" s="77" t="b">
        <v>0</v>
      </c>
      <c r="F1871" s="72" t="str">
        <f>HYPERLINK("http://nsgreg.nga.mil/genc/view?v=293462&amp;end_month=6&amp;end_day=30&amp;end_year=2019","Caserta")</f>
        <v>Caserta</v>
      </c>
      <c r="G1871" s="72" t="str">
        <f>HYPERLINK("http://api.nsgreg.nga.mil/geo-division/GENC/6/3-11/IT-CE","as:GENC:6:3-11:IT-CE")</f>
        <v>as:GENC:6:3-11:IT-CE</v>
      </c>
    </row>
    <row r="1872" spans="1:7" x14ac:dyDescent="0.25">
      <c r="A1872" s="112"/>
      <c r="B1872" s="21" t="s">
        <v>5394</v>
      </c>
      <c r="C1872" s="21" t="s">
        <v>5395</v>
      </c>
      <c r="D1872" s="76" t="s">
        <v>5383</v>
      </c>
      <c r="E1872" s="77" t="b">
        <v>0</v>
      </c>
      <c r="F1872" s="72" t="str">
        <f>HYPERLINK("http://nsgreg.nga.mil/genc/view?v=293499&amp;end_month=6&amp;end_day=30&amp;end_year=2019","Napoli")</f>
        <v>Napoli</v>
      </c>
      <c r="G1872" s="72" t="str">
        <f>HYPERLINK("http://api.nsgreg.nga.mil/geo-division/GENC/6/3-11/IT-NA","as:GENC:6:3-11:IT-NA")</f>
        <v>as:GENC:6:3-11:IT-NA</v>
      </c>
    </row>
    <row r="1873" spans="1:7" x14ac:dyDescent="0.25">
      <c r="A1873" s="112"/>
      <c r="B1873" s="21" t="s">
        <v>5396</v>
      </c>
      <c r="C1873" s="21" t="s">
        <v>5397</v>
      </c>
      <c r="D1873" s="76" t="s">
        <v>1668</v>
      </c>
      <c r="E1873" s="77" t="b">
        <v>0</v>
      </c>
      <c r="F1873" s="72" t="str">
        <f>HYPERLINK("http://nsgreg.nga.mil/genc/view?v=293526&amp;end_month=6&amp;end_day=30&amp;end_year=2019","Salerno")</f>
        <v>Salerno</v>
      </c>
      <c r="G1873" s="72" t="str">
        <f>HYPERLINK("http://api.nsgreg.nga.mil/geo-division/GENC/6/3-11/IT-SA","as:GENC:6:3-11:IT-SA")</f>
        <v>as:GENC:6:3-11:IT-SA</v>
      </c>
    </row>
    <row r="1874" spans="1:7" x14ac:dyDescent="0.25">
      <c r="A1874" s="112"/>
      <c r="B1874" s="21" t="s">
        <v>5398</v>
      </c>
      <c r="C1874" s="21" t="s">
        <v>5399</v>
      </c>
      <c r="D1874" s="21" t="s">
        <v>1975</v>
      </c>
      <c r="E1874" s="50" t="b">
        <v>1</v>
      </c>
      <c r="F1874" s="72" t="str">
        <f>HYPERLINK("http://nsgreg.nga.mil/genc/view?v=293428&amp;end_month=6&amp;end_day=30&amp;end_year=2019","Emilia-Romagna")</f>
        <v>Emilia-Romagna</v>
      </c>
      <c r="G1874" s="72" t="str">
        <f>HYPERLINK("http://api.nsgreg.nga.mil/geo-division/GENC/6/3-11/IT-45","as:GENC:6:3-11:IT-45")</f>
        <v>as:GENC:6:3-11:IT-45</v>
      </c>
    </row>
    <row r="1875" spans="1:7" x14ac:dyDescent="0.25">
      <c r="A1875" s="112"/>
      <c r="B1875" s="21" t="s">
        <v>5400</v>
      </c>
      <c r="C1875" s="21" t="s">
        <v>5401</v>
      </c>
      <c r="D1875" s="76" t="s">
        <v>5383</v>
      </c>
      <c r="E1875" s="77" t="b">
        <v>0</v>
      </c>
      <c r="F1875" s="72" t="str">
        <f>HYPERLINK("http://nsgreg.nga.mil/genc/view?v=293455&amp;end_month=6&amp;end_day=30&amp;end_year=2019","Bologna")</f>
        <v>Bologna</v>
      </c>
      <c r="G1875" s="72" t="str">
        <f>HYPERLINK("http://api.nsgreg.nga.mil/geo-division/GENC/6/3-11/IT-BO","as:GENC:6:3-11:IT-BO")</f>
        <v>as:GENC:6:3-11:IT-BO</v>
      </c>
    </row>
    <row r="1876" spans="1:7" x14ac:dyDescent="0.25">
      <c r="A1876" s="112"/>
      <c r="B1876" s="21" t="s">
        <v>5402</v>
      </c>
      <c r="C1876" s="21" t="s">
        <v>5403</v>
      </c>
      <c r="D1876" s="76" t="s">
        <v>1668</v>
      </c>
      <c r="E1876" s="77" t="b">
        <v>0</v>
      </c>
      <c r="F1876" s="72" t="str">
        <f>HYPERLINK("http://nsgreg.nga.mil/genc/view?v=293474&amp;end_month=6&amp;end_day=30&amp;end_year=2019","Ferrara")</f>
        <v>Ferrara</v>
      </c>
      <c r="G1876" s="72" t="str">
        <f>HYPERLINK("http://api.nsgreg.nga.mil/geo-division/GENC/6/3-11/IT-FE","as:GENC:6:3-11:IT-FE")</f>
        <v>as:GENC:6:3-11:IT-FE</v>
      </c>
    </row>
    <row r="1877" spans="1:7" x14ac:dyDescent="0.25">
      <c r="A1877" s="112"/>
      <c r="B1877" s="21" t="s">
        <v>5404</v>
      </c>
      <c r="C1877" s="21" t="s">
        <v>5405</v>
      </c>
      <c r="D1877" s="76" t="s">
        <v>1668</v>
      </c>
      <c r="E1877" s="77" t="b">
        <v>0</v>
      </c>
      <c r="F1877" s="72" t="str">
        <f>HYPERLINK("http://nsgreg.nga.mil/genc/view?v=293473&amp;end_month=6&amp;end_day=30&amp;end_year=2019","Forli")</f>
        <v>Forli</v>
      </c>
      <c r="G1877" s="72" t="str">
        <f>HYPERLINK("http://api.nsgreg.nga.mil/geo-division/GENC/6/3-11/IT-FC","as:GENC:6:3-11:IT-FC")</f>
        <v>as:GENC:6:3-11:IT-FC</v>
      </c>
    </row>
    <row r="1878" spans="1:7" x14ac:dyDescent="0.25">
      <c r="A1878" s="112"/>
      <c r="B1878" s="21" t="s">
        <v>5406</v>
      </c>
      <c r="C1878" s="21" t="s">
        <v>5407</v>
      </c>
      <c r="D1878" s="76" t="s">
        <v>1668</v>
      </c>
      <c r="E1878" s="77" t="b">
        <v>0</v>
      </c>
      <c r="F1878" s="72" t="str">
        <f>HYPERLINK("http://nsgreg.nga.mil/genc/view?v=293496&amp;end_month=6&amp;end_day=30&amp;end_year=2019","Modena")</f>
        <v>Modena</v>
      </c>
      <c r="G1878" s="72" t="str">
        <f>HYPERLINK("http://api.nsgreg.nga.mil/geo-division/GENC/6/3-11/IT-MO","as:GENC:6:3-11:IT-MO")</f>
        <v>as:GENC:6:3-11:IT-MO</v>
      </c>
    </row>
    <row r="1879" spans="1:7" x14ac:dyDescent="0.25">
      <c r="A1879" s="112"/>
      <c r="B1879" s="21" t="s">
        <v>5408</v>
      </c>
      <c r="C1879" s="21" t="s">
        <v>5409</v>
      </c>
      <c r="D1879" s="76" t="s">
        <v>1668</v>
      </c>
      <c r="E1879" s="77" t="b">
        <v>0</v>
      </c>
      <c r="F1879" s="72" t="str">
        <f>HYPERLINK("http://nsgreg.nga.mil/genc/view?v=293513&amp;end_month=6&amp;end_day=30&amp;end_year=2019","Parma")</f>
        <v>Parma</v>
      </c>
      <c r="G1879" s="72" t="str">
        <f>HYPERLINK("http://api.nsgreg.nga.mil/geo-division/GENC/6/3-11/IT-PR","as:GENC:6:3-11:IT-PR")</f>
        <v>as:GENC:6:3-11:IT-PR</v>
      </c>
    </row>
    <row r="1880" spans="1:7" x14ac:dyDescent="0.25">
      <c r="A1880" s="112"/>
      <c r="B1880" s="21" t="s">
        <v>5410</v>
      </c>
      <c r="C1880" s="21" t="s">
        <v>5411</v>
      </c>
      <c r="D1880" s="76" t="s">
        <v>1668</v>
      </c>
      <c r="E1880" s="77" t="b">
        <v>0</v>
      </c>
      <c r="F1880" s="72" t="str">
        <f>HYPERLINK("http://nsgreg.nga.mil/genc/view?v=293506&amp;end_month=6&amp;end_day=30&amp;end_year=2019","Piacenza")</f>
        <v>Piacenza</v>
      </c>
      <c r="G1880" s="72" t="str">
        <f>HYPERLINK("http://api.nsgreg.nga.mil/geo-division/GENC/6/3-11/IT-PC","as:GENC:6:3-11:IT-PC")</f>
        <v>as:GENC:6:3-11:IT-PC</v>
      </c>
    </row>
    <row r="1881" spans="1:7" x14ac:dyDescent="0.25">
      <c r="A1881" s="112"/>
      <c r="B1881" s="21" t="s">
        <v>5412</v>
      </c>
      <c r="C1881" s="21" t="s">
        <v>5413</v>
      </c>
      <c r="D1881" s="76" t="s">
        <v>1668</v>
      </c>
      <c r="E1881" s="77" t="b">
        <v>0</v>
      </c>
      <c r="F1881" s="72" t="str">
        <f>HYPERLINK("http://nsgreg.nga.mil/genc/view?v=293518&amp;end_month=6&amp;end_day=30&amp;end_year=2019","Ravenna")</f>
        <v>Ravenna</v>
      </c>
      <c r="G1881" s="72" t="str">
        <f>HYPERLINK("http://api.nsgreg.nga.mil/geo-division/GENC/6/3-11/IT-RA","as:GENC:6:3-11:IT-RA")</f>
        <v>as:GENC:6:3-11:IT-RA</v>
      </c>
    </row>
    <row r="1882" spans="1:7" x14ac:dyDescent="0.25">
      <c r="A1882" s="112"/>
      <c r="B1882" s="21" t="s">
        <v>5414</v>
      </c>
      <c r="C1882" s="21" t="s">
        <v>5415</v>
      </c>
      <c r="D1882" s="76" t="s">
        <v>1668</v>
      </c>
      <c r="E1882" s="77" t="b">
        <v>0</v>
      </c>
      <c r="F1882" s="72" t="str">
        <f>HYPERLINK("http://nsgreg.nga.mil/genc/view?v=293520&amp;end_month=6&amp;end_day=30&amp;end_year=2019","Reggio Emilia")</f>
        <v>Reggio Emilia</v>
      </c>
      <c r="G1882" s="72" t="str">
        <f>HYPERLINK("http://api.nsgreg.nga.mil/geo-division/GENC/6/3-11/IT-RE","as:GENC:6:3-11:IT-RE")</f>
        <v>as:GENC:6:3-11:IT-RE</v>
      </c>
    </row>
    <row r="1883" spans="1:7" x14ac:dyDescent="0.25">
      <c r="A1883" s="112"/>
      <c r="B1883" s="21" t="s">
        <v>5416</v>
      </c>
      <c r="C1883" s="21" t="s">
        <v>5417</v>
      </c>
      <c r="D1883" s="76" t="s">
        <v>1668</v>
      </c>
      <c r="E1883" s="77" t="b">
        <v>0</v>
      </c>
      <c r="F1883" s="72" t="str">
        <f>HYPERLINK("http://nsgreg.nga.mil/genc/view?v=293524&amp;end_month=6&amp;end_day=30&amp;end_year=2019","Rimini")</f>
        <v>Rimini</v>
      </c>
      <c r="G1883" s="72" t="str">
        <f>HYPERLINK("http://api.nsgreg.nga.mil/geo-division/GENC/6/3-11/IT-RN","as:GENC:6:3-11:IT-RN")</f>
        <v>as:GENC:6:3-11:IT-RN</v>
      </c>
    </row>
    <row r="1884" spans="1:7" x14ac:dyDescent="0.25">
      <c r="A1884" s="112"/>
      <c r="B1884" s="21" t="s">
        <v>5418</v>
      </c>
      <c r="C1884" s="21" t="s">
        <v>5419</v>
      </c>
      <c r="D1884" s="21" t="s">
        <v>3199</v>
      </c>
      <c r="E1884" s="50" t="b">
        <v>1</v>
      </c>
      <c r="F1884" s="72" t="str">
        <f>HYPERLINK("http://nsgreg.nga.mil/genc/view?v=293426&amp;end_month=6&amp;end_day=30&amp;end_year=2019","Friuli Venezia Giulia")</f>
        <v>Friuli Venezia Giulia</v>
      </c>
      <c r="G1884" s="72" t="str">
        <f>HYPERLINK("http://api.nsgreg.nga.mil/geo-division/GENC/6/3-11/IT-36","as:GENC:6:3-11:IT-36")</f>
        <v>as:GENC:6:3-11:IT-36</v>
      </c>
    </row>
    <row r="1885" spans="1:7" x14ac:dyDescent="0.25">
      <c r="A1885" s="112"/>
      <c r="B1885" s="21" t="s">
        <v>5420</v>
      </c>
      <c r="C1885" s="21" t="s">
        <v>5421</v>
      </c>
      <c r="D1885" s="21" t="s">
        <v>1975</v>
      </c>
      <c r="E1885" s="50" t="b">
        <v>1</v>
      </c>
      <c r="F1885" s="72" t="str">
        <f>HYPERLINK("http://nsgreg.nga.mil/genc/view?v=293432&amp;end_month=6&amp;end_day=30&amp;end_year=2019","Lazio")</f>
        <v>Lazio</v>
      </c>
      <c r="G1885" s="72" t="str">
        <f>HYPERLINK("http://api.nsgreg.nga.mil/geo-division/GENC/6/3-11/IT-62","as:GENC:6:3-11:IT-62")</f>
        <v>as:GENC:6:3-11:IT-62</v>
      </c>
    </row>
    <row r="1886" spans="1:7" x14ac:dyDescent="0.25">
      <c r="A1886" s="112"/>
      <c r="B1886" s="21" t="s">
        <v>5422</v>
      </c>
      <c r="C1886" s="21" t="s">
        <v>5423</v>
      </c>
      <c r="D1886" s="76" t="s">
        <v>1668</v>
      </c>
      <c r="E1886" s="77" t="b">
        <v>0</v>
      </c>
      <c r="F1886" s="72" t="str">
        <f>HYPERLINK("http://nsgreg.nga.mil/genc/view?v=293478&amp;end_month=6&amp;end_day=30&amp;end_year=2019","Frosinone")</f>
        <v>Frosinone</v>
      </c>
      <c r="G1886" s="72" t="str">
        <f>HYPERLINK("http://api.nsgreg.nga.mil/geo-division/GENC/6/3-11/IT-FR","as:GENC:6:3-11:IT-FR")</f>
        <v>as:GENC:6:3-11:IT-FR</v>
      </c>
    </row>
    <row r="1887" spans="1:7" x14ac:dyDescent="0.25">
      <c r="A1887" s="112"/>
      <c r="B1887" s="21" t="s">
        <v>5424</v>
      </c>
      <c r="C1887" s="21" t="s">
        <v>5425</v>
      </c>
      <c r="D1887" s="76" t="s">
        <v>1668</v>
      </c>
      <c r="E1887" s="77" t="b">
        <v>0</v>
      </c>
      <c r="F1887" s="72" t="str">
        <f>HYPERLINK("http://nsgreg.nga.mil/genc/view?v=293489&amp;end_month=6&amp;end_day=30&amp;end_year=2019","Latina")</f>
        <v>Latina</v>
      </c>
      <c r="G1887" s="72" t="str">
        <f>HYPERLINK("http://api.nsgreg.nga.mil/geo-division/GENC/6/3-11/IT-LT","as:GENC:6:3-11:IT-LT")</f>
        <v>as:GENC:6:3-11:IT-LT</v>
      </c>
    </row>
    <row r="1888" spans="1:7" x14ac:dyDescent="0.25">
      <c r="A1888" s="112"/>
      <c r="B1888" s="21" t="s">
        <v>5426</v>
      </c>
      <c r="C1888" s="21" t="s">
        <v>5427</v>
      </c>
      <c r="D1888" s="76" t="s">
        <v>1668</v>
      </c>
      <c r="E1888" s="77" t="b">
        <v>0</v>
      </c>
      <c r="F1888" s="72" t="str">
        <f>HYPERLINK("http://nsgreg.nga.mil/genc/view?v=293522&amp;end_month=6&amp;end_day=30&amp;end_year=2019","Rieti")</f>
        <v>Rieti</v>
      </c>
      <c r="G1888" s="72" t="str">
        <f>HYPERLINK("http://api.nsgreg.nga.mil/geo-division/GENC/6/3-11/IT-RI","as:GENC:6:3-11:IT-RI")</f>
        <v>as:GENC:6:3-11:IT-RI</v>
      </c>
    </row>
    <row r="1889" spans="1:7" x14ac:dyDescent="0.25">
      <c r="A1889" s="112"/>
      <c r="B1889" s="21" t="s">
        <v>5428</v>
      </c>
      <c r="C1889" s="21" t="s">
        <v>5429</v>
      </c>
      <c r="D1889" s="76" t="s">
        <v>5383</v>
      </c>
      <c r="E1889" s="77" t="b">
        <v>0</v>
      </c>
      <c r="F1889" s="72" t="str">
        <f>HYPERLINK("http://nsgreg.nga.mil/genc/view?v=293523&amp;end_month=6&amp;end_day=30&amp;end_year=2019","Roma")</f>
        <v>Roma</v>
      </c>
      <c r="G1889" s="72" t="str">
        <f>HYPERLINK("http://api.nsgreg.nga.mil/geo-division/GENC/6/3-11/IT-RM","as:GENC:6:3-11:IT-RM")</f>
        <v>as:GENC:6:3-11:IT-RM</v>
      </c>
    </row>
    <row r="1890" spans="1:7" x14ac:dyDescent="0.25">
      <c r="A1890" s="112"/>
      <c r="B1890" s="21" t="s">
        <v>5430</v>
      </c>
      <c r="C1890" s="21" t="s">
        <v>5431</v>
      </c>
      <c r="D1890" s="76" t="s">
        <v>1668</v>
      </c>
      <c r="E1890" s="77" t="b">
        <v>0</v>
      </c>
      <c r="F1890" s="72" t="str">
        <f>HYPERLINK("http://nsgreg.nga.mil/genc/view?v=293550&amp;end_month=6&amp;end_day=30&amp;end_year=2019","Viterbo")</f>
        <v>Viterbo</v>
      </c>
      <c r="G1890" s="72" t="str">
        <f>HYPERLINK("http://api.nsgreg.nga.mil/geo-division/GENC/6/3-11/IT-VT","as:GENC:6:3-11:IT-VT")</f>
        <v>as:GENC:6:3-11:IT-VT</v>
      </c>
    </row>
    <row r="1891" spans="1:7" x14ac:dyDescent="0.25">
      <c r="A1891" s="112"/>
      <c r="B1891" s="21" t="s">
        <v>5432</v>
      </c>
      <c r="C1891" s="21" t="s">
        <v>5433</v>
      </c>
      <c r="D1891" s="21" t="s">
        <v>1975</v>
      </c>
      <c r="E1891" s="50" t="b">
        <v>1</v>
      </c>
      <c r="F1891" s="72" t="str">
        <f>HYPERLINK("http://nsgreg.nga.mil/genc/view?v=293427&amp;end_month=6&amp;end_day=30&amp;end_year=2019","Liguria")</f>
        <v>Liguria</v>
      </c>
      <c r="G1891" s="72" t="str">
        <f>HYPERLINK("http://api.nsgreg.nga.mil/geo-division/GENC/6/3-11/IT-42","as:GENC:6:3-11:IT-42")</f>
        <v>as:GENC:6:3-11:IT-42</v>
      </c>
    </row>
    <row r="1892" spans="1:7" x14ac:dyDescent="0.25">
      <c r="A1892" s="112"/>
      <c r="B1892" s="21" t="s">
        <v>5434</v>
      </c>
      <c r="C1892" s="21" t="s">
        <v>5435</v>
      </c>
      <c r="D1892" s="76" t="s">
        <v>5383</v>
      </c>
      <c r="E1892" s="77" t="b">
        <v>0</v>
      </c>
      <c r="F1892" s="72" t="str">
        <f>HYPERLINK("http://nsgreg.nga.mil/genc/view?v=293479&amp;end_month=6&amp;end_day=30&amp;end_year=2019","Genova")</f>
        <v>Genova</v>
      </c>
      <c r="G1892" s="72" t="str">
        <f>HYPERLINK("http://api.nsgreg.nga.mil/geo-division/GENC/6/3-11/IT-GE","as:GENC:6:3-11:IT-GE")</f>
        <v>as:GENC:6:3-11:IT-GE</v>
      </c>
    </row>
    <row r="1893" spans="1:7" x14ac:dyDescent="0.25">
      <c r="A1893" s="112"/>
      <c r="B1893" s="21" t="s">
        <v>5436</v>
      </c>
      <c r="C1893" s="21" t="s">
        <v>5437</v>
      </c>
      <c r="D1893" s="76" t="s">
        <v>1668</v>
      </c>
      <c r="E1893" s="77" t="b">
        <v>0</v>
      </c>
      <c r="F1893" s="72" t="str">
        <f>HYPERLINK("http://nsgreg.nga.mil/genc/view?v=293482&amp;end_month=6&amp;end_day=30&amp;end_year=2019","Imperia")</f>
        <v>Imperia</v>
      </c>
      <c r="G1893" s="72" t="str">
        <f>HYPERLINK("http://api.nsgreg.nga.mil/geo-division/GENC/6/3-11/IT-IM","as:GENC:6:3-11:IT-IM")</f>
        <v>as:GENC:6:3-11:IT-IM</v>
      </c>
    </row>
    <row r="1894" spans="1:7" x14ac:dyDescent="0.25">
      <c r="A1894" s="112"/>
      <c r="B1894" s="21" t="s">
        <v>5438</v>
      </c>
      <c r="C1894" s="21" t="s">
        <v>5439</v>
      </c>
      <c r="D1894" s="76" t="s">
        <v>1668</v>
      </c>
      <c r="E1894" s="77" t="b">
        <v>0</v>
      </c>
      <c r="F1894" s="72" t="str">
        <f>HYPERLINK("http://nsgreg.nga.mil/genc/view?v=293530&amp;end_month=6&amp;end_day=30&amp;end_year=2019","La Spezia")</f>
        <v>La Spezia</v>
      </c>
      <c r="G1894" s="72" t="str">
        <f>HYPERLINK("http://api.nsgreg.nga.mil/geo-division/GENC/6/3-11/IT-SP","as:GENC:6:3-11:IT-SP")</f>
        <v>as:GENC:6:3-11:IT-SP</v>
      </c>
    </row>
    <row r="1895" spans="1:7" x14ac:dyDescent="0.25">
      <c r="A1895" s="112"/>
      <c r="B1895" s="21" t="s">
        <v>5440</v>
      </c>
      <c r="C1895" s="21" t="s">
        <v>5441</v>
      </c>
      <c r="D1895" s="76" t="s">
        <v>1668</v>
      </c>
      <c r="E1895" s="77" t="b">
        <v>0</v>
      </c>
      <c r="F1895" s="72" t="str">
        <f>HYPERLINK("http://nsgreg.nga.mil/genc/view?v=293533&amp;end_month=6&amp;end_day=30&amp;end_year=2019","Savona")</f>
        <v>Savona</v>
      </c>
      <c r="G1895" s="72" t="str">
        <f>HYPERLINK("http://api.nsgreg.nga.mil/geo-division/GENC/6/3-11/IT-SV","as:GENC:6:3-11:IT-SV")</f>
        <v>as:GENC:6:3-11:IT-SV</v>
      </c>
    </row>
    <row r="1896" spans="1:7" x14ac:dyDescent="0.25">
      <c r="A1896" s="112"/>
      <c r="B1896" s="21" t="s">
        <v>5442</v>
      </c>
      <c r="C1896" s="21" t="s">
        <v>5443</v>
      </c>
      <c r="D1896" s="21" t="s">
        <v>1975</v>
      </c>
      <c r="E1896" s="50" t="b">
        <v>1</v>
      </c>
      <c r="F1896" s="72" t="str">
        <f>HYPERLINK("http://nsgreg.nga.mil/genc/view?v=293423&amp;end_month=6&amp;end_day=30&amp;end_year=2019","Lombardy")</f>
        <v>Lombardy</v>
      </c>
      <c r="G1896" s="72" t="str">
        <f>HYPERLINK("http://api.nsgreg.nga.mil/geo-division/GENC/6/3-11/IT-25","as:GENC:6:3-11:IT-25")</f>
        <v>as:GENC:6:3-11:IT-25</v>
      </c>
    </row>
    <row r="1897" spans="1:7" x14ac:dyDescent="0.25">
      <c r="A1897" s="112"/>
      <c r="B1897" s="21" t="s">
        <v>5444</v>
      </c>
      <c r="C1897" s="21" t="s">
        <v>5445</v>
      </c>
      <c r="D1897" s="76" t="s">
        <v>1668</v>
      </c>
      <c r="E1897" s="77" t="b">
        <v>0</v>
      </c>
      <c r="F1897" s="72" t="str">
        <f>HYPERLINK("http://nsgreg.nga.mil/genc/view?v=293451&amp;end_month=6&amp;end_day=30&amp;end_year=2019","Bergamo")</f>
        <v>Bergamo</v>
      </c>
      <c r="G1897" s="72" t="str">
        <f>HYPERLINK("http://api.nsgreg.nga.mil/geo-division/GENC/6/3-11/IT-BG","as:GENC:6:3-11:IT-BG")</f>
        <v>as:GENC:6:3-11:IT-BG</v>
      </c>
    </row>
    <row r="1898" spans="1:7" x14ac:dyDescent="0.25">
      <c r="A1898" s="112"/>
      <c r="B1898" s="21" t="s">
        <v>5446</v>
      </c>
      <c r="C1898" s="21" t="s">
        <v>5447</v>
      </c>
      <c r="D1898" s="76" t="s">
        <v>1668</v>
      </c>
      <c r="E1898" s="77" t="b">
        <v>0</v>
      </c>
      <c r="F1898" s="72" t="str">
        <f>HYPERLINK("http://nsgreg.nga.mil/genc/view?v=293457&amp;end_month=6&amp;end_day=30&amp;end_year=2019","Brescia")</f>
        <v>Brescia</v>
      </c>
      <c r="G1898" s="72" t="str">
        <f>HYPERLINK("http://api.nsgreg.nga.mil/geo-division/GENC/6/3-11/IT-BS","as:GENC:6:3-11:IT-BS")</f>
        <v>as:GENC:6:3-11:IT-BS</v>
      </c>
    </row>
    <row r="1899" spans="1:7" x14ac:dyDescent="0.25">
      <c r="A1899" s="112"/>
      <c r="B1899" s="21" t="s">
        <v>5448</v>
      </c>
      <c r="C1899" s="21" t="s">
        <v>5449</v>
      </c>
      <c r="D1899" s="76" t="s">
        <v>1668</v>
      </c>
      <c r="E1899" s="77" t="b">
        <v>0</v>
      </c>
      <c r="F1899" s="72" t="str">
        <f>HYPERLINK("http://nsgreg.nga.mil/genc/view?v=293467&amp;end_month=6&amp;end_day=30&amp;end_year=2019","Como")</f>
        <v>Como</v>
      </c>
      <c r="G1899" s="72" t="str">
        <f>HYPERLINK("http://api.nsgreg.nga.mil/geo-division/GENC/6/3-11/IT-CO","as:GENC:6:3-11:IT-CO")</f>
        <v>as:GENC:6:3-11:IT-CO</v>
      </c>
    </row>
    <row r="1900" spans="1:7" x14ac:dyDescent="0.25">
      <c r="A1900" s="112"/>
      <c r="B1900" s="21" t="s">
        <v>5450</v>
      </c>
      <c r="C1900" s="21" t="s">
        <v>5451</v>
      </c>
      <c r="D1900" s="76" t="s">
        <v>1668</v>
      </c>
      <c r="E1900" s="77" t="b">
        <v>0</v>
      </c>
      <c r="F1900" s="72" t="str">
        <f>HYPERLINK("http://nsgreg.nga.mil/genc/view?v=293468&amp;end_month=6&amp;end_day=30&amp;end_year=2019","Cremona")</f>
        <v>Cremona</v>
      </c>
      <c r="G1900" s="72" t="str">
        <f>HYPERLINK("http://api.nsgreg.nga.mil/geo-division/GENC/6/3-11/IT-CR","as:GENC:6:3-11:IT-CR")</f>
        <v>as:GENC:6:3-11:IT-CR</v>
      </c>
    </row>
    <row r="1901" spans="1:7" x14ac:dyDescent="0.25">
      <c r="A1901" s="112"/>
      <c r="B1901" s="21" t="s">
        <v>5452</v>
      </c>
      <c r="C1901" s="21" t="s">
        <v>5453</v>
      </c>
      <c r="D1901" s="76" t="s">
        <v>1668</v>
      </c>
      <c r="E1901" s="77" t="b">
        <v>0</v>
      </c>
      <c r="F1901" s="72" t="str">
        <f>HYPERLINK("http://nsgreg.nga.mil/genc/view?v=293485&amp;end_month=6&amp;end_day=30&amp;end_year=2019","Lecco")</f>
        <v>Lecco</v>
      </c>
      <c r="G1901" s="72" t="str">
        <f>HYPERLINK("http://api.nsgreg.nga.mil/geo-division/GENC/6/3-11/IT-LC","as:GENC:6:3-11:IT-LC")</f>
        <v>as:GENC:6:3-11:IT-LC</v>
      </c>
    </row>
    <row r="1902" spans="1:7" x14ac:dyDescent="0.25">
      <c r="A1902" s="112"/>
      <c r="B1902" s="21" t="s">
        <v>5454</v>
      </c>
      <c r="C1902" s="21" t="s">
        <v>5455</v>
      </c>
      <c r="D1902" s="76" t="s">
        <v>1668</v>
      </c>
      <c r="E1902" s="77" t="b">
        <v>0</v>
      </c>
      <c r="F1902" s="72" t="str">
        <f>HYPERLINK("http://nsgreg.nga.mil/genc/view?v=293488&amp;end_month=6&amp;end_day=30&amp;end_year=2019","Lodi")</f>
        <v>Lodi</v>
      </c>
      <c r="G1902" s="72" t="str">
        <f>HYPERLINK("http://api.nsgreg.nga.mil/geo-division/GENC/6/3-11/IT-LO","as:GENC:6:3-11:IT-LO")</f>
        <v>as:GENC:6:3-11:IT-LO</v>
      </c>
    </row>
    <row r="1903" spans="1:7" x14ac:dyDescent="0.25">
      <c r="A1903" s="112"/>
      <c r="B1903" s="21" t="s">
        <v>5456</v>
      </c>
      <c r="C1903" s="21" t="s">
        <v>5457</v>
      </c>
      <c r="D1903" s="76" t="s">
        <v>1668</v>
      </c>
      <c r="E1903" s="77" t="b">
        <v>0</v>
      </c>
      <c r="F1903" s="72" t="str">
        <f>HYPERLINK("http://nsgreg.nga.mil/genc/view?v=293495&amp;end_month=6&amp;end_day=30&amp;end_year=2019","Mantova")</f>
        <v>Mantova</v>
      </c>
      <c r="G1903" s="72" t="str">
        <f>HYPERLINK("http://api.nsgreg.nga.mil/geo-division/GENC/6/3-11/IT-MN","as:GENC:6:3-11:IT-MN")</f>
        <v>as:GENC:6:3-11:IT-MN</v>
      </c>
    </row>
    <row r="1904" spans="1:7" x14ac:dyDescent="0.25">
      <c r="A1904" s="112"/>
      <c r="B1904" s="21" t="s">
        <v>5458</v>
      </c>
      <c r="C1904" s="21" t="s">
        <v>5459</v>
      </c>
      <c r="D1904" s="76" t="s">
        <v>5383</v>
      </c>
      <c r="E1904" s="77" t="b">
        <v>0</v>
      </c>
      <c r="F1904" s="72" t="str">
        <f>HYPERLINK("http://nsgreg.nga.mil/genc/view?v=293494&amp;end_month=6&amp;end_day=30&amp;end_year=2019","Milano")</f>
        <v>Milano</v>
      </c>
      <c r="G1904" s="72" t="str">
        <f>HYPERLINK("http://api.nsgreg.nga.mil/geo-division/GENC/6/3-11/IT-MI","as:GENC:6:3-11:IT-MI")</f>
        <v>as:GENC:6:3-11:IT-MI</v>
      </c>
    </row>
    <row r="1905" spans="1:7" x14ac:dyDescent="0.25">
      <c r="A1905" s="112"/>
      <c r="B1905" s="21" t="s">
        <v>5460</v>
      </c>
      <c r="C1905" s="21" t="s">
        <v>5461</v>
      </c>
      <c r="D1905" s="76" t="s">
        <v>1668</v>
      </c>
      <c r="E1905" s="77" t="b">
        <v>0</v>
      </c>
      <c r="F1905" s="72" t="str">
        <f>HYPERLINK("http://nsgreg.nga.mil/genc/view?v=293491&amp;end_month=6&amp;end_day=30&amp;end_year=2019","Monza e Brianza")</f>
        <v>Monza e Brianza</v>
      </c>
      <c r="G1905" s="72" t="str">
        <f>HYPERLINK("http://api.nsgreg.nga.mil/geo-division/GENC/6/3-11/IT-MB","as:GENC:6:3-11:IT-MB")</f>
        <v>as:GENC:6:3-11:IT-MB</v>
      </c>
    </row>
    <row r="1906" spans="1:7" x14ac:dyDescent="0.25">
      <c r="A1906" s="112"/>
      <c r="B1906" s="21" t="s">
        <v>5462</v>
      </c>
      <c r="C1906" s="21" t="s">
        <v>5463</v>
      </c>
      <c r="D1906" s="76" t="s">
        <v>1668</v>
      </c>
      <c r="E1906" s="77" t="b">
        <v>0</v>
      </c>
      <c r="F1906" s="72" t="str">
        <f>HYPERLINK("http://nsgreg.nga.mil/genc/view?v=293516&amp;end_month=6&amp;end_day=30&amp;end_year=2019","Pavia")</f>
        <v>Pavia</v>
      </c>
      <c r="G1906" s="72" t="str">
        <f>HYPERLINK("http://api.nsgreg.nga.mil/geo-division/GENC/6/3-11/IT-PV","as:GENC:6:3-11:IT-PV")</f>
        <v>as:GENC:6:3-11:IT-PV</v>
      </c>
    </row>
    <row r="1907" spans="1:7" x14ac:dyDescent="0.25">
      <c r="A1907" s="112"/>
      <c r="B1907" s="21" t="s">
        <v>5464</v>
      </c>
      <c r="C1907" s="21" t="s">
        <v>5465</v>
      </c>
      <c r="D1907" s="76" t="s">
        <v>1668</v>
      </c>
      <c r="E1907" s="77" t="b">
        <v>0</v>
      </c>
      <c r="F1907" s="72" t="str">
        <f>HYPERLINK("http://nsgreg.nga.mil/genc/view?v=293529&amp;end_month=6&amp;end_day=30&amp;end_year=2019","Sondrio")</f>
        <v>Sondrio</v>
      </c>
      <c r="G1907" s="72" t="str">
        <f>HYPERLINK("http://api.nsgreg.nga.mil/geo-division/GENC/6/3-11/IT-SO","as:GENC:6:3-11:IT-SO")</f>
        <v>as:GENC:6:3-11:IT-SO</v>
      </c>
    </row>
    <row r="1908" spans="1:7" x14ac:dyDescent="0.25">
      <c r="A1908" s="112"/>
      <c r="B1908" s="21" t="s">
        <v>5466</v>
      </c>
      <c r="C1908" s="21" t="s">
        <v>5467</v>
      </c>
      <c r="D1908" s="76" t="s">
        <v>1668</v>
      </c>
      <c r="E1908" s="77" t="b">
        <v>0</v>
      </c>
      <c r="F1908" s="72" t="str">
        <f>HYPERLINK("http://nsgreg.nga.mil/genc/view?v=293543&amp;end_month=6&amp;end_day=30&amp;end_year=2019","Varese")</f>
        <v>Varese</v>
      </c>
      <c r="G1908" s="72" t="str">
        <f>HYPERLINK("http://api.nsgreg.nga.mil/geo-division/GENC/6/3-11/IT-VA","as:GENC:6:3-11:IT-VA")</f>
        <v>as:GENC:6:3-11:IT-VA</v>
      </c>
    </row>
    <row r="1909" spans="1:7" x14ac:dyDescent="0.25">
      <c r="A1909" s="112"/>
      <c r="B1909" s="21" t="s">
        <v>5468</v>
      </c>
      <c r="C1909" s="21" t="s">
        <v>5469</v>
      </c>
      <c r="D1909" s="21" t="s">
        <v>1975</v>
      </c>
      <c r="E1909" s="50" t="b">
        <v>1</v>
      </c>
      <c r="F1909" s="72" t="str">
        <f>HYPERLINK("http://nsgreg.nga.mil/genc/view?v=293431&amp;end_month=6&amp;end_day=30&amp;end_year=2019","Marche")</f>
        <v>Marche</v>
      </c>
      <c r="G1909" s="72" t="str">
        <f>HYPERLINK("http://api.nsgreg.nga.mil/geo-division/GENC/6/3-11/IT-57","as:GENC:6:3-11:IT-57")</f>
        <v>as:GENC:6:3-11:IT-57</v>
      </c>
    </row>
    <row r="1910" spans="1:7" x14ac:dyDescent="0.25">
      <c r="A1910" s="112"/>
      <c r="B1910" s="21" t="s">
        <v>5470</v>
      </c>
      <c r="C1910" s="21" t="s">
        <v>5471</v>
      </c>
      <c r="D1910" s="76" t="s">
        <v>1668</v>
      </c>
      <c r="E1910" s="77" t="b">
        <v>0</v>
      </c>
      <c r="F1910" s="72" t="str">
        <f>HYPERLINK("http://nsgreg.nga.mil/genc/view?v=293443&amp;end_month=6&amp;end_day=30&amp;end_year=2019","Ancona")</f>
        <v>Ancona</v>
      </c>
      <c r="G1910" s="72" t="str">
        <f>HYPERLINK("http://api.nsgreg.nga.mil/geo-division/GENC/6/3-11/IT-AN","as:GENC:6:3-11:IT-AN")</f>
        <v>as:GENC:6:3-11:IT-AN</v>
      </c>
    </row>
    <row r="1911" spans="1:7" x14ac:dyDescent="0.25">
      <c r="A1911" s="112"/>
      <c r="B1911" s="21" t="s">
        <v>5472</v>
      </c>
      <c r="C1911" s="21" t="s">
        <v>5473</v>
      </c>
      <c r="D1911" s="76" t="s">
        <v>1668</v>
      </c>
      <c r="E1911" s="77" t="b">
        <v>0</v>
      </c>
      <c r="F1911" s="72" t="str">
        <f>HYPERLINK("http://nsgreg.nga.mil/genc/view?v=293445&amp;end_month=6&amp;end_day=30&amp;end_year=2019","Ascoli Piceno")</f>
        <v>Ascoli Piceno</v>
      </c>
      <c r="G1911" s="72" t="str">
        <f>HYPERLINK("http://api.nsgreg.nga.mil/geo-division/GENC/6/3-11/IT-AP","as:GENC:6:3-11:IT-AP")</f>
        <v>as:GENC:6:3-11:IT-AP</v>
      </c>
    </row>
    <row r="1912" spans="1:7" x14ac:dyDescent="0.25">
      <c r="A1912" s="112"/>
      <c r="B1912" s="21" t="s">
        <v>5474</v>
      </c>
      <c r="C1912" s="21" t="s">
        <v>5475</v>
      </c>
      <c r="D1912" s="76" t="s">
        <v>1668</v>
      </c>
      <c r="E1912" s="77" t="b">
        <v>0</v>
      </c>
      <c r="F1912" s="72" t="str">
        <f>HYPERLINK("http://nsgreg.nga.mil/genc/view?v=293477&amp;end_month=6&amp;end_day=30&amp;end_year=2019","Fermo")</f>
        <v>Fermo</v>
      </c>
      <c r="G1912" s="72" t="str">
        <f>HYPERLINK("http://api.nsgreg.nga.mil/geo-division/GENC/6/3-11/IT-FM","as:GENC:6:3-11:IT-FM")</f>
        <v>as:GENC:6:3-11:IT-FM</v>
      </c>
    </row>
    <row r="1913" spans="1:7" x14ac:dyDescent="0.25">
      <c r="A1913" s="112"/>
      <c r="B1913" s="21" t="s">
        <v>5476</v>
      </c>
      <c r="C1913" s="21" t="s">
        <v>5477</v>
      </c>
      <c r="D1913" s="76" t="s">
        <v>1668</v>
      </c>
      <c r="E1913" s="77" t="b">
        <v>0</v>
      </c>
      <c r="F1913" s="72" t="str">
        <f>HYPERLINK("http://nsgreg.nga.mil/genc/view?v=293492&amp;end_month=6&amp;end_day=30&amp;end_year=2019","Macerata")</f>
        <v>Macerata</v>
      </c>
      <c r="G1913" s="72" t="str">
        <f>HYPERLINK("http://api.nsgreg.nga.mil/geo-division/GENC/6/3-11/IT-MC","as:GENC:6:3-11:IT-MC")</f>
        <v>as:GENC:6:3-11:IT-MC</v>
      </c>
    </row>
    <row r="1914" spans="1:7" x14ac:dyDescent="0.25">
      <c r="A1914" s="112"/>
      <c r="B1914" s="21" t="s">
        <v>5478</v>
      </c>
      <c r="C1914" s="21" t="s">
        <v>5479</v>
      </c>
      <c r="D1914" s="76" t="s">
        <v>1668</v>
      </c>
      <c r="E1914" s="77" t="b">
        <v>0</v>
      </c>
      <c r="F1914" s="72" t="str">
        <f>HYPERLINK("http://nsgreg.nga.mil/genc/view?v=293515&amp;end_month=6&amp;end_day=30&amp;end_year=2019","Pesaro e Urbino")</f>
        <v>Pesaro e Urbino</v>
      </c>
      <c r="G1914" s="72" t="str">
        <f>HYPERLINK("http://api.nsgreg.nga.mil/geo-division/GENC/6/3-11/IT-PU","as:GENC:6:3-11:IT-PU")</f>
        <v>as:GENC:6:3-11:IT-PU</v>
      </c>
    </row>
    <row r="1915" spans="1:7" x14ac:dyDescent="0.25">
      <c r="A1915" s="112"/>
      <c r="B1915" s="21" t="s">
        <v>5480</v>
      </c>
      <c r="C1915" s="21" t="s">
        <v>5481</v>
      </c>
      <c r="D1915" s="21" t="s">
        <v>1975</v>
      </c>
      <c r="E1915" s="50" t="b">
        <v>1</v>
      </c>
      <c r="F1915" s="72" t="str">
        <f>HYPERLINK("http://nsgreg.nga.mil/genc/view?v=293434&amp;end_month=6&amp;end_day=30&amp;end_year=2019","Molise")</f>
        <v>Molise</v>
      </c>
      <c r="G1915" s="72" t="str">
        <f>HYPERLINK("http://api.nsgreg.nga.mil/geo-division/GENC/6/3-11/IT-67","as:GENC:6:3-11:IT-67")</f>
        <v>as:GENC:6:3-11:IT-67</v>
      </c>
    </row>
    <row r="1916" spans="1:7" x14ac:dyDescent="0.25">
      <c r="A1916" s="112"/>
      <c r="B1916" s="21" t="s">
        <v>5482</v>
      </c>
      <c r="C1916" s="21" t="s">
        <v>5483</v>
      </c>
      <c r="D1916" s="76" t="s">
        <v>1668</v>
      </c>
      <c r="E1916" s="77" t="b">
        <v>0</v>
      </c>
      <c r="F1916" s="72" t="str">
        <f>HYPERLINK("http://nsgreg.nga.mil/genc/view?v=293461&amp;end_month=6&amp;end_day=30&amp;end_year=2019","Campobasso")</f>
        <v>Campobasso</v>
      </c>
      <c r="G1916" s="72" t="str">
        <f>HYPERLINK("http://api.nsgreg.nga.mil/geo-division/GENC/6/3-11/IT-CB","as:GENC:6:3-11:IT-CB")</f>
        <v>as:GENC:6:3-11:IT-CB</v>
      </c>
    </row>
    <row r="1917" spans="1:7" x14ac:dyDescent="0.25">
      <c r="A1917" s="112"/>
      <c r="B1917" s="21" t="s">
        <v>5484</v>
      </c>
      <c r="C1917" s="21" t="s">
        <v>5485</v>
      </c>
      <c r="D1917" s="76" t="s">
        <v>1668</v>
      </c>
      <c r="E1917" s="77" t="b">
        <v>0</v>
      </c>
      <c r="F1917" s="72" t="str">
        <f>HYPERLINK("http://nsgreg.nga.mil/genc/view?v=293483&amp;end_month=6&amp;end_day=30&amp;end_year=2019","Isernia")</f>
        <v>Isernia</v>
      </c>
      <c r="G1917" s="72" t="str">
        <f>HYPERLINK("http://api.nsgreg.nga.mil/geo-division/GENC/6/3-11/IT-IS","as:GENC:6:3-11:IT-IS")</f>
        <v>as:GENC:6:3-11:IT-IS</v>
      </c>
    </row>
    <row r="1918" spans="1:7" x14ac:dyDescent="0.25">
      <c r="A1918" s="112"/>
      <c r="B1918" s="21" t="s">
        <v>5486</v>
      </c>
      <c r="C1918" s="21" t="s">
        <v>5487</v>
      </c>
      <c r="D1918" s="21" t="s">
        <v>1975</v>
      </c>
      <c r="E1918" s="50" t="b">
        <v>1</v>
      </c>
      <c r="F1918" s="72" t="str">
        <f>HYPERLINK("http://nsgreg.nga.mil/genc/view?v=293421&amp;end_month=6&amp;end_day=30&amp;end_year=2019","Piedmont")</f>
        <v>Piedmont</v>
      </c>
      <c r="G1918" s="72" t="str">
        <f>HYPERLINK("http://api.nsgreg.nga.mil/geo-division/GENC/6/3-11/IT-21","as:GENC:6:3-11:IT-21")</f>
        <v>as:GENC:6:3-11:IT-21</v>
      </c>
    </row>
    <row r="1919" spans="1:7" x14ac:dyDescent="0.25">
      <c r="A1919" s="112"/>
      <c r="B1919" s="21" t="s">
        <v>5488</v>
      </c>
      <c r="C1919" s="21" t="s">
        <v>5489</v>
      </c>
      <c r="D1919" s="76" t="s">
        <v>1668</v>
      </c>
      <c r="E1919" s="77" t="b">
        <v>0</v>
      </c>
      <c r="F1919" s="72" t="str">
        <f>HYPERLINK("http://nsgreg.nga.mil/genc/view?v=293442&amp;end_month=6&amp;end_day=30&amp;end_year=2019","Alessandria")</f>
        <v>Alessandria</v>
      </c>
      <c r="G1919" s="72" t="str">
        <f>HYPERLINK("http://api.nsgreg.nga.mil/geo-division/GENC/6/3-11/IT-AL","as:GENC:6:3-11:IT-AL")</f>
        <v>as:GENC:6:3-11:IT-AL</v>
      </c>
    </row>
    <row r="1920" spans="1:7" x14ac:dyDescent="0.25">
      <c r="A1920" s="112"/>
      <c r="B1920" s="21" t="s">
        <v>5490</v>
      </c>
      <c r="C1920" s="21" t="s">
        <v>5491</v>
      </c>
      <c r="D1920" s="76" t="s">
        <v>1668</v>
      </c>
      <c r="E1920" s="77" t="b">
        <v>0</v>
      </c>
      <c r="F1920" s="72" t="str">
        <f>HYPERLINK("http://nsgreg.nga.mil/genc/view?v=293448&amp;end_month=6&amp;end_day=30&amp;end_year=2019","Asti")</f>
        <v>Asti</v>
      </c>
      <c r="G1920" s="72" t="str">
        <f>HYPERLINK("http://api.nsgreg.nga.mil/geo-division/GENC/6/3-11/IT-AT","as:GENC:6:3-11:IT-AT")</f>
        <v>as:GENC:6:3-11:IT-AT</v>
      </c>
    </row>
    <row r="1921" spans="1:7" x14ac:dyDescent="0.25">
      <c r="A1921" s="112"/>
      <c r="B1921" s="21" t="s">
        <v>5492</v>
      </c>
      <c r="C1921" s="21" t="s">
        <v>5493</v>
      </c>
      <c r="D1921" s="76" t="s">
        <v>1668</v>
      </c>
      <c r="E1921" s="77" t="b">
        <v>0</v>
      </c>
      <c r="F1921" s="72" t="str">
        <f>HYPERLINK("http://nsgreg.nga.mil/genc/view?v=293452&amp;end_month=6&amp;end_day=30&amp;end_year=2019","Biella")</f>
        <v>Biella</v>
      </c>
      <c r="G1921" s="72" t="str">
        <f>HYPERLINK("http://api.nsgreg.nga.mil/geo-division/GENC/6/3-11/IT-BI","as:GENC:6:3-11:IT-BI")</f>
        <v>as:GENC:6:3-11:IT-BI</v>
      </c>
    </row>
    <row r="1922" spans="1:7" x14ac:dyDescent="0.25">
      <c r="A1922" s="112"/>
      <c r="B1922" s="21" t="s">
        <v>5494</v>
      </c>
      <c r="C1922" s="21" t="s">
        <v>5495</v>
      </c>
      <c r="D1922" s="76" t="s">
        <v>1668</v>
      </c>
      <c r="E1922" s="77" t="b">
        <v>0</v>
      </c>
      <c r="F1922" s="72" t="str">
        <f>HYPERLINK("http://nsgreg.nga.mil/genc/view?v=293466&amp;end_month=6&amp;end_day=30&amp;end_year=2019","Cuneo")</f>
        <v>Cuneo</v>
      </c>
      <c r="G1922" s="72" t="str">
        <f>HYPERLINK("http://api.nsgreg.nga.mil/geo-division/GENC/6/3-11/IT-CN","as:GENC:6:3-11:IT-CN")</f>
        <v>as:GENC:6:3-11:IT-CN</v>
      </c>
    </row>
    <row r="1923" spans="1:7" x14ac:dyDescent="0.25">
      <c r="A1923" s="112"/>
      <c r="B1923" s="21" t="s">
        <v>5496</v>
      </c>
      <c r="C1923" s="21" t="s">
        <v>5497</v>
      </c>
      <c r="D1923" s="76" t="s">
        <v>1668</v>
      </c>
      <c r="E1923" s="77" t="b">
        <v>0</v>
      </c>
      <c r="F1923" s="72" t="str">
        <f>HYPERLINK("http://nsgreg.nga.mil/genc/view?v=293500&amp;end_month=6&amp;end_day=30&amp;end_year=2019","Novara")</f>
        <v>Novara</v>
      </c>
      <c r="G1923" s="72" t="str">
        <f>HYPERLINK("http://api.nsgreg.nga.mil/geo-division/GENC/6/3-11/IT-NO","as:GENC:6:3-11:IT-NO")</f>
        <v>as:GENC:6:3-11:IT-NO</v>
      </c>
    </row>
    <row r="1924" spans="1:7" x14ac:dyDescent="0.25">
      <c r="A1924" s="112"/>
      <c r="B1924" s="21" t="s">
        <v>5498</v>
      </c>
      <c r="C1924" s="21" t="s">
        <v>5499</v>
      </c>
      <c r="D1924" s="76" t="s">
        <v>5383</v>
      </c>
      <c r="E1924" s="77" t="b">
        <v>0</v>
      </c>
      <c r="F1924" s="72" t="str">
        <f>HYPERLINK("http://nsgreg.nga.mil/genc/view?v=293537&amp;end_month=6&amp;end_day=30&amp;end_year=2019","Torino")</f>
        <v>Torino</v>
      </c>
      <c r="G1924" s="72" t="str">
        <f>HYPERLINK("http://api.nsgreg.nga.mil/geo-division/GENC/6/3-11/IT-TO","as:GENC:6:3-11:IT-TO")</f>
        <v>as:GENC:6:3-11:IT-TO</v>
      </c>
    </row>
    <row r="1925" spans="1:7" x14ac:dyDescent="0.25">
      <c r="A1925" s="112"/>
      <c r="B1925" s="21" t="s">
        <v>5500</v>
      </c>
      <c r="C1925" s="21" t="s">
        <v>5501</v>
      </c>
      <c r="D1925" s="76" t="s">
        <v>1668</v>
      </c>
      <c r="E1925" s="77" t="b">
        <v>0</v>
      </c>
      <c r="F1925" s="72" t="str">
        <f>HYPERLINK("http://nsgreg.nga.mil/genc/view?v=293544&amp;end_month=6&amp;end_day=30&amp;end_year=2019","Verbano-Cusio-Ossola")</f>
        <v>Verbano-Cusio-Ossola</v>
      </c>
      <c r="G1925" s="72" t="str">
        <f>HYPERLINK("http://api.nsgreg.nga.mil/geo-division/GENC/6/3-11/IT-VB","as:GENC:6:3-11:IT-VB")</f>
        <v>as:GENC:6:3-11:IT-VB</v>
      </c>
    </row>
    <row r="1926" spans="1:7" x14ac:dyDescent="0.25">
      <c r="A1926" s="112"/>
      <c r="B1926" s="21" t="s">
        <v>5502</v>
      </c>
      <c r="C1926" s="21" t="s">
        <v>5503</v>
      </c>
      <c r="D1926" s="76" t="s">
        <v>1668</v>
      </c>
      <c r="E1926" s="77" t="b">
        <v>0</v>
      </c>
      <c r="F1926" s="72" t="str">
        <f>HYPERLINK("http://nsgreg.nga.mil/genc/view?v=293545&amp;end_month=6&amp;end_day=30&amp;end_year=2019","Vercelli")</f>
        <v>Vercelli</v>
      </c>
      <c r="G1926" s="72" t="str">
        <f>HYPERLINK("http://api.nsgreg.nga.mil/geo-division/GENC/6/3-11/IT-VC","as:GENC:6:3-11:IT-VC")</f>
        <v>as:GENC:6:3-11:IT-VC</v>
      </c>
    </row>
    <row r="1927" spans="1:7" x14ac:dyDescent="0.25">
      <c r="A1927" s="112"/>
      <c r="B1927" s="21" t="s">
        <v>5504</v>
      </c>
      <c r="C1927" s="21" t="s">
        <v>5505</v>
      </c>
      <c r="D1927" s="21" t="s">
        <v>1975</v>
      </c>
      <c r="E1927" s="50" t="b">
        <v>1</v>
      </c>
      <c r="F1927" s="72" t="str">
        <f>HYPERLINK("http://nsgreg.nga.mil/genc/view?v=293436&amp;end_month=6&amp;end_day=30&amp;end_year=2019","Puglia")</f>
        <v>Puglia</v>
      </c>
      <c r="G1927" s="72" t="str">
        <f>HYPERLINK("http://api.nsgreg.nga.mil/geo-division/GENC/6/3-11/IT-75","as:GENC:6:3-11:IT-75")</f>
        <v>as:GENC:6:3-11:IT-75</v>
      </c>
    </row>
    <row r="1928" spans="1:7" x14ac:dyDescent="0.25">
      <c r="A1928" s="112"/>
      <c r="B1928" s="21" t="s">
        <v>5506</v>
      </c>
      <c r="C1928" s="21" t="s">
        <v>5507</v>
      </c>
      <c r="D1928" s="76" t="s">
        <v>5383</v>
      </c>
      <c r="E1928" s="77" t="b">
        <v>0</v>
      </c>
      <c r="F1928" s="72" t="str">
        <f>HYPERLINK("http://nsgreg.nga.mil/genc/view?v=293450&amp;end_month=6&amp;end_day=30&amp;end_year=2019","Bari")</f>
        <v>Bari</v>
      </c>
      <c r="G1928" s="72" t="str">
        <f>HYPERLINK("http://api.nsgreg.nga.mil/geo-division/GENC/6/3-11/IT-BA","as:GENC:6:3-11:IT-BA")</f>
        <v>as:GENC:6:3-11:IT-BA</v>
      </c>
    </row>
    <row r="1929" spans="1:7" x14ac:dyDescent="0.25">
      <c r="A1929" s="112"/>
      <c r="B1929" s="21" t="s">
        <v>5508</v>
      </c>
      <c r="C1929" s="21" t="s">
        <v>5509</v>
      </c>
      <c r="D1929" s="76" t="s">
        <v>1668</v>
      </c>
      <c r="E1929" s="77" t="b">
        <v>0</v>
      </c>
      <c r="F1929" s="72" t="str">
        <f>HYPERLINK("http://nsgreg.nga.mil/genc/view?v=293458&amp;end_month=6&amp;end_day=30&amp;end_year=2019","Barletta-Andria-Trani")</f>
        <v>Barletta-Andria-Trani</v>
      </c>
      <c r="G1929" s="72" t="str">
        <f>HYPERLINK("http://api.nsgreg.nga.mil/geo-division/GENC/6/3-11/IT-BT","as:GENC:6:3-11:IT-BT")</f>
        <v>as:GENC:6:3-11:IT-BT</v>
      </c>
    </row>
    <row r="1930" spans="1:7" x14ac:dyDescent="0.25">
      <c r="A1930" s="112"/>
      <c r="B1930" s="21" t="s">
        <v>5510</v>
      </c>
      <c r="C1930" s="21" t="s">
        <v>5511</v>
      </c>
      <c r="D1930" s="76" t="s">
        <v>1668</v>
      </c>
      <c r="E1930" s="77" t="b">
        <v>0</v>
      </c>
      <c r="F1930" s="72" t="str">
        <f>HYPERLINK("http://nsgreg.nga.mil/genc/view?v=293456&amp;end_month=6&amp;end_day=30&amp;end_year=2019","Brindisi")</f>
        <v>Brindisi</v>
      </c>
      <c r="G1930" s="72" t="str">
        <f>HYPERLINK("http://api.nsgreg.nga.mil/geo-division/GENC/6/3-11/IT-BR","as:GENC:6:3-11:IT-BR")</f>
        <v>as:GENC:6:3-11:IT-BR</v>
      </c>
    </row>
    <row r="1931" spans="1:7" x14ac:dyDescent="0.25">
      <c r="A1931" s="112"/>
      <c r="B1931" s="21" t="s">
        <v>5512</v>
      </c>
      <c r="C1931" s="21" t="s">
        <v>5513</v>
      </c>
      <c r="D1931" s="76" t="s">
        <v>1668</v>
      </c>
      <c r="E1931" s="77" t="b">
        <v>0</v>
      </c>
      <c r="F1931" s="72" t="str">
        <f>HYPERLINK("http://nsgreg.nga.mil/genc/view?v=293475&amp;end_month=6&amp;end_day=30&amp;end_year=2019","Foggia")</f>
        <v>Foggia</v>
      </c>
      <c r="G1931" s="72" t="str">
        <f>HYPERLINK("http://api.nsgreg.nga.mil/geo-division/GENC/6/3-11/IT-FG","as:GENC:6:3-11:IT-FG")</f>
        <v>as:GENC:6:3-11:IT-FG</v>
      </c>
    </row>
    <row r="1932" spans="1:7" x14ac:dyDescent="0.25">
      <c r="A1932" s="112"/>
      <c r="B1932" s="21" t="s">
        <v>5514</v>
      </c>
      <c r="C1932" s="21" t="s">
        <v>5515</v>
      </c>
      <c r="D1932" s="76" t="s">
        <v>1668</v>
      </c>
      <c r="E1932" s="77" t="b">
        <v>0</v>
      </c>
      <c r="F1932" s="72" t="str">
        <f>HYPERLINK("http://nsgreg.nga.mil/genc/view?v=293486&amp;end_month=6&amp;end_day=30&amp;end_year=2019","Lecce")</f>
        <v>Lecce</v>
      </c>
      <c r="G1932" s="72" t="str">
        <f>HYPERLINK("http://api.nsgreg.nga.mil/geo-division/GENC/6/3-11/IT-LE","as:GENC:6:3-11:IT-LE")</f>
        <v>as:GENC:6:3-11:IT-LE</v>
      </c>
    </row>
    <row r="1933" spans="1:7" x14ac:dyDescent="0.25">
      <c r="A1933" s="112"/>
      <c r="B1933" s="21" t="s">
        <v>5516</v>
      </c>
      <c r="C1933" s="21" t="s">
        <v>5517</v>
      </c>
      <c r="D1933" s="76" t="s">
        <v>1668</v>
      </c>
      <c r="E1933" s="77" t="b">
        <v>0</v>
      </c>
      <c r="F1933" s="72" t="str">
        <f>HYPERLINK("http://nsgreg.nga.mil/genc/view?v=293534&amp;end_month=6&amp;end_day=30&amp;end_year=2019","Taranto")</f>
        <v>Taranto</v>
      </c>
      <c r="G1933" s="72" t="str">
        <f>HYPERLINK("http://api.nsgreg.nga.mil/geo-division/GENC/6/3-11/IT-TA","as:GENC:6:3-11:IT-TA")</f>
        <v>as:GENC:6:3-11:IT-TA</v>
      </c>
    </row>
    <row r="1934" spans="1:7" x14ac:dyDescent="0.25">
      <c r="A1934" s="112"/>
      <c r="B1934" s="21" t="s">
        <v>5518</v>
      </c>
      <c r="C1934" s="21" t="s">
        <v>5519</v>
      </c>
      <c r="D1934" s="21" t="s">
        <v>3199</v>
      </c>
      <c r="E1934" s="50" t="b">
        <v>1</v>
      </c>
      <c r="F1934" s="72" t="str">
        <f>HYPERLINK("http://nsgreg.nga.mil/genc/view?v=293440&amp;end_month=6&amp;end_day=30&amp;end_year=2019","Sardegna")</f>
        <v>Sardegna</v>
      </c>
      <c r="G1934" s="72" t="str">
        <f>HYPERLINK("http://api.nsgreg.nga.mil/geo-division/GENC/6/3-11/IT-88","as:GENC:6:3-11:IT-88")</f>
        <v>as:GENC:6:3-11:IT-88</v>
      </c>
    </row>
    <row r="1935" spans="1:7" x14ac:dyDescent="0.25">
      <c r="A1935" s="112"/>
      <c r="B1935" s="21" t="s">
        <v>5520</v>
      </c>
      <c r="C1935" s="21" t="s">
        <v>5521</v>
      </c>
      <c r="D1935" s="76" t="s">
        <v>5383</v>
      </c>
      <c r="E1935" s="77" t="b">
        <v>0</v>
      </c>
      <c r="F1935" s="72" t="str">
        <f>HYPERLINK("http://nsgreg.nga.mil/genc/view?v=293460&amp;end_month=6&amp;end_day=30&amp;end_year=2019","Cagliari")</f>
        <v>Cagliari</v>
      </c>
      <c r="G1935" s="72" t="str">
        <f>HYPERLINK("http://api.nsgreg.nga.mil/geo-division/GENC/6/3-11/IT-CA","as:GENC:6:3-11:IT-CA")</f>
        <v>as:GENC:6:3-11:IT-CA</v>
      </c>
    </row>
    <row r="1936" spans="1:7" x14ac:dyDescent="0.25">
      <c r="A1936" s="112"/>
      <c r="B1936" s="21" t="s">
        <v>5522</v>
      </c>
      <c r="C1936" s="21" t="s">
        <v>5523</v>
      </c>
      <c r="D1936" s="76" t="s">
        <v>1668</v>
      </c>
      <c r="E1936" s="77" t="b">
        <v>0</v>
      </c>
      <c r="F1936" s="72" t="str">
        <f>HYPERLINK("http://nsgreg.nga.mil/genc/view?v=293501&amp;end_month=6&amp;end_day=30&amp;end_year=2019","Nuoro")</f>
        <v>Nuoro</v>
      </c>
      <c r="G1936" s="72" t="str">
        <f>HYPERLINK("http://api.nsgreg.nga.mil/geo-division/GENC/6/3-11/IT-NU","as:GENC:6:3-11:IT-NU")</f>
        <v>as:GENC:6:3-11:IT-NU</v>
      </c>
    </row>
    <row r="1937" spans="1:7" x14ac:dyDescent="0.25">
      <c r="A1937" s="112"/>
      <c r="B1937" s="21" t="s">
        <v>5524</v>
      </c>
      <c r="C1937" s="21" t="s">
        <v>5525</v>
      </c>
      <c r="D1937" s="76" t="s">
        <v>1668</v>
      </c>
      <c r="E1937" s="77" t="b">
        <v>0</v>
      </c>
      <c r="F1937" s="72" t="str">
        <f>HYPERLINK("http://nsgreg.nga.mil/genc/view?v=293503&amp;end_month=6&amp;end_day=30&amp;end_year=2019","Oristano")</f>
        <v>Oristano</v>
      </c>
      <c r="G1937" s="72" t="str">
        <f>HYPERLINK("http://api.nsgreg.nga.mil/geo-division/GENC/6/3-11/IT-OR","as:GENC:6:3-11:IT-OR")</f>
        <v>as:GENC:6:3-11:IT-OR</v>
      </c>
    </row>
    <row r="1938" spans="1:7" x14ac:dyDescent="0.25">
      <c r="A1938" s="112"/>
      <c r="B1938" s="21" t="s">
        <v>5526</v>
      </c>
      <c r="C1938" s="21" t="s">
        <v>5527</v>
      </c>
      <c r="D1938" s="76" t="s">
        <v>1668</v>
      </c>
      <c r="E1938" s="77" t="b">
        <v>0</v>
      </c>
      <c r="F1938" s="72" t="str">
        <f>HYPERLINK("http://nsgreg.nga.mil/genc/view?v=293532&amp;end_month=6&amp;end_day=30&amp;end_year=2019","Sassari")</f>
        <v>Sassari</v>
      </c>
      <c r="G1938" s="72" t="str">
        <f>HYPERLINK("http://api.nsgreg.nga.mil/geo-division/GENC/6/3-11/IT-SS","as:GENC:6:3-11:IT-SS")</f>
        <v>as:GENC:6:3-11:IT-SS</v>
      </c>
    </row>
    <row r="1939" spans="1:7" x14ac:dyDescent="0.25">
      <c r="A1939" s="112"/>
      <c r="B1939" s="21" t="s">
        <v>5528</v>
      </c>
      <c r="C1939" s="21" t="s">
        <v>5529</v>
      </c>
      <c r="D1939" s="76" t="s">
        <v>1668</v>
      </c>
      <c r="E1939" s="77" t="b">
        <v>0</v>
      </c>
      <c r="F1939" s="72" t="str">
        <f>HYPERLINK("http://nsgreg.nga.mil/genc/view?v=293527&amp;end_month=6&amp;end_day=30&amp;end_year=2019","Sud Sardegna")</f>
        <v>Sud Sardegna</v>
      </c>
      <c r="G1939" s="72" t="str">
        <f>HYPERLINK("http://api.nsgreg.nga.mil/geo-division/GENC/6/3-11/IT-SD","as:GENC:6:3-11:IT-SD")</f>
        <v>as:GENC:6:3-11:IT-SD</v>
      </c>
    </row>
    <row r="1940" spans="1:7" x14ac:dyDescent="0.25">
      <c r="A1940" s="112"/>
      <c r="B1940" s="21" t="s">
        <v>5530</v>
      </c>
      <c r="C1940" s="21" t="s">
        <v>5531</v>
      </c>
      <c r="D1940" s="21" t="s">
        <v>3199</v>
      </c>
      <c r="E1940" s="50" t="b">
        <v>1</v>
      </c>
      <c r="F1940" s="72" t="str">
        <f>HYPERLINK("http://nsgreg.nga.mil/genc/view?v=293439&amp;end_month=6&amp;end_day=30&amp;end_year=2019","Sicilia")</f>
        <v>Sicilia</v>
      </c>
      <c r="G1940" s="72" t="str">
        <f>HYPERLINK("http://api.nsgreg.nga.mil/geo-division/GENC/6/3-11/IT-82","as:GENC:6:3-11:IT-82")</f>
        <v>as:GENC:6:3-11:IT-82</v>
      </c>
    </row>
    <row r="1941" spans="1:7" x14ac:dyDescent="0.25">
      <c r="A1941" s="112"/>
      <c r="B1941" s="21" t="s">
        <v>5532</v>
      </c>
      <c r="C1941" s="21" t="s">
        <v>5533</v>
      </c>
      <c r="D1941" s="76" t="s">
        <v>5534</v>
      </c>
      <c r="E1941" s="77" t="b">
        <v>0</v>
      </c>
      <c r="F1941" s="72" t="str">
        <f>HYPERLINK("http://nsgreg.nga.mil/genc/view?v=293441&amp;end_month=6&amp;end_day=30&amp;end_year=2019","Agrigento")</f>
        <v>Agrigento</v>
      </c>
      <c r="G1941" s="72" t="str">
        <f>HYPERLINK("http://api.nsgreg.nga.mil/geo-division/GENC/6/3-11/IT-AG","as:GENC:6:3-11:IT-AG")</f>
        <v>as:GENC:6:3-11:IT-AG</v>
      </c>
    </row>
    <row r="1942" spans="1:7" x14ac:dyDescent="0.25">
      <c r="A1942" s="112"/>
      <c r="B1942" s="21" t="s">
        <v>5535</v>
      </c>
      <c r="C1942" s="21" t="s">
        <v>5536</v>
      </c>
      <c r="D1942" s="76" t="s">
        <v>5534</v>
      </c>
      <c r="E1942" s="77" t="b">
        <v>0</v>
      </c>
      <c r="F1942" s="72" t="str">
        <f>HYPERLINK("http://nsgreg.nga.mil/genc/view?v=293465&amp;end_month=6&amp;end_day=30&amp;end_year=2019","Caltanissetta")</f>
        <v>Caltanissetta</v>
      </c>
      <c r="G1942" s="72" t="str">
        <f>HYPERLINK("http://api.nsgreg.nga.mil/geo-division/GENC/6/3-11/IT-CL","as:GENC:6:3-11:IT-CL")</f>
        <v>as:GENC:6:3-11:IT-CL</v>
      </c>
    </row>
    <row r="1943" spans="1:7" x14ac:dyDescent="0.25">
      <c r="A1943" s="112"/>
      <c r="B1943" s="21" t="s">
        <v>5537</v>
      </c>
      <c r="C1943" s="21" t="s">
        <v>5538</v>
      </c>
      <c r="D1943" s="76" t="s">
        <v>5383</v>
      </c>
      <c r="E1943" s="77" t="b">
        <v>0</v>
      </c>
      <c r="F1943" s="72" t="str">
        <f>HYPERLINK("http://nsgreg.nga.mil/genc/view?v=293470&amp;end_month=6&amp;end_day=30&amp;end_year=2019","Catania")</f>
        <v>Catania</v>
      </c>
      <c r="G1943" s="72" t="str">
        <f>HYPERLINK("http://api.nsgreg.nga.mil/geo-division/GENC/6/3-11/IT-CT","as:GENC:6:3-11:IT-CT")</f>
        <v>as:GENC:6:3-11:IT-CT</v>
      </c>
    </row>
    <row r="1944" spans="1:7" x14ac:dyDescent="0.25">
      <c r="A1944" s="112"/>
      <c r="B1944" s="21" t="s">
        <v>5539</v>
      </c>
      <c r="C1944" s="21" t="s">
        <v>5540</v>
      </c>
      <c r="D1944" s="76" t="s">
        <v>5534</v>
      </c>
      <c r="E1944" s="77" t="b">
        <v>0</v>
      </c>
      <c r="F1944" s="72" t="str">
        <f>HYPERLINK("http://nsgreg.nga.mil/genc/view?v=293472&amp;end_month=6&amp;end_day=30&amp;end_year=2019","Enna")</f>
        <v>Enna</v>
      </c>
      <c r="G1944" s="72" t="str">
        <f>HYPERLINK("http://api.nsgreg.nga.mil/geo-division/GENC/6/3-11/IT-EN","as:GENC:6:3-11:IT-EN")</f>
        <v>as:GENC:6:3-11:IT-EN</v>
      </c>
    </row>
    <row r="1945" spans="1:7" x14ac:dyDescent="0.25">
      <c r="A1945" s="112"/>
      <c r="B1945" s="21" t="s">
        <v>5541</v>
      </c>
      <c r="C1945" s="21" t="s">
        <v>5542</v>
      </c>
      <c r="D1945" s="76" t="s">
        <v>5383</v>
      </c>
      <c r="E1945" s="77" t="b">
        <v>0</v>
      </c>
      <c r="F1945" s="72" t="str">
        <f>HYPERLINK("http://nsgreg.nga.mil/genc/view?v=293493&amp;end_month=6&amp;end_day=30&amp;end_year=2019","Messina")</f>
        <v>Messina</v>
      </c>
      <c r="G1945" s="72" t="str">
        <f>HYPERLINK("http://api.nsgreg.nga.mil/geo-division/GENC/6/3-11/IT-ME","as:GENC:6:3-11:IT-ME")</f>
        <v>as:GENC:6:3-11:IT-ME</v>
      </c>
    </row>
    <row r="1946" spans="1:7" x14ac:dyDescent="0.25">
      <c r="A1946" s="112"/>
      <c r="B1946" s="21" t="s">
        <v>5543</v>
      </c>
      <c r="C1946" s="21" t="s">
        <v>5544</v>
      </c>
      <c r="D1946" s="76" t="s">
        <v>5383</v>
      </c>
      <c r="E1946" s="77" t="b">
        <v>0</v>
      </c>
      <c r="F1946" s="72" t="str">
        <f>HYPERLINK("http://nsgreg.nga.mil/genc/view?v=293505&amp;end_month=6&amp;end_day=30&amp;end_year=2019","Palermo")</f>
        <v>Palermo</v>
      </c>
      <c r="G1946" s="72" t="str">
        <f>HYPERLINK("http://api.nsgreg.nga.mil/geo-division/GENC/6/3-11/IT-PA","as:GENC:6:3-11:IT-PA")</f>
        <v>as:GENC:6:3-11:IT-PA</v>
      </c>
    </row>
    <row r="1947" spans="1:7" x14ac:dyDescent="0.25">
      <c r="A1947" s="112"/>
      <c r="B1947" s="21" t="s">
        <v>5545</v>
      </c>
      <c r="C1947" s="21" t="s">
        <v>5546</v>
      </c>
      <c r="D1947" s="76" t="s">
        <v>5534</v>
      </c>
      <c r="E1947" s="77" t="b">
        <v>0</v>
      </c>
      <c r="F1947" s="72" t="str">
        <f>HYPERLINK("http://nsgreg.nga.mil/genc/view?v=293521&amp;end_month=6&amp;end_day=30&amp;end_year=2019","Ragusa")</f>
        <v>Ragusa</v>
      </c>
      <c r="G1947" s="72" t="str">
        <f>HYPERLINK("http://api.nsgreg.nga.mil/geo-division/GENC/6/3-11/IT-RG","as:GENC:6:3-11:IT-RG")</f>
        <v>as:GENC:6:3-11:IT-RG</v>
      </c>
    </row>
    <row r="1948" spans="1:7" x14ac:dyDescent="0.25">
      <c r="A1948" s="112"/>
      <c r="B1948" s="21" t="s">
        <v>5547</v>
      </c>
      <c r="C1948" s="21" t="s">
        <v>5548</v>
      </c>
      <c r="D1948" s="76" t="s">
        <v>5534</v>
      </c>
      <c r="E1948" s="77" t="b">
        <v>0</v>
      </c>
      <c r="F1948" s="72" t="str">
        <f>HYPERLINK("http://nsgreg.nga.mil/genc/view?v=293531&amp;end_month=6&amp;end_day=30&amp;end_year=2019","Siracusa")</f>
        <v>Siracusa</v>
      </c>
      <c r="G1948" s="72" t="str">
        <f>HYPERLINK("http://api.nsgreg.nga.mil/geo-division/GENC/6/3-11/IT-SR","as:GENC:6:3-11:IT-SR")</f>
        <v>as:GENC:6:3-11:IT-SR</v>
      </c>
    </row>
    <row r="1949" spans="1:7" x14ac:dyDescent="0.25">
      <c r="A1949" s="112"/>
      <c r="B1949" s="21" t="s">
        <v>5549</v>
      </c>
      <c r="C1949" s="21" t="s">
        <v>5550</v>
      </c>
      <c r="D1949" s="76" t="s">
        <v>5534</v>
      </c>
      <c r="E1949" s="77" t="b">
        <v>0</v>
      </c>
      <c r="F1949" s="72" t="str">
        <f>HYPERLINK("http://nsgreg.nga.mil/genc/view?v=293538&amp;end_month=6&amp;end_day=30&amp;end_year=2019","Trapani")</f>
        <v>Trapani</v>
      </c>
      <c r="G1949" s="72" t="str">
        <f>HYPERLINK("http://api.nsgreg.nga.mil/geo-division/GENC/6/3-11/IT-TP","as:GENC:6:3-11:IT-TP")</f>
        <v>as:GENC:6:3-11:IT-TP</v>
      </c>
    </row>
    <row r="1950" spans="1:7" x14ac:dyDescent="0.25">
      <c r="A1950" s="112"/>
      <c r="B1950" s="21" t="s">
        <v>5551</v>
      </c>
      <c r="C1950" s="21" t="s">
        <v>5552</v>
      </c>
      <c r="D1950" s="21" t="s">
        <v>3199</v>
      </c>
      <c r="E1950" s="50" t="b">
        <v>1</v>
      </c>
      <c r="F1950" s="72" t="str">
        <f>HYPERLINK("http://nsgreg.nga.mil/genc/view?v=293424&amp;end_month=6&amp;end_day=30&amp;end_year=2019","Trentino-Alto Adige")</f>
        <v>Trentino-Alto Adige</v>
      </c>
      <c r="G1950" s="72" t="str">
        <f>HYPERLINK("http://api.nsgreg.nga.mil/geo-division/GENC/6/3-11/IT-32","as:GENC:6:3-11:IT-32")</f>
        <v>as:GENC:6:3-11:IT-32</v>
      </c>
    </row>
    <row r="1951" spans="1:7" x14ac:dyDescent="0.25">
      <c r="A1951" s="112"/>
      <c r="B1951" s="21" t="s">
        <v>5553</v>
      </c>
      <c r="C1951" s="21" t="s">
        <v>5554</v>
      </c>
      <c r="D1951" s="76" t="s">
        <v>5555</v>
      </c>
      <c r="E1951" s="77" t="b">
        <v>0</v>
      </c>
      <c r="F1951" s="72" t="str">
        <f>HYPERLINK("http://nsgreg.nga.mil/genc/view?v=293459&amp;end_month=6&amp;end_day=30&amp;end_year=2019","Bolzano")</f>
        <v>Bolzano</v>
      </c>
      <c r="G1951" s="72" t="str">
        <f>HYPERLINK("http://api.nsgreg.nga.mil/geo-division/GENC/6/3-11/IT-BZ","as:GENC:6:3-11:IT-BZ")</f>
        <v>as:GENC:6:3-11:IT-BZ</v>
      </c>
    </row>
    <row r="1952" spans="1:7" x14ac:dyDescent="0.25">
      <c r="A1952" s="112"/>
      <c r="B1952" s="21" t="s">
        <v>5556</v>
      </c>
      <c r="C1952" s="21" t="s">
        <v>5557</v>
      </c>
      <c r="D1952" s="76" t="s">
        <v>5555</v>
      </c>
      <c r="E1952" s="77" t="b">
        <v>0</v>
      </c>
      <c r="F1952" s="72" t="str">
        <f>HYPERLINK("http://nsgreg.nga.mil/genc/view?v=293536&amp;end_month=6&amp;end_day=30&amp;end_year=2019","Trento")</f>
        <v>Trento</v>
      </c>
      <c r="G1952" s="72" t="str">
        <f>HYPERLINK("http://api.nsgreg.nga.mil/geo-division/GENC/6/3-11/IT-TN","as:GENC:6:3-11:IT-TN")</f>
        <v>as:GENC:6:3-11:IT-TN</v>
      </c>
    </row>
    <row r="1953" spans="1:7" x14ac:dyDescent="0.25">
      <c r="A1953" s="112"/>
      <c r="B1953" s="21" t="s">
        <v>5558</v>
      </c>
      <c r="C1953" s="21" t="s">
        <v>5559</v>
      </c>
      <c r="D1953" s="21" t="s">
        <v>1975</v>
      </c>
      <c r="E1953" s="50" t="b">
        <v>1</v>
      </c>
      <c r="F1953" s="72" t="str">
        <f>HYPERLINK("http://nsgreg.nga.mil/genc/view?v=293429&amp;end_month=6&amp;end_day=30&amp;end_year=2019","Tuscany")</f>
        <v>Tuscany</v>
      </c>
      <c r="G1953" s="72" t="str">
        <f>HYPERLINK("http://api.nsgreg.nga.mil/geo-division/GENC/6/3-11/IT-52","as:GENC:6:3-11:IT-52")</f>
        <v>as:GENC:6:3-11:IT-52</v>
      </c>
    </row>
    <row r="1954" spans="1:7" x14ac:dyDescent="0.25">
      <c r="A1954" s="112"/>
      <c r="B1954" s="21" t="s">
        <v>5560</v>
      </c>
      <c r="C1954" s="21" t="s">
        <v>5561</v>
      </c>
      <c r="D1954" s="76" t="s">
        <v>1668</v>
      </c>
      <c r="E1954" s="77" t="b">
        <v>0</v>
      </c>
      <c r="F1954" s="72" t="str">
        <f>HYPERLINK("http://nsgreg.nga.mil/genc/view?v=293447&amp;end_month=6&amp;end_day=30&amp;end_year=2019","Arezzo")</f>
        <v>Arezzo</v>
      </c>
      <c r="G1954" s="72" t="str">
        <f>HYPERLINK("http://api.nsgreg.nga.mil/geo-division/GENC/6/3-11/IT-AR","as:GENC:6:3-11:IT-AR")</f>
        <v>as:GENC:6:3-11:IT-AR</v>
      </c>
    </row>
    <row r="1955" spans="1:7" x14ac:dyDescent="0.25">
      <c r="A1955" s="112"/>
      <c r="B1955" s="21" t="s">
        <v>5562</v>
      </c>
      <c r="C1955" s="21" t="s">
        <v>5563</v>
      </c>
      <c r="D1955" s="76" t="s">
        <v>5383</v>
      </c>
      <c r="E1955" s="77" t="b">
        <v>0</v>
      </c>
      <c r="F1955" s="72" t="str">
        <f>HYPERLINK("http://nsgreg.nga.mil/genc/view?v=293476&amp;end_month=6&amp;end_day=30&amp;end_year=2019","Firenze")</f>
        <v>Firenze</v>
      </c>
      <c r="G1955" s="72" t="str">
        <f>HYPERLINK("http://api.nsgreg.nga.mil/geo-division/GENC/6/3-11/IT-FI","as:GENC:6:3-11:IT-FI")</f>
        <v>as:GENC:6:3-11:IT-FI</v>
      </c>
    </row>
    <row r="1956" spans="1:7" x14ac:dyDescent="0.25">
      <c r="A1956" s="112"/>
      <c r="B1956" s="21" t="s">
        <v>5564</v>
      </c>
      <c r="C1956" s="21" t="s">
        <v>5565</v>
      </c>
      <c r="D1956" s="76" t="s">
        <v>1668</v>
      </c>
      <c r="E1956" s="77" t="b">
        <v>0</v>
      </c>
      <c r="F1956" s="72" t="str">
        <f>HYPERLINK("http://nsgreg.nga.mil/genc/view?v=293481&amp;end_month=6&amp;end_day=30&amp;end_year=2019","Grosseto")</f>
        <v>Grosseto</v>
      </c>
      <c r="G1956" s="72" t="str">
        <f>HYPERLINK("http://api.nsgreg.nga.mil/geo-division/GENC/6/3-11/IT-GR","as:GENC:6:3-11:IT-GR")</f>
        <v>as:GENC:6:3-11:IT-GR</v>
      </c>
    </row>
    <row r="1957" spans="1:7" x14ac:dyDescent="0.25">
      <c r="A1957" s="112"/>
      <c r="B1957" s="21" t="s">
        <v>5566</v>
      </c>
      <c r="C1957" s="21" t="s">
        <v>5567</v>
      </c>
      <c r="D1957" s="76" t="s">
        <v>1668</v>
      </c>
      <c r="E1957" s="77" t="b">
        <v>0</v>
      </c>
      <c r="F1957" s="72" t="str">
        <f>HYPERLINK("http://nsgreg.nga.mil/genc/view?v=293487&amp;end_month=6&amp;end_day=30&amp;end_year=2019","Livorno")</f>
        <v>Livorno</v>
      </c>
      <c r="G1957" s="72" t="str">
        <f>HYPERLINK("http://api.nsgreg.nga.mil/geo-division/GENC/6/3-11/IT-LI","as:GENC:6:3-11:IT-LI")</f>
        <v>as:GENC:6:3-11:IT-LI</v>
      </c>
    </row>
    <row r="1958" spans="1:7" x14ac:dyDescent="0.25">
      <c r="A1958" s="112"/>
      <c r="B1958" s="21" t="s">
        <v>5568</v>
      </c>
      <c r="C1958" s="21" t="s">
        <v>5569</v>
      </c>
      <c r="D1958" s="76" t="s">
        <v>1668</v>
      </c>
      <c r="E1958" s="77" t="b">
        <v>0</v>
      </c>
      <c r="F1958" s="72" t="str">
        <f>HYPERLINK("http://nsgreg.nga.mil/genc/view?v=293490&amp;end_month=6&amp;end_day=30&amp;end_year=2019","Lucca")</f>
        <v>Lucca</v>
      </c>
      <c r="G1958" s="72" t="str">
        <f>HYPERLINK("http://api.nsgreg.nga.mil/geo-division/GENC/6/3-11/IT-LU","as:GENC:6:3-11:IT-LU")</f>
        <v>as:GENC:6:3-11:IT-LU</v>
      </c>
    </row>
    <row r="1959" spans="1:7" x14ac:dyDescent="0.25">
      <c r="A1959" s="112"/>
      <c r="B1959" s="21" t="s">
        <v>5570</v>
      </c>
      <c r="C1959" s="21" t="s">
        <v>5571</v>
      </c>
      <c r="D1959" s="76" t="s">
        <v>1668</v>
      </c>
      <c r="E1959" s="77" t="b">
        <v>0</v>
      </c>
      <c r="F1959" s="72" t="str">
        <f>HYPERLINK("http://nsgreg.nga.mil/genc/view?v=293497&amp;end_month=6&amp;end_day=30&amp;end_year=2019","Massa-Carrara")</f>
        <v>Massa-Carrara</v>
      </c>
      <c r="G1959" s="72" t="str">
        <f>HYPERLINK("http://api.nsgreg.nga.mil/geo-division/GENC/6/3-11/IT-MS","as:GENC:6:3-11:IT-MS")</f>
        <v>as:GENC:6:3-11:IT-MS</v>
      </c>
    </row>
    <row r="1960" spans="1:7" x14ac:dyDescent="0.25">
      <c r="A1960" s="112"/>
      <c r="B1960" s="21" t="s">
        <v>5572</v>
      </c>
      <c r="C1960" s="21" t="s">
        <v>5573</v>
      </c>
      <c r="D1960" s="76" t="s">
        <v>1668</v>
      </c>
      <c r="E1960" s="77" t="b">
        <v>0</v>
      </c>
      <c r="F1960" s="72" t="str">
        <f>HYPERLINK("http://nsgreg.nga.mil/genc/view?v=293510&amp;end_month=6&amp;end_day=30&amp;end_year=2019","Pisa")</f>
        <v>Pisa</v>
      </c>
      <c r="G1960" s="72" t="str">
        <f>HYPERLINK("http://api.nsgreg.nga.mil/geo-division/GENC/6/3-11/IT-PI","as:GENC:6:3-11:IT-PI")</f>
        <v>as:GENC:6:3-11:IT-PI</v>
      </c>
    </row>
    <row r="1961" spans="1:7" x14ac:dyDescent="0.25">
      <c r="A1961" s="112"/>
      <c r="B1961" s="21" t="s">
        <v>5574</v>
      </c>
      <c r="C1961" s="21" t="s">
        <v>5575</v>
      </c>
      <c r="D1961" s="76" t="s">
        <v>1668</v>
      </c>
      <c r="E1961" s="77" t="b">
        <v>0</v>
      </c>
      <c r="F1961" s="72" t="str">
        <f>HYPERLINK("http://nsgreg.nga.mil/genc/view?v=293514&amp;end_month=6&amp;end_day=30&amp;end_year=2019","Pistoia")</f>
        <v>Pistoia</v>
      </c>
      <c r="G1961" s="72" t="str">
        <f>HYPERLINK("http://api.nsgreg.nga.mil/geo-division/GENC/6/3-11/IT-PT","as:GENC:6:3-11:IT-PT")</f>
        <v>as:GENC:6:3-11:IT-PT</v>
      </c>
    </row>
    <row r="1962" spans="1:7" x14ac:dyDescent="0.25">
      <c r="A1962" s="112"/>
      <c r="B1962" s="21" t="s">
        <v>5576</v>
      </c>
      <c r="C1962" s="21" t="s">
        <v>5577</v>
      </c>
      <c r="D1962" s="76" t="s">
        <v>1668</v>
      </c>
      <c r="E1962" s="77" t="b">
        <v>0</v>
      </c>
      <c r="F1962" s="72" t="str">
        <f>HYPERLINK("http://nsgreg.nga.mil/genc/view?v=293512&amp;end_month=6&amp;end_day=30&amp;end_year=2019","Prato")</f>
        <v>Prato</v>
      </c>
      <c r="G1962" s="72" t="str">
        <f>HYPERLINK("http://api.nsgreg.nga.mil/geo-division/GENC/6/3-11/IT-PO","as:GENC:6:3-11:IT-PO")</f>
        <v>as:GENC:6:3-11:IT-PO</v>
      </c>
    </row>
    <row r="1963" spans="1:7" x14ac:dyDescent="0.25">
      <c r="A1963" s="112"/>
      <c r="B1963" s="21" t="s">
        <v>5578</v>
      </c>
      <c r="C1963" s="21" t="s">
        <v>5579</v>
      </c>
      <c r="D1963" s="76" t="s">
        <v>1668</v>
      </c>
      <c r="E1963" s="77" t="b">
        <v>0</v>
      </c>
      <c r="F1963" s="72" t="str">
        <f>HYPERLINK("http://nsgreg.nga.mil/genc/view?v=293528&amp;end_month=6&amp;end_day=30&amp;end_year=2019","Siena")</f>
        <v>Siena</v>
      </c>
      <c r="G1963" s="72" t="str">
        <f>HYPERLINK("http://api.nsgreg.nga.mil/geo-division/GENC/6/3-11/IT-SI","as:GENC:6:3-11:IT-SI")</f>
        <v>as:GENC:6:3-11:IT-SI</v>
      </c>
    </row>
    <row r="1964" spans="1:7" x14ac:dyDescent="0.25">
      <c r="A1964" s="112"/>
      <c r="B1964" s="21" t="s">
        <v>5580</v>
      </c>
      <c r="C1964" s="21" t="s">
        <v>5581</v>
      </c>
      <c r="D1964" s="21" t="s">
        <v>1975</v>
      </c>
      <c r="E1964" s="50" t="b">
        <v>1</v>
      </c>
      <c r="F1964" s="72" t="str">
        <f>HYPERLINK("http://nsgreg.nga.mil/genc/view?v=293430&amp;end_month=6&amp;end_day=30&amp;end_year=2019","Umbria")</f>
        <v>Umbria</v>
      </c>
      <c r="G1964" s="72" t="str">
        <f>HYPERLINK("http://api.nsgreg.nga.mil/geo-division/GENC/6/3-11/IT-55","as:GENC:6:3-11:IT-55")</f>
        <v>as:GENC:6:3-11:IT-55</v>
      </c>
    </row>
    <row r="1965" spans="1:7" x14ac:dyDescent="0.25">
      <c r="A1965" s="112"/>
      <c r="B1965" s="21" t="s">
        <v>5582</v>
      </c>
      <c r="C1965" s="21" t="s">
        <v>5583</v>
      </c>
      <c r="D1965" s="76" t="s">
        <v>1668</v>
      </c>
      <c r="E1965" s="77" t="b">
        <v>0</v>
      </c>
      <c r="F1965" s="72" t="str">
        <f>HYPERLINK("http://nsgreg.nga.mil/genc/view?v=293509&amp;end_month=6&amp;end_day=30&amp;end_year=2019","Perugia")</f>
        <v>Perugia</v>
      </c>
      <c r="G1965" s="72" t="str">
        <f>HYPERLINK("http://api.nsgreg.nga.mil/geo-division/GENC/6/3-11/IT-PG","as:GENC:6:3-11:IT-PG")</f>
        <v>as:GENC:6:3-11:IT-PG</v>
      </c>
    </row>
    <row r="1966" spans="1:7" x14ac:dyDescent="0.25">
      <c r="A1966" s="112"/>
      <c r="B1966" s="21" t="s">
        <v>5584</v>
      </c>
      <c r="C1966" s="21" t="s">
        <v>5585</v>
      </c>
      <c r="D1966" s="76" t="s">
        <v>1668</v>
      </c>
      <c r="E1966" s="77" t="b">
        <v>0</v>
      </c>
      <c r="F1966" s="72" t="str">
        <f>HYPERLINK("http://nsgreg.nga.mil/genc/view?v=293539&amp;end_month=6&amp;end_day=30&amp;end_year=2019","Terni")</f>
        <v>Terni</v>
      </c>
      <c r="G1966" s="72" t="str">
        <f>HYPERLINK("http://api.nsgreg.nga.mil/geo-division/GENC/6/3-11/IT-TR","as:GENC:6:3-11:IT-TR")</f>
        <v>as:GENC:6:3-11:IT-TR</v>
      </c>
    </row>
    <row r="1967" spans="1:7" x14ac:dyDescent="0.25">
      <c r="A1967" s="112"/>
      <c r="B1967" s="21" t="s">
        <v>5586</v>
      </c>
      <c r="C1967" s="21" t="s">
        <v>5587</v>
      </c>
      <c r="D1967" s="21" t="s">
        <v>3199</v>
      </c>
      <c r="E1967" s="50" t="b">
        <v>1</v>
      </c>
      <c r="F1967" s="72" t="str">
        <f>HYPERLINK("http://nsgreg.nga.mil/genc/view?v=293422&amp;end_month=6&amp;end_day=30&amp;end_year=2019","Valle d’Aosta")</f>
        <v>Valle d’Aosta</v>
      </c>
      <c r="G1967" s="72" t="str">
        <f>HYPERLINK("http://api.nsgreg.nga.mil/geo-division/GENC/6/3-11/IT-23","as:GENC:6:3-11:IT-23")</f>
        <v>as:GENC:6:3-11:IT-23</v>
      </c>
    </row>
    <row r="1968" spans="1:7" x14ac:dyDescent="0.25">
      <c r="A1968" s="112"/>
      <c r="B1968" s="21" t="s">
        <v>5588</v>
      </c>
      <c r="C1968" s="21" t="s">
        <v>5589</v>
      </c>
      <c r="D1968" s="21" t="s">
        <v>1975</v>
      </c>
      <c r="E1968" s="50" t="b">
        <v>1</v>
      </c>
      <c r="F1968" s="72" t="str">
        <f>HYPERLINK("http://nsgreg.nga.mil/genc/view?v=293425&amp;end_month=6&amp;end_day=30&amp;end_year=2019","Veneto")</f>
        <v>Veneto</v>
      </c>
      <c r="G1968" s="72" t="str">
        <f>HYPERLINK("http://api.nsgreg.nga.mil/geo-division/GENC/6/3-11/IT-34","as:GENC:6:3-11:IT-34")</f>
        <v>as:GENC:6:3-11:IT-34</v>
      </c>
    </row>
    <row r="1969" spans="1:7" x14ac:dyDescent="0.25">
      <c r="A1969" s="112"/>
      <c r="B1969" s="21" t="s">
        <v>5590</v>
      </c>
      <c r="C1969" s="21" t="s">
        <v>5591</v>
      </c>
      <c r="D1969" s="76" t="s">
        <v>1668</v>
      </c>
      <c r="E1969" s="77" t="b">
        <v>0</v>
      </c>
      <c r="F1969" s="72" t="str">
        <f>HYPERLINK("http://nsgreg.nga.mil/genc/view?v=293453&amp;end_month=6&amp;end_day=30&amp;end_year=2019","Belluno")</f>
        <v>Belluno</v>
      </c>
      <c r="G1969" s="72" t="str">
        <f>HYPERLINK("http://api.nsgreg.nga.mil/geo-division/GENC/6/3-11/IT-BL","as:GENC:6:3-11:IT-BL")</f>
        <v>as:GENC:6:3-11:IT-BL</v>
      </c>
    </row>
    <row r="1970" spans="1:7" x14ac:dyDescent="0.25">
      <c r="A1970" s="112"/>
      <c r="B1970" s="21" t="s">
        <v>5592</v>
      </c>
      <c r="C1970" s="21" t="s">
        <v>5593</v>
      </c>
      <c r="D1970" s="76" t="s">
        <v>1668</v>
      </c>
      <c r="E1970" s="77" t="b">
        <v>0</v>
      </c>
      <c r="F1970" s="72" t="str">
        <f>HYPERLINK("http://nsgreg.nga.mil/genc/view?v=293507&amp;end_month=6&amp;end_day=30&amp;end_year=2019","Padova")</f>
        <v>Padova</v>
      </c>
      <c r="G1970" s="72" t="str">
        <f>HYPERLINK("http://api.nsgreg.nga.mil/geo-division/GENC/6/3-11/IT-PD","as:GENC:6:3-11:IT-PD")</f>
        <v>as:GENC:6:3-11:IT-PD</v>
      </c>
    </row>
    <row r="1971" spans="1:7" x14ac:dyDescent="0.25">
      <c r="A1971" s="112"/>
      <c r="B1971" s="21" t="s">
        <v>5594</v>
      </c>
      <c r="C1971" s="21" t="s">
        <v>5595</v>
      </c>
      <c r="D1971" s="76" t="s">
        <v>1668</v>
      </c>
      <c r="E1971" s="77" t="b">
        <v>0</v>
      </c>
      <c r="F1971" s="72" t="str">
        <f>HYPERLINK("http://nsgreg.nga.mil/genc/view?v=293525&amp;end_month=6&amp;end_day=30&amp;end_year=2019","Rovigo")</f>
        <v>Rovigo</v>
      </c>
      <c r="G1971" s="72" t="str">
        <f>HYPERLINK("http://api.nsgreg.nga.mil/geo-division/GENC/6/3-11/IT-RO","as:GENC:6:3-11:IT-RO")</f>
        <v>as:GENC:6:3-11:IT-RO</v>
      </c>
    </row>
    <row r="1972" spans="1:7" x14ac:dyDescent="0.25">
      <c r="A1972" s="112"/>
      <c r="B1972" s="21" t="s">
        <v>5596</v>
      </c>
      <c r="C1972" s="21" t="s">
        <v>5597</v>
      </c>
      <c r="D1972" s="76" t="s">
        <v>1668</v>
      </c>
      <c r="E1972" s="77" t="b">
        <v>0</v>
      </c>
      <c r="F1972" s="72" t="str">
        <f>HYPERLINK("http://nsgreg.nga.mil/genc/view?v=293541&amp;end_month=6&amp;end_day=30&amp;end_year=2019","Treviso")</f>
        <v>Treviso</v>
      </c>
      <c r="G1972" s="72" t="str">
        <f>HYPERLINK("http://api.nsgreg.nga.mil/geo-division/GENC/6/3-11/IT-TV","as:GENC:6:3-11:IT-TV")</f>
        <v>as:GENC:6:3-11:IT-TV</v>
      </c>
    </row>
    <row r="1973" spans="1:7" x14ac:dyDescent="0.25">
      <c r="A1973" s="112"/>
      <c r="B1973" s="21" t="s">
        <v>5598</v>
      </c>
      <c r="C1973" s="21" t="s">
        <v>5599</v>
      </c>
      <c r="D1973" s="76" t="s">
        <v>5383</v>
      </c>
      <c r="E1973" s="77" t="b">
        <v>0</v>
      </c>
      <c r="F1973" s="72" t="str">
        <f>HYPERLINK("http://nsgreg.nga.mil/genc/view?v=293546&amp;end_month=6&amp;end_day=30&amp;end_year=2019","Venezia")</f>
        <v>Venezia</v>
      </c>
      <c r="G1973" s="72" t="str">
        <f>HYPERLINK("http://api.nsgreg.nga.mil/geo-division/GENC/6/3-11/IT-VE","as:GENC:6:3-11:IT-VE")</f>
        <v>as:GENC:6:3-11:IT-VE</v>
      </c>
    </row>
    <row r="1974" spans="1:7" x14ac:dyDescent="0.25">
      <c r="A1974" s="112"/>
      <c r="B1974" s="21" t="s">
        <v>5600</v>
      </c>
      <c r="C1974" s="21" t="s">
        <v>5601</v>
      </c>
      <c r="D1974" s="76" t="s">
        <v>1668</v>
      </c>
      <c r="E1974" s="77" t="b">
        <v>0</v>
      </c>
      <c r="F1974" s="72" t="str">
        <f>HYPERLINK("http://nsgreg.nga.mil/genc/view?v=293548&amp;end_month=6&amp;end_day=30&amp;end_year=2019","Verona")</f>
        <v>Verona</v>
      </c>
      <c r="G1974" s="72" t="str">
        <f>HYPERLINK("http://api.nsgreg.nga.mil/geo-division/GENC/6/3-11/IT-VR","as:GENC:6:3-11:IT-VR")</f>
        <v>as:GENC:6:3-11:IT-VR</v>
      </c>
    </row>
    <row r="1975" spans="1:7" x14ac:dyDescent="0.25">
      <c r="A1975" s="113"/>
      <c r="B1975" s="47" t="s">
        <v>5602</v>
      </c>
      <c r="C1975" s="47" t="s">
        <v>5603</v>
      </c>
      <c r="D1975" s="78" t="s">
        <v>1668</v>
      </c>
      <c r="E1975" s="79" t="b">
        <v>0</v>
      </c>
      <c r="F1975" s="73" t="str">
        <f>HYPERLINK("http://nsgreg.nga.mil/genc/view?v=293547&amp;end_month=6&amp;end_day=30&amp;end_year=2019","Vicenza")</f>
        <v>Vicenza</v>
      </c>
      <c r="G1975" s="73" t="str">
        <f>HYPERLINK("http://api.nsgreg.nga.mil/geo-division/GENC/6/3-11/IT-VI","as:GENC:6:3-11:IT-VI")</f>
        <v>as:GENC:6:3-11:IT-VI</v>
      </c>
    </row>
    <row r="1976" spans="1:7" x14ac:dyDescent="0.25">
      <c r="A1976" s="111" t="str">
        <f>HYPERLINK("[#]Codes_for_GE_Names!A133:I133","JAMAICA")</f>
        <v>JAMAICA</v>
      </c>
      <c r="B1976" s="42" t="s">
        <v>5604</v>
      </c>
      <c r="C1976" s="42" t="s">
        <v>5605</v>
      </c>
      <c r="D1976" s="42" t="s">
        <v>1858</v>
      </c>
      <c r="E1976" s="49" t="b">
        <v>1</v>
      </c>
      <c r="F1976" s="74" t="str">
        <f>HYPERLINK("http://nsgreg.nga.mil/genc/view?v=293564&amp;end_month=6&amp;end_day=30&amp;end_year=2019","Clarendon")</f>
        <v>Clarendon</v>
      </c>
      <c r="G1976" s="74" t="str">
        <f>HYPERLINK("http://api.nsgreg.nga.mil/geo-division/GENC/6/3-11/JM-13","as:GENC:6:3-11:JM-13")</f>
        <v>as:GENC:6:3-11:JM-13</v>
      </c>
    </row>
    <row r="1977" spans="1:7" x14ac:dyDescent="0.25">
      <c r="A1977" s="112"/>
      <c r="B1977" s="21" t="s">
        <v>5606</v>
      </c>
      <c r="C1977" s="21" t="s">
        <v>5607</v>
      </c>
      <c r="D1977" s="21" t="s">
        <v>1858</v>
      </c>
      <c r="E1977" s="50" t="b">
        <v>1</v>
      </c>
      <c r="F1977" s="72" t="str">
        <f>HYPERLINK("http://nsgreg.nga.mil/genc/view?v=293560&amp;end_month=6&amp;end_day=30&amp;end_year=2019","Hanover")</f>
        <v>Hanover</v>
      </c>
      <c r="G1977" s="72" t="str">
        <f>HYPERLINK("http://api.nsgreg.nga.mil/geo-division/GENC/6/3-11/JM-09","as:GENC:6:3-11:JM-09")</f>
        <v>as:GENC:6:3-11:JM-09</v>
      </c>
    </row>
    <row r="1978" spans="1:7" x14ac:dyDescent="0.25">
      <c r="A1978" s="112"/>
      <c r="B1978" s="21" t="s">
        <v>5608</v>
      </c>
      <c r="C1978" s="21" t="s">
        <v>5609</v>
      </c>
      <c r="D1978" s="21" t="s">
        <v>1858</v>
      </c>
      <c r="E1978" s="50" t="b">
        <v>1</v>
      </c>
      <c r="F1978" s="72" t="str">
        <f>HYPERLINK("http://nsgreg.nga.mil/genc/view?v=293552&amp;end_month=6&amp;end_day=30&amp;end_year=2019","Kingston")</f>
        <v>Kingston</v>
      </c>
      <c r="G1978" s="72" t="str">
        <f>HYPERLINK("http://api.nsgreg.nga.mil/geo-division/GENC/6/3-11/JM-01","as:GENC:6:3-11:JM-01")</f>
        <v>as:GENC:6:3-11:JM-01</v>
      </c>
    </row>
    <row r="1979" spans="1:7" x14ac:dyDescent="0.25">
      <c r="A1979" s="112"/>
      <c r="B1979" s="21" t="s">
        <v>5610</v>
      </c>
      <c r="C1979" s="21" t="s">
        <v>5611</v>
      </c>
      <c r="D1979" s="21" t="s">
        <v>1858</v>
      </c>
      <c r="E1979" s="50" t="b">
        <v>1</v>
      </c>
      <c r="F1979" s="72" t="str">
        <f>HYPERLINK("http://nsgreg.nga.mil/genc/view?v=293563&amp;end_month=6&amp;end_day=30&amp;end_year=2019","Manchester")</f>
        <v>Manchester</v>
      </c>
      <c r="G1979" s="72" t="str">
        <f>HYPERLINK("http://api.nsgreg.nga.mil/geo-division/GENC/6/3-11/JM-12","as:GENC:6:3-11:JM-12")</f>
        <v>as:GENC:6:3-11:JM-12</v>
      </c>
    </row>
    <row r="1980" spans="1:7" x14ac:dyDescent="0.25">
      <c r="A1980" s="112"/>
      <c r="B1980" s="21" t="s">
        <v>5612</v>
      </c>
      <c r="C1980" s="21" t="s">
        <v>5613</v>
      </c>
      <c r="D1980" s="21" t="s">
        <v>1858</v>
      </c>
      <c r="E1980" s="50" t="b">
        <v>1</v>
      </c>
      <c r="F1980" s="72" t="str">
        <f>HYPERLINK("http://nsgreg.nga.mil/genc/view?v=293555&amp;end_month=6&amp;end_day=30&amp;end_year=2019","Portland")</f>
        <v>Portland</v>
      </c>
      <c r="G1980" s="72" t="str">
        <f>HYPERLINK("http://api.nsgreg.nga.mil/geo-division/GENC/6/3-11/JM-04","as:GENC:6:3-11:JM-04")</f>
        <v>as:GENC:6:3-11:JM-04</v>
      </c>
    </row>
    <row r="1981" spans="1:7" x14ac:dyDescent="0.25">
      <c r="A1981" s="112"/>
      <c r="B1981" s="21" t="s">
        <v>5614</v>
      </c>
      <c r="C1981" s="21" t="s">
        <v>2410</v>
      </c>
      <c r="D1981" s="21" t="s">
        <v>1858</v>
      </c>
      <c r="E1981" s="50" t="b">
        <v>1</v>
      </c>
      <c r="F1981" s="72" t="str">
        <f>HYPERLINK("http://nsgreg.nga.mil/genc/view?v=293553&amp;end_month=6&amp;end_day=30&amp;end_year=2019","Saint Andrew")</f>
        <v>Saint Andrew</v>
      </c>
      <c r="G1981" s="72" t="str">
        <f>HYPERLINK("http://api.nsgreg.nga.mil/geo-division/GENC/6/3-11/JM-02","as:GENC:6:3-11:JM-02")</f>
        <v>as:GENC:6:3-11:JM-02</v>
      </c>
    </row>
    <row r="1982" spans="1:7" x14ac:dyDescent="0.25">
      <c r="A1982" s="112"/>
      <c r="B1982" s="21" t="s">
        <v>5615</v>
      </c>
      <c r="C1982" s="21" t="s">
        <v>5616</v>
      </c>
      <c r="D1982" s="21" t="s">
        <v>1858</v>
      </c>
      <c r="E1982" s="50" t="b">
        <v>1</v>
      </c>
      <c r="F1982" s="72" t="str">
        <f>HYPERLINK("http://nsgreg.nga.mil/genc/view?v=293557&amp;end_month=6&amp;end_day=30&amp;end_year=2019","Saint Ann")</f>
        <v>Saint Ann</v>
      </c>
      <c r="G1982" s="72" t="str">
        <f>HYPERLINK("http://api.nsgreg.nga.mil/geo-division/GENC/6/3-11/JM-06","as:GENC:6:3-11:JM-06")</f>
        <v>as:GENC:6:3-11:JM-06</v>
      </c>
    </row>
    <row r="1983" spans="1:7" x14ac:dyDescent="0.25">
      <c r="A1983" s="112"/>
      <c r="B1983" s="21" t="s">
        <v>5617</v>
      </c>
      <c r="C1983" s="21" t="s">
        <v>5618</v>
      </c>
      <c r="D1983" s="21" t="s">
        <v>1858</v>
      </c>
      <c r="E1983" s="50" t="b">
        <v>1</v>
      </c>
      <c r="F1983" s="72" t="str">
        <f>HYPERLINK("http://nsgreg.nga.mil/genc/view?v=293565&amp;end_month=6&amp;end_day=30&amp;end_year=2019","Saint Catherine")</f>
        <v>Saint Catherine</v>
      </c>
      <c r="G1983" s="72" t="str">
        <f>HYPERLINK("http://api.nsgreg.nga.mil/geo-division/GENC/6/3-11/JM-14","as:GENC:6:3-11:JM-14")</f>
        <v>as:GENC:6:3-11:JM-14</v>
      </c>
    </row>
    <row r="1984" spans="1:7" x14ac:dyDescent="0.25">
      <c r="A1984" s="112"/>
      <c r="B1984" s="21" t="s">
        <v>5619</v>
      </c>
      <c r="C1984" s="21" t="s">
        <v>5620</v>
      </c>
      <c r="D1984" s="21" t="s">
        <v>1858</v>
      </c>
      <c r="E1984" s="50" t="b">
        <v>1</v>
      </c>
      <c r="F1984" s="72" t="str">
        <f>HYPERLINK("http://nsgreg.nga.mil/genc/view?v=293562&amp;end_month=6&amp;end_day=30&amp;end_year=2019","Saint Elizabeth")</f>
        <v>Saint Elizabeth</v>
      </c>
      <c r="G1984" s="72" t="str">
        <f>HYPERLINK("http://api.nsgreg.nga.mil/geo-division/GENC/6/3-11/JM-11","as:GENC:6:3-11:JM-11")</f>
        <v>as:GENC:6:3-11:JM-11</v>
      </c>
    </row>
    <row r="1985" spans="1:7" x14ac:dyDescent="0.25">
      <c r="A1985" s="112"/>
      <c r="B1985" s="21" t="s">
        <v>5621</v>
      </c>
      <c r="C1985" s="21" t="s">
        <v>2413</v>
      </c>
      <c r="D1985" s="21" t="s">
        <v>1858</v>
      </c>
      <c r="E1985" s="50" t="b">
        <v>1</v>
      </c>
      <c r="F1985" s="72" t="str">
        <f>HYPERLINK("http://nsgreg.nga.mil/genc/view?v=293559&amp;end_month=6&amp;end_day=30&amp;end_year=2019","Saint James")</f>
        <v>Saint James</v>
      </c>
      <c r="G1985" s="72" t="str">
        <f>HYPERLINK("http://api.nsgreg.nga.mil/geo-division/GENC/6/3-11/JM-08","as:GENC:6:3-11:JM-08")</f>
        <v>as:GENC:6:3-11:JM-08</v>
      </c>
    </row>
    <row r="1986" spans="1:7" x14ac:dyDescent="0.25">
      <c r="A1986" s="112"/>
      <c r="B1986" s="21" t="s">
        <v>5622</v>
      </c>
      <c r="C1986" s="21" t="s">
        <v>1917</v>
      </c>
      <c r="D1986" s="21" t="s">
        <v>1858</v>
      </c>
      <c r="E1986" s="50" t="b">
        <v>1</v>
      </c>
      <c r="F1986" s="72" t="str">
        <f>HYPERLINK("http://nsgreg.nga.mil/genc/view?v=293556&amp;end_month=6&amp;end_day=30&amp;end_year=2019","Saint Mary")</f>
        <v>Saint Mary</v>
      </c>
      <c r="G1986" s="72" t="str">
        <f>HYPERLINK("http://api.nsgreg.nga.mil/geo-division/GENC/6/3-11/JM-05","as:GENC:6:3-11:JM-05")</f>
        <v>as:GENC:6:3-11:JM-05</v>
      </c>
    </row>
    <row r="1987" spans="1:7" x14ac:dyDescent="0.25">
      <c r="A1987" s="112"/>
      <c r="B1987" s="21" t="s">
        <v>5623</v>
      </c>
      <c r="C1987" s="21" t="s">
        <v>2424</v>
      </c>
      <c r="D1987" s="21" t="s">
        <v>1858</v>
      </c>
      <c r="E1987" s="50" t="b">
        <v>1</v>
      </c>
      <c r="F1987" s="72" t="str">
        <f>HYPERLINK("http://nsgreg.nga.mil/genc/view?v=293554&amp;end_month=6&amp;end_day=30&amp;end_year=2019","Saint Thomas")</f>
        <v>Saint Thomas</v>
      </c>
      <c r="G1987" s="72" t="str">
        <f>HYPERLINK("http://api.nsgreg.nga.mil/geo-division/GENC/6/3-11/JM-03","as:GENC:6:3-11:JM-03")</f>
        <v>as:GENC:6:3-11:JM-03</v>
      </c>
    </row>
    <row r="1988" spans="1:7" x14ac:dyDescent="0.25">
      <c r="A1988" s="112"/>
      <c r="B1988" s="21" t="s">
        <v>5624</v>
      </c>
      <c r="C1988" s="21" t="s">
        <v>5625</v>
      </c>
      <c r="D1988" s="21" t="s">
        <v>1858</v>
      </c>
      <c r="E1988" s="50" t="b">
        <v>1</v>
      </c>
      <c r="F1988" s="72" t="str">
        <f>HYPERLINK("http://nsgreg.nga.mil/genc/view?v=293558&amp;end_month=6&amp;end_day=30&amp;end_year=2019","Trelawny")</f>
        <v>Trelawny</v>
      </c>
      <c r="G1988" s="72" t="str">
        <f>HYPERLINK("http://api.nsgreg.nga.mil/geo-division/GENC/6/3-11/JM-07","as:GENC:6:3-11:JM-07")</f>
        <v>as:GENC:6:3-11:JM-07</v>
      </c>
    </row>
    <row r="1989" spans="1:7" x14ac:dyDescent="0.25">
      <c r="A1989" s="113"/>
      <c r="B1989" s="47" t="s">
        <v>5626</v>
      </c>
      <c r="C1989" s="47" t="s">
        <v>5627</v>
      </c>
      <c r="D1989" s="47" t="s">
        <v>1858</v>
      </c>
      <c r="E1989" s="51" t="b">
        <v>1</v>
      </c>
      <c r="F1989" s="73" t="str">
        <f>HYPERLINK("http://nsgreg.nga.mil/genc/view?v=293561&amp;end_month=6&amp;end_day=30&amp;end_year=2019","Westmoreland")</f>
        <v>Westmoreland</v>
      </c>
      <c r="G1989" s="73" t="str">
        <f>HYPERLINK("http://api.nsgreg.nga.mil/geo-division/GENC/6/3-11/JM-10","as:GENC:6:3-11:JM-10")</f>
        <v>as:GENC:6:3-11:JM-10</v>
      </c>
    </row>
    <row r="1990" spans="1:7" x14ac:dyDescent="0.25">
      <c r="A1990" s="111" t="str">
        <f>HYPERLINK("[#]Codes_for_GE_Names!A135:I135","JAPAN")</f>
        <v>JAPAN</v>
      </c>
      <c r="B1990" s="42" t="s">
        <v>5628</v>
      </c>
      <c r="C1990" s="42" t="s">
        <v>5629</v>
      </c>
      <c r="D1990" s="42" t="s">
        <v>3072</v>
      </c>
      <c r="E1990" s="49" t="b">
        <v>1</v>
      </c>
      <c r="F1990" s="74" t="str">
        <f>HYPERLINK("http://nsgreg.nga.mil/genc/view?v=293600&amp;end_month=6&amp;end_day=30&amp;end_year=2019","Aichi")</f>
        <v>Aichi</v>
      </c>
      <c r="G1990" s="74" t="str">
        <f>HYPERLINK("http://api.nsgreg.nga.mil/geo-division/GENC/6/3-11/JP-23","as:GENC:6:3-11:JP-23")</f>
        <v>as:GENC:6:3-11:JP-23</v>
      </c>
    </row>
    <row r="1991" spans="1:7" x14ac:dyDescent="0.25">
      <c r="A1991" s="112"/>
      <c r="B1991" s="21" t="s">
        <v>5630</v>
      </c>
      <c r="C1991" s="21" t="s">
        <v>5631</v>
      </c>
      <c r="D1991" s="21" t="s">
        <v>3072</v>
      </c>
      <c r="E1991" s="50" t="b">
        <v>1</v>
      </c>
      <c r="F1991" s="72" t="str">
        <f>HYPERLINK("http://nsgreg.nga.mil/genc/view?v=293582&amp;end_month=6&amp;end_day=30&amp;end_year=2019","Akita")</f>
        <v>Akita</v>
      </c>
      <c r="G1991" s="72" t="str">
        <f>HYPERLINK("http://api.nsgreg.nga.mil/geo-division/GENC/6/3-11/JP-05","as:GENC:6:3-11:JP-05")</f>
        <v>as:GENC:6:3-11:JP-05</v>
      </c>
    </row>
    <row r="1992" spans="1:7" x14ac:dyDescent="0.25">
      <c r="A1992" s="112"/>
      <c r="B1992" s="21" t="s">
        <v>5632</v>
      </c>
      <c r="C1992" s="21" t="s">
        <v>5633</v>
      </c>
      <c r="D1992" s="21" t="s">
        <v>3072</v>
      </c>
      <c r="E1992" s="50" t="b">
        <v>1</v>
      </c>
      <c r="F1992" s="72" t="str">
        <f>HYPERLINK("http://nsgreg.nga.mil/genc/view?v=293579&amp;end_month=6&amp;end_day=30&amp;end_year=2019","Aomori")</f>
        <v>Aomori</v>
      </c>
      <c r="G1992" s="72" t="str">
        <f>HYPERLINK("http://api.nsgreg.nga.mil/geo-division/GENC/6/3-11/JP-02","as:GENC:6:3-11:JP-02")</f>
        <v>as:GENC:6:3-11:JP-02</v>
      </c>
    </row>
    <row r="1993" spans="1:7" x14ac:dyDescent="0.25">
      <c r="A1993" s="112"/>
      <c r="B1993" s="21" t="s">
        <v>5634</v>
      </c>
      <c r="C1993" s="21" t="s">
        <v>5635</v>
      </c>
      <c r="D1993" s="21" t="s">
        <v>3072</v>
      </c>
      <c r="E1993" s="50" t="b">
        <v>1</v>
      </c>
      <c r="F1993" s="72" t="str">
        <f>HYPERLINK("http://nsgreg.nga.mil/genc/view?v=293589&amp;end_month=6&amp;end_day=30&amp;end_year=2019","Chiba")</f>
        <v>Chiba</v>
      </c>
      <c r="G1993" s="72" t="str">
        <f>HYPERLINK("http://api.nsgreg.nga.mil/geo-division/GENC/6/3-11/JP-12","as:GENC:6:3-11:JP-12")</f>
        <v>as:GENC:6:3-11:JP-12</v>
      </c>
    </row>
    <row r="1994" spans="1:7" x14ac:dyDescent="0.25">
      <c r="A1994" s="112"/>
      <c r="B1994" s="21" t="s">
        <v>5636</v>
      </c>
      <c r="C1994" s="21" t="s">
        <v>5637</v>
      </c>
      <c r="D1994" s="21" t="s">
        <v>3072</v>
      </c>
      <c r="E1994" s="50" t="b">
        <v>1</v>
      </c>
      <c r="F1994" s="72" t="str">
        <f>HYPERLINK("http://nsgreg.nga.mil/genc/view?v=293615&amp;end_month=6&amp;end_day=30&amp;end_year=2019","Ehime")</f>
        <v>Ehime</v>
      </c>
      <c r="G1994" s="72" t="str">
        <f>HYPERLINK("http://api.nsgreg.nga.mil/geo-division/GENC/6/3-11/JP-38","as:GENC:6:3-11:JP-38")</f>
        <v>as:GENC:6:3-11:JP-38</v>
      </c>
    </row>
    <row r="1995" spans="1:7" x14ac:dyDescent="0.25">
      <c r="A1995" s="112"/>
      <c r="B1995" s="21" t="s">
        <v>5638</v>
      </c>
      <c r="C1995" s="21" t="s">
        <v>5639</v>
      </c>
      <c r="D1995" s="21" t="s">
        <v>3072</v>
      </c>
      <c r="E1995" s="50" t="b">
        <v>1</v>
      </c>
      <c r="F1995" s="72" t="str">
        <f>HYPERLINK("http://nsgreg.nga.mil/genc/view?v=293595&amp;end_month=6&amp;end_day=30&amp;end_year=2019","Fukui")</f>
        <v>Fukui</v>
      </c>
      <c r="G1995" s="72" t="str">
        <f>HYPERLINK("http://api.nsgreg.nga.mil/geo-division/GENC/6/3-11/JP-18","as:GENC:6:3-11:JP-18")</f>
        <v>as:GENC:6:3-11:JP-18</v>
      </c>
    </row>
    <row r="1996" spans="1:7" x14ac:dyDescent="0.25">
      <c r="A1996" s="112"/>
      <c r="B1996" s="21" t="s">
        <v>5640</v>
      </c>
      <c r="C1996" s="21" t="s">
        <v>5641</v>
      </c>
      <c r="D1996" s="21" t="s">
        <v>3072</v>
      </c>
      <c r="E1996" s="50" t="b">
        <v>1</v>
      </c>
      <c r="F1996" s="72" t="str">
        <f>HYPERLINK("http://nsgreg.nga.mil/genc/view?v=293617&amp;end_month=6&amp;end_day=30&amp;end_year=2019","Fukuoka")</f>
        <v>Fukuoka</v>
      </c>
      <c r="G1996" s="72" t="str">
        <f>HYPERLINK("http://api.nsgreg.nga.mil/geo-division/GENC/6/3-11/JP-40","as:GENC:6:3-11:JP-40")</f>
        <v>as:GENC:6:3-11:JP-40</v>
      </c>
    </row>
    <row r="1997" spans="1:7" x14ac:dyDescent="0.25">
      <c r="A1997" s="112"/>
      <c r="B1997" s="21" t="s">
        <v>5642</v>
      </c>
      <c r="C1997" s="21" t="s">
        <v>5643</v>
      </c>
      <c r="D1997" s="21" t="s">
        <v>3072</v>
      </c>
      <c r="E1997" s="50" t="b">
        <v>1</v>
      </c>
      <c r="F1997" s="72" t="str">
        <f>HYPERLINK("http://nsgreg.nga.mil/genc/view?v=293584&amp;end_month=6&amp;end_day=30&amp;end_year=2019","Fukushima")</f>
        <v>Fukushima</v>
      </c>
      <c r="G1997" s="72" t="str">
        <f>HYPERLINK("http://api.nsgreg.nga.mil/geo-division/GENC/6/3-11/JP-07","as:GENC:6:3-11:JP-07")</f>
        <v>as:GENC:6:3-11:JP-07</v>
      </c>
    </row>
    <row r="1998" spans="1:7" x14ac:dyDescent="0.25">
      <c r="A1998" s="112"/>
      <c r="B1998" s="21" t="s">
        <v>5644</v>
      </c>
      <c r="C1998" s="21" t="s">
        <v>5645</v>
      </c>
      <c r="D1998" s="21" t="s">
        <v>3072</v>
      </c>
      <c r="E1998" s="50" t="b">
        <v>1</v>
      </c>
      <c r="F1998" s="72" t="str">
        <f>HYPERLINK("http://nsgreg.nga.mil/genc/view?v=293598&amp;end_month=6&amp;end_day=30&amp;end_year=2019","Gifu")</f>
        <v>Gifu</v>
      </c>
      <c r="G1998" s="72" t="str">
        <f>HYPERLINK("http://api.nsgreg.nga.mil/geo-division/GENC/6/3-11/JP-21","as:GENC:6:3-11:JP-21")</f>
        <v>as:GENC:6:3-11:JP-21</v>
      </c>
    </row>
    <row r="1999" spans="1:7" x14ac:dyDescent="0.25">
      <c r="A1999" s="112"/>
      <c r="B1999" s="21" t="s">
        <v>5646</v>
      </c>
      <c r="C1999" s="21" t="s">
        <v>5647</v>
      </c>
      <c r="D1999" s="21" t="s">
        <v>3072</v>
      </c>
      <c r="E1999" s="50" t="b">
        <v>1</v>
      </c>
      <c r="F1999" s="72" t="str">
        <f>HYPERLINK("http://nsgreg.nga.mil/genc/view?v=293587&amp;end_month=6&amp;end_day=30&amp;end_year=2019","Gunma")</f>
        <v>Gunma</v>
      </c>
      <c r="G1999" s="72" t="str">
        <f>HYPERLINK("http://api.nsgreg.nga.mil/geo-division/GENC/6/3-11/JP-10","as:GENC:6:3-11:JP-10")</f>
        <v>as:GENC:6:3-11:JP-10</v>
      </c>
    </row>
    <row r="2000" spans="1:7" x14ac:dyDescent="0.25">
      <c r="A2000" s="112"/>
      <c r="B2000" s="21" t="s">
        <v>5648</v>
      </c>
      <c r="C2000" s="21" t="s">
        <v>5649</v>
      </c>
      <c r="D2000" s="21" t="s">
        <v>3072</v>
      </c>
      <c r="E2000" s="50" t="b">
        <v>1</v>
      </c>
      <c r="F2000" s="72" t="str">
        <f>HYPERLINK("http://nsgreg.nga.mil/genc/view?v=293611&amp;end_month=6&amp;end_day=30&amp;end_year=2019","Hiroshima")</f>
        <v>Hiroshima</v>
      </c>
      <c r="G2000" s="72" t="str">
        <f>HYPERLINK("http://api.nsgreg.nga.mil/geo-division/GENC/6/3-11/JP-34","as:GENC:6:3-11:JP-34")</f>
        <v>as:GENC:6:3-11:JP-34</v>
      </c>
    </row>
    <row r="2001" spans="1:7" x14ac:dyDescent="0.25">
      <c r="A2001" s="112"/>
      <c r="B2001" s="21" t="s">
        <v>5650</v>
      </c>
      <c r="C2001" s="21" t="s">
        <v>5651</v>
      </c>
      <c r="D2001" s="21" t="s">
        <v>3072</v>
      </c>
      <c r="E2001" s="50" t="b">
        <v>1</v>
      </c>
      <c r="F2001" s="72" t="str">
        <f>HYPERLINK("http://nsgreg.nga.mil/genc/view?v=293578&amp;end_month=6&amp;end_day=30&amp;end_year=2019","Hokkaidō")</f>
        <v>Hokkaidō</v>
      </c>
      <c r="G2001" s="72" t="str">
        <f>HYPERLINK("http://api.nsgreg.nga.mil/geo-division/GENC/6/3-11/JP-01","as:GENC:6:3-11:JP-01")</f>
        <v>as:GENC:6:3-11:JP-01</v>
      </c>
    </row>
    <row r="2002" spans="1:7" x14ac:dyDescent="0.25">
      <c r="A2002" s="112"/>
      <c r="B2002" s="21" t="s">
        <v>5652</v>
      </c>
      <c r="C2002" s="21" t="s">
        <v>5653</v>
      </c>
      <c r="D2002" s="21" t="s">
        <v>3072</v>
      </c>
      <c r="E2002" s="50" t="b">
        <v>1</v>
      </c>
      <c r="F2002" s="72" t="str">
        <f>HYPERLINK("http://nsgreg.nga.mil/genc/view?v=293605&amp;end_month=6&amp;end_day=30&amp;end_year=2019","Hyōgo")</f>
        <v>Hyōgo</v>
      </c>
      <c r="G2002" s="72" t="str">
        <f>HYPERLINK("http://api.nsgreg.nga.mil/geo-division/GENC/6/3-11/JP-28","as:GENC:6:3-11:JP-28")</f>
        <v>as:GENC:6:3-11:JP-28</v>
      </c>
    </row>
    <row r="2003" spans="1:7" x14ac:dyDescent="0.25">
      <c r="A2003" s="112"/>
      <c r="B2003" s="21" t="s">
        <v>5654</v>
      </c>
      <c r="C2003" s="21" t="s">
        <v>5655</v>
      </c>
      <c r="D2003" s="21" t="s">
        <v>3072</v>
      </c>
      <c r="E2003" s="50" t="b">
        <v>1</v>
      </c>
      <c r="F2003" s="72" t="str">
        <f>HYPERLINK("http://nsgreg.nga.mil/genc/view?v=293585&amp;end_month=6&amp;end_day=30&amp;end_year=2019","Ibaraki")</f>
        <v>Ibaraki</v>
      </c>
      <c r="G2003" s="72" t="str">
        <f>HYPERLINK("http://api.nsgreg.nga.mil/geo-division/GENC/6/3-11/JP-08","as:GENC:6:3-11:JP-08")</f>
        <v>as:GENC:6:3-11:JP-08</v>
      </c>
    </row>
    <row r="2004" spans="1:7" x14ac:dyDescent="0.25">
      <c r="A2004" s="112"/>
      <c r="B2004" s="21" t="s">
        <v>5656</v>
      </c>
      <c r="C2004" s="21" t="s">
        <v>5657</v>
      </c>
      <c r="D2004" s="21" t="s">
        <v>3072</v>
      </c>
      <c r="E2004" s="50" t="b">
        <v>1</v>
      </c>
      <c r="F2004" s="72" t="str">
        <f>HYPERLINK("http://nsgreg.nga.mil/genc/view?v=293594&amp;end_month=6&amp;end_day=30&amp;end_year=2019","Ishikawa")</f>
        <v>Ishikawa</v>
      </c>
      <c r="G2004" s="72" t="str">
        <f>HYPERLINK("http://api.nsgreg.nga.mil/geo-division/GENC/6/3-11/JP-17","as:GENC:6:3-11:JP-17")</f>
        <v>as:GENC:6:3-11:JP-17</v>
      </c>
    </row>
    <row r="2005" spans="1:7" x14ac:dyDescent="0.25">
      <c r="A2005" s="112"/>
      <c r="B2005" s="21" t="s">
        <v>5658</v>
      </c>
      <c r="C2005" s="21" t="s">
        <v>5659</v>
      </c>
      <c r="D2005" s="21" t="s">
        <v>3072</v>
      </c>
      <c r="E2005" s="50" t="b">
        <v>1</v>
      </c>
      <c r="F2005" s="72" t="str">
        <f>HYPERLINK("http://nsgreg.nga.mil/genc/view?v=293580&amp;end_month=6&amp;end_day=30&amp;end_year=2019","Iwate")</f>
        <v>Iwate</v>
      </c>
      <c r="G2005" s="72" t="str">
        <f>HYPERLINK("http://api.nsgreg.nga.mil/geo-division/GENC/6/3-11/JP-03","as:GENC:6:3-11:JP-03")</f>
        <v>as:GENC:6:3-11:JP-03</v>
      </c>
    </row>
    <row r="2006" spans="1:7" x14ac:dyDescent="0.25">
      <c r="A2006" s="112"/>
      <c r="B2006" s="21" t="s">
        <v>5660</v>
      </c>
      <c r="C2006" s="21" t="s">
        <v>5661</v>
      </c>
      <c r="D2006" s="21" t="s">
        <v>3072</v>
      </c>
      <c r="E2006" s="50" t="b">
        <v>1</v>
      </c>
      <c r="F2006" s="72" t="str">
        <f>HYPERLINK("http://nsgreg.nga.mil/genc/view?v=293614&amp;end_month=6&amp;end_day=30&amp;end_year=2019","Kagawa")</f>
        <v>Kagawa</v>
      </c>
      <c r="G2006" s="72" t="str">
        <f>HYPERLINK("http://api.nsgreg.nga.mil/geo-division/GENC/6/3-11/JP-37","as:GENC:6:3-11:JP-37")</f>
        <v>as:GENC:6:3-11:JP-37</v>
      </c>
    </row>
    <row r="2007" spans="1:7" x14ac:dyDescent="0.25">
      <c r="A2007" s="112"/>
      <c r="B2007" s="21" t="s">
        <v>5662</v>
      </c>
      <c r="C2007" s="21" t="s">
        <v>5663</v>
      </c>
      <c r="D2007" s="21" t="s">
        <v>3072</v>
      </c>
      <c r="E2007" s="50" t="b">
        <v>1</v>
      </c>
      <c r="F2007" s="72" t="str">
        <f>HYPERLINK("http://nsgreg.nga.mil/genc/view?v=293623&amp;end_month=6&amp;end_day=30&amp;end_year=2019","Kagoshima")</f>
        <v>Kagoshima</v>
      </c>
      <c r="G2007" s="72" t="str">
        <f>HYPERLINK("http://api.nsgreg.nga.mil/geo-division/GENC/6/3-11/JP-46","as:GENC:6:3-11:JP-46")</f>
        <v>as:GENC:6:3-11:JP-46</v>
      </c>
    </row>
    <row r="2008" spans="1:7" x14ac:dyDescent="0.25">
      <c r="A2008" s="112"/>
      <c r="B2008" s="21" t="s">
        <v>5664</v>
      </c>
      <c r="C2008" s="21" t="s">
        <v>5665</v>
      </c>
      <c r="D2008" s="21" t="s">
        <v>3072</v>
      </c>
      <c r="E2008" s="50" t="b">
        <v>1</v>
      </c>
      <c r="F2008" s="72" t="str">
        <f>HYPERLINK("http://nsgreg.nga.mil/genc/view?v=293591&amp;end_month=6&amp;end_day=30&amp;end_year=2019","Kanagawa")</f>
        <v>Kanagawa</v>
      </c>
      <c r="G2008" s="72" t="str">
        <f>HYPERLINK("http://api.nsgreg.nga.mil/geo-division/GENC/6/3-11/JP-14","as:GENC:6:3-11:JP-14")</f>
        <v>as:GENC:6:3-11:JP-14</v>
      </c>
    </row>
    <row r="2009" spans="1:7" x14ac:dyDescent="0.25">
      <c r="A2009" s="112"/>
      <c r="B2009" s="21" t="s">
        <v>5666</v>
      </c>
      <c r="C2009" s="21" t="s">
        <v>5667</v>
      </c>
      <c r="D2009" s="21" t="s">
        <v>3072</v>
      </c>
      <c r="E2009" s="50" t="b">
        <v>1</v>
      </c>
      <c r="F2009" s="72" t="str">
        <f>HYPERLINK("http://nsgreg.nga.mil/genc/view?v=293616&amp;end_month=6&amp;end_day=30&amp;end_year=2019","Kōchi")</f>
        <v>Kōchi</v>
      </c>
      <c r="G2009" s="72" t="str">
        <f>HYPERLINK("http://api.nsgreg.nga.mil/geo-division/GENC/6/3-11/JP-39","as:GENC:6:3-11:JP-39")</f>
        <v>as:GENC:6:3-11:JP-39</v>
      </c>
    </row>
    <row r="2010" spans="1:7" x14ac:dyDescent="0.25">
      <c r="A2010" s="112"/>
      <c r="B2010" s="21" t="s">
        <v>5668</v>
      </c>
      <c r="C2010" s="21" t="s">
        <v>5669</v>
      </c>
      <c r="D2010" s="21" t="s">
        <v>3072</v>
      </c>
      <c r="E2010" s="50" t="b">
        <v>1</v>
      </c>
      <c r="F2010" s="72" t="str">
        <f>HYPERLINK("http://nsgreg.nga.mil/genc/view?v=293620&amp;end_month=6&amp;end_day=30&amp;end_year=2019","Kumamoto")</f>
        <v>Kumamoto</v>
      </c>
      <c r="G2010" s="72" t="str">
        <f>HYPERLINK("http://api.nsgreg.nga.mil/geo-division/GENC/6/3-11/JP-43","as:GENC:6:3-11:JP-43")</f>
        <v>as:GENC:6:3-11:JP-43</v>
      </c>
    </row>
    <row r="2011" spans="1:7" x14ac:dyDescent="0.25">
      <c r="A2011" s="112"/>
      <c r="B2011" s="21" t="s">
        <v>5670</v>
      </c>
      <c r="C2011" s="21" t="s">
        <v>5671</v>
      </c>
      <c r="D2011" s="21" t="s">
        <v>5672</v>
      </c>
      <c r="E2011" s="50" t="b">
        <v>1</v>
      </c>
      <c r="F2011" s="72" t="str">
        <f>HYPERLINK("http://nsgreg.nga.mil/genc/view?v=293603&amp;end_month=6&amp;end_day=30&amp;end_year=2019","Kyōto")</f>
        <v>Kyōto</v>
      </c>
      <c r="G2011" s="72" t="str">
        <f>HYPERLINK("http://api.nsgreg.nga.mil/geo-division/GENC/6/3-11/JP-26","as:GENC:6:3-11:JP-26")</f>
        <v>as:GENC:6:3-11:JP-26</v>
      </c>
    </row>
    <row r="2012" spans="1:7" x14ac:dyDescent="0.25">
      <c r="A2012" s="112"/>
      <c r="B2012" s="21" t="s">
        <v>5673</v>
      </c>
      <c r="C2012" s="21" t="s">
        <v>5674</v>
      </c>
      <c r="D2012" s="21" t="s">
        <v>3072</v>
      </c>
      <c r="E2012" s="50" t="b">
        <v>1</v>
      </c>
      <c r="F2012" s="72" t="str">
        <f>HYPERLINK("http://nsgreg.nga.mil/genc/view?v=293601&amp;end_month=6&amp;end_day=30&amp;end_year=2019","Mie")</f>
        <v>Mie</v>
      </c>
      <c r="G2012" s="72" t="str">
        <f>HYPERLINK("http://api.nsgreg.nga.mil/geo-division/GENC/6/3-11/JP-24","as:GENC:6:3-11:JP-24")</f>
        <v>as:GENC:6:3-11:JP-24</v>
      </c>
    </row>
    <row r="2013" spans="1:7" x14ac:dyDescent="0.25">
      <c r="A2013" s="112"/>
      <c r="B2013" s="21" t="s">
        <v>5675</v>
      </c>
      <c r="C2013" s="21" t="s">
        <v>5676</v>
      </c>
      <c r="D2013" s="21" t="s">
        <v>3072</v>
      </c>
      <c r="E2013" s="50" t="b">
        <v>1</v>
      </c>
      <c r="F2013" s="72" t="str">
        <f>HYPERLINK("http://nsgreg.nga.mil/genc/view?v=293581&amp;end_month=6&amp;end_day=30&amp;end_year=2019","Miyagi")</f>
        <v>Miyagi</v>
      </c>
      <c r="G2013" s="72" t="str">
        <f>HYPERLINK("http://api.nsgreg.nga.mil/geo-division/GENC/6/3-11/JP-04","as:GENC:6:3-11:JP-04")</f>
        <v>as:GENC:6:3-11:JP-04</v>
      </c>
    </row>
    <row r="2014" spans="1:7" x14ac:dyDescent="0.25">
      <c r="A2014" s="112"/>
      <c r="B2014" s="21" t="s">
        <v>5677</v>
      </c>
      <c r="C2014" s="21" t="s">
        <v>5678</v>
      </c>
      <c r="D2014" s="21" t="s">
        <v>3072</v>
      </c>
      <c r="E2014" s="50" t="b">
        <v>1</v>
      </c>
      <c r="F2014" s="72" t="str">
        <f>HYPERLINK("http://nsgreg.nga.mil/genc/view?v=293622&amp;end_month=6&amp;end_day=30&amp;end_year=2019","Miyazaki")</f>
        <v>Miyazaki</v>
      </c>
      <c r="G2014" s="72" t="str">
        <f>HYPERLINK("http://api.nsgreg.nga.mil/geo-division/GENC/6/3-11/JP-45","as:GENC:6:3-11:JP-45")</f>
        <v>as:GENC:6:3-11:JP-45</v>
      </c>
    </row>
    <row r="2015" spans="1:7" x14ac:dyDescent="0.25">
      <c r="A2015" s="112"/>
      <c r="B2015" s="21" t="s">
        <v>5679</v>
      </c>
      <c r="C2015" s="21" t="s">
        <v>5680</v>
      </c>
      <c r="D2015" s="21" t="s">
        <v>3072</v>
      </c>
      <c r="E2015" s="50" t="b">
        <v>1</v>
      </c>
      <c r="F2015" s="72" t="str">
        <f>HYPERLINK("http://nsgreg.nga.mil/genc/view?v=293597&amp;end_month=6&amp;end_day=30&amp;end_year=2019","Nagano")</f>
        <v>Nagano</v>
      </c>
      <c r="G2015" s="72" t="str">
        <f>HYPERLINK("http://api.nsgreg.nga.mil/geo-division/GENC/6/3-11/JP-20","as:GENC:6:3-11:JP-20")</f>
        <v>as:GENC:6:3-11:JP-20</v>
      </c>
    </row>
    <row r="2016" spans="1:7" x14ac:dyDescent="0.25">
      <c r="A2016" s="112"/>
      <c r="B2016" s="21" t="s">
        <v>5681</v>
      </c>
      <c r="C2016" s="21" t="s">
        <v>5682</v>
      </c>
      <c r="D2016" s="21" t="s">
        <v>3072</v>
      </c>
      <c r="E2016" s="50" t="b">
        <v>1</v>
      </c>
      <c r="F2016" s="72" t="str">
        <f>HYPERLINK("http://nsgreg.nga.mil/genc/view?v=293619&amp;end_month=6&amp;end_day=30&amp;end_year=2019","Nagasaki")</f>
        <v>Nagasaki</v>
      </c>
      <c r="G2016" s="72" t="str">
        <f>HYPERLINK("http://api.nsgreg.nga.mil/geo-division/GENC/6/3-11/JP-42","as:GENC:6:3-11:JP-42")</f>
        <v>as:GENC:6:3-11:JP-42</v>
      </c>
    </row>
    <row r="2017" spans="1:7" x14ac:dyDescent="0.25">
      <c r="A2017" s="112"/>
      <c r="B2017" s="21" t="s">
        <v>5683</v>
      </c>
      <c r="C2017" s="21" t="s">
        <v>5684</v>
      </c>
      <c r="D2017" s="21" t="s">
        <v>3072</v>
      </c>
      <c r="E2017" s="50" t="b">
        <v>1</v>
      </c>
      <c r="F2017" s="72" t="str">
        <f>HYPERLINK("http://nsgreg.nga.mil/genc/view?v=293606&amp;end_month=6&amp;end_day=30&amp;end_year=2019","Nara")</f>
        <v>Nara</v>
      </c>
      <c r="G2017" s="72" t="str">
        <f>HYPERLINK("http://api.nsgreg.nga.mil/geo-division/GENC/6/3-11/JP-29","as:GENC:6:3-11:JP-29")</f>
        <v>as:GENC:6:3-11:JP-29</v>
      </c>
    </row>
    <row r="2018" spans="1:7" x14ac:dyDescent="0.25">
      <c r="A2018" s="112"/>
      <c r="B2018" s="21" t="s">
        <v>5685</v>
      </c>
      <c r="C2018" s="21" t="s">
        <v>5686</v>
      </c>
      <c r="D2018" s="21" t="s">
        <v>3072</v>
      </c>
      <c r="E2018" s="50" t="b">
        <v>1</v>
      </c>
      <c r="F2018" s="72" t="str">
        <f>HYPERLINK("http://nsgreg.nga.mil/genc/view?v=293592&amp;end_month=6&amp;end_day=30&amp;end_year=2019","Niigata")</f>
        <v>Niigata</v>
      </c>
      <c r="G2018" s="72" t="str">
        <f>HYPERLINK("http://api.nsgreg.nga.mil/geo-division/GENC/6/3-11/JP-15","as:GENC:6:3-11:JP-15")</f>
        <v>as:GENC:6:3-11:JP-15</v>
      </c>
    </row>
    <row r="2019" spans="1:7" x14ac:dyDescent="0.25">
      <c r="A2019" s="112"/>
      <c r="B2019" s="21" t="s">
        <v>5687</v>
      </c>
      <c r="C2019" s="21" t="s">
        <v>5688</v>
      </c>
      <c r="D2019" s="21" t="s">
        <v>3072</v>
      </c>
      <c r="E2019" s="50" t="b">
        <v>1</v>
      </c>
      <c r="F2019" s="72" t="str">
        <f>HYPERLINK("http://nsgreg.nga.mil/genc/view?v=293621&amp;end_month=6&amp;end_day=30&amp;end_year=2019","Ōita")</f>
        <v>Ōita</v>
      </c>
      <c r="G2019" s="72" t="str">
        <f>HYPERLINK("http://api.nsgreg.nga.mil/geo-division/GENC/6/3-11/JP-44","as:GENC:6:3-11:JP-44")</f>
        <v>as:GENC:6:3-11:JP-44</v>
      </c>
    </row>
    <row r="2020" spans="1:7" x14ac:dyDescent="0.25">
      <c r="A2020" s="112"/>
      <c r="B2020" s="21" t="s">
        <v>5689</v>
      </c>
      <c r="C2020" s="21" t="s">
        <v>5690</v>
      </c>
      <c r="D2020" s="21" t="s">
        <v>3072</v>
      </c>
      <c r="E2020" s="50" t="b">
        <v>1</v>
      </c>
      <c r="F2020" s="72" t="str">
        <f>HYPERLINK("http://nsgreg.nga.mil/genc/view?v=293610&amp;end_month=6&amp;end_day=30&amp;end_year=2019","Okayama")</f>
        <v>Okayama</v>
      </c>
      <c r="G2020" s="72" t="str">
        <f>HYPERLINK("http://api.nsgreg.nga.mil/geo-division/GENC/6/3-11/JP-33","as:GENC:6:3-11:JP-33")</f>
        <v>as:GENC:6:3-11:JP-33</v>
      </c>
    </row>
    <row r="2021" spans="1:7" x14ac:dyDescent="0.25">
      <c r="A2021" s="112"/>
      <c r="B2021" s="21" t="s">
        <v>5691</v>
      </c>
      <c r="C2021" s="21" t="s">
        <v>5692</v>
      </c>
      <c r="D2021" s="21" t="s">
        <v>3072</v>
      </c>
      <c r="E2021" s="50" t="b">
        <v>1</v>
      </c>
      <c r="F2021" s="72" t="str">
        <f>HYPERLINK("http://nsgreg.nga.mil/genc/view?v=293624&amp;end_month=6&amp;end_day=30&amp;end_year=2019","Okinawa")</f>
        <v>Okinawa</v>
      </c>
      <c r="G2021" s="72" t="str">
        <f>HYPERLINK("http://api.nsgreg.nga.mil/geo-division/GENC/6/3-11/JP-47","as:GENC:6:3-11:JP-47")</f>
        <v>as:GENC:6:3-11:JP-47</v>
      </c>
    </row>
    <row r="2022" spans="1:7" x14ac:dyDescent="0.25">
      <c r="A2022" s="112"/>
      <c r="B2022" s="21" t="s">
        <v>5693</v>
      </c>
      <c r="C2022" s="21" t="s">
        <v>5694</v>
      </c>
      <c r="D2022" s="21" t="s">
        <v>5672</v>
      </c>
      <c r="E2022" s="50" t="b">
        <v>1</v>
      </c>
      <c r="F2022" s="72" t="str">
        <f>HYPERLINK("http://nsgreg.nga.mil/genc/view?v=293604&amp;end_month=6&amp;end_day=30&amp;end_year=2019","Ōsaka")</f>
        <v>Ōsaka</v>
      </c>
      <c r="G2022" s="72" t="str">
        <f>HYPERLINK("http://api.nsgreg.nga.mil/geo-division/GENC/6/3-11/JP-27","as:GENC:6:3-11:JP-27")</f>
        <v>as:GENC:6:3-11:JP-27</v>
      </c>
    </row>
    <row r="2023" spans="1:7" x14ac:dyDescent="0.25">
      <c r="A2023" s="112"/>
      <c r="B2023" s="21" t="s">
        <v>5695</v>
      </c>
      <c r="C2023" s="21" t="s">
        <v>5696</v>
      </c>
      <c r="D2023" s="21" t="s">
        <v>3072</v>
      </c>
      <c r="E2023" s="50" t="b">
        <v>1</v>
      </c>
      <c r="F2023" s="72" t="str">
        <f>HYPERLINK("http://nsgreg.nga.mil/genc/view?v=293618&amp;end_month=6&amp;end_day=30&amp;end_year=2019","Saga")</f>
        <v>Saga</v>
      </c>
      <c r="G2023" s="72" t="str">
        <f>HYPERLINK("http://api.nsgreg.nga.mil/geo-division/GENC/6/3-11/JP-41","as:GENC:6:3-11:JP-41")</f>
        <v>as:GENC:6:3-11:JP-41</v>
      </c>
    </row>
    <row r="2024" spans="1:7" x14ac:dyDescent="0.25">
      <c r="A2024" s="112"/>
      <c r="B2024" s="21" t="s">
        <v>5697</v>
      </c>
      <c r="C2024" s="21" t="s">
        <v>5698</v>
      </c>
      <c r="D2024" s="21" t="s">
        <v>3072</v>
      </c>
      <c r="E2024" s="50" t="b">
        <v>1</v>
      </c>
      <c r="F2024" s="72" t="str">
        <f>HYPERLINK("http://nsgreg.nga.mil/genc/view?v=293588&amp;end_month=6&amp;end_day=30&amp;end_year=2019","Saitama")</f>
        <v>Saitama</v>
      </c>
      <c r="G2024" s="72" t="str">
        <f>HYPERLINK("http://api.nsgreg.nga.mil/geo-division/GENC/6/3-11/JP-11","as:GENC:6:3-11:JP-11")</f>
        <v>as:GENC:6:3-11:JP-11</v>
      </c>
    </row>
    <row r="2025" spans="1:7" x14ac:dyDescent="0.25">
      <c r="A2025" s="112"/>
      <c r="B2025" s="21" t="s">
        <v>5699</v>
      </c>
      <c r="C2025" s="21" t="s">
        <v>5700</v>
      </c>
      <c r="D2025" s="21" t="s">
        <v>3072</v>
      </c>
      <c r="E2025" s="50" t="b">
        <v>1</v>
      </c>
      <c r="F2025" s="72" t="str">
        <f>HYPERLINK("http://nsgreg.nga.mil/genc/view?v=293602&amp;end_month=6&amp;end_day=30&amp;end_year=2019","Shiga")</f>
        <v>Shiga</v>
      </c>
      <c r="G2025" s="72" t="str">
        <f>HYPERLINK("http://api.nsgreg.nga.mil/geo-division/GENC/6/3-11/JP-25","as:GENC:6:3-11:JP-25")</f>
        <v>as:GENC:6:3-11:JP-25</v>
      </c>
    </row>
    <row r="2026" spans="1:7" x14ac:dyDescent="0.25">
      <c r="A2026" s="112"/>
      <c r="B2026" s="21" t="s">
        <v>5701</v>
      </c>
      <c r="C2026" s="21" t="s">
        <v>5702</v>
      </c>
      <c r="D2026" s="21" t="s">
        <v>3072</v>
      </c>
      <c r="E2026" s="50" t="b">
        <v>1</v>
      </c>
      <c r="F2026" s="72" t="str">
        <f>HYPERLINK("http://nsgreg.nga.mil/genc/view?v=293609&amp;end_month=6&amp;end_day=30&amp;end_year=2019","Shimane")</f>
        <v>Shimane</v>
      </c>
      <c r="G2026" s="72" t="str">
        <f>HYPERLINK("http://api.nsgreg.nga.mil/geo-division/GENC/6/3-11/JP-32","as:GENC:6:3-11:JP-32")</f>
        <v>as:GENC:6:3-11:JP-32</v>
      </c>
    </row>
    <row r="2027" spans="1:7" x14ac:dyDescent="0.25">
      <c r="A2027" s="112"/>
      <c r="B2027" s="21" t="s">
        <v>5703</v>
      </c>
      <c r="C2027" s="21" t="s">
        <v>5704</v>
      </c>
      <c r="D2027" s="21" t="s">
        <v>3072</v>
      </c>
      <c r="E2027" s="50" t="b">
        <v>1</v>
      </c>
      <c r="F2027" s="72" t="str">
        <f>HYPERLINK("http://nsgreg.nga.mil/genc/view?v=293599&amp;end_month=6&amp;end_day=30&amp;end_year=2019","Shizuoka")</f>
        <v>Shizuoka</v>
      </c>
      <c r="G2027" s="72" t="str">
        <f>HYPERLINK("http://api.nsgreg.nga.mil/geo-division/GENC/6/3-11/JP-22","as:GENC:6:3-11:JP-22")</f>
        <v>as:GENC:6:3-11:JP-22</v>
      </c>
    </row>
    <row r="2028" spans="1:7" x14ac:dyDescent="0.25">
      <c r="A2028" s="112"/>
      <c r="B2028" s="21" t="s">
        <v>5705</v>
      </c>
      <c r="C2028" s="21" t="s">
        <v>5706</v>
      </c>
      <c r="D2028" s="21" t="s">
        <v>3072</v>
      </c>
      <c r="E2028" s="50" t="b">
        <v>1</v>
      </c>
      <c r="F2028" s="72" t="str">
        <f>HYPERLINK("http://nsgreg.nga.mil/genc/view?v=293586&amp;end_month=6&amp;end_day=30&amp;end_year=2019","Tochigi")</f>
        <v>Tochigi</v>
      </c>
      <c r="G2028" s="72" t="str">
        <f>HYPERLINK("http://api.nsgreg.nga.mil/geo-division/GENC/6/3-11/JP-09","as:GENC:6:3-11:JP-09")</f>
        <v>as:GENC:6:3-11:JP-09</v>
      </c>
    </row>
    <row r="2029" spans="1:7" x14ac:dyDescent="0.25">
      <c r="A2029" s="112"/>
      <c r="B2029" s="21" t="s">
        <v>5707</v>
      </c>
      <c r="C2029" s="21" t="s">
        <v>5708</v>
      </c>
      <c r="D2029" s="21" t="s">
        <v>3072</v>
      </c>
      <c r="E2029" s="50" t="b">
        <v>1</v>
      </c>
      <c r="F2029" s="72" t="str">
        <f>HYPERLINK("http://nsgreg.nga.mil/genc/view?v=293613&amp;end_month=6&amp;end_day=30&amp;end_year=2019","Tokushima")</f>
        <v>Tokushima</v>
      </c>
      <c r="G2029" s="72" t="str">
        <f>HYPERLINK("http://api.nsgreg.nga.mil/geo-division/GENC/6/3-11/JP-36","as:GENC:6:3-11:JP-36")</f>
        <v>as:GENC:6:3-11:JP-36</v>
      </c>
    </row>
    <row r="2030" spans="1:7" x14ac:dyDescent="0.25">
      <c r="A2030" s="112"/>
      <c r="B2030" s="21" t="s">
        <v>5709</v>
      </c>
      <c r="C2030" s="21" t="s">
        <v>5710</v>
      </c>
      <c r="D2030" s="21" t="s">
        <v>3257</v>
      </c>
      <c r="E2030" s="50" t="b">
        <v>1</v>
      </c>
      <c r="F2030" s="72" t="str">
        <f>HYPERLINK("http://nsgreg.nga.mil/genc/view?v=293590&amp;end_month=6&amp;end_day=30&amp;end_year=2019","Tōkyō")</f>
        <v>Tōkyō</v>
      </c>
      <c r="G2030" s="72" t="str">
        <f>HYPERLINK("http://api.nsgreg.nga.mil/geo-division/GENC/6/3-11/JP-13","as:GENC:6:3-11:JP-13")</f>
        <v>as:GENC:6:3-11:JP-13</v>
      </c>
    </row>
    <row r="2031" spans="1:7" x14ac:dyDescent="0.25">
      <c r="A2031" s="112"/>
      <c r="B2031" s="21" t="s">
        <v>5711</v>
      </c>
      <c r="C2031" s="21" t="s">
        <v>5712</v>
      </c>
      <c r="D2031" s="21" t="s">
        <v>3072</v>
      </c>
      <c r="E2031" s="50" t="b">
        <v>1</v>
      </c>
      <c r="F2031" s="72" t="str">
        <f>HYPERLINK("http://nsgreg.nga.mil/genc/view?v=293608&amp;end_month=6&amp;end_day=30&amp;end_year=2019","Tottori")</f>
        <v>Tottori</v>
      </c>
      <c r="G2031" s="72" t="str">
        <f>HYPERLINK("http://api.nsgreg.nga.mil/geo-division/GENC/6/3-11/JP-31","as:GENC:6:3-11:JP-31")</f>
        <v>as:GENC:6:3-11:JP-31</v>
      </c>
    </row>
    <row r="2032" spans="1:7" x14ac:dyDescent="0.25">
      <c r="A2032" s="112"/>
      <c r="B2032" s="21" t="s">
        <v>5713</v>
      </c>
      <c r="C2032" s="21" t="s">
        <v>5714</v>
      </c>
      <c r="D2032" s="21" t="s">
        <v>3072</v>
      </c>
      <c r="E2032" s="50" t="b">
        <v>1</v>
      </c>
      <c r="F2032" s="72" t="str">
        <f>HYPERLINK("http://nsgreg.nga.mil/genc/view?v=293593&amp;end_month=6&amp;end_day=30&amp;end_year=2019","Toyama")</f>
        <v>Toyama</v>
      </c>
      <c r="G2032" s="72" t="str">
        <f>HYPERLINK("http://api.nsgreg.nga.mil/geo-division/GENC/6/3-11/JP-16","as:GENC:6:3-11:JP-16")</f>
        <v>as:GENC:6:3-11:JP-16</v>
      </c>
    </row>
    <row r="2033" spans="1:7" x14ac:dyDescent="0.25">
      <c r="A2033" s="112"/>
      <c r="B2033" s="21" t="s">
        <v>5715</v>
      </c>
      <c r="C2033" s="21" t="s">
        <v>5716</v>
      </c>
      <c r="D2033" s="21" t="s">
        <v>3072</v>
      </c>
      <c r="E2033" s="50" t="b">
        <v>1</v>
      </c>
      <c r="F2033" s="72" t="str">
        <f>HYPERLINK("http://nsgreg.nga.mil/genc/view?v=293607&amp;end_month=6&amp;end_day=30&amp;end_year=2019","Wakayama")</f>
        <v>Wakayama</v>
      </c>
      <c r="G2033" s="72" t="str">
        <f>HYPERLINK("http://api.nsgreg.nga.mil/geo-division/GENC/6/3-11/JP-30","as:GENC:6:3-11:JP-30")</f>
        <v>as:GENC:6:3-11:JP-30</v>
      </c>
    </row>
    <row r="2034" spans="1:7" x14ac:dyDescent="0.25">
      <c r="A2034" s="112"/>
      <c r="B2034" s="21" t="s">
        <v>5717</v>
      </c>
      <c r="C2034" s="21" t="s">
        <v>5718</v>
      </c>
      <c r="D2034" s="21" t="s">
        <v>3072</v>
      </c>
      <c r="E2034" s="50" t="b">
        <v>1</v>
      </c>
      <c r="F2034" s="72" t="str">
        <f>HYPERLINK("http://nsgreg.nga.mil/genc/view?v=293583&amp;end_month=6&amp;end_day=30&amp;end_year=2019","Yamagata")</f>
        <v>Yamagata</v>
      </c>
      <c r="G2034" s="72" t="str">
        <f>HYPERLINK("http://api.nsgreg.nga.mil/geo-division/GENC/6/3-11/JP-06","as:GENC:6:3-11:JP-06")</f>
        <v>as:GENC:6:3-11:JP-06</v>
      </c>
    </row>
    <row r="2035" spans="1:7" x14ac:dyDescent="0.25">
      <c r="A2035" s="112"/>
      <c r="B2035" s="21" t="s">
        <v>5719</v>
      </c>
      <c r="C2035" s="21" t="s">
        <v>5720</v>
      </c>
      <c r="D2035" s="21" t="s">
        <v>3072</v>
      </c>
      <c r="E2035" s="50" t="b">
        <v>1</v>
      </c>
      <c r="F2035" s="72" t="str">
        <f>HYPERLINK("http://nsgreg.nga.mil/genc/view?v=293612&amp;end_month=6&amp;end_day=30&amp;end_year=2019","Yamaguchi")</f>
        <v>Yamaguchi</v>
      </c>
      <c r="G2035" s="72" t="str">
        <f>HYPERLINK("http://api.nsgreg.nga.mil/geo-division/GENC/6/3-11/JP-35","as:GENC:6:3-11:JP-35")</f>
        <v>as:GENC:6:3-11:JP-35</v>
      </c>
    </row>
    <row r="2036" spans="1:7" x14ac:dyDescent="0.25">
      <c r="A2036" s="113"/>
      <c r="B2036" s="47" t="s">
        <v>5721</v>
      </c>
      <c r="C2036" s="47" t="s">
        <v>5722</v>
      </c>
      <c r="D2036" s="47" t="s">
        <v>3072</v>
      </c>
      <c r="E2036" s="51" t="b">
        <v>1</v>
      </c>
      <c r="F2036" s="73" t="str">
        <f>HYPERLINK("http://nsgreg.nga.mil/genc/view?v=293596&amp;end_month=6&amp;end_day=30&amp;end_year=2019","Yamanashi")</f>
        <v>Yamanashi</v>
      </c>
      <c r="G2036" s="73" t="str">
        <f>HYPERLINK("http://api.nsgreg.nga.mil/geo-division/GENC/6/3-11/JP-19","as:GENC:6:3-11:JP-19")</f>
        <v>as:GENC:6:3-11:JP-19</v>
      </c>
    </row>
    <row r="2037" spans="1:7" x14ac:dyDescent="0.25">
      <c r="A2037" s="111" t="str">
        <f>HYPERLINK("[#]Codes_for_GE_Names!A139:I139","JORDAN")</f>
        <v>JORDAN</v>
      </c>
      <c r="B2037" s="42" t="s">
        <v>5723</v>
      </c>
      <c r="C2037" s="42" t="s">
        <v>5724</v>
      </c>
      <c r="D2037" s="42" t="s">
        <v>2255</v>
      </c>
      <c r="E2037" s="49" t="b">
        <v>1</v>
      </c>
      <c r="F2037" s="74" t="str">
        <f>HYPERLINK("http://nsgreg.nga.mil/genc/view?v=293566&amp;end_month=6&amp;end_day=30&amp;end_year=2019","‘Ajlūn")</f>
        <v>‘Ajlūn</v>
      </c>
      <c r="G2037" s="74" t="str">
        <f>HYPERLINK("http://api.nsgreg.nga.mil/geo-division/GENC/6/3-11/JO-AJ","as:GENC:6:3-11:JO-AJ")</f>
        <v>as:GENC:6:3-11:JO-AJ</v>
      </c>
    </row>
    <row r="2038" spans="1:7" x14ac:dyDescent="0.25">
      <c r="A2038" s="112"/>
      <c r="B2038" s="21" t="s">
        <v>5725</v>
      </c>
      <c r="C2038" s="21" t="s">
        <v>5726</v>
      </c>
      <c r="D2038" s="21" t="s">
        <v>2255</v>
      </c>
      <c r="E2038" s="50" t="b">
        <v>1</v>
      </c>
      <c r="F2038" s="72" t="str">
        <f>HYPERLINK("http://nsgreg.nga.mil/genc/view?v=293568&amp;end_month=6&amp;end_day=30&amp;end_year=2019","Al ‘Aqabah")</f>
        <v>Al ‘Aqabah</v>
      </c>
      <c r="G2038" s="72" t="str">
        <f>HYPERLINK("http://api.nsgreg.nga.mil/geo-division/GENC/6/3-11/JO-AQ","as:GENC:6:3-11:JO-AQ")</f>
        <v>as:GENC:6:3-11:JO-AQ</v>
      </c>
    </row>
    <row r="2039" spans="1:7" x14ac:dyDescent="0.25">
      <c r="A2039" s="112"/>
      <c r="B2039" s="21" t="s">
        <v>5727</v>
      </c>
      <c r="C2039" s="21" t="s">
        <v>2254</v>
      </c>
      <c r="D2039" s="21" t="s">
        <v>2255</v>
      </c>
      <c r="E2039" s="50" t="b">
        <v>1</v>
      </c>
      <c r="F2039" s="72" t="str">
        <f>HYPERLINK("http://nsgreg.nga.mil/genc/view?v=293567&amp;end_month=6&amp;end_day=30&amp;end_year=2019","Al ‘Āşimah")</f>
        <v>Al ‘Āşimah</v>
      </c>
      <c r="G2039" s="72" t="str">
        <f>HYPERLINK("http://api.nsgreg.nga.mil/geo-division/GENC/6/3-11/JO-AM","as:GENC:6:3-11:JO-AM")</f>
        <v>as:GENC:6:3-11:JO-AM</v>
      </c>
    </row>
    <row r="2040" spans="1:7" x14ac:dyDescent="0.25">
      <c r="A2040" s="112"/>
      <c r="B2040" s="21" t="s">
        <v>5728</v>
      </c>
      <c r="C2040" s="21" t="s">
        <v>5729</v>
      </c>
      <c r="D2040" s="21" t="s">
        <v>2255</v>
      </c>
      <c r="E2040" s="50" t="b">
        <v>1</v>
      </c>
      <c r="F2040" s="72" t="str">
        <f>HYPERLINK("http://nsgreg.nga.mil/genc/view?v=293571&amp;end_month=6&amp;end_day=30&amp;end_year=2019","Al Balqā’")</f>
        <v>Al Balqā’</v>
      </c>
      <c r="G2040" s="72" t="str">
        <f>HYPERLINK("http://api.nsgreg.nga.mil/geo-division/GENC/6/3-11/JO-BA","as:GENC:6:3-11:JO-BA")</f>
        <v>as:GENC:6:3-11:JO-BA</v>
      </c>
    </row>
    <row r="2041" spans="1:7" x14ac:dyDescent="0.25">
      <c r="A2041" s="112"/>
      <c r="B2041" s="21" t="s">
        <v>5730</v>
      </c>
      <c r="C2041" s="21" t="s">
        <v>5731</v>
      </c>
      <c r="D2041" s="21" t="s">
        <v>2255</v>
      </c>
      <c r="E2041" s="50" t="b">
        <v>1</v>
      </c>
      <c r="F2041" s="72" t="str">
        <f>HYPERLINK("http://nsgreg.nga.mil/genc/view?v=293574&amp;end_month=6&amp;end_day=30&amp;end_year=2019","Al Karak")</f>
        <v>Al Karak</v>
      </c>
      <c r="G2041" s="72" t="str">
        <f>HYPERLINK("http://api.nsgreg.nga.mil/geo-division/GENC/6/3-11/JO-KA","as:GENC:6:3-11:JO-KA")</f>
        <v>as:GENC:6:3-11:JO-KA</v>
      </c>
    </row>
    <row r="2042" spans="1:7" x14ac:dyDescent="0.25">
      <c r="A2042" s="112"/>
      <c r="B2042" s="21" t="s">
        <v>5732</v>
      </c>
      <c r="C2042" s="21" t="s">
        <v>5733</v>
      </c>
      <c r="D2042" s="21" t="s">
        <v>2255</v>
      </c>
      <c r="E2042" s="50" t="b">
        <v>1</v>
      </c>
      <c r="F2042" s="72" t="str">
        <f>HYPERLINK("http://nsgreg.nga.mil/genc/view?v=293575&amp;end_month=6&amp;end_day=30&amp;end_year=2019","Al Mafraq")</f>
        <v>Al Mafraq</v>
      </c>
      <c r="G2042" s="72" t="str">
        <f>HYPERLINK("http://api.nsgreg.nga.mil/geo-division/GENC/6/3-11/JO-MA","as:GENC:6:3-11:JO-MA")</f>
        <v>as:GENC:6:3-11:JO-MA</v>
      </c>
    </row>
    <row r="2043" spans="1:7" x14ac:dyDescent="0.25">
      <c r="A2043" s="112"/>
      <c r="B2043" s="21" t="s">
        <v>5734</v>
      </c>
      <c r="C2043" s="21" t="s">
        <v>5735</v>
      </c>
      <c r="D2043" s="21" t="s">
        <v>2255</v>
      </c>
      <c r="E2043" s="50" t="b">
        <v>1</v>
      </c>
      <c r="F2043" s="72" t="str">
        <f>HYPERLINK("http://nsgreg.nga.mil/genc/view?v=293569&amp;end_month=6&amp;end_day=30&amp;end_year=2019","Aţ Ţafīlah")</f>
        <v>Aţ Ţafīlah</v>
      </c>
      <c r="G2043" s="72" t="str">
        <f>HYPERLINK("http://api.nsgreg.nga.mil/geo-division/GENC/6/3-11/JO-AT","as:GENC:6:3-11:JO-AT")</f>
        <v>as:GENC:6:3-11:JO-AT</v>
      </c>
    </row>
    <row r="2044" spans="1:7" x14ac:dyDescent="0.25">
      <c r="A2044" s="112"/>
      <c r="B2044" s="21" t="s">
        <v>5736</v>
      </c>
      <c r="C2044" s="21" t="s">
        <v>5737</v>
      </c>
      <c r="D2044" s="21" t="s">
        <v>2255</v>
      </c>
      <c r="E2044" s="50" t="b">
        <v>1</v>
      </c>
      <c r="F2044" s="72" t="str">
        <f>HYPERLINK("http://nsgreg.nga.mil/genc/view?v=293570&amp;end_month=6&amp;end_day=30&amp;end_year=2019","Az Zarqā’")</f>
        <v>Az Zarqā’</v>
      </c>
      <c r="G2044" s="72" t="str">
        <f>HYPERLINK("http://api.nsgreg.nga.mil/geo-division/GENC/6/3-11/JO-AZ","as:GENC:6:3-11:JO-AZ")</f>
        <v>as:GENC:6:3-11:JO-AZ</v>
      </c>
    </row>
    <row r="2045" spans="1:7" x14ac:dyDescent="0.25">
      <c r="A2045" s="112"/>
      <c r="B2045" s="21" t="s">
        <v>5738</v>
      </c>
      <c r="C2045" s="21" t="s">
        <v>5739</v>
      </c>
      <c r="D2045" s="21" t="s">
        <v>2255</v>
      </c>
      <c r="E2045" s="50" t="b">
        <v>1</v>
      </c>
      <c r="F2045" s="72" t="str">
        <f>HYPERLINK("http://nsgreg.nga.mil/genc/view?v=293572&amp;end_month=6&amp;end_day=30&amp;end_year=2019","Irbid")</f>
        <v>Irbid</v>
      </c>
      <c r="G2045" s="72" t="str">
        <f>HYPERLINK("http://api.nsgreg.nga.mil/geo-division/GENC/6/3-11/JO-IR","as:GENC:6:3-11:JO-IR")</f>
        <v>as:GENC:6:3-11:JO-IR</v>
      </c>
    </row>
    <row r="2046" spans="1:7" x14ac:dyDescent="0.25">
      <c r="A2046" s="112"/>
      <c r="B2046" s="21" t="s">
        <v>5740</v>
      </c>
      <c r="C2046" s="21" t="s">
        <v>5741</v>
      </c>
      <c r="D2046" s="21" t="s">
        <v>2255</v>
      </c>
      <c r="E2046" s="50" t="b">
        <v>1</v>
      </c>
      <c r="F2046" s="72" t="str">
        <f>HYPERLINK("http://nsgreg.nga.mil/genc/view?v=293573&amp;end_month=6&amp;end_day=30&amp;end_year=2019","Jarash")</f>
        <v>Jarash</v>
      </c>
      <c r="G2046" s="72" t="str">
        <f>HYPERLINK("http://api.nsgreg.nga.mil/geo-division/GENC/6/3-11/JO-JA","as:GENC:6:3-11:JO-JA")</f>
        <v>as:GENC:6:3-11:JO-JA</v>
      </c>
    </row>
    <row r="2047" spans="1:7" x14ac:dyDescent="0.25">
      <c r="A2047" s="112"/>
      <c r="B2047" s="21" t="s">
        <v>5742</v>
      </c>
      <c r="C2047" s="21" t="s">
        <v>5743</v>
      </c>
      <c r="D2047" s="21" t="s">
        <v>2255</v>
      </c>
      <c r="E2047" s="50" t="b">
        <v>1</v>
      </c>
      <c r="F2047" s="72" t="str">
        <f>HYPERLINK("http://nsgreg.nga.mil/genc/view?v=293577&amp;end_month=6&amp;end_day=30&amp;end_year=2019","Ma‘ān")</f>
        <v>Ma‘ān</v>
      </c>
      <c r="G2047" s="72" t="str">
        <f>HYPERLINK("http://api.nsgreg.nga.mil/geo-division/GENC/6/3-11/JO-MN","as:GENC:6:3-11:JO-MN")</f>
        <v>as:GENC:6:3-11:JO-MN</v>
      </c>
    </row>
    <row r="2048" spans="1:7" x14ac:dyDescent="0.25">
      <c r="A2048" s="113"/>
      <c r="B2048" s="47" t="s">
        <v>5744</v>
      </c>
      <c r="C2048" s="47" t="s">
        <v>5745</v>
      </c>
      <c r="D2048" s="47" t="s">
        <v>2255</v>
      </c>
      <c r="E2048" s="51" t="b">
        <v>1</v>
      </c>
      <c r="F2048" s="73" t="str">
        <f>HYPERLINK("http://nsgreg.nga.mil/genc/view?v=293576&amp;end_month=6&amp;end_day=30&amp;end_year=2019","Mādabā")</f>
        <v>Mādabā</v>
      </c>
      <c r="G2048" s="73" t="str">
        <f>HYPERLINK("http://api.nsgreg.nga.mil/geo-division/GENC/6/3-11/JO-MD","as:GENC:6:3-11:JO-MD")</f>
        <v>as:GENC:6:3-11:JO-MD</v>
      </c>
    </row>
    <row r="2049" spans="1:7" x14ac:dyDescent="0.25">
      <c r="A2049" s="111" t="str">
        <f>HYPERLINK("[#]Codes_for_GE_Names!A141:I141","KAZAKHSTAN")</f>
        <v>KAZAKHSTAN</v>
      </c>
      <c r="B2049" s="42" t="s">
        <v>5746</v>
      </c>
      <c r="C2049" s="42" t="s">
        <v>5747</v>
      </c>
      <c r="D2049" s="42" t="s">
        <v>1996</v>
      </c>
      <c r="E2049" s="49" t="b">
        <v>1</v>
      </c>
      <c r="F2049" s="74" t="str">
        <f>HYPERLINK("http://nsgreg.nga.mil/genc/view?v=293765&amp;end_month=6&amp;end_day=30&amp;end_year=2019","Almaty")</f>
        <v>Almaty</v>
      </c>
      <c r="G2049" s="74" t="str">
        <f>HYPERLINK("http://api.nsgreg.nga.mil/geo-division/GENC/6/3-11/KZ-ALA","as:GENC:6:3-11:KZ-ALA")</f>
        <v>as:GENC:6:3-11:KZ-ALA</v>
      </c>
    </row>
    <row r="2050" spans="1:7" x14ac:dyDescent="0.25">
      <c r="A2050" s="112"/>
      <c r="B2050" s="21" t="s">
        <v>5748</v>
      </c>
      <c r="C2050" s="21" t="s">
        <v>5747</v>
      </c>
      <c r="D2050" s="21" t="s">
        <v>1668</v>
      </c>
      <c r="E2050" s="50" t="b">
        <v>1</v>
      </c>
      <c r="F2050" s="72" t="str">
        <f>HYPERLINK("http://nsgreg.nga.mil/genc/view?v=293766&amp;end_month=6&amp;end_day=30&amp;end_year=2019","Almaty")</f>
        <v>Almaty</v>
      </c>
      <c r="G2050" s="72" t="str">
        <f>HYPERLINK("http://api.nsgreg.nga.mil/geo-division/GENC/6/3-11/KZ-ALM","as:GENC:6:3-11:KZ-ALM")</f>
        <v>as:GENC:6:3-11:KZ-ALM</v>
      </c>
    </row>
    <row r="2051" spans="1:7" x14ac:dyDescent="0.25">
      <c r="A2051" s="112"/>
      <c r="B2051" s="21" t="s">
        <v>5749</v>
      </c>
      <c r="C2051" s="21" t="s">
        <v>5750</v>
      </c>
      <c r="D2051" s="21" t="s">
        <v>1668</v>
      </c>
      <c r="E2051" s="50" t="b">
        <v>1</v>
      </c>
      <c r="F2051" s="72" t="str">
        <f>HYPERLINK("http://nsgreg.nga.mil/genc/view?v=293763&amp;end_month=6&amp;end_day=30&amp;end_year=2019","Aqmola")</f>
        <v>Aqmola</v>
      </c>
      <c r="G2051" s="72" t="str">
        <f>HYPERLINK("http://api.nsgreg.nga.mil/geo-division/GENC/6/3-11/KZ-AKM","as:GENC:6:3-11:KZ-AKM")</f>
        <v>as:GENC:6:3-11:KZ-AKM</v>
      </c>
    </row>
    <row r="2052" spans="1:7" x14ac:dyDescent="0.25">
      <c r="A2052" s="112"/>
      <c r="B2052" s="21" t="s">
        <v>5751</v>
      </c>
      <c r="C2052" s="21" t="s">
        <v>5752</v>
      </c>
      <c r="D2052" s="21" t="s">
        <v>1668</v>
      </c>
      <c r="E2052" s="50" t="b">
        <v>1</v>
      </c>
      <c r="F2052" s="72" t="str">
        <f>HYPERLINK("http://nsgreg.nga.mil/genc/view?v=293764&amp;end_month=6&amp;end_day=30&amp;end_year=2019","Aqtöbe")</f>
        <v>Aqtöbe</v>
      </c>
      <c r="G2052" s="72" t="str">
        <f>HYPERLINK("http://api.nsgreg.nga.mil/geo-division/GENC/6/3-11/KZ-AKT","as:GENC:6:3-11:KZ-AKT")</f>
        <v>as:GENC:6:3-11:KZ-AKT</v>
      </c>
    </row>
    <row r="2053" spans="1:7" x14ac:dyDescent="0.25">
      <c r="A2053" s="112"/>
      <c r="B2053" s="21" t="s">
        <v>5753</v>
      </c>
      <c r="C2053" s="21" t="s">
        <v>5754</v>
      </c>
      <c r="D2053" s="21" t="s">
        <v>1996</v>
      </c>
      <c r="E2053" s="50" t="b">
        <v>1</v>
      </c>
      <c r="F2053" s="72" t="str">
        <f>HYPERLINK("http://nsgreg.nga.mil/genc/view?v=293767&amp;end_month=6&amp;end_day=30&amp;end_year=2019","Astana")</f>
        <v>Astana</v>
      </c>
      <c r="G2053" s="72" t="str">
        <f>HYPERLINK("http://api.nsgreg.nga.mil/geo-division/GENC/6/3-11/KZ-AST","as:GENC:6:3-11:KZ-AST")</f>
        <v>as:GENC:6:3-11:KZ-AST</v>
      </c>
    </row>
    <row r="2054" spans="1:7" x14ac:dyDescent="0.25">
      <c r="A2054" s="112"/>
      <c r="B2054" s="21" t="s">
        <v>5755</v>
      </c>
      <c r="C2054" s="21" t="s">
        <v>5756</v>
      </c>
      <c r="D2054" s="21" t="s">
        <v>1668</v>
      </c>
      <c r="E2054" s="50" t="b">
        <v>1</v>
      </c>
      <c r="F2054" s="72" t="str">
        <f>HYPERLINK("http://nsgreg.nga.mil/genc/view?v=293768&amp;end_month=6&amp;end_day=30&amp;end_year=2019","Atyraū")</f>
        <v>Atyraū</v>
      </c>
      <c r="G2054" s="72" t="str">
        <f>HYPERLINK("http://api.nsgreg.nga.mil/geo-division/GENC/6/3-11/KZ-ATY","as:GENC:6:3-11:KZ-ATY")</f>
        <v>as:GENC:6:3-11:KZ-ATY</v>
      </c>
    </row>
    <row r="2055" spans="1:7" x14ac:dyDescent="0.25">
      <c r="A2055" s="112"/>
      <c r="B2055" s="21" t="s">
        <v>5757</v>
      </c>
      <c r="C2055" s="21" t="s">
        <v>5758</v>
      </c>
      <c r="D2055" s="21" t="s">
        <v>1668</v>
      </c>
      <c r="E2055" s="50" t="b">
        <v>1</v>
      </c>
      <c r="F2055" s="72" t="str">
        <f>HYPERLINK("http://nsgreg.nga.mil/genc/view?v=293776&amp;end_month=6&amp;end_day=30&amp;end_year=2019","East Kazakhstan")</f>
        <v>East Kazakhstan</v>
      </c>
      <c r="G2055" s="72" t="str">
        <f>HYPERLINK("http://api.nsgreg.nga.mil/geo-division/GENC/6/3-11/KZ-VOS","as:GENC:6:3-11:KZ-VOS")</f>
        <v>as:GENC:6:3-11:KZ-VOS</v>
      </c>
    </row>
    <row r="2056" spans="1:7" x14ac:dyDescent="0.25">
      <c r="A2056" s="112"/>
      <c r="B2056" s="21" t="s">
        <v>5759</v>
      </c>
      <c r="C2056" s="21" t="s">
        <v>5760</v>
      </c>
      <c r="D2056" s="21" t="s">
        <v>1668</v>
      </c>
      <c r="E2056" s="50" t="b">
        <v>1</v>
      </c>
      <c r="F2056" s="72" t="str">
        <f>HYPERLINK("http://nsgreg.nga.mil/genc/view?v=293772&amp;end_month=6&amp;end_day=30&amp;end_year=2019","Mangghystaū")</f>
        <v>Mangghystaū</v>
      </c>
      <c r="G2056" s="72" t="str">
        <f>HYPERLINK("http://api.nsgreg.nga.mil/geo-division/GENC/6/3-11/KZ-MAN","as:GENC:6:3-11:KZ-MAN")</f>
        <v>as:GENC:6:3-11:KZ-MAN</v>
      </c>
    </row>
    <row r="2057" spans="1:7" x14ac:dyDescent="0.25">
      <c r="A2057" s="112"/>
      <c r="B2057" s="21" t="s">
        <v>5761</v>
      </c>
      <c r="C2057" s="21" t="s">
        <v>5762</v>
      </c>
      <c r="D2057" s="21" t="s">
        <v>1668</v>
      </c>
      <c r="E2057" s="50" t="b">
        <v>1</v>
      </c>
      <c r="F2057" s="72" t="str">
        <f>HYPERLINK("http://nsgreg.nga.mil/genc/view?v=293774&amp;end_month=6&amp;end_day=30&amp;end_year=2019","North Kazakhstan")</f>
        <v>North Kazakhstan</v>
      </c>
      <c r="G2057" s="72" t="str">
        <f>HYPERLINK("http://api.nsgreg.nga.mil/geo-division/GENC/6/3-11/KZ-SEV","as:GENC:6:3-11:KZ-SEV")</f>
        <v>as:GENC:6:3-11:KZ-SEV</v>
      </c>
    </row>
    <row r="2058" spans="1:7" x14ac:dyDescent="0.25">
      <c r="A2058" s="112"/>
      <c r="B2058" s="21" t="s">
        <v>5763</v>
      </c>
      <c r="C2058" s="21" t="s">
        <v>5764</v>
      </c>
      <c r="D2058" s="21" t="s">
        <v>1668</v>
      </c>
      <c r="E2058" s="50" t="b">
        <v>1</v>
      </c>
      <c r="F2058" s="72" t="str">
        <f>HYPERLINK("http://nsgreg.nga.mil/genc/view?v=293773&amp;end_month=6&amp;end_day=30&amp;end_year=2019","Pavlodar")</f>
        <v>Pavlodar</v>
      </c>
      <c r="G2058" s="72" t="str">
        <f>HYPERLINK("http://api.nsgreg.nga.mil/geo-division/GENC/6/3-11/KZ-PAV","as:GENC:6:3-11:KZ-PAV")</f>
        <v>as:GENC:6:3-11:KZ-PAV</v>
      </c>
    </row>
    <row r="2059" spans="1:7" x14ac:dyDescent="0.25">
      <c r="A2059" s="112"/>
      <c r="B2059" s="21" t="s">
        <v>5765</v>
      </c>
      <c r="C2059" s="21" t="s">
        <v>5766</v>
      </c>
      <c r="D2059" s="21" t="s">
        <v>1668</v>
      </c>
      <c r="E2059" s="50" t="b">
        <v>1</v>
      </c>
      <c r="F2059" s="72" t="str">
        <f>HYPERLINK("http://nsgreg.nga.mil/genc/view?v=293769&amp;end_month=6&amp;end_day=30&amp;end_year=2019","Qaraghandy")</f>
        <v>Qaraghandy</v>
      </c>
      <c r="G2059" s="72" t="str">
        <f>HYPERLINK("http://api.nsgreg.nga.mil/geo-division/GENC/6/3-11/KZ-KAR","as:GENC:6:3-11:KZ-KAR")</f>
        <v>as:GENC:6:3-11:KZ-KAR</v>
      </c>
    </row>
    <row r="2060" spans="1:7" x14ac:dyDescent="0.25">
      <c r="A2060" s="112"/>
      <c r="B2060" s="21" t="s">
        <v>5767</v>
      </c>
      <c r="C2060" s="21" t="s">
        <v>5768</v>
      </c>
      <c r="D2060" s="21" t="s">
        <v>1668</v>
      </c>
      <c r="E2060" s="50" t="b">
        <v>1</v>
      </c>
      <c r="F2060" s="72" t="str">
        <f>HYPERLINK("http://nsgreg.nga.mil/genc/view?v=293770&amp;end_month=6&amp;end_day=30&amp;end_year=2019","Qostanay")</f>
        <v>Qostanay</v>
      </c>
      <c r="G2060" s="72" t="str">
        <f>HYPERLINK("http://api.nsgreg.nga.mil/geo-division/GENC/6/3-11/KZ-KUS","as:GENC:6:3-11:KZ-KUS")</f>
        <v>as:GENC:6:3-11:KZ-KUS</v>
      </c>
    </row>
    <row r="2061" spans="1:7" x14ac:dyDescent="0.25">
      <c r="A2061" s="112"/>
      <c r="B2061" s="21" t="s">
        <v>5769</v>
      </c>
      <c r="C2061" s="21" t="s">
        <v>5770</v>
      </c>
      <c r="D2061" s="21" t="s">
        <v>1668</v>
      </c>
      <c r="E2061" s="50" t="b">
        <v>1</v>
      </c>
      <c r="F2061" s="72" t="str">
        <f>HYPERLINK("http://nsgreg.nga.mil/genc/view?v=293771&amp;end_month=6&amp;end_day=30&amp;end_year=2019","Qyzylorda")</f>
        <v>Qyzylorda</v>
      </c>
      <c r="G2061" s="72" t="str">
        <f>HYPERLINK("http://api.nsgreg.nga.mil/geo-division/GENC/6/3-11/KZ-KZY","as:GENC:6:3-11:KZ-KZY")</f>
        <v>as:GENC:6:3-11:KZ-KZY</v>
      </c>
    </row>
    <row r="2062" spans="1:7" x14ac:dyDescent="0.25">
      <c r="A2062" s="112"/>
      <c r="B2062" s="21" t="s">
        <v>5771</v>
      </c>
      <c r="C2062" s="21" t="s">
        <v>5772</v>
      </c>
      <c r="D2062" s="21" t="s">
        <v>1668</v>
      </c>
      <c r="E2062" s="50" t="b">
        <v>1</v>
      </c>
      <c r="F2062" s="72" t="str">
        <f>HYPERLINK("http://nsgreg.nga.mil/genc/view?v=293775&amp;end_month=6&amp;end_day=30&amp;end_year=2019","Shymkent")</f>
        <v>Shymkent</v>
      </c>
      <c r="G2062" s="72" t="str">
        <f>HYPERLINK("http://api.nsgreg.nga.mil/geo-division/GENC/6/3-11/KZ-SHY","as:GENC:6:3-11:KZ-SHY")</f>
        <v>as:GENC:6:3-11:KZ-SHY</v>
      </c>
    </row>
    <row r="2063" spans="1:7" x14ac:dyDescent="0.25">
      <c r="A2063" s="112"/>
      <c r="B2063" s="21" t="s">
        <v>5773</v>
      </c>
      <c r="C2063" s="21" t="s">
        <v>5774</v>
      </c>
      <c r="D2063" s="21" t="s">
        <v>1668</v>
      </c>
      <c r="E2063" s="50" t="b">
        <v>1</v>
      </c>
      <c r="F2063" s="72" t="str">
        <f>HYPERLINK("http://nsgreg.nga.mil/genc/view?v=293777&amp;end_month=6&amp;end_day=30&amp;end_year=2019","Türkistan")</f>
        <v>Türkistan</v>
      </c>
      <c r="G2063" s="72" t="str">
        <f>HYPERLINK("http://api.nsgreg.nga.mil/geo-division/GENC/6/3-11/KZ-YUZ","as:GENC:6:3-11:KZ-YUZ")</f>
        <v>as:GENC:6:3-11:KZ-YUZ</v>
      </c>
    </row>
    <row r="2064" spans="1:7" x14ac:dyDescent="0.25">
      <c r="A2064" s="112"/>
      <c r="B2064" s="21" t="s">
        <v>5775</v>
      </c>
      <c r="C2064" s="21" t="s">
        <v>5776</v>
      </c>
      <c r="D2064" s="21" t="s">
        <v>1668</v>
      </c>
      <c r="E2064" s="50" t="b">
        <v>1</v>
      </c>
      <c r="F2064" s="72" t="str">
        <f>HYPERLINK("http://nsgreg.nga.mil/genc/view?v=293778&amp;end_month=6&amp;end_day=30&amp;end_year=2019","West Kazakhstan")</f>
        <v>West Kazakhstan</v>
      </c>
      <c r="G2064" s="72" t="str">
        <f>HYPERLINK("http://api.nsgreg.nga.mil/geo-division/GENC/6/3-11/KZ-ZAP","as:GENC:6:3-11:KZ-ZAP")</f>
        <v>as:GENC:6:3-11:KZ-ZAP</v>
      </c>
    </row>
    <row r="2065" spans="1:7" x14ac:dyDescent="0.25">
      <c r="A2065" s="113"/>
      <c r="B2065" s="47" t="s">
        <v>5777</v>
      </c>
      <c r="C2065" s="47" t="s">
        <v>5778</v>
      </c>
      <c r="D2065" s="47" t="s">
        <v>1668</v>
      </c>
      <c r="E2065" s="51" t="b">
        <v>1</v>
      </c>
      <c r="F2065" s="73" t="str">
        <f>HYPERLINK("http://nsgreg.nga.mil/genc/view?v=293779&amp;end_month=6&amp;end_day=30&amp;end_year=2019","Zhambyl")</f>
        <v>Zhambyl</v>
      </c>
      <c r="G2065" s="73" t="str">
        <f>HYPERLINK("http://api.nsgreg.nga.mil/geo-division/GENC/6/3-11/KZ-ZHA","as:GENC:6:3-11:KZ-ZHA")</f>
        <v>as:GENC:6:3-11:KZ-ZHA</v>
      </c>
    </row>
    <row r="2066" spans="1:7" x14ac:dyDescent="0.25">
      <c r="A2066" s="111" t="str">
        <f>HYPERLINK("[#]Codes_for_GE_Names!A142:I142","KENYA")</f>
        <v>KENYA</v>
      </c>
      <c r="B2066" s="42" t="s">
        <v>5779</v>
      </c>
      <c r="C2066" s="42" t="s">
        <v>5780</v>
      </c>
      <c r="D2066" s="42" t="s">
        <v>1737</v>
      </c>
      <c r="E2066" s="49" t="b">
        <v>1</v>
      </c>
      <c r="F2066" s="74" t="str">
        <f>HYPERLINK("http://nsgreg.nga.mil/genc/view?v=293625&amp;end_month=6&amp;end_day=30&amp;end_year=2019","Baringo")</f>
        <v>Baringo</v>
      </c>
      <c r="G2066" s="74" t="str">
        <f>HYPERLINK("http://api.nsgreg.nga.mil/geo-division/GENC/6/3-11/KE-01","as:GENC:6:3-11:KE-01")</f>
        <v>as:GENC:6:3-11:KE-01</v>
      </c>
    </row>
    <row r="2067" spans="1:7" x14ac:dyDescent="0.25">
      <c r="A2067" s="112"/>
      <c r="B2067" s="21" t="s">
        <v>5781</v>
      </c>
      <c r="C2067" s="21" t="s">
        <v>5782</v>
      </c>
      <c r="D2067" s="21" t="s">
        <v>1737</v>
      </c>
      <c r="E2067" s="50" t="b">
        <v>1</v>
      </c>
      <c r="F2067" s="72" t="str">
        <f>HYPERLINK("http://nsgreg.nga.mil/genc/view?v=293626&amp;end_month=6&amp;end_day=30&amp;end_year=2019","Bomet")</f>
        <v>Bomet</v>
      </c>
      <c r="G2067" s="72" t="str">
        <f>HYPERLINK("http://api.nsgreg.nga.mil/geo-division/GENC/6/3-11/KE-02","as:GENC:6:3-11:KE-02")</f>
        <v>as:GENC:6:3-11:KE-02</v>
      </c>
    </row>
    <row r="2068" spans="1:7" x14ac:dyDescent="0.25">
      <c r="A2068" s="112"/>
      <c r="B2068" s="21" t="s">
        <v>5783</v>
      </c>
      <c r="C2068" s="21" t="s">
        <v>5784</v>
      </c>
      <c r="D2068" s="21" t="s">
        <v>1737</v>
      </c>
      <c r="E2068" s="50" t="b">
        <v>1</v>
      </c>
      <c r="F2068" s="72" t="str">
        <f>HYPERLINK("http://nsgreg.nga.mil/genc/view?v=293627&amp;end_month=6&amp;end_day=30&amp;end_year=2019","Bungoma")</f>
        <v>Bungoma</v>
      </c>
      <c r="G2068" s="72" t="str">
        <f>HYPERLINK("http://api.nsgreg.nga.mil/geo-division/GENC/6/3-11/KE-03","as:GENC:6:3-11:KE-03")</f>
        <v>as:GENC:6:3-11:KE-03</v>
      </c>
    </row>
    <row r="2069" spans="1:7" x14ac:dyDescent="0.25">
      <c r="A2069" s="112"/>
      <c r="B2069" s="21" t="s">
        <v>5785</v>
      </c>
      <c r="C2069" s="21" t="s">
        <v>5786</v>
      </c>
      <c r="D2069" s="21" t="s">
        <v>1737</v>
      </c>
      <c r="E2069" s="50" t="b">
        <v>1</v>
      </c>
      <c r="F2069" s="72" t="str">
        <f>HYPERLINK("http://nsgreg.nga.mil/genc/view?v=293628&amp;end_month=6&amp;end_day=30&amp;end_year=2019","Busia")</f>
        <v>Busia</v>
      </c>
      <c r="G2069" s="72" t="str">
        <f>HYPERLINK("http://api.nsgreg.nga.mil/geo-division/GENC/6/3-11/KE-04","as:GENC:6:3-11:KE-04")</f>
        <v>as:GENC:6:3-11:KE-04</v>
      </c>
    </row>
    <row r="2070" spans="1:7" x14ac:dyDescent="0.25">
      <c r="A2070" s="112"/>
      <c r="B2070" s="21" t="s">
        <v>5787</v>
      </c>
      <c r="C2070" s="21" t="s">
        <v>5788</v>
      </c>
      <c r="D2070" s="21" t="s">
        <v>1737</v>
      </c>
      <c r="E2070" s="50" t="b">
        <v>1</v>
      </c>
      <c r="F2070" s="72" t="str">
        <f>HYPERLINK("http://nsgreg.nga.mil/genc/view?v=293629&amp;end_month=6&amp;end_day=30&amp;end_year=2019","Elgeyo/Marakwet")</f>
        <v>Elgeyo/Marakwet</v>
      </c>
      <c r="G2070" s="72" t="str">
        <f>HYPERLINK("http://api.nsgreg.nga.mil/geo-division/GENC/6/3-11/KE-05","as:GENC:6:3-11:KE-05")</f>
        <v>as:GENC:6:3-11:KE-05</v>
      </c>
    </row>
    <row r="2071" spans="1:7" x14ac:dyDescent="0.25">
      <c r="A2071" s="112"/>
      <c r="B2071" s="21" t="s">
        <v>5789</v>
      </c>
      <c r="C2071" s="21" t="s">
        <v>5790</v>
      </c>
      <c r="D2071" s="21" t="s">
        <v>1737</v>
      </c>
      <c r="E2071" s="50" t="b">
        <v>1</v>
      </c>
      <c r="F2071" s="72" t="str">
        <f>HYPERLINK("http://nsgreg.nga.mil/genc/view?v=293630&amp;end_month=6&amp;end_day=30&amp;end_year=2019","Embu")</f>
        <v>Embu</v>
      </c>
      <c r="G2071" s="72" t="str">
        <f>HYPERLINK("http://api.nsgreg.nga.mil/geo-division/GENC/6/3-11/KE-06","as:GENC:6:3-11:KE-06")</f>
        <v>as:GENC:6:3-11:KE-06</v>
      </c>
    </row>
    <row r="2072" spans="1:7" x14ac:dyDescent="0.25">
      <c r="A2072" s="112"/>
      <c r="B2072" s="21" t="s">
        <v>5791</v>
      </c>
      <c r="C2072" s="21" t="s">
        <v>5792</v>
      </c>
      <c r="D2072" s="21" t="s">
        <v>1737</v>
      </c>
      <c r="E2072" s="50" t="b">
        <v>1</v>
      </c>
      <c r="F2072" s="72" t="str">
        <f>HYPERLINK("http://nsgreg.nga.mil/genc/view?v=293631&amp;end_month=6&amp;end_day=30&amp;end_year=2019","Garissa")</f>
        <v>Garissa</v>
      </c>
      <c r="G2072" s="72" t="str">
        <f>HYPERLINK("http://api.nsgreg.nga.mil/geo-division/GENC/6/3-11/KE-07","as:GENC:6:3-11:KE-07")</f>
        <v>as:GENC:6:3-11:KE-07</v>
      </c>
    </row>
    <row r="2073" spans="1:7" x14ac:dyDescent="0.25">
      <c r="A2073" s="112"/>
      <c r="B2073" s="21" t="s">
        <v>5793</v>
      </c>
      <c r="C2073" s="21" t="s">
        <v>5794</v>
      </c>
      <c r="D2073" s="21" t="s">
        <v>1737</v>
      </c>
      <c r="E2073" s="50" t="b">
        <v>1</v>
      </c>
      <c r="F2073" s="72" t="str">
        <f>HYPERLINK("http://nsgreg.nga.mil/genc/view?v=293632&amp;end_month=6&amp;end_day=30&amp;end_year=2019","Homa Bay")</f>
        <v>Homa Bay</v>
      </c>
      <c r="G2073" s="72" t="str">
        <f>HYPERLINK("http://api.nsgreg.nga.mil/geo-division/GENC/6/3-11/KE-08","as:GENC:6:3-11:KE-08")</f>
        <v>as:GENC:6:3-11:KE-08</v>
      </c>
    </row>
    <row r="2074" spans="1:7" x14ac:dyDescent="0.25">
      <c r="A2074" s="112"/>
      <c r="B2074" s="21" t="s">
        <v>5795</v>
      </c>
      <c r="C2074" s="21" t="s">
        <v>5796</v>
      </c>
      <c r="D2074" s="21" t="s">
        <v>1737</v>
      </c>
      <c r="E2074" s="50" t="b">
        <v>1</v>
      </c>
      <c r="F2074" s="72" t="str">
        <f>HYPERLINK("http://nsgreg.nga.mil/genc/view?v=293633&amp;end_month=6&amp;end_day=30&amp;end_year=2019","Isiolo")</f>
        <v>Isiolo</v>
      </c>
      <c r="G2074" s="72" t="str">
        <f>HYPERLINK("http://api.nsgreg.nga.mil/geo-division/GENC/6/3-11/KE-09","as:GENC:6:3-11:KE-09")</f>
        <v>as:GENC:6:3-11:KE-09</v>
      </c>
    </row>
    <row r="2075" spans="1:7" x14ac:dyDescent="0.25">
      <c r="A2075" s="112"/>
      <c r="B2075" s="21" t="s">
        <v>5797</v>
      </c>
      <c r="C2075" s="21" t="s">
        <v>5798</v>
      </c>
      <c r="D2075" s="21" t="s">
        <v>1737</v>
      </c>
      <c r="E2075" s="50" t="b">
        <v>1</v>
      </c>
      <c r="F2075" s="72" t="str">
        <f>HYPERLINK("http://nsgreg.nga.mil/genc/view?v=293634&amp;end_month=6&amp;end_day=30&amp;end_year=2019","Kajiado")</f>
        <v>Kajiado</v>
      </c>
      <c r="G2075" s="72" t="str">
        <f>HYPERLINK("http://api.nsgreg.nga.mil/geo-division/GENC/6/3-11/KE-10","as:GENC:6:3-11:KE-10")</f>
        <v>as:GENC:6:3-11:KE-10</v>
      </c>
    </row>
    <row r="2076" spans="1:7" x14ac:dyDescent="0.25">
      <c r="A2076" s="112"/>
      <c r="B2076" s="21" t="s">
        <v>5799</v>
      </c>
      <c r="C2076" s="21" t="s">
        <v>5800</v>
      </c>
      <c r="D2076" s="21" t="s">
        <v>1737</v>
      </c>
      <c r="E2076" s="50" t="b">
        <v>1</v>
      </c>
      <c r="F2076" s="72" t="str">
        <f>HYPERLINK("http://nsgreg.nga.mil/genc/view?v=293635&amp;end_month=6&amp;end_day=30&amp;end_year=2019","Kakamega")</f>
        <v>Kakamega</v>
      </c>
      <c r="G2076" s="72" t="str">
        <f>HYPERLINK("http://api.nsgreg.nga.mil/geo-division/GENC/6/3-11/KE-11","as:GENC:6:3-11:KE-11")</f>
        <v>as:GENC:6:3-11:KE-11</v>
      </c>
    </row>
    <row r="2077" spans="1:7" x14ac:dyDescent="0.25">
      <c r="A2077" s="112"/>
      <c r="B2077" s="21" t="s">
        <v>5801</v>
      </c>
      <c r="C2077" s="21" t="s">
        <v>5802</v>
      </c>
      <c r="D2077" s="21" t="s">
        <v>1737</v>
      </c>
      <c r="E2077" s="50" t="b">
        <v>1</v>
      </c>
      <c r="F2077" s="72" t="str">
        <f>HYPERLINK("http://nsgreg.nga.mil/genc/view?v=293636&amp;end_month=6&amp;end_day=30&amp;end_year=2019","Kericho")</f>
        <v>Kericho</v>
      </c>
      <c r="G2077" s="72" t="str">
        <f>HYPERLINK("http://api.nsgreg.nga.mil/geo-division/GENC/6/3-11/KE-12","as:GENC:6:3-11:KE-12")</f>
        <v>as:GENC:6:3-11:KE-12</v>
      </c>
    </row>
    <row r="2078" spans="1:7" x14ac:dyDescent="0.25">
      <c r="A2078" s="112"/>
      <c r="B2078" s="21" t="s">
        <v>5803</v>
      </c>
      <c r="C2078" s="21" t="s">
        <v>5804</v>
      </c>
      <c r="D2078" s="21" t="s">
        <v>1737</v>
      </c>
      <c r="E2078" s="50" t="b">
        <v>1</v>
      </c>
      <c r="F2078" s="72" t="str">
        <f>HYPERLINK("http://nsgreg.nga.mil/genc/view?v=293637&amp;end_month=6&amp;end_day=30&amp;end_year=2019","Kiambu")</f>
        <v>Kiambu</v>
      </c>
      <c r="G2078" s="72" t="str">
        <f>HYPERLINK("http://api.nsgreg.nga.mil/geo-division/GENC/6/3-11/KE-13","as:GENC:6:3-11:KE-13")</f>
        <v>as:GENC:6:3-11:KE-13</v>
      </c>
    </row>
    <row r="2079" spans="1:7" x14ac:dyDescent="0.25">
      <c r="A2079" s="112"/>
      <c r="B2079" s="21" t="s">
        <v>5805</v>
      </c>
      <c r="C2079" s="21" t="s">
        <v>5806</v>
      </c>
      <c r="D2079" s="21" t="s">
        <v>1737</v>
      </c>
      <c r="E2079" s="50" t="b">
        <v>1</v>
      </c>
      <c r="F2079" s="72" t="str">
        <f>HYPERLINK("http://nsgreg.nga.mil/genc/view?v=293638&amp;end_month=6&amp;end_day=30&amp;end_year=2019","Kilifi")</f>
        <v>Kilifi</v>
      </c>
      <c r="G2079" s="72" t="str">
        <f>HYPERLINK("http://api.nsgreg.nga.mil/geo-division/GENC/6/3-11/KE-14","as:GENC:6:3-11:KE-14")</f>
        <v>as:GENC:6:3-11:KE-14</v>
      </c>
    </row>
    <row r="2080" spans="1:7" x14ac:dyDescent="0.25">
      <c r="A2080" s="112"/>
      <c r="B2080" s="21" t="s">
        <v>5807</v>
      </c>
      <c r="C2080" s="21" t="s">
        <v>5808</v>
      </c>
      <c r="D2080" s="21" t="s">
        <v>1737</v>
      </c>
      <c r="E2080" s="50" t="b">
        <v>1</v>
      </c>
      <c r="F2080" s="72" t="str">
        <f>HYPERLINK("http://nsgreg.nga.mil/genc/view?v=293639&amp;end_month=6&amp;end_day=30&amp;end_year=2019","Kirinyaga")</f>
        <v>Kirinyaga</v>
      </c>
      <c r="G2080" s="72" t="str">
        <f>HYPERLINK("http://api.nsgreg.nga.mil/geo-division/GENC/6/3-11/KE-15","as:GENC:6:3-11:KE-15")</f>
        <v>as:GENC:6:3-11:KE-15</v>
      </c>
    </row>
    <row r="2081" spans="1:7" x14ac:dyDescent="0.25">
      <c r="A2081" s="112"/>
      <c r="B2081" s="21" t="s">
        <v>5809</v>
      </c>
      <c r="C2081" s="21" t="s">
        <v>5810</v>
      </c>
      <c r="D2081" s="21" t="s">
        <v>1737</v>
      </c>
      <c r="E2081" s="50" t="b">
        <v>1</v>
      </c>
      <c r="F2081" s="72" t="str">
        <f>HYPERLINK("http://nsgreg.nga.mil/genc/view?v=293640&amp;end_month=6&amp;end_day=30&amp;end_year=2019","Kisii")</f>
        <v>Kisii</v>
      </c>
      <c r="G2081" s="72" t="str">
        <f>HYPERLINK("http://api.nsgreg.nga.mil/geo-division/GENC/6/3-11/KE-16","as:GENC:6:3-11:KE-16")</f>
        <v>as:GENC:6:3-11:KE-16</v>
      </c>
    </row>
    <row r="2082" spans="1:7" x14ac:dyDescent="0.25">
      <c r="A2082" s="112"/>
      <c r="B2082" s="21" t="s">
        <v>5811</v>
      </c>
      <c r="C2082" s="21" t="s">
        <v>5812</v>
      </c>
      <c r="D2082" s="21" t="s">
        <v>1737</v>
      </c>
      <c r="E2082" s="50" t="b">
        <v>1</v>
      </c>
      <c r="F2082" s="72" t="str">
        <f>HYPERLINK("http://nsgreg.nga.mil/genc/view?v=293641&amp;end_month=6&amp;end_day=30&amp;end_year=2019","Kisumu")</f>
        <v>Kisumu</v>
      </c>
      <c r="G2082" s="72" t="str">
        <f>HYPERLINK("http://api.nsgreg.nga.mil/geo-division/GENC/6/3-11/KE-17","as:GENC:6:3-11:KE-17")</f>
        <v>as:GENC:6:3-11:KE-17</v>
      </c>
    </row>
    <row r="2083" spans="1:7" x14ac:dyDescent="0.25">
      <c r="A2083" s="112"/>
      <c r="B2083" s="21" t="s">
        <v>5813</v>
      </c>
      <c r="C2083" s="21" t="s">
        <v>5814</v>
      </c>
      <c r="D2083" s="21" t="s">
        <v>1737</v>
      </c>
      <c r="E2083" s="50" t="b">
        <v>1</v>
      </c>
      <c r="F2083" s="72" t="str">
        <f>HYPERLINK("http://nsgreg.nga.mil/genc/view?v=293642&amp;end_month=6&amp;end_day=30&amp;end_year=2019","Kitui")</f>
        <v>Kitui</v>
      </c>
      <c r="G2083" s="72" t="str">
        <f>HYPERLINK("http://api.nsgreg.nga.mil/geo-division/GENC/6/3-11/KE-18","as:GENC:6:3-11:KE-18")</f>
        <v>as:GENC:6:3-11:KE-18</v>
      </c>
    </row>
    <row r="2084" spans="1:7" x14ac:dyDescent="0.25">
      <c r="A2084" s="112"/>
      <c r="B2084" s="21" t="s">
        <v>5815</v>
      </c>
      <c r="C2084" s="21" t="s">
        <v>5816</v>
      </c>
      <c r="D2084" s="21" t="s">
        <v>1737</v>
      </c>
      <c r="E2084" s="50" t="b">
        <v>1</v>
      </c>
      <c r="F2084" s="72" t="str">
        <f>HYPERLINK("http://nsgreg.nga.mil/genc/view?v=293643&amp;end_month=6&amp;end_day=30&amp;end_year=2019","Kwale")</f>
        <v>Kwale</v>
      </c>
      <c r="G2084" s="72" t="str">
        <f>HYPERLINK("http://api.nsgreg.nga.mil/geo-division/GENC/6/3-11/KE-19","as:GENC:6:3-11:KE-19")</f>
        <v>as:GENC:6:3-11:KE-19</v>
      </c>
    </row>
    <row r="2085" spans="1:7" x14ac:dyDescent="0.25">
      <c r="A2085" s="112"/>
      <c r="B2085" s="21" t="s">
        <v>5817</v>
      </c>
      <c r="C2085" s="21" t="s">
        <v>5818</v>
      </c>
      <c r="D2085" s="21" t="s">
        <v>1737</v>
      </c>
      <c r="E2085" s="50" t="b">
        <v>1</v>
      </c>
      <c r="F2085" s="72" t="str">
        <f>HYPERLINK("http://nsgreg.nga.mil/genc/view?v=293644&amp;end_month=6&amp;end_day=30&amp;end_year=2019","Laikipia")</f>
        <v>Laikipia</v>
      </c>
      <c r="G2085" s="72" t="str">
        <f>HYPERLINK("http://api.nsgreg.nga.mil/geo-division/GENC/6/3-11/KE-20","as:GENC:6:3-11:KE-20")</f>
        <v>as:GENC:6:3-11:KE-20</v>
      </c>
    </row>
    <row r="2086" spans="1:7" x14ac:dyDescent="0.25">
      <c r="A2086" s="112"/>
      <c r="B2086" s="21" t="s">
        <v>5819</v>
      </c>
      <c r="C2086" s="21" t="s">
        <v>5820</v>
      </c>
      <c r="D2086" s="21" t="s">
        <v>1737</v>
      </c>
      <c r="E2086" s="50" t="b">
        <v>1</v>
      </c>
      <c r="F2086" s="72" t="str">
        <f>HYPERLINK("http://nsgreg.nga.mil/genc/view?v=293645&amp;end_month=6&amp;end_day=30&amp;end_year=2019","Lamu")</f>
        <v>Lamu</v>
      </c>
      <c r="G2086" s="72" t="str">
        <f>HYPERLINK("http://api.nsgreg.nga.mil/geo-division/GENC/6/3-11/KE-21","as:GENC:6:3-11:KE-21")</f>
        <v>as:GENC:6:3-11:KE-21</v>
      </c>
    </row>
    <row r="2087" spans="1:7" x14ac:dyDescent="0.25">
      <c r="A2087" s="112"/>
      <c r="B2087" s="21" t="s">
        <v>5821</v>
      </c>
      <c r="C2087" s="21" t="s">
        <v>5822</v>
      </c>
      <c r="D2087" s="21" t="s">
        <v>1737</v>
      </c>
      <c r="E2087" s="50" t="b">
        <v>1</v>
      </c>
      <c r="F2087" s="72" t="str">
        <f>HYPERLINK("http://nsgreg.nga.mil/genc/view?v=293646&amp;end_month=6&amp;end_day=30&amp;end_year=2019","Machakos")</f>
        <v>Machakos</v>
      </c>
      <c r="G2087" s="72" t="str">
        <f>HYPERLINK("http://api.nsgreg.nga.mil/geo-division/GENC/6/3-11/KE-22","as:GENC:6:3-11:KE-22")</f>
        <v>as:GENC:6:3-11:KE-22</v>
      </c>
    </row>
    <row r="2088" spans="1:7" x14ac:dyDescent="0.25">
      <c r="A2088" s="112"/>
      <c r="B2088" s="21" t="s">
        <v>5823</v>
      </c>
      <c r="C2088" s="21" t="s">
        <v>5824</v>
      </c>
      <c r="D2088" s="21" t="s">
        <v>1737</v>
      </c>
      <c r="E2088" s="50" t="b">
        <v>1</v>
      </c>
      <c r="F2088" s="72" t="str">
        <f>HYPERLINK("http://nsgreg.nga.mil/genc/view?v=293647&amp;end_month=6&amp;end_day=30&amp;end_year=2019","Makueni")</f>
        <v>Makueni</v>
      </c>
      <c r="G2088" s="72" t="str">
        <f>HYPERLINK("http://api.nsgreg.nga.mil/geo-division/GENC/6/3-11/KE-23","as:GENC:6:3-11:KE-23")</f>
        <v>as:GENC:6:3-11:KE-23</v>
      </c>
    </row>
    <row r="2089" spans="1:7" x14ac:dyDescent="0.25">
      <c r="A2089" s="112"/>
      <c r="B2089" s="21" t="s">
        <v>5825</v>
      </c>
      <c r="C2089" s="21" t="s">
        <v>5826</v>
      </c>
      <c r="D2089" s="21" t="s">
        <v>1737</v>
      </c>
      <c r="E2089" s="50" t="b">
        <v>1</v>
      </c>
      <c r="F2089" s="72" t="str">
        <f>HYPERLINK("http://nsgreg.nga.mil/genc/view?v=293648&amp;end_month=6&amp;end_day=30&amp;end_year=2019","Mandera")</f>
        <v>Mandera</v>
      </c>
      <c r="G2089" s="72" t="str">
        <f>HYPERLINK("http://api.nsgreg.nga.mil/geo-division/GENC/6/3-11/KE-24","as:GENC:6:3-11:KE-24")</f>
        <v>as:GENC:6:3-11:KE-24</v>
      </c>
    </row>
    <row r="2090" spans="1:7" x14ac:dyDescent="0.25">
      <c r="A2090" s="112"/>
      <c r="B2090" s="21" t="s">
        <v>5827</v>
      </c>
      <c r="C2090" s="21" t="s">
        <v>5828</v>
      </c>
      <c r="D2090" s="21" t="s">
        <v>1737</v>
      </c>
      <c r="E2090" s="50" t="b">
        <v>1</v>
      </c>
      <c r="F2090" s="72" t="str">
        <f>HYPERLINK("http://nsgreg.nga.mil/genc/view?v=293649&amp;end_month=6&amp;end_day=30&amp;end_year=2019","Marsabit")</f>
        <v>Marsabit</v>
      </c>
      <c r="G2090" s="72" t="str">
        <f>HYPERLINK("http://api.nsgreg.nga.mil/geo-division/GENC/6/3-11/KE-25","as:GENC:6:3-11:KE-25")</f>
        <v>as:GENC:6:3-11:KE-25</v>
      </c>
    </row>
    <row r="2091" spans="1:7" x14ac:dyDescent="0.25">
      <c r="A2091" s="112"/>
      <c r="B2091" s="21" t="s">
        <v>5829</v>
      </c>
      <c r="C2091" s="21" t="s">
        <v>5830</v>
      </c>
      <c r="D2091" s="21" t="s">
        <v>1737</v>
      </c>
      <c r="E2091" s="50" t="b">
        <v>1</v>
      </c>
      <c r="F2091" s="72" t="str">
        <f>HYPERLINK("http://nsgreg.nga.mil/genc/view?v=293650&amp;end_month=6&amp;end_day=30&amp;end_year=2019","Meru")</f>
        <v>Meru</v>
      </c>
      <c r="G2091" s="72" t="str">
        <f>HYPERLINK("http://api.nsgreg.nga.mil/geo-division/GENC/6/3-11/KE-26","as:GENC:6:3-11:KE-26")</f>
        <v>as:GENC:6:3-11:KE-26</v>
      </c>
    </row>
    <row r="2092" spans="1:7" x14ac:dyDescent="0.25">
      <c r="A2092" s="112"/>
      <c r="B2092" s="21" t="s">
        <v>5831</v>
      </c>
      <c r="C2092" s="21" t="s">
        <v>5832</v>
      </c>
      <c r="D2092" s="21" t="s">
        <v>1737</v>
      </c>
      <c r="E2092" s="50" t="b">
        <v>1</v>
      </c>
      <c r="F2092" s="72" t="str">
        <f>HYPERLINK("http://nsgreg.nga.mil/genc/view?v=293651&amp;end_month=6&amp;end_day=30&amp;end_year=2019","Migori")</f>
        <v>Migori</v>
      </c>
      <c r="G2092" s="72" t="str">
        <f>HYPERLINK("http://api.nsgreg.nga.mil/geo-division/GENC/6/3-11/KE-27","as:GENC:6:3-11:KE-27")</f>
        <v>as:GENC:6:3-11:KE-27</v>
      </c>
    </row>
    <row r="2093" spans="1:7" x14ac:dyDescent="0.25">
      <c r="A2093" s="112"/>
      <c r="B2093" s="21" t="s">
        <v>5833</v>
      </c>
      <c r="C2093" s="21" t="s">
        <v>5834</v>
      </c>
      <c r="D2093" s="21" t="s">
        <v>1737</v>
      </c>
      <c r="E2093" s="50" t="b">
        <v>1</v>
      </c>
      <c r="F2093" s="72" t="str">
        <f>HYPERLINK("http://nsgreg.nga.mil/genc/view?v=293652&amp;end_month=6&amp;end_day=30&amp;end_year=2019","Mombasa")</f>
        <v>Mombasa</v>
      </c>
      <c r="G2093" s="72" t="str">
        <f>HYPERLINK("http://api.nsgreg.nga.mil/geo-division/GENC/6/3-11/KE-28","as:GENC:6:3-11:KE-28")</f>
        <v>as:GENC:6:3-11:KE-28</v>
      </c>
    </row>
    <row r="2094" spans="1:7" x14ac:dyDescent="0.25">
      <c r="A2094" s="112"/>
      <c r="B2094" s="21" t="s">
        <v>5835</v>
      </c>
      <c r="C2094" s="21" t="s">
        <v>5836</v>
      </c>
      <c r="D2094" s="21" t="s">
        <v>1737</v>
      </c>
      <c r="E2094" s="50" t="b">
        <v>1</v>
      </c>
      <c r="F2094" s="72" t="str">
        <f>HYPERLINK("http://nsgreg.nga.mil/genc/view?v=293653&amp;end_month=6&amp;end_day=30&amp;end_year=2019","Murang’a")</f>
        <v>Murang’a</v>
      </c>
      <c r="G2094" s="72" t="str">
        <f>HYPERLINK("http://api.nsgreg.nga.mil/geo-division/GENC/6/3-11/KE-29","as:GENC:6:3-11:KE-29")</f>
        <v>as:GENC:6:3-11:KE-29</v>
      </c>
    </row>
    <row r="2095" spans="1:7" x14ac:dyDescent="0.25">
      <c r="A2095" s="112"/>
      <c r="B2095" s="21" t="s">
        <v>5837</v>
      </c>
      <c r="C2095" s="21" t="s">
        <v>5838</v>
      </c>
      <c r="D2095" s="21" t="s">
        <v>1737</v>
      </c>
      <c r="E2095" s="50" t="b">
        <v>1</v>
      </c>
      <c r="F2095" s="72" t="str">
        <f>HYPERLINK("http://nsgreg.nga.mil/genc/view?v=293654&amp;end_month=6&amp;end_day=30&amp;end_year=2019","Nairobi City")</f>
        <v>Nairobi City</v>
      </c>
      <c r="G2095" s="72" t="str">
        <f>HYPERLINK("http://api.nsgreg.nga.mil/geo-division/GENC/6/3-11/KE-30","as:GENC:6:3-11:KE-30")</f>
        <v>as:GENC:6:3-11:KE-30</v>
      </c>
    </row>
    <row r="2096" spans="1:7" x14ac:dyDescent="0.25">
      <c r="A2096" s="112"/>
      <c r="B2096" s="21" t="s">
        <v>5839</v>
      </c>
      <c r="C2096" s="21" t="s">
        <v>5840</v>
      </c>
      <c r="D2096" s="21" t="s">
        <v>1737</v>
      </c>
      <c r="E2096" s="50" t="b">
        <v>1</v>
      </c>
      <c r="F2096" s="72" t="str">
        <f>HYPERLINK("http://nsgreg.nga.mil/genc/view?v=293655&amp;end_month=6&amp;end_day=30&amp;end_year=2019","Nakuru")</f>
        <v>Nakuru</v>
      </c>
      <c r="G2096" s="72" t="str">
        <f>HYPERLINK("http://api.nsgreg.nga.mil/geo-division/GENC/6/3-11/KE-31","as:GENC:6:3-11:KE-31")</f>
        <v>as:GENC:6:3-11:KE-31</v>
      </c>
    </row>
    <row r="2097" spans="1:7" x14ac:dyDescent="0.25">
      <c r="A2097" s="112"/>
      <c r="B2097" s="21" t="s">
        <v>5841</v>
      </c>
      <c r="C2097" s="21" t="s">
        <v>5842</v>
      </c>
      <c r="D2097" s="21" t="s">
        <v>1737</v>
      </c>
      <c r="E2097" s="50" t="b">
        <v>1</v>
      </c>
      <c r="F2097" s="72" t="str">
        <f>HYPERLINK("http://nsgreg.nga.mil/genc/view?v=293656&amp;end_month=6&amp;end_day=30&amp;end_year=2019","Nandi")</f>
        <v>Nandi</v>
      </c>
      <c r="G2097" s="72" t="str">
        <f>HYPERLINK("http://api.nsgreg.nga.mil/geo-division/GENC/6/3-11/KE-32","as:GENC:6:3-11:KE-32")</f>
        <v>as:GENC:6:3-11:KE-32</v>
      </c>
    </row>
    <row r="2098" spans="1:7" x14ac:dyDescent="0.25">
      <c r="A2098" s="112"/>
      <c r="B2098" s="21" t="s">
        <v>5843</v>
      </c>
      <c r="C2098" s="21" t="s">
        <v>5844</v>
      </c>
      <c r="D2098" s="21" t="s">
        <v>1737</v>
      </c>
      <c r="E2098" s="50" t="b">
        <v>1</v>
      </c>
      <c r="F2098" s="72" t="str">
        <f>HYPERLINK("http://nsgreg.nga.mil/genc/view?v=293657&amp;end_month=6&amp;end_day=30&amp;end_year=2019","Narok")</f>
        <v>Narok</v>
      </c>
      <c r="G2098" s="72" t="str">
        <f>HYPERLINK("http://api.nsgreg.nga.mil/geo-division/GENC/6/3-11/KE-33","as:GENC:6:3-11:KE-33")</f>
        <v>as:GENC:6:3-11:KE-33</v>
      </c>
    </row>
    <row r="2099" spans="1:7" x14ac:dyDescent="0.25">
      <c r="A2099" s="112"/>
      <c r="B2099" s="21" t="s">
        <v>5845</v>
      </c>
      <c r="C2099" s="21" t="s">
        <v>5846</v>
      </c>
      <c r="D2099" s="21" t="s">
        <v>1737</v>
      </c>
      <c r="E2099" s="50" t="b">
        <v>1</v>
      </c>
      <c r="F2099" s="72" t="str">
        <f>HYPERLINK("http://nsgreg.nga.mil/genc/view?v=293658&amp;end_month=6&amp;end_day=30&amp;end_year=2019","Nyamira")</f>
        <v>Nyamira</v>
      </c>
      <c r="G2099" s="72" t="str">
        <f>HYPERLINK("http://api.nsgreg.nga.mil/geo-division/GENC/6/3-11/KE-34","as:GENC:6:3-11:KE-34")</f>
        <v>as:GENC:6:3-11:KE-34</v>
      </c>
    </row>
    <row r="2100" spans="1:7" x14ac:dyDescent="0.25">
      <c r="A2100" s="112"/>
      <c r="B2100" s="21" t="s">
        <v>5847</v>
      </c>
      <c r="C2100" s="21" t="s">
        <v>5848</v>
      </c>
      <c r="D2100" s="21" t="s">
        <v>1737</v>
      </c>
      <c r="E2100" s="50" t="b">
        <v>1</v>
      </c>
      <c r="F2100" s="72" t="str">
        <f>HYPERLINK("http://nsgreg.nga.mil/genc/view?v=293659&amp;end_month=6&amp;end_day=30&amp;end_year=2019","Nyandarua")</f>
        <v>Nyandarua</v>
      </c>
      <c r="G2100" s="72" t="str">
        <f>HYPERLINK("http://api.nsgreg.nga.mil/geo-division/GENC/6/3-11/KE-35","as:GENC:6:3-11:KE-35")</f>
        <v>as:GENC:6:3-11:KE-35</v>
      </c>
    </row>
    <row r="2101" spans="1:7" x14ac:dyDescent="0.25">
      <c r="A2101" s="112"/>
      <c r="B2101" s="21" t="s">
        <v>5849</v>
      </c>
      <c r="C2101" s="21" t="s">
        <v>5850</v>
      </c>
      <c r="D2101" s="21" t="s">
        <v>1737</v>
      </c>
      <c r="E2101" s="50" t="b">
        <v>1</v>
      </c>
      <c r="F2101" s="72" t="str">
        <f>HYPERLINK("http://nsgreg.nga.mil/genc/view?v=293660&amp;end_month=6&amp;end_day=30&amp;end_year=2019","Nyeri")</f>
        <v>Nyeri</v>
      </c>
      <c r="G2101" s="72" t="str">
        <f>HYPERLINK("http://api.nsgreg.nga.mil/geo-division/GENC/6/3-11/KE-36","as:GENC:6:3-11:KE-36")</f>
        <v>as:GENC:6:3-11:KE-36</v>
      </c>
    </row>
    <row r="2102" spans="1:7" x14ac:dyDescent="0.25">
      <c r="A2102" s="112"/>
      <c r="B2102" s="21" t="s">
        <v>5851</v>
      </c>
      <c r="C2102" s="21" t="s">
        <v>5852</v>
      </c>
      <c r="D2102" s="21" t="s">
        <v>1737</v>
      </c>
      <c r="E2102" s="50" t="b">
        <v>1</v>
      </c>
      <c r="F2102" s="72" t="str">
        <f>HYPERLINK("http://nsgreg.nga.mil/genc/view?v=293661&amp;end_month=6&amp;end_day=30&amp;end_year=2019","Samburu")</f>
        <v>Samburu</v>
      </c>
      <c r="G2102" s="72" t="str">
        <f>HYPERLINK("http://api.nsgreg.nga.mil/geo-division/GENC/6/3-11/KE-37","as:GENC:6:3-11:KE-37")</f>
        <v>as:GENC:6:3-11:KE-37</v>
      </c>
    </row>
    <row r="2103" spans="1:7" x14ac:dyDescent="0.25">
      <c r="A2103" s="112"/>
      <c r="B2103" s="21" t="s">
        <v>5853</v>
      </c>
      <c r="C2103" s="21" t="s">
        <v>5854</v>
      </c>
      <c r="D2103" s="21" t="s">
        <v>1737</v>
      </c>
      <c r="E2103" s="50" t="b">
        <v>1</v>
      </c>
      <c r="F2103" s="72" t="str">
        <f>HYPERLINK("http://nsgreg.nga.mil/genc/view?v=293662&amp;end_month=6&amp;end_day=30&amp;end_year=2019","Siaya")</f>
        <v>Siaya</v>
      </c>
      <c r="G2103" s="72" t="str">
        <f>HYPERLINK("http://api.nsgreg.nga.mil/geo-division/GENC/6/3-11/KE-38","as:GENC:6:3-11:KE-38")</f>
        <v>as:GENC:6:3-11:KE-38</v>
      </c>
    </row>
    <row r="2104" spans="1:7" x14ac:dyDescent="0.25">
      <c r="A2104" s="112"/>
      <c r="B2104" s="21" t="s">
        <v>5855</v>
      </c>
      <c r="C2104" s="21" t="s">
        <v>5856</v>
      </c>
      <c r="D2104" s="21" t="s">
        <v>1737</v>
      </c>
      <c r="E2104" s="50" t="b">
        <v>1</v>
      </c>
      <c r="F2104" s="72" t="str">
        <f>HYPERLINK("http://nsgreg.nga.mil/genc/view?v=293663&amp;end_month=6&amp;end_day=30&amp;end_year=2019","Taita/Taveta")</f>
        <v>Taita/Taveta</v>
      </c>
      <c r="G2104" s="72" t="str">
        <f>HYPERLINK("http://api.nsgreg.nga.mil/geo-division/GENC/6/3-11/KE-39","as:GENC:6:3-11:KE-39")</f>
        <v>as:GENC:6:3-11:KE-39</v>
      </c>
    </row>
    <row r="2105" spans="1:7" x14ac:dyDescent="0.25">
      <c r="A2105" s="112"/>
      <c r="B2105" s="21" t="s">
        <v>5857</v>
      </c>
      <c r="C2105" s="21" t="s">
        <v>5858</v>
      </c>
      <c r="D2105" s="21" t="s">
        <v>1737</v>
      </c>
      <c r="E2105" s="50" t="b">
        <v>1</v>
      </c>
      <c r="F2105" s="72" t="str">
        <f>HYPERLINK("http://nsgreg.nga.mil/genc/view?v=293664&amp;end_month=6&amp;end_day=30&amp;end_year=2019","Tana River")</f>
        <v>Tana River</v>
      </c>
      <c r="G2105" s="72" t="str">
        <f>HYPERLINK("http://api.nsgreg.nga.mil/geo-division/GENC/6/3-11/KE-40","as:GENC:6:3-11:KE-40")</f>
        <v>as:GENC:6:3-11:KE-40</v>
      </c>
    </row>
    <row r="2106" spans="1:7" x14ac:dyDescent="0.25">
      <c r="A2106" s="112"/>
      <c r="B2106" s="21" t="s">
        <v>5859</v>
      </c>
      <c r="C2106" s="21" t="s">
        <v>5860</v>
      </c>
      <c r="D2106" s="21" t="s">
        <v>1737</v>
      </c>
      <c r="E2106" s="50" t="b">
        <v>1</v>
      </c>
      <c r="F2106" s="72" t="str">
        <f>HYPERLINK("http://nsgreg.nga.mil/genc/view?v=293665&amp;end_month=6&amp;end_day=30&amp;end_year=2019","Tharaka-Nithi")</f>
        <v>Tharaka-Nithi</v>
      </c>
      <c r="G2106" s="72" t="str">
        <f>HYPERLINK("http://api.nsgreg.nga.mil/geo-division/GENC/6/3-11/KE-41","as:GENC:6:3-11:KE-41")</f>
        <v>as:GENC:6:3-11:KE-41</v>
      </c>
    </row>
    <row r="2107" spans="1:7" x14ac:dyDescent="0.25">
      <c r="A2107" s="112"/>
      <c r="B2107" s="21" t="s">
        <v>5861</v>
      </c>
      <c r="C2107" s="21" t="s">
        <v>5862</v>
      </c>
      <c r="D2107" s="21" t="s">
        <v>1737</v>
      </c>
      <c r="E2107" s="50" t="b">
        <v>1</v>
      </c>
      <c r="F2107" s="72" t="str">
        <f>HYPERLINK("http://nsgreg.nga.mil/genc/view?v=293666&amp;end_month=6&amp;end_day=30&amp;end_year=2019","Trans Nzoia")</f>
        <v>Trans Nzoia</v>
      </c>
      <c r="G2107" s="72" t="str">
        <f>HYPERLINK("http://api.nsgreg.nga.mil/geo-division/GENC/6/3-11/KE-42","as:GENC:6:3-11:KE-42")</f>
        <v>as:GENC:6:3-11:KE-42</v>
      </c>
    </row>
    <row r="2108" spans="1:7" x14ac:dyDescent="0.25">
      <c r="A2108" s="112"/>
      <c r="B2108" s="21" t="s">
        <v>5863</v>
      </c>
      <c r="C2108" s="21" t="s">
        <v>5864</v>
      </c>
      <c r="D2108" s="21" t="s">
        <v>1737</v>
      </c>
      <c r="E2108" s="50" t="b">
        <v>1</v>
      </c>
      <c r="F2108" s="72" t="str">
        <f>HYPERLINK("http://nsgreg.nga.mil/genc/view?v=293667&amp;end_month=6&amp;end_day=30&amp;end_year=2019","Turkana")</f>
        <v>Turkana</v>
      </c>
      <c r="G2108" s="72" t="str">
        <f>HYPERLINK("http://api.nsgreg.nga.mil/geo-division/GENC/6/3-11/KE-43","as:GENC:6:3-11:KE-43")</f>
        <v>as:GENC:6:3-11:KE-43</v>
      </c>
    </row>
    <row r="2109" spans="1:7" x14ac:dyDescent="0.25">
      <c r="A2109" s="112"/>
      <c r="B2109" s="21" t="s">
        <v>5865</v>
      </c>
      <c r="C2109" s="21" t="s">
        <v>5866</v>
      </c>
      <c r="D2109" s="21" t="s">
        <v>1737</v>
      </c>
      <c r="E2109" s="50" t="b">
        <v>1</v>
      </c>
      <c r="F2109" s="72" t="str">
        <f>HYPERLINK("http://nsgreg.nga.mil/genc/view?v=293668&amp;end_month=6&amp;end_day=30&amp;end_year=2019","Uasin Gishu")</f>
        <v>Uasin Gishu</v>
      </c>
      <c r="G2109" s="72" t="str">
        <f>HYPERLINK("http://api.nsgreg.nga.mil/geo-division/GENC/6/3-11/KE-44","as:GENC:6:3-11:KE-44")</f>
        <v>as:GENC:6:3-11:KE-44</v>
      </c>
    </row>
    <row r="2110" spans="1:7" x14ac:dyDescent="0.25">
      <c r="A2110" s="112"/>
      <c r="B2110" s="21" t="s">
        <v>5867</v>
      </c>
      <c r="C2110" s="21" t="s">
        <v>5868</v>
      </c>
      <c r="D2110" s="21" t="s">
        <v>1737</v>
      </c>
      <c r="E2110" s="50" t="b">
        <v>1</v>
      </c>
      <c r="F2110" s="72" t="str">
        <f>HYPERLINK("http://nsgreg.nga.mil/genc/view?v=293669&amp;end_month=6&amp;end_day=30&amp;end_year=2019","Vihiga")</f>
        <v>Vihiga</v>
      </c>
      <c r="G2110" s="72" t="str">
        <f>HYPERLINK("http://api.nsgreg.nga.mil/geo-division/GENC/6/3-11/KE-45","as:GENC:6:3-11:KE-45")</f>
        <v>as:GENC:6:3-11:KE-45</v>
      </c>
    </row>
    <row r="2111" spans="1:7" x14ac:dyDescent="0.25">
      <c r="A2111" s="112"/>
      <c r="B2111" s="21" t="s">
        <v>5869</v>
      </c>
      <c r="C2111" s="21" t="s">
        <v>5870</v>
      </c>
      <c r="D2111" s="21" t="s">
        <v>1737</v>
      </c>
      <c r="E2111" s="50" t="b">
        <v>1</v>
      </c>
      <c r="F2111" s="72" t="str">
        <f>HYPERLINK("http://nsgreg.nga.mil/genc/view?v=293670&amp;end_month=6&amp;end_day=30&amp;end_year=2019","Wajir")</f>
        <v>Wajir</v>
      </c>
      <c r="G2111" s="72" t="str">
        <f>HYPERLINK("http://api.nsgreg.nga.mil/geo-division/GENC/6/3-11/KE-46","as:GENC:6:3-11:KE-46")</f>
        <v>as:GENC:6:3-11:KE-46</v>
      </c>
    </row>
    <row r="2112" spans="1:7" x14ac:dyDescent="0.25">
      <c r="A2112" s="113"/>
      <c r="B2112" s="47" t="s">
        <v>5871</v>
      </c>
      <c r="C2112" s="47" t="s">
        <v>5872</v>
      </c>
      <c r="D2112" s="47" t="s">
        <v>1737</v>
      </c>
      <c r="E2112" s="51" t="b">
        <v>1</v>
      </c>
      <c r="F2112" s="73" t="str">
        <f>HYPERLINK("http://nsgreg.nga.mil/genc/view?v=293671&amp;end_month=6&amp;end_day=30&amp;end_year=2019","West Pokot")</f>
        <v>West Pokot</v>
      </c>
      <c r="G2112" s="73" t="str">
        <f>HYPERLINK("http://api.nsgreg.nga.mil/geo-division/GENC/6/3-11/KE-47","as:GENC:6:3-11:KE-47")</f>
        <v>as:GENC:6:3-11:KE-47</v>
      </c>
    </row>
    <row r="2113" spans="1:7" x14ac:dyDescent="0.25">
      <c r="A2113" s="111" t="str">
        <f>HYPERLINK("[#]Codes_for_GE_Names!A145:I145","KOREA, NORTH")</f>
        <v>KOREA, NORTH</v>
      </c>
      <c r="B2113" s="42" t="s">
        <v>5873</v>
      </c>
      <c r="C2113" s="42" t="s">
        <v>5874</v>
      </c>
      <c r="D2113" s="42" t="s">
        <v>1668</v>
      </c>
      <c r="E2113" s="49" t="b">
        <v>1</v>
      </c>
      <c r="F2113" s="74" t="str">
        <f>HYPERLINK("http://nsgreg.nga.mil/genc/view?v=293731&amp;end_month=6&amp;end_day=30&amp;end_year=2019","Chagang")</f>
        <v>Chagang</v>
      </c>
      <c r="G2113" s="74" t="str">
        <f>HYPERLINK("http://api.nsgreg.nga.mil/geo-division/GENC/6/3-11/KP-04","as:GENC:6:3-11:KP-04")</f>
        <v>as:GENC:6:3-11:KP-04</v>
      </c>
    </row>
    <row r="2114" spans="1:7" x14ac:dyDescent="0.25">
      <c r="A2114" s="112"/>
      <c r="B2114" s="21" t="s">
        <v>5875</v>
      </c>
      <c r="C2114" s="21" t="s">
        <v>5876</v>
      </c>
      <c r="D2114" s="21" t="s">
        <v>1668</v>
      </c>
      <c r="E2114" s="50" t="b">
        <v>1</v>
      </c>
      <c r="F2114" s="72" t="str">
        <f>HYPERLINK("http://nsgreg.nga.mil/genc/view?v=293736&amp;end_month=6&amp;end_day=30&amp;end_year=2019","Hambuk")</f>
        <v>Hambuk</v>
      </c>
      <c r="G2114" s="72" t="str">
        <f>HYPERLINK("http://api.nsgreg.nga.mil/geo-division/GENC/6/3-11/KP-09","as:GENC:6:3-11:KP-09")</f>
        <v>as:GENC:6:3-11:KP-09</v>
      </c>
    </row>
    <row r="2115" spans="1:7" x14ac:dyDescent="0.25">
      <c r="A2115" s="112"/>
      <c r="B2115" s="21" t="s">
        <v>5877</v>
      </c>
      <c r="C2115" s="21" t="s">
        <v>5878</v>
      </c>
      <c r="D2115" s="21" t="s">
        <v>1668</v>
      </c>
      <c r="E2115" s="50" t="b">
        <v>1</v>
      </c>
      <c r="F2115" s="72" t="str">
        <f>HYPERLINK("http://nsgreg.nga.mil/genc/view?v=293735&amp;end_month=6&amp;end_day=30&amp;end_year=2019","Hamnam")</f>
        <v>Hamnam</v>
      </c>
      <c r="G2115" s="72" t="str">
        <f>HYPERLINK("http://api.nsgreg.nga.mil/geo-division/GENC/6/3-11/KP-08","as:GENC:6:3-11:KP-08")</f>
        <v>as:GENC:6:3-11:KP-08</v>
      </c>
    </row>
    <row r="2116" spans="1:7" x14ac:dyDescent="0.25">
      <c r="A2116" s="112"/>
      <c r="B2116" s="21" t="s">
        <v>5879</v>
      </c>
      <c r="C2116" s="21" t="s">
        <v>5880</v>
      </c>
      <c r="D2116" s="21" t="s">
        <v>1668</v>
      </c>
      <c r="E2116" s="50" t="b">
        <v>1</v>
      </c>
      <c r="F2116" s="72" t="str">
        <f>HYPERLINK("http://nsgreg.nga.mil/genc/view?v=293733&amp;end_month=6&amp;end_day=30&amp;end_year=2019","Hwangbuk")</f>
        <v>Hwangbuk</v>
      </c>
      <c r="G2116" s="72" t="str">
        <f>HYPERLINK("http://api.nsgreg.nga.mil/geo-division/GENC/6/3-11/KP-06","as:GENC:6:3-11:KP-06")</f>
        <v>as:GENC:6:3-11:KP-06</v>
      </c>
    </row>
    <row r="2117" spans="1:7" x14ac:dyDescent="0.25">
      <c r="A2117" s="112"/>
      <c r="B2117" s="21" t="s">
        <v>5881</v>
      </c>
      <c r="C2117" s="21" t="s">
        <v>5882</v>
      </c>
      <c r="D2117" s="21" t="s">
        <v>1668</v>
      </c>
      <c r="E2117" s="50" t="b">
        <v>1</v>
      </c>
      <c r="F2117" s="72" t="str">
        <f>HYPERLINK("http://nsgreg.nga.mil/genc/view?v=293732&amp;end_month=6&amp;end_day=30&amp;end_year=2019","Hwangnam")</f>
        <v>Hwangnam</v>
      </c>
      <c r="G2117" s="72" t="str">
        <f>HYPERLINK("http://api.nsgreg.nga.mil/geo-division/GENC/6/3-11/KP-05","as:GENC:6:3-11:KP-05")</f>
        <v>as:GENC:6:3-11:KP-05</v>
      </c>
    </row>
    <row r="2118" spans="1:7" x14ac:dyDescent="0.25">
      <c r="A2118" s="112"/>
      <c r="B2118" s="21" t="s">
        <v>5883</v>
      </c>
      <c r="C2118" s="21" t="s">
        <v>5884</v>
      </c>
      <c r="D2118" s="21" t="s">
        <v>1668</v>
      </c>
      <c r="E2118" s="50" t="b">
        <v>1</v>
      </c>
      <c r="F2118" s="72" t="str">
        <f>HYPERLINK("http://nsgreg.nga.mil/genc/view?v=293734&amp;end_month=6&amp;end_day=30&amp;end_year=2019","Kangwŏn")</f>
        <v>Kangwŏn</v>
      </c>
      <c r="G2118" s="72" t="str">
        <f>HYPERLINK("http://api.nsgreg.nga.mil/geo-division/GENC/6/3-11/KP-07","as:GENC:6:3-11:KP-07")</f>
        <v>as:GENC:6:3-11:KP-07</v>
      </c>
    </row>
    <row r="2119" spans="1:7" x14ac:dyDescent="0.25">
      <c r="A2119" s="112"/>
      <c r="B2119" s="21" t="s">
        <v>5885</v>
      </c>
      <c r="C2119" s="21" t="s">
        <v>5886</v>
      </c>
      <c r="D2119" s="21" t="s">
        <v>5383</v>
      </c>
      <c r="E2119" s="50" t="b">
        <v>1</v>
      </c>
      <c r="F2119" s="72" t="str">
        <f>HYPERLINK("http://nsgreg.nga.mil/genc/view?v=293739&amp;end_month=6&amp;end_day=30&amp;end_year=2019","Namp’o")</f>
        <v>Namp’o</v>
      </c>
      <c r="G2119" s="72" t="str">
        <f>HYPERLINK("http://api.nsgreg.nga.mil/geo-division/GENC/6/3-11/KP-14","as:GENC:6:3-11:KP-14")</f>
        <v>as:GENC:6:3-11:KP-14</v>
      </c>
    </row>
    <row r="2120" spans="1:7" x14ac:dyDescent="0.25">
      <c r="A2120" s="112"/>
      <c r="B2120" s="21" t="s">
        <v>5887</v>
      </c>
      <c r="C2120" s="21" t="s">
        <v>5888</v>
      </c>
      <c r="D2120" s="21" t="s">
        <v>1668</v>
      </c>
      <c r="E2120" s="50" t="b">
        <v>1</v>
      </c>
      <c r="F2120" s="72" t="str">
        <f>HYPERLINK("http://nsgreg.nga.mil/genc/view?v=293730&amp;end_month=6&amp;end_day=30&amp;end_year=2019","P’yŏngbuk")</f>
        <v>P’yŏngbuk</v>
      </c>
      <c r="G2120" s="72" t="str">
        <f>HYPERLINK("http://api.nsgreg.nga.mil/geo-division/GENC/6/3-11/KP-03","as:GENC:6:3-11:KP-03")</f>
        <v>as:GENC:6:3-11:KP-03</v>
      </c>
    </row>
    <row r="2121" spans="1:7" x14ac:dyDescent="0.25">
      <c r="A2121" s="112"/>
      <c r="B2121" s="21" t="s">
        <v>5889</v>
      </c>
      <c r="C2121" s="21" t="s">
        <v>5890</v>
      </c>
      <c r="D2121" s="21" t="s">
        <v>1668</v>
      </c>
      <c r="E2121" s="50" t="b">
        <v>1</v>
      </c>
      <c r="F2121" s="72" t="str">
        <f>HYPERLINK("http://nsgreg.nga.mil/genc/view?v=293729&amp;end_month=6&amp;end_day=30&amp;end_year=2019","P’yŏngnam")</f>
        <v>P’yŏngnam</v>
      </c>
      <c r="G2121" s="72" t="str">
        <f>HYPERLINK("http://api.nsgreg.nga.mil/geo-division/GENC/6/3-11/KP-02","as:GENC:6:3-11:KP-02")</f>
        <v>as:GENC:6:3-11:KP-02</v>
      </c>
    </row>
    <row r="2122" spans="1:7" x14ac:dyDescent="0.25">
      <c r="A2122" s="112"/>
      <c r="B2122" s="21" t="s">
        <v>5891</v>
      </c>
      <c r="C2122" s="21" t="s">
        <v>5892</v>
      </c>
      <c r="D2122" s="21" t="s">
        <v>5893</v>
      </c>
      <c r="E2122" s="50" t="b">
        <v>1</v>
      </c>
      <c r="F2122" s="72" t="str">
        <f>HYPERLINK("http://nsgreg.nga.mil/genc/view?v=293728&amp;end_month=6&amp;end_day=30&amp;end_year=2019","P’yŏngyang")</f>
        <v>P’yŏngyang</v>
      </c>
      <c r="G2122" s="72" t="str">
        <f>HYPERLINK("http://api.nsgreg.nga.mil/geo-division/GENC/6/3-11/KP-01","as:GENC:6:3-11:KP-01")</f>
        <v>as:GENC:6:3-11:KP-01</v>
      </c>
    </row>
    <row r="2123" spans="1:7" x14ac:dyDescent="0.25">
      <c r="A2123" s="112"/>
      <c r="B2123" s="21" t="s">
        <v>5894</v>
      </c>
      <c r="C2123" s="21" t="s">
        <v>5895</v>
      </c>
      <c r="D2123" s="21" t="s">
        <v>1996</v>
      </c>
      <c r="E2123" s="50" t="b">
        <v>1</v>
      </c>
      <c r="F2123" s="72" t="str">
        <f>HYPERLINK("http://nsgreg.nga.mil/genc/view?v=293738&amp;end_month=6&amp;end_day=30&amp;end_year=2019","Rasŏn")</f>
        <v>Rasŏn</v>
      </c>
      <c r="G2123" s="72" t="str">
        <f>HYPERLINK("http://api.nsgreg.nga.mil/geo-division/GENC/6/3-11/KP-13","as:GENC:6:3-11:KP-13")</f>
        <v>as:GENC:6:3-11:KP-13</v>
      </c>
    </row>
    <row r="2124" spans="1:7" x14ac:dyDescent="0.25">
      <c r="A2124" s="113"/>
      <c r="B2124" s="47" t="s">
        <v>5896</v>
      </c>
      <c r="C2124" s="47" t="s">
        <v>5897</v>
      </c>
      <c r="D2124" s="47" t="s">
        <v>1668</v>
      </c>
      <c r="E2124" s="51" t="b">
        <v>1</v>
      </c>
      <c r="F2124" s="73" t="str">
        <f>HYPERLINK("http://nsgreg.nga.mil/genc/view?v=293737&amp;end_month=6&amp;end_day=30&amp;end_year=2019","Ryanggang")</f>
        <v>Ryanggang</v>
      </c>
      <c r="G2124" s="73" t="str">
        <f>HYPERLINK("http://api.nsgreg.nga.mil/geo-division/GENC/6/3-11/KP-10","as:GENC:6:3-11:KP-10")</f>
        <v>as:GENC:6:3-11:KP-10</v>
      </c>
    </row>
    <row r="2125" spans="1:7" x14ac:dyDescent="0.25">
      <c r="A2125" s="111" t="str">
        <f>HYPERLINK("[#]Codes_for_GE_Names!A146:I146","KOREA, SOUTH")</f>
        <v>KOREA, SOUTH</v>
      </c>
      <c r="B2125" s="42" t="s">
        <v>5898</v>
      </c>
      <c r="C2125" s="42" t="s">
        <v>5899</v>
      </c>
      <c r="D2125" s="42" t="s">
        <v>5383</v>
      </c>
      <c r="E2125" s="49" t="b">
        <v>1</v>
      </c>
      <c r="F2125" s="74" t="str">
        <f>HYPERLINK("http://nsgreg.nga.mil/genc/view?v=293741&amp;end_month=6&amp;end_day=30&amp;end_year=2019","Busan")</f>
        <v>Busan</v>
      </c>
      <c r="G2125" s="74" t="str">
        <f>HYPERLINK("http://api.nsgreg.nga.mil/geo-division/GENC/6/3-11/KR-26","as:GENC:6:3-11:KR-26")</f>
        <v>as:GENC:6:3-11:KR-26</v>
      </c>
    </row>
    <row r="2126" spans="1:7" x14ac:dyDescent="0.25">
      <c r="A2126" s="112"/>
      <c r="B2126" s="21" t="s">
        <v>5900</v>
      </c>
      <c r="C2126" s="21" t="s">
        <v>5901</v>
      </c>
      <c r="D2126" s="21" t="s">
        <v>1668</v>
      </c>
      <c r="E2126" s="50" t="b">
        <v>1</v>
      </c>
      <c r="F2126" s="72" t="str">
        <f>HYPERLINK("http://nsgreg.nga.mil/genc/view?v=293749&amp;end_month=6&amp;end_day=30&amp;end_year=2019","Chungbuk")</f>
        <v>Chungbuk</v>
      </c>
      <c r="G2126" s="72" t="str">
        <f>HYPERLINK("http://api.nsgreg.nga.mil/geo-division/GENC/6/3-11/KR-43","as:GENC:6:3-11:KR-43")</f>
        <v>as:GENC:6:3-11:KR-43</v>
      </c>
    </row>
    <row r="2127" spans="1:7" x14ac:dyDescent="0.25">
      <c r="A2127" s="112"/>
      <c r="B2127" s="21" t="s">
        <v>5902</v>
      </c>
      <c r="C2127" s="21" t="s">
        <v>5903</v>
      </c>
      <c r="D2127" s="21" t="s">
        <v>1668</v>
      </c>
      <c r="E2127" s="50" t="b">
        <v>1</v>
      </c>
      <c r="F2127" s="72" t="str">
        <f>HYPERLINK("http://nsgreg.nga.mil/genc/view?v=293750&amp;end_month=6&amp;end_day=30&amp;end_year=2019","Chungnam")</f>
        <v>Chungnam</v>
      </c>
      <c r="G2127" s="72" t="str">
        <f>HYPERLINK("http://api.nsgreg.nga.mil/geo-division/GENC/6/3-11/KR-44","as:GENC:6:3-11:KR-44")</f>
        <v>as:GENC:6:3-11:KR-44</v>
      </c>
    </row>
    <row r="2128" spans="1:7" x14ac:dyDescent="0.25">
      <c r="A2128" s="112"/>
      <c r="B2128" s="21" t="s">
        <v>5904</v>
      </c>
      <c r="C2128" s="21" t="s">
        <v>5905</v>
      </c>
      <c r="D2128" s="21" t="s">
        <v>5383</v>
      </c>
      <c r="E2128" s="50" t="b">
        <v>1</v>
      </c>
      <c r="F2128" s="72" t="str">
        <f>HYPERLINK("http://nsgreg.nga.mil/genc/view?v=293742&amp;end_month=6&amp;end_day=30&amp;end_year=2019","Daegu")</f>
        <v>Daegu</v>
      </c>
      <c r="G2128" s="72" t="str">
        <f>HYPERLINK("http://api.nsgreg.nga.mil/geo-division/GENC/6/3-11/KR-27","as:GENC:6:3-11:KR-27")</f>
        <v>as:GENC:6:3-11:KR-27</v>
      </c>
    </row>
    <row r="2129" spans="1:7" x14ac:dyDescent="0.25">
      <c r="A2129" s="112"/>
      <c r="B2129" s="21" t="s">
        <v>5906</v>
      </c>
      <c r="C2129" s="21" t="s">
        <v>5907</v>
      </c>
      <c r="D2129" s="21" t="s">
        <v>5383</v>
      </c>
      <c r="E2129" s="50" t="b">
        <v>1</v>
      </c>
      <c r="F2129" s="72" t="str">
        <f>HYPERLINK("http://nsgreg.nga.mil/genc/view?v=293745&amp;end_month=6&amp;end_day=30&amp;end_year=2019","Daejeon")</f>
        <v>Daejeon</v>
      </c>
      <c r="G2129" s="72" t="str">
        <f>HYPERLINK("http://api.nsgreg.nga.mil/geo-division/GENC/6/3-11/KR-30","as:GENC:6:3-11:KR-30")</f>
        <v>as:GENC:6:3-11:KR-30</v>
      </c>
    </row>
    <row r="2130" spans="1:7" x14ac:dyDescent="0.25">
      <c r="A2130" s="112"/>
      <c r="B2130" s="21" t="s">
        <v>5908</v>
      </c>
      <c r="C2130" s="21" t="s">
        <v>5909</v>
      </c>
      <c r="D2130" s="21" t="s">
        <v>1668</v>
      </c>
      <c r="E2130" s="50" t="b">
        <v>1</v>
      </c>
      <c r="F2130" s="72" t="str">
        <f>HYPERLINK("http://nsgreg.nga.mil/genc/view?v=293748&amp;end_month=6&amp;end_day=30&amp;end_year=2019","Gangwon")</f>
        <v>Gangwon</v>
      </c>
      <c r="G2130" s="72" t="str">
        <f>HYPERLINK("http://api.nsgreg.nga.mil/geo-division/GENC/6/3-11/KR-42","as:GENC:6:3-11:KR-42")</f>
        <v>as:GENC:6:3-11:KR-42</v>
      </c>
    </row>
    <row r="2131" spans="1:7" x14ac:dyDescent="0.25">
      <c r="A2131" s="112"/>
      <c r="B2131" s="21" t="s">
        <v>5910</v>
      </c>
      <c r="C2131" s="21" t="s">
        <v>5911</v>
      </c>
      <c r="D2131" s="21" t="s">
        <v>5383</v>
      </c>
      <c r="E2131" s="50" t="b">
        <v>1</v>
      </c>
      <c r="F2131" s="72" t="str">
        <f>HYPERLINK("http://nsgreg.nga.mil/genc/view?v=293744&amp;end_month=6&amp;end_day=30&amp;end_year=2019","Gwangju")</f>
        <v>Gwangju</v>
      </c>
      <c r="G2131" s="72" t="str">
        <f>HYPERLINK("http://api.nsgreg.nga.mil/geo-division/GENC/6/3-11/KR-29","as:GENC:6:3-11:KR-29")</f>
        <v>as:GENC:6:3-11:KR-29</v>
      </c>
    </row>
    <row r="2132" spans="1:7" x14ac:dyDescent="0.25">
      <c r="A2132" s="112"/>
      <c r="B2132" s="21" t="s">
        <v>5912</v>
      </c>
      <c r="C2132" s="21" t="s">
        <v>5913</v>
      </c>
      <c r="D2132" s="21" t="s">
        <v>1668</v>
      </c>
      <c r="E2132" s="50" t="b">
        <v>1</v>
      </c>
      <c r="F2132" s="72" t="str">
        <f>HYPERLINK("http://nsgreg.nga.mil/genc/view?v=293753&amp;end_month=6&amp;end_day=30&amp;end_year=2019","Gyeongbuk")</f>
        <v>Gyeongbuk</v>
      </c>
      <c r="G2132" s="72" t="str">
        <f>HYPERLINK("http://api.nsgreg.nga.mil/geo-division/GENC/6/3-11/KR-47","as:GENC:6:3-11:KR-47")</f>
        <v>as:GENC:6:3-11:KR-47</v>
      </c>
    </row>
    <row r="2133" spans="1:7" x14ac:dyDescent="0.25">
      <c r="A2133" s="112"/>
      <c r="B2133" s="21" t="s">
        <v>5914</v>
      </c>
      <c r="C2133" s="21" t="s">
        <v>5915</v>
      </c>
      <c r="D2133" s="21" t="s">
        <v>1668</v>
      </c>
      <c r="E2133" s="50" t="b">
        <v>1</v>
      </c>
      <c r="F2133" s="72" t="str">
        <f>HYPERLINK("http://nsgreg.nga.mil/genc/view?v=293747&amp;end_month=6&amp;end_day=30&amp;end_year=2019","Gyeonggi")</f>
        <v>Gyeonggi</v>
      </c>
      <c r="G2133" s="72" t="str">
        <f>HYPERLINK("http://api.nsgreg.nga.mil/geo-division/GENC/6/3-11/KR-41","as:GENC:6:3-11:KR-41")</f>
        <v>as:GENC:6:3-11:KR-41</v>
      </c>
    </row>
    <row r="2134" spans="1:7" x14ac:dyDescent="0.25">
      <c r="A2134" s="112"/>
      <c r="B2134" s="21" t="s">
        <v>5916</v>
      </c>
      <c r="C2134" s="21" t="s">
        <v>5917</v>
      </c>
      <c r="D2134" s="21" t="s">
        <v>1668</v>
      </c>
      <c r="E2134" s="50" t="b">
        <v>1</v>
      </c>
      <c r="F2134" s="72" t="str">
        <f>HYPERLINK("http://nsgreg.nga.mil/genc/view?v=293754&amp;end_month=6&amp;end_day=30&amp;end_year=2019","Gyeongnam")</f>
        <v>Gyeongnam</v>
      </c>
      <c r="G2134" s="72" t="str">
        <f>HYPERLINK("http://api.nsgreg.nga.mil/geo-division/GENC/6/3-11/KR-48","as:GENC:6:3-11:KR-48")</f>
        <v>as:GENC:6:3-11:KR-48</v>
      </c>
    </row>
    <row r="2135" spans="1:7" x14ac:dyDescent="0.25">
      <c r="A2135" s="112"/>
      <c r="B2135" s="21" t="s">
        <v>5918</v>
      </c>
      <c r="C2135" s="21" t="s">
        <v>5919</v>
      </c>
      <c r="D2135" s="21" t="s">
        <v>5383</v>
      </c>
      <c r="E2135" s="50" t="b">
        <v>1</v>
      </c>
      <c r="F2135" s="72" t="str">
        <f>HYPERLINK("http://nsgreg.nga.mil/genc/view?v=293743&amp;end_month=6&amp;end_day=30&amp;end_year=2019","Incheon")</f>
        <v>Incheon</v>
      </c>
      <c r="G2135" s="72" t="str">
        <f>HYPERLINK("http://api.nsgreg.nga.mil/geo-division/GENC/6/3-11/KR-28","as:GENC:6:3-11:KR-28")</f>
        <v>as:GENC:6:3-11:KR-28</v>
      </c>
    </row>
    <row r="2136" spans="1:7" x14ac:dyDescent="0.25">
      <c r="A2136" s="112"/>
      <c r="B2136" s="21" t="s">
        <v>5920</v>
      </c>
      <c r="C2136" s="21" t="s">
        <v>5921</v>
      </c>
      <c r="D2136" s="21" t="s">
        <v>1668</v>
      </c>
      <c r="E2136" s="50" t="b">
        <v>1</v>
      </c>
      <c r="F2136" s="72" t="str">
        <f>HYPERLINK("http://nsgreg.nga.mil/genc/view?v=293755&amp;end_month=6&amp;end_day=30&amp;end_year=2019","Jeju")</f>
        <v>Jeju</v>
      </c>
      <c r="G2136" s="72" t="str">
        <f>HYPERLINK("http://api.nsgreg.nga.mil/geo-division/GENC/6/3-11/KR-49","as:GENC:6:3-11:KR-49")</f>
        <v>as:GENC:6:3-11:KR-49</v>
      </c>
    </row>
    <row r="2137" spans="1:7" x14ac:dyDescent="0.25">
      <c r="A2137" s="112"/>
      <c r="B2137" s="21" t="s">
        <v>5922</v>
      </c>
      <c r="C2137" s="21" t="s">
        <v>5923</v>
      </c>
      <c r="D2137" s="21" t="s">
        <v>1668</v>
      </c>
      <c r="E2137" s="50" t="b">
        <v>1</v>
      </c>
      <c r="F2137" s="72" t="str">
        <f>HYPERLINK("http://nsgreg.nga.mil/genc/view?v=293751&amp;end_month=6&amp;end_day=30&amp;end_year=2019","Jeonbuk")</f>
        <v>Jeonbuk</v>
      </c>
      <c r="G2137" s="72" t="str">
        <f>HYPERLINK("http://api.nsgreg.nga.mil/geo-division/GENC/6/3-11/KR-45","as:GENC:6:3-11:KR-45")</f>
        <v>as:GENC:6:3-11:KR-45</v>
      </c>
    </row>
    <row r="2138" spans="1:7" x14ac:dyDescent="0.25">
      <c r="A2138" s="112"/>
      <c r="B2138" s="21" t="s">
        <v>5924</v>
      </c>
      <c r="C2138" s="21" t="s">
        <v>5925</v>
      </c>
      <c r="D2138" s="21" t="s">
        <v>1668</v>
      </c>
      <c r="E2138" s="50" t="b">
        <v>1</v>
      </c>
      <c r="F2138" s="72" t="str">
        <f>HYPERLINK("http://nsgreg.nga.mil/genc/view?v=293752&amp;end_month=6&amp;end_day=30&amp;end_year=2019","Jeonnam")</f>
        <v>Jeonnam</v>
      </c>
      <c r="G2138" s="72" t="str">
        <f>HYPERLINK("http://api.nsgreg.nga.mil/geo-division/GENC/6/3-11/KR-46","as:GENC:6:3-11:KR-46")</f>
        <v>as:GENC:6:3-11:KR-46</v>
      </c>
    </row>
    <row r="2139" spans="1:7" x14ac:dyDescent="0.25">
      <c r="A2139" s="112"/>
      <c r="B2139" s="21" t="s">
        <v>5926</v>
      </c>
      <c r="C2139" s="21" t="s">
        <v>5927</v>
      </c>
      <c r="D2139" s="21" t="s">
        <v>5928</v>
      </c>
      <c r="E2139" s="50" t="b">
        <v>1</v>
      </c>
      <c r="F2139" s="72" t="str">
        <f>HYPERLINK("http://nsgreg.nga.mil/genc/view?v=293756&amp;end_month=6&amp;end_day=30&amp;end_year=2019","Sejong")</f>
        <v>Sejong</v>
      </c>
      <c r="G2139" s="72" t="str">
        <f>HYPERLINK("http://api.nsgreg.nga.mil/geo-division/GENC/6/3-11/KR-50","as:GENC:6:3-11:KR-50")</f>
        <v>as:GENC:6:3-11:KR-50</v>
      </c>
    </row>
    <row r="2140" spans="1:7" x14ac:dyDescent="0.25">
      <c r="A2140" s="112"/>
      <c r="B2140" s="21" t="s">
        <v>5929</v>
      </c>
      <c r="C2140" s="21" t="s">
        <v>5930</v>
      </c>
      <c r="D2140" s="21" t="s">
        <v>3641</v>
      </c>
      <c r="E2140" s="50" t="b">
        <v>1</v>
      </c>
      <c r="F2140" s="72" t="str">
        <f>HYPERLINK("http://nsgreg.nga.mil/genc/view?v=293740&amp;end_month=6&amp;end_day=30&amp;end_year=2019","Seoul")</f>
        <v>Seoul</v>
      </c>
      <c r="G2140" s="72" t="str">
        <f>HYPERLINK("http://api.nsgreg.nga.mil/geo-division/GENC/6/3-11/KR-11","as:GENC:6:3-11:KR-11")</f>
        <v>as:GENC:6:3-11:KR-11</v>
      </c>
    </row>
    <row r="2141" spans="1:7" x14ac:dyDescent="0.25">
      <c r="A2141" s="113"/>
      <c r="B2141" s="47" t="s">
        <v>5931</v>
      </c>
      <c r="C2141" s="47" t="s">
        <v>5932</v>
      </c>
      <c r="D2141" s="47" t="s">
        <v>5383</v>
      </c>
      <c r="E2141" s="51" t="b">
        <v>1</v>
      </c>
      <c r="F2141" s="73" t="str">
        <f>HYPERLINK("http://nsgreg.nga.mil/genc/view?v=293746&amp;end_month=6&amp;end_day=30&amp;end_year=2019","Ulsan")</f>
        <v>Ulsan</v>
      </c>
      <c r="G2141" s="73" t="str">
        <f>HYPERLINK("http://api.nsgreg.nga.mil/geo-division/GENC/6/3-11/KR-31","as:GENC:6:3-11:KR-31")</f>
        <v>as:GENC:6:3-11:KR-31</v>
      </c>
    </row>
    <row r="2142" spans="1:7" x14ac:dyDescent="0.25">
      <c r="A2142" s="111" t="str">
        <f>HYPERLINK("[#]Codes_for_GE_Names!A147:I147","KOSOVO")</f>
        <v>KOSOVO</v>
      </c>
      <c r="B2142" s="42" t="s">
        <v>5933</v>
      </c>
      <c r="C2142" s="42" t="s">
        <v>5934</v>
      </c>
      <c r="D2142" s="42" t="s">
        <v>2505</v>
      </c>
      <c r="E2142" s="49" t="b">
        <v>1</v>
      </c>
      <c r="F2142" s="74" t="str">
        <f>HYPERLINK("http://nsgreg.nga.mil/genc/view?v=296535&amp;end_month=6&amp;end_day=30&amp;end_year=2019","Deçan")</f>
        <v>Deçan</v>
      </c>
      <c r="G2142" s="74" t="str">
        <f>HYPERLINK("http://api.nsgreg.nga.mil/geo-division/GENC/6/3-11/XK-01","as:GENC:6:3-11:XK-01")</f>
        <v>as:GENC:6:3-11:XK-01</v>
      </c>
    </row>
    <row r="2143" spans="1:7" x14ac:dyDescent="0.25">
      <c r="A2143" s="112"/>
      <c r="B2143" s="21" t="s">
        <v>5935</v>
      </c>
      <c r="C2143" s="21" t="s">
        <v>5936</v>
      </c>
      <c r="D2143" s="21" t="s">
        <v>2505</v>
      </c>
      <c r="E2143" s="50" t="b">
        <v>1</v>
      </c>
      <c r="F2143" s="72" t="str">
        <f>HYPERLINK("http://nsgreg.nga.mil/genc/view?v=296536&amp;end_month=6&amp;end_day=30&amp;end_year=2019","Dragash")</f>
        <v>Dragash</v>
      </c>
      <c r="G2143" s="72" t="str">
        <f>HYPERLINK("http://api.nsgreg.nga.mil/geo-division/GENC/6/3-11/XK-02","as:GENC:6:3-11:XK-02")</f>
        <v>as:GENC:6:3-11:XK-02</v>
      </c>
    </row>
    <row r="2144" spans="1:7" x14ac:dyDescent="0.25">
      <c r="A2144" s="112"/>
      <c r="B2144" s="21" t="s">
        <v>5937</v>
      </c>
      <c r="C2144" s="21" t="s">
        <v>5938</v>
      </c>
      <c r="D2144" s="21" t="s">
        <v>2505</v>
      </c>
      <c r="E2144" s="50" t="b">
        <v>1</v>
      </c>
      <c r="F2144" s="72" t="str">
        <f>HYPERLINK("http://nsgreg.nga.mil/genc/view?v=296537&amp;end_month=6&amp;end_day=30&amp;end_year=2019","Ferizaj")</f>
        <v>Ferizaj</v>
      </c>
      <c r="G2144" s="72" t="str">
        <f>HYPERLINK("http://api.nsgreg.nga.mil/geo-division/GENC/6/3-11/XK-03","as:GENC:6:3-11:XK-03")</f>
        <v>as:GENC:6:3-11:XK-03</v>
      </c>
    </row>
    <row r="2145" spans="1:7" x14ac:dyDescent="0.25">
      <c r="A2145" s="112"/>
      <c r="B2145" s="21" t="s">
        <v>5939</v>
      </c>
      <c r="C2145" s="21" t="s">
        <v>5940</v>
      </c>
      <c r="D2145" s="21" t="s">
        <v>2505</v>
      </c>
      <c r="E2145" s="50" t="b">
        <v>1</v>
      </c>
      <c r="F2145" s="72" t="str">
        <f>HYPERLINK("http://nsgreg.nga.mil/genc/view?v=296538&amp;end_month=6&amp;end_day=30&amp;end_year=2019","Fushë Kosovë")</f>
        <v>Fushë Kosovë</v>
      </c>
      <c r="G2145" s="72" t="str">
        <f>HYPERLINK("http://api.nsgreg.nga.mil/geo-division/GENC/6/3-11/XK-04","as:GENC:6:3-11:XK-04")</f>
        <v>as:GENC:6:3-11:XK-04</v>
      </c>
    </row>
    <row r="2146" spans="1:7" x14ac:dyDescent="0.25">
      <c r="A2146" s="112"/>
      <c r="B2146" s="21" t="s">
        <v>5941</v>
      </c>
      <c r="C2146" s="21" t="s">
        <v>5942</v>
      </c>
      <c r="D2146" s="21" t="s">
        <v>2505</v>
      </c>
      <c r="E2146" s="50" t="b">
        <v>1</v>
      </c>
      <c r="F2146" s="72" t="str">
        <f>HYPERLINK("http://nsgreg.nga.mil/genc/view?v=296539&amp;end_month=6&amp;end_day=30&amp;end_year=2019","Gjakovë")</f>
        <v>Gjakovë</v>
      </c>
      <c r="G2146" s="72" t="str">
        <f>HYPERLINK("http://api.nsgreg.nga.mil/geo-division/GENC/6/3-11/XK-05","as:GENC:6:3-11:XK-05")</f>
        <v>as:GENC:6:3-11:XK-05</v>
      </c>
    </row>
    <row r="2147" spans="1:7" x14ac:dyDescent="0.25">
      <c r="A2147" s="112"/>
      <c r="B2147" s="21" t="s">
        <v>5943</v>
      </c>
      <c r="C2147" s="21" t="s">
        <v>5944</v>
      </c>
      <c r="D2147" s="21" t="s">
        <v>2505</v>
      </c>
      <c r="E2147" s="50" t="b">
        <v>1</v>
      </c>
      <c r="F2147" s="72" t="str">
        <f>HYPERLINK("http://nsgreg.nga.mil/genc/view?v=296540&amp;end_month=6&amp;end_day=30&amp;end_year=2019","Gjilan")</f>
        <v>Gjilan</v>
      </c>
      <c r="G2147" s="72" t="str">
        <f>HYPERLINK("http://api.nsgreg.nga.mil/geo-division/GENC/6/3-11/XK-06","as:GENC:6:3-11:XK-06")</f>
        <v>as:GENC:6:3-11:XK-06</v>
      </c>
    </row>
    <row r="2148" spans="1:7" x14ac:dyDescent="0.25">
      <c r="A2148" s="112"/>
      <c r="B2148" s="21" t="s">
        <v>5945</v>
      </c>
      <c r="C2148" s="21" t="s">
        <v>5946</v>
      </c>
      <c r="D2148" s="21" t="s">
        <v>2505</v>
      </c>
      <c r="E2148" s="50" t="b">
        <v>1</v>
      </c>
      <c r="F2148" s="72" t="str">
        <f>HYPERLINK("http://nsgreg.nga.mil/genc/view?v=296541&amp;end_month=6&amp;end_day=30&amp;end_year=2019","Gllogovc")</f>
        <v>Gllogovc</v>
      </c>
      <c r="G2148" s="72" t="str">
        <f>HYPERLINK("http://api.nsgreg.nga.mil/geo-division/GENC/6/3-11/XK-07","as:GENC:6:3-11:XK-07")</f>
        <v>as:GENC:6:3-11:XK-07</v>
      </c>
    </row>
    <row r="2149" spans="1:7" x14ac:dyDescent="0.25">
      <c r="A2149" s="112"/>
      <c r="B2149" s="21" t="s">
        <v>5947</v>
      </c>
      <c r="C2149" s="21" t="s">
        <v>5948</v>
      </c>
      <c r="D2149" s="21" t="s">
        <v>2505</v>
      </c>
      <c r="E2149" s="50" t="b">
        <v>1</v>
      </c>
      <c r="F2149" s="72" t="str">
        <f>HYPERLINK("http://nsgreg.nga.mil/genc/view?v=296542&amp;end_month=6&amp;end_day=30&amp;end_year=2019","Graçanicë")</f>
        <v>Graçanicë</v>
      </c>
      <c r="G2149" s="72" t="str">
        <f>HYPERLINK("http://api.nsgreg.nga.mil/geo-division/GENC/6/3-11/XK-08","as:GENC:6:3-11:XK-08")</f>
        <v>as:GENC:6:3-11:XK-08</v>
      </c>
    </row>
    <row r="2150" spans="1:7" x14ac:dyDescent="0.25">
      <c r="A2150" s="112"/>
      <c r="B2150" s="21" t="s">
        <v>5949</v>
      </c>
      <c r="C2150" s="21" t="s">
        <v>5950</v>
      </c>
      <c r="D2150" s="21" t="s">
        <v>2505</v>
      </c>
      <c r="E2150" s="50" t="b">
        <v>1</v>
      </c>
      <c r="F2150" s="72" t="str">
        <f>HYPERLINK("http://nsgreg.nga.mil/genc/view?v=296543&amp;end_month=6&amp;end_day=30&amp;end_year=2019","Hani i Elezit")</f>
        <v>Hani i Elezit</v>
      </c>
      <c r="G2150" s="72" t="str">
        <f>HYPERLINK("http://api.nsgreg.nga.mil/geo-division/GENC/6/3-11/XK-09","as:GENC:6:3-11:XK-09")</f>
        <v>as:GENC:6:3-11:XK-09</v>
      </c>
    </row>
    <row r="2151" spans="1:7" x14ac:dyDescent="0.25">
      <c r="A2151" s="112"/>
      <c r="B2151" s="21" t="s">
        <v>5951</v>
      </c>
      <c r="C2151" s="21" t="s">
        <v>5952</v>
      </c>
      <c r="D2151" s="21" t="s">
        <v>2505</v>
      </c>
      <c r="E2151" s="50" t="b">
        <v>1</v>
      </c>
      <c r="F2151" s="72" t="str">
        <f>HYPERLINK("http://nsgreg.nga.mil/genc/view?v=296544&amp;end_month=6&amp;end_day=30&amp;end_year=2019","Istog")</f>
        <v>Istog</v>
      </c>
      <c r="G2151" s="72" t="str">
        <f>HYPERLINK("http://api.nsgreg.nga.mil/geo-division/GENC/6/3-11/XK-10","as:GENC:6:3-11:XK-10")</f>
        <v>as:GENC:6:3-11:XK-10</v>
      </c>
    </row>
    <row r="2152" spans="1:7" x14ac:dyDescent="0.25">
      <c r="A2152" s="112"/>
      <c r="B2152" s="21" t="s">
        <v>5953</v>
      </c>
      <c r="C2152" s="21" t="s">
        <v>5954</v>
      </c>
      <c r="D2152" s="21" t="s">
        <v>2505</v>
      </c>
      <c r="E2152" s="50" t="b">
        <v>1</v>
      </c>
      <c r="F2152" s="72" t="str">
        <f>HYPERLINK("http://nsgreg.nga.mil/genc/view?v=296545&amp;end_month=6&amp;end_day=30&amp;end_year=2019","Junik")</f>
        <v>Junik</v>
      </c>
      <c r="G2152" s="72" t="str">
        <f>HYPERLINK("http://api.nsgreg.nga.mil/geo-division/GENC/6/3-11/XK-11","as:GENC:6:3-11:XK-11")</f>
        <v>as:GENC:6:3-11:XK-11</v>
      </c>
    </row>
    <row r="2153" spans="1:7" x14ac:dyDescent="0.25">
      <c r="A2153" s="112"/>
      <c r="B2153" s="21" t="s">
        <v>5955</v>
      </c>
      <c r="C2153" s="21" t="s">
        <v>5956</v>
      </c>
      <c r="D2153" s="21" t="s">
        <v>2505</v>
      </c>
      <c r="E2153" s="50" t="b">
        <v>1</v>
      </c>
      <c r="F2153" s="72" t="str">
        <f>HYPERLINK("http://nsgreg.nga.mil/genc/view?v=296546&amp;end_month=6&amp;end_day=30&amp;end_year=2019","Kaçanik")</f>
        <v>Kaçanik</v>
      </c>
      <c r="G2153" s="72" t="str">
        <f>HYPERLINK("http://api.nsgreg.nga.mil/geo-division/GENC/6/3-11/XK-12","as:GENC:6:3-11:XK-12")</f>
        <v>as:GENC:6:3-11:XK-12</v>
      </c>
    </row>
    <row r="2154" spans="1:7" x14ac:dyDescent="0.25">
      <c r="A2154" s="112"/>
      <c r="B2154" s="21" t="s">
        <v>5957</v>
      </c>
      <c r="C2154" s="21" t="s">
        <v>5958</v>
      </c>
      <c r="D2154" s="21" t="s">
        <v>2505</v>
      </c>
      <c r="E2154" s="50" t="b">
        <v>1</v>
      </c>
      <c r="F2154" s="72" t="str">
        <f>HYPERLINK("http://nsgreg.nga.mil/genc/view?v=296547&amp;end_month=6&amp;end_day=30&amp;end_year=2019","Kamenicë")</f>
        <v>Kamenicë</v>
      </c>
      <c r="G2154" s="72" t="str">
        <f>HYPERLINK("http://api.nsgreg.nga.mil/geo-division/GENC/6/3-11/XK-13","as:GENC:6:3-11:XK-13")</f>
        <v>as:GENC:6:3-11:XK-13</v>
      </c>
    </row>
    <row r="2155" spans="1:7" x14ac:dyDescent="0.25">
      <c r="A2155" s="112"/>
      <c r="B2155" s="21" t="s">
        <v>5959</v>
      </c>
      <c r="C2155" s="21" t="s">
        <v>5960</v>
      </c>
      <c r="D2155" s="21" t="s">
        <v>2505</v>
      </c>
      <c r="E2155" s="50" t="b">
        <v>1</v>
      </c>
      <c r="F2155" s="72" t="str">
        <f>HYPERLINK("http://nsgreg.nga.mil/genc/view?v=296548&amp;end_month=6&amp;end_day=30&amp;end_year=2019","Klinë")</f>
        <v>Klinë</v>
      </c>
      <c r="G2155" s="72" t="str">
        <f>HYPERLINK("http://api.nsgreg.nga.mil/geo-division/GENC/6/3-11/XK-14","as:GENC:6:3-11:XK-14")</f>
        <v>as:GENC:6:3-11:XK-14</v>
      </c>
    </row>
    <row r="2156" spans="1:7" x14ac:dyDescent="0.25">
      <c r="A2156" s="112"/>
      <c r="B2156" s="21" t="s">
        <v>5961</v>
      </c>
      <c r="C2156" s="21" t="s">
        <v>5962</v>
      </c>
      <c r="D2156" s="21" t="s">
        <v>2505</v>
      </c>
      <c r="E2156" s="50" t="b">
        <v>1</v>
      </c>
      <c r="F2156" s="72" t="str">
        <f>HYPERLINK("http://nsgreg.nga.mil/genc/view?v=296549&amp;end_month=6&amp;end_day=30&amp;end_year=2019","Kllokot")</f>
        <v>Kllokot</v>
      </c>
      <c r="G2156" s="72" t="str">
        <f>HYPERLINK("http://api.nsgreg.nga.mil/geo-division/GENC/6/3-11/XK-15","as:GENC:6:3-11:XK-15")</f>
        <v>as:GENC:6:3-11:XK-15</v>
      </c>
    </row>
    <row r="2157" spans="1:7" x14ac:dyDescent="0.25">
      <c r="A2157" s="112"/>
      <c r="B2157" s="21" t="s">
        <v>5963</v>
      </c>
      <c r="C2157" s="21" t="s">
        <v>5964</v>
      </c>
      <c r="D2157" s="21" t="s">
        <v>2505</v>
      </c>
      <c r="E2157" s="50" t="b">
        <v>1</v>
      </c>
      <c r="F2157" s="72" t="str">
        <f>HYPERLINK("http://nsgreg.nga.mil/genc/view?v=296550&amp;end_month=6&amp;end_day=30&amp;end_year=2019","Leposaviq")</f>
        <v>Leposaviq</v>
      </c>
      <c r="G2157" s="72" t="str">
        <f>HYPERLINK("http://api.nsgreg.nga.mil/geo-division/GENC/6/3-11/XK-16","as:GENC:6:3-11:XK-16")</f>
        <v>as:GENC:6:3-11:XK-16</v>
      </c>
    </row>
    <row r="2158" spans="1:7" x14ac:dyDescent="0.25">
      <c r="A2158" s="112"/>
      <c r="B2158" s="21" t="s">
        <v>5965</v>
      </c>
      <c r="C2158" s="21" t="s">
        <v>5966</v>
      </c>
      <c r="D2158" s="21" t="s">
        <v>2505</v>
      </c>
      <c r="E2158" s="50" t="b">
        <v>1</v>
      </c>
      <c r="F2158" s="72" t="str">
        <f>HYPERLINK("http://nsgreg.nga.mil/genc/view?v=296551&amp;end_month=6&amp;end_day=30&amp;end_year=2019","Lipjan")</f>
        <v>Lipjan</v>
      </c>
      <c r="G2158" s="72" t="str">
        <f>HYPERLINK("http://api.nsgreg.nga.mil/geo-division/GENC/6/3-11/XK-17","as:GENC:6:3-11:XK-17")</f>
        <v>as:GENC:6:3-11:XK-17</v>
      </c>
    </row>
    <row r="2159" spans="1:7" x14ac:dyDescent="0.25">
      <c r="A2159" s="112"/>
      <c r="B2159" s="21" t="s">
        <v>5967</v>
      </c>
      <c r="C2159" s="21" t="s">
        <v>5968</v>
      </c>
      <c r="D2159" s="21" t="s">
        <v>2505</v>
      </c>
      <c r="E2159" s="50" t="b">
        <v>1</v>
      </c>
      <c r="F2159" s="72" t="str">
        <f>HYPERLINK("http://nsgreg.nga.mil/genc/view?v=296552&amp;end_month=6&amp;end_day=30&amp;end_year=2019","Malishevë")</f>
        <v>Malishevë</v>
      </c>
      <c r="G2159" s="72" t="str">
        <f>HYPERLINK("http://api.nsgreg.nga.mil/geo-division/GENC/6/3-11/XK-18","as:GENC:6:3-11:XK-18")</f>
        <v>as:GENC:6:3-11:XK-18</v>
      </c>
    </row>
    <row r="2160" spans="1:7" x14ac:dyDescent="0.25">
      <c r="A2160" s="112"/>
      <c r="B2160" s="21" t="s">
        <v>5969</v>
      </c>
      <c r="C2160" s="21" t="s">
        <v>5970</v>
      </c>
      <c r="D2160" s="21" t="s">
        <v>2505</v>
      </c>
      <c r="E2160" s="50" t="b">
        <v>1</v>
      </c>
      <c r="F2160" s="72" t="str">
        <f>HYPERLINK("http://nsgreg.nga.mil/genc/view?v=296553&amp;end_month=6&amp;end_day=30&amp;end_year=2019","Mamushë")</f>
        <v>Mamushë</v>
      </c>
      <c r="G2160" s="72" t="str">
        <f>HYPERLINK("http://api.nsgreg.nga.mil/geo-division/GENC/6/3-11/XK-19","as:GENC:6:3-11:XK-19")</f>
        <v>as:GENC:6:3-11:XK-19</v>
      </c>
    </row>
    <row r="2161" spans="1:7" x14ac:dyDescent="0.25">
      <c r="A2161" s="112"/>
      <c r="B2161" s="21" t="s">
        <v>5971</v>
      </c>
      <c r="C2161" s="21" t="s">
        <v>5972</v>
      </c>
      <c r="D2161" s="21" t="s">
        <v>2505</v>
      </c>
      <c r="E2161" s="50" t="b">
        <v>1</v>
      </c>
      <c r="F2161" s="72" t="str">
        <f>HYPERLINK("http://nsgreg.nga.mil/genc/view?v=296571&amp;end_month=6&amp;end_day=30&amp;end_year=2019","Mitrovicë e Jug")</f>
        <v>Mitrovicë e Jug</v>
      </c>
      <c r="G2161" s="72" t="str">
        <f>HYPERLINK("http://api.nsgreg.nga.mil/geo-division/GENC/6/3-11/XK-38","as:GENC:6:3-11:XK-38")</f>
        <v>as:GENC:6:3-11:XK-38</v>
      </c>
    </row>
    <row r="2162" spans="1:7" x14ac:dyDescent="0.25">
      <c r="A2162" s="112"/>
      <c r="B2162" s="21" t="s">
        <v>5973</v>
      </c>
      <c r="C2162" s="21" t="s">
        <v>5974</v>
      </c>
      <c r="D2162" s="21" t="s">
        <v>2505</v>
      </c>
      <c r="E2162" s="50" t="b">
        <v>1</v>
      </c>
      <c r="F2162" s="72" t="str">
        <f>HYPERLINK("http://nsgreg.nga.mil/genc/view?v=296572&amp;end_month=6&amp;end_day=30&amp;end_year=2019","Mitrovicë e Veriut")</f>
        <v>Mitrovicë e Veriut</v>
      </c>
      <c r="G2162" s="72" t="str">
        <f>HYPERLINK("http://api.nsgreg.nga.mil/geo-division/GENC/6/3-11/XK-39","as:GENC:6:3-11:XK-39")</f>
        <v>as:GENC:6:3-11:XK-39</v>
      </c>
    </row>
    <row r="2163" spans="1:7" x14ac:dyDescent="0.25">
      <c r="A2163" s="112"/>
      <c r="B2163" s="21" t="s">
        <v>5975</v>
      </c>
      <c r="C2163" s="21" t="s">
        <v>5976</v>
      </c>
      <c r="D2163" s="21" t="s">
        <v>2505</v>
      </c>
      <c r="E2163" s="50" t="b">
        <v>1</v>
      </c>
      <c r="F2163" s="72" t="str">
        <f>HYPERLINK("http://nsgreg.nga.mil/genc/view?v=296554&amp;end_month=6&amp;end_day=30&amp;end_year=2019","Novobërdë")</f>
        <v>Novobërdë</v>
      </c>
      <c r="G2163" s="72" t="str">
        <f>HYPERLINK("http://api.nsgreg.nga.mil/geo-division/GENC/6/3-11/XK-21","as:GENC:6:3-11:XK-21")</f>
        <v>as:GENC:6:3-11:XK-21</v>
      </c>
    </row>
    <row r="2164" spans="1:7" x14ac:dyDescent="0.25">
      <c r="A2164" s="112"/>
      <c r="B2164" s="21" t="s">
        <v>5977</v>
      </c>
      <c r="C2164" s="21" t="s">
        <v>5978</v>
      </c>
      <c r="D2164" s="21" t="s">
        <v>2505</v>
      </c>
      <c r="E2164" s="50" t="b">
        <v>1</v>
      </c>
      <c r="F2164" s="72" t="str">
        <f>HYPERLINK("http://nsgreg.nga.mil/genc/view?v=296555&amp;end_month=6&amp;end_day=30&amp;end_year=2019","Obiliq")</f>
        <v>Obiliq</v>
      </c>
      <c r="G2164" s="72" t="str">
        <f>HYPERLINK("http://api.nsgreg.nga.mil/geo-division/GENC/6/3-11/XK-22","as:GENC:6:3-11:XK-22")</f>
        <v>as:GENC:6:3-11:XK-22</v>
      </c>
    </row>
    <row r="2165" spans="1:7" x14ac:dyDescent="0.25">
      <c r="A2165" s="112"/>
      <c r="B2165" s="21" t="s">
        <v>5979</v>
      </c>
      <c r="C2165" s="21" t="s">
        <v>5980</v>
      </c>
      <c r="D2165" s="21" t="s">
        <v>2505</v>
      </c>
      <c r="E2165" s="50" t="b">
        <v>1</v>
      </c>
      <c r="F2165" s="72" t="str">
        <f>HYPERLINK("http://nsgreg.nga.mil/genc/view?v=296556&amp;end_month=6&amp;end_day=30&amp;end_year=2019","Partesh")</f>
        <v>Partesh</v>
      </c>
      <c r="G2165" s="72" t="str">
        <f>HYPERLINK("http://api.nsgreg.nga.mil/geo-division/GENC/6/3-11/XK-23","as:GENC:6:3-11:XK-23")</f>
        <v>as:GENC:6:3-11:XK-23</v>
      </c>
    </row>
    <row r="2166" spans="1:7" x14ac:dyDescent="0.25">
      <c r="A2166" s="112"/>
      <c r="B2166" s="21" t="s">
        <v>5981</v>
      </c>
      <c r="C2166" s="21" t="s">
        <v>5982</v>
      </c>
      <c r="D2166" s="21" t="s">
        <v>2505</v>
      </c>
      <c r="E2166" s="50" t="b">
        <v>1</v>
      </c>
      <c r="F2166" s="72" t="str">
        <f>HYPERLINK("http://nsgreg.nga.mil/genc/view?v=296557&amp;end_month=6&amp;end_day=30&amp;end_year=2019","Pejë")</f>
        <v>Pejë</v>
      </c>
      <c r="G2166" s="72" t="str">
        <f>HYPERLINK("http://api.nsgreg.nga.mil/geo-division/GENC/6/3-11/XK-24","as:GENC:6:3-11:XK-24")</f>
        <v>as:GENC:6:3-11:XK-24</v>
      </c>
    </row>
    <row r="2167" spans="1:7" x14ac:dyDescent="0.25">
      <c r="A2167" s="112"/>
      <c r="B2167" s="21" t="s">
        <v>5983</v>
      </c>
      <c r="C2167" s="21" t="s">
        <v>5984</v>
      </c>
      <c r="D2167" s="21" t="s">
        <v>2505</v>
      </c>
      <c r="E2167" s="50" t="b">
        <v>1</v>
      </c>
      <c r="F2167" s="72" t="str">
        <f>HYPERLINK("http://nsgreg.nga.mil/genc/view?v=296558&amp;end_month=6&amp;end_day=30&amp;end_year=2019","Podujevë")</f>
        <v>Podujevë</v>
      </c>
      <c r="G2167" s="72" t="str">
        <f>HYPERLINK("http://api.nsgreg.nga.mil/geo-division/GENC/6/3-11/XK-25","as:GENC:6:3-11:XK-25")</f>
        <v>as:GENC:6:3-11:XK-25</v>
      </c>
    </row>
    <row r="2168" spans="1:7" x14ac:dyDescent="0.25">
      <c r="A2168" s="112"/>
      <c r="B2168" s="21" t="s">
        <v>5985</v>
      </c>
      <c r="C2168" s="21" t="s">
        <v>5986</v>
      </c>
      <c r="D2168" s="21" t="s">
        <v>2505</v>
      </c>
      <c r="E2168" s="50" t="b">
        <v>1</v>
      </c>
      <c r="F2168" s="72" t="str">
        <f>HYPERLINK("http://nsgreg.nga.mil/genc/view?v=296559&amp;end_month=6&amp;end_day=30&amp;end_year=2019","Prishtinë")</f>
        <v>Prishtinë</v>
      </c>
      <c r="G2168" s="72" t="str">
        <f>HYPERLINK("http://api.nsgreg.nga.mil/geo-division/GENC/6/3-11/XK-26","as:GENC:6:3-11:XK-26")</f>
        <v>as:GENC:6:3-11:XK-26</v>
      </c>
    </row>
    <row r="2169" spans="1:7" x14ac:dyDescent="0.25">
      <c r="A2169" s="112"/>
      <c r="B2169" s="21" t="s">
        <v>5987</v>
      </c>
      <c r="C2169" s="21" t="s">
        <v>5988</v>
      </c>
      <c r="D2169" s="21" t="s">
        <v>2505</v>
      </c>
      <c r="E2169" s="50" t="b">
        <v>1</v>
      </c>
      <c r="F2169" s="72" t="str">
        <f>HYPERLINK("http://nsgreg.nga.mil/genc/view?v=296560&amp;end_month=6&amp;end_day=30&amp;end_year=2019","Prizren")</f>
        <v>Prizren</v>
      </c>
      <c r="G2169" s="72" t="str">
        <f>HYPERLINK("http://api.nsgreg.nga.mil/geo-division/GENC/6/3-11/XK-27","as:GENC:6:3-11:XK-27")</f>
        <v>as:GENC:6:3-11:XK-27</v>
      </c>
    </row>
    <row r="2170" spans="1:7" x14ac:dyDescent="0.25">
      <c r="A2170" s="112"/>
      <c r="B2170" s="21" t="s">
        <v>5989</v>
      </c>
      <c r="C2170" s="21" t="s">
        <v>5990</v>
      </c>
      <c r="D2170" s="21" t="s">
        <v>2505</v>
      </c>
      <c r="E2170" s="50" t="b">
        <v>1</v>
      </c>
      <c r="F2170" s="72" t="str">
        <f>HYPERLINK("http://nsgreg.nga.mil/genc/view?v=296561&amp;end_month=6&amp;end_day=30&amp;end_year=2019","Rahovec")</f>
        <v>Rahovec</v>
      </c>
      <c r="G2170" s="72" t="str">
        <f>HYPERLINK("http://api.nsgreg.nga.mil/geo-division/GENC/6/3-11/XK-28","as:GENC:6:3-11:XK-28")</f>
        <v>as:GENC:6:3-11:XK-28</v>
      </c>
    </row>
    <row r="2171" spans="1:7" x14ac:dyDescent="0.25">
      <c r="A2171" s="112"/>
      <c r="B2171" s="21" t="s">
        <v>5991</v>
      </c>
      <c r="C2171" s="21" t="s">
        <v>5992</v>
      </c>
      <c r="D2171" s="21" t="s">
        <v>2505</v>
      </c>
      <c r="E2171" s="50" t="b">
        <v>1</v>
      </c>
      <c r="F2171" s="72" t="str">
        <f>HYPERLINK("http://nsgreg.nga.mil/genc/view?v=296562&amp;end_month=6&amp;end_day=30&amp;end_year=2019","Ranillug")</f>
        <v>Ranillug</v>
      </c>
      <c r="G2171" s="72" t="str">
        <f>HYPERLINK("http://api.nsgreg.nga.mil/geo-division/GENC/6/3-11/XK-29","as:GENC:6:3-11:XK-29")</f>
        <v>as:GENC:6:3-11:XK-29</v>
      </c>
    </row>
    <row r="2172" spans="1:7" x14ac:dyDescent="0.25">
      <c r="A2172" s="112"/>
      <c r="B2172" s="21" t="s">
        <v>5993</v>
      </c>
      <c r="C2172" s="21" t="s">
        <v>5994</v>
      </c>
      <c r="D2172" s="21" t="s">
        <v>2505</v>
      </c>
      <c r="E2172" s="50" t="b">
        <v>1</v>
      </c>
      <c r="F2172" s="72" t="str">
        <f>HYPERLINK("http://nsgreg.nga.mil/genc/view?v=296563&amp;end_month=6&amp;end_day=30&amp;end_year=2019","Shtërpcë")</f>
        <v>Shtërpcë</v>
      </c>
      <c r="G2172" s="72" t="str">
        <f>HYPERLINK("http://api.nsgreg.nga.mil/geo-division/GENC/6/3-11/XK-30","as:GENC:6:3-11:XK-30")</f>
        <v>as:GENC:6:3-11:XK-30</v>
      </c>
    </row>
    <row r="2173" spans="1:7" x14ac:dyDescent="0.25">
      <c r="A2173" s="112"/>
      <c r="B2173" s="21" t="s">
        <v>5995</v>
      </c>
      <c r="C2173" s="21" t="s">
        <v>5996</v>
      </c>
      <c r="D2173" s="21" t="s">
        <v>2505</v>
      </c>
      <c r="E2173" s="50" t="b">
        <v>1</v>
      </c>
      <c r="F2173" s="72" t="str">
        <f>HYPERLINK("http://nsgreg.nga.mil/genc/view?v=296564&amp;end_month=6&amp;end_day=30&amp;end_year=2019","Shtime")</f>
        <v>Shtime</v>
      </c>
      <c r="G2173" s="72" t="str">
        <f>HYPERLINK("http://api.nsgreg.nga.mil/geo-division/GENC/6/3-11/XK-31","as:GENC:6:3-11:XK-31")</f>
        <v>as:GENC:6:3-11:XK-31</v>
      </c>
    </row>
    <row r="2174" spans="1:7" x14ac:dyDescent="0.25">
      <c r="A2174" s="112"/>
      <c r="B2174" s="21" t="s">
        <v>5997</v>
      </c>
      <c r="C2174" s="21" t="s">
        <v>5998</v>
      </c>
      <c r="D2174" s="21" t="s">
        <v>2505</v>
      </c>
      <c r="E2174" s="50" t="b">
        <v>1</v>
      </c>
      <c r="F2174" s="72" t="str">
        <f>HYPERLINK("http://nsgreg.nga.mil/genc/view?v=296565&amp;end_month=6&amp;end_day=30&amp;end_year=2019","Skenderaj ")</f>
        <v>Skenderaj </v>
      </c>
      <c r="G2174" s="72" t="str">
        <f>HYPERLINK("http://api.nsgreg.nga.mil/geo-division/GENC/6/3-11/XK-32","as:GENC:6:3-11:XK-32")</f>
        <v>as:GENC:6:3-11:XK-32</v>
      </c>
    </row>
    <row r="2175" spans="1:7" x14ac:dyDescent="0.25">
      <c r="A2175" s="112"/>
      <c r="B2175" s="21" t="s">
        <v>5999</v>
      </c>
      <c r="C2175" s="21" t="s">
        <v>6000</v>
      </c>
      <c r="D2175" s="21" t="s">
        <v>2505</v>
      </c>
      <c r="E2175" s="50" t="b">
        <v>1</v>
      </c>
      <c r="F2175" s="72" t="str">
        <f>HYPERLINK("http://nsgreg.nga.mil/genc/view?v=296566&amp;end_month=6&amp;end_day=30&amp;end_year=2019","Suharekë")</f>
        <v>Suharekë</v>
      </c>
      <c r="G2175" s="72" t="str">
        <f>HYPERLINK("http://api.nsgreg.nga.mil/geo-division/GENC/6/3-11/XK-33","as:GENC:6:3-11:XK-33")</f>
        <v>as:GENC:6:3-11:XK-33</v>
      </c>
    </row>
    <row r="2176" spans="1:7" x14ac:dyDescent="0.25">
      <c r="A2176" s="112"/>
      <c r="B2176" s="21" t="s">
        <v>6001</v>
      </c>
      <c r="C2176" s="21" t="s">
        <v>6002</v>
      </c>
      <c r="D2176" s="21" t="s">
        <v>2505</v>
      </c>
      <c r="E2176" s="50" t="b">
        <v>1</v>
      </c>
      <c r="F2176" s="72" t="str">
        <f>HYPERLINK("http://nsgreg.nga.mil/genc/view?v=296567&amp;end_month=6&amp;end_day=30&amp;end_year=2019","Viti")</f>
        <v>Viti</v>
      </c>
      <c r="G2176" s="72" t="str">
        <f>HYPERLINK("http://api.nsgreg.nga.mil/geo-division/GENC/6/3-11/XK-34","as:GENC:6:3-11:XK-34")</f>
        <v>as:GENC:6:3-11:XK-34</v>
      </c>
    </row>
    <row r="2177" spans="1:7" x14ac:dyDescent="0.25">
      <c r="A2177" s="112"/>
      <c r="B2177" s="21" t="s">
        <v>6003</v>
      </c>
      <c r="C2177" s="21" t="s">
        <v>6004</v>
      </c>
      <c r="D2177" s="21" t="s">
        <v>2505</v>
      </c>
      <c r="E2177" s="50" t="b">
        <v>1</v>
      </c>
      <c r="F2177" s="72" t="str">
        <f>HYPERLINK("http://nsgreg.nga.mil/genc/view?v=296568&amp;end_month=6&amp;end_day=30&amp;end_year=2019","Vushtrri")</f>
        <v>Vushtrri</v>
      </c>
      <c r="G2177" s="72" t="str">
        <f>HYPERLINK("http://api.nsgreg.nga.mil/geo-division/GENC/6/3-11/XK-35","as:GENC:6:3-11:XK-35")</f>
        <v>as:GENC:6:3-11:XK-35</v>
      </c>
    </row>
    <row r="2178" spans="1:7" x14ac:dyDescent="0.25">
      <c r="A2178" s="112"/>
      <c r="B2178" s="21" t="s">
        <v>6005</v>
      </c>
      <c r="C2178" s="21" t="s">
        <v>6006</v>
      </c>
      <c r="D2178" s="21" t="s">
        <v>2505</v>
      </c>
      <c r="E2178" s="50" t="b">
        <v>1</v>
      </c>
      <c r="F2178" s="72" t="str">
        <f>HYPERLINK("http://nsgreg.nga.mil/genc/view?v=296569&amp;end_month=6&amp;end_day=30&amp;end_year=2019","Zubin Potok")</f>
        <v>Zubin Potok</v>
      </c>
      <c r="G2178" s="72" t="str">
        <f>HYPERLINK("http://api.nsgreg.nga.mil/geo-division/GENC/6/3-11/XK-36","as:GENC:6:3-11:XK-36")</f>
        <v>as:GENC:6:3-11:XK-36</v>
      </c>
    </row>
    <row r="2179" spans="1:7" x14ac:dyDescent="0.25">
      <c r="A2179" s="113"/>
      <c r="B2179" s="47" t="s">
        <v>6007</v>
      </c>
      <c r="C2179" s="47" t="s">
        <v>6008</v>
      </c>
      <c r="D2179" s="47" t="s">
        <v>2505</v>
      </c>
      <c r="E2179" s="51" t="b">
        <v>1</v>
      </c>
      <c r="F2179" s="73" t="str">
        <f>HYPERLINK("http://nsgreg.nga.mil/genc/view?v=296570&amp;end_month=6&amp;end_day=30&amp;end_year=2019","Zveçan")</f>
        <v>Zveçan</v>
      </c>
      <c r="G2179" s="73" t="str">
        <f>HYPERLINK("http://api.nsgreg.nga.mil/geo-division/GENC/6/3-11/XK-37","as:GENC:6:3-11:XK-37")</f>
        <v>as:GENC:6:3-11:XK-37</v>
      </c>
    </row>
    <row r="2180" spans="1:7" x14ac:dyDescent="0.25">
      <c r="A2180" s="111" t="str">
        <f>HYPERLINK("[#]Codes_for_GE_Names!A148:I148","KUWAIT")</f>
        <v>KUWAIT</v>
      </c>
      <c r="B2180" s="42" t="s">
        <v>6009</v>
      </c>
      <c r="C2180" s="42" t="s">
        <v>6010</v>
      </c>
      <c r="D2180" s="42" t="s">
        <v>2255</v>
      </c>
      <c r="E2180" s="49" t="b">
        <v>1</v>
      </c>
      <c r="F2180" s="74" t="str">
        <f>HYPERLINK("http://nsgreg.nga.mil/genc/view?v=293757&amp;end_month=6&amp;end_day=30&amp;end_year=2019","Al Aḩmadī")</f>
        <v>Al Aḩmadī</v>
      </c>
      <c r="G2180" s="74" t="str">
        <f>HYPERLINK("http://api.nsgreg.nga.mil/geo-division/GENC/6/3-11/KW-AH","as:GENC:6:3-11:KW-AH")</f>
        <v>as:GENC:6:3-11:KW-AH</v>
      </c>
    </row>
    <row r="2181" spans="1:7" x14ac:dyDescent="0.25">
      <c r="A2181" s="112"/>
      <c r="B2181" s="21" t="s">
        <v>6011</v>
      </c>
      <c r="C2181" s="21" t="s">
        <v>2254</v>
      </c>
      <c r="D2181" s="21" t="s">
        <v>2255</v>
      </c>
      <c r="E2181" s="50" t="b">
        <v>1</v>
      </c>
      <c r="F2181" s="72" t="str">
        <f>HYPERLINK("http://nsgreg.nga.mil/genc/view?v=293761&amp;end_month=6&amp;end_day=30&amp;end_year=2019","Al ‘Āşimah")</f>
        <v>Al ‘Āşimah</v>
      </c>
      <c r="G2181" s="72" t="str">
        <f>HYPERLINK("http://api.nsgreg.nga.mil/geo-division/GENC/6/3-11/KW-KU","as:GENC:6:3-11:KW-KU")</f>
        <v>as:GENC:6:3-11:KW-KU</v>
      </c>
    </row>
    <row r="2182" spans="1:7" x14ac:dyDescent="0.25">
      <c r="A2182" s="112"/>
      <c r="B2182" s="21" t="s">
        <v>6012</v>
      </c>
      <c r="C2182" s="21" t="s">
        <v>6013</v>
      </c>
      <c r="D2182" s="21" t="s">
        <v>2255</v>
      </c>
      <c r="E2182" s="50" t="b">
        <v>1</v>
      </c>
      <c r="F2182" s="72" t="str">
        <f>HYPERLINK("http://nsgreg.nga.mil/genc/view?v=293758&amp;end_month=6&amp;end_day=30&amp;end_year=2019","Al Farwānīyah")</f>
        <v>Al Farwānīyah</v>
      </c>
      <c r="G2182" s="72" t="str">
        <f>HYPERLINK("http://api.nsgreg.nga.mil/geo-division/GENC/6/3-11/KW-FA","as:GENC:6:3-11:KW-FA")</f>
        <v>as:GENC:6:3-11:KW-FA</v>
      </c>
    </row>
    <row r="2183" spans="1:7" x14ac:dyDescent="0.25">
      <c r="A2183" s="112"/>
      <c r="B2183" s="21" t="s">
        <v>6014</v>
      </c>
      <c r="C2183" s="21" t="s">
        <v>6015</v>
      </c>
      <c r="D2183" s="21" t="s">
        <v>2255</v>
      </c>
      <c r="E2183" s="50" t="b">
        <v>1</v>
      </c>
      <c r="F2183" s="72" t="str">
        <f>HYPERLINK("http://nsgreg.nga.mil/genc/view?v=293760&amp;end_month=6&amp;end_day=30&amp;end_year=2019","Al Jahrā’")</f>
        <v>Al Jahrā’</v>
      </c>
      <c r="G2183" s="72" t="str">
        <f>HYPERLINK("http://api.nsgreg.nga.mil/geo-division/GENC/6/3-11/KW-JA","as:GENC:6:3-11:KW-JA")</f>
        <v>as:GENC:6:3-11:KW-JA</v>
      </c>
    </row>
    <row r="2184" spans="1:7" x14ac:dyDescent="0.25">
      <c r="A2184" s="112"/>
      <c r="B2184" s="21" t="s">
        <v>6016</v>
      </c>
      <c r="C2184" s="21" t="s">
        <v>6017</v>
      </c>
      <c r="D2184" s="21" t="s">
        <v>2255</v>
      </c>
      <c r="E2184" s="50" t="b">
        <v>1</v>
      </c>
      <c r="F2184" s="72" t="str">
        <f>HYPERLINK("http://nsgreg.nga.mil/genc/view?v=293759&amp;end_month=6&amp;end_day=30&amp;end_year=2019","Ḩawallī")</f>
        <v>Ḩawallī</v>
      </c>
      <c r="G2184" s="72" t="str">
        <f>HYPERLINK("http://api.nsgreg.nga.mil/geo-division/GENC/6/3-11/KW-HA","as:GENC:6:3-11:KW-HA")</f>
        <v>as:GENC:6:3-11:KW-HA</v>
      </c>
    </row>
    <row r="2185" spans="1:7" x14ac:dyDescent="0.25">
      <c r="A2185" s="113"/>
      <c r="B2185" s="47" t="s">
        <v>6018</v>
      </c>
      <c r="C2185" s="47" t="s">
        <v>6019</v>
      </c>
      <c r="D2185" s="47" t="s">
        <v>2255</v>
      </c>
      <c r="E2185" s="51" t="b">
        <v>1</v>
      </c>
      <c r="F2185" s="73" t="str">
        <f>HYPERLINK("http://nsgreg.nga.mil/genc/view?v=293762&amp;end_month=6&amp;end_day=30&amp;end_year=2019","Mubārak al Kabīr")</f>
        <v>Mubārak al Kabīr</v>
      </c>
      <c r="G2185" s="73" t="str">
        <f>HYPERLINK("http://api.nsgreg.nga.mil/geo-division/GENC/6/3-11/KW-MU","as:GENC:6:3-11:KW-MU")</f>
        <v>as:GENC:6:3-11:KW-MU</v>
      </c>
    </row>
    <row r="2186" spans="1:7" x14ac:dyDescent="0.25">
      <c r="A2186" s="111" t="str">
        <f>HYPERLINK("[#]Codes_for_GE_Names!A149:I149","KYRGYZSTAN")</f>
        <v>KYRGYZSTAN</v>
      </c>
      <c r="B2186" s="42" t="s">
        <v>6020</v>
      </c>
      <c r="C2186" s="42" t="s">
        <v>6021</v>
      </c>
      <c r="D2186" s="42" t="s">
        <v>1668</v>
      </c>
      <c r="E2186" s="49" t="b">
        <v>1</v>
      </c>
      <c r="F2186" s="74" t="str">
        <f>HYPERLINK("http://nsgreg.nga.mil/genc/view?v=293672&amp;end_month=6&amp;end_day=30&amp;end_year=2019","Batken")</f>
        <v>Batken</v>
      </c>
      <c r="G2186" s="74" t="str">
        <f>HYPERLINK("http://api.nsgreg.nga.mil/geo-division/GENC/6/3-11/KG-B","as:GENC:6:3-11:KG-B")</f>
        <v>as:GENC:6:3-11:KG-B</v>
      </c>
    </row>
    <row r="2187" spans="1:7" x14ac:dyDescent="0.25">
      <c r="A2187" s="112"/>
      <c r="B2187" s="21" t="s">
        <v>6022</v>
      </c>
      <c r="C2187" s="21" t="s">
        <v>6023</v>
      </c>
      <c r="D2187" s="21" t="s">
        <v>1996</v>
      </c>
      <c r="E2187" s="50" t="b">
        <v>1</v>
      </c>
      <c r="F2187" s="72" t="str">
        <f>HYPERLINK("http://nsgreg.nga.mil/genc/view?v=293674&amp;end_month=6&amp;end_day=30&amp;end_year=2019","Bishkek")</f>
        <v>Bishkek</v>
      </c>
      <c r="G2187" s="72" t="str">
        <f>HYPERLINK("http://api.nsgreg.nga.mil/geo-division/GENC/6/3-11/KG-GB","as:GENC:6:3-11:KG-GB")</f>
        <v>as:GENC:6:3-11:KG-GB</v>
      </c>
    </row>
    <row r="2188" spans="1:7" x14ac:dyDescent="0.25">
      <c r="A2188" s="112"/>
      <c r="B2188" s="21" t="s">
        <v>6024</v>
      </c>
      <c r="C2188" s="21" t="s">
        <v>6025</v>
      </c>
      <c r="D2188" s="21" t="s">
        <v>1668</v>
      </c>
      <c r="E2188" s="50" t="b">
        <v>1</v>
      </c>
      <c r="F2188" s="72" t="str">
        <f>HYPERLINK("http://nsgreg.nga.mil/genc/view?v=293673&amp;end_month=6&amp;end_day=30&amp;end_year=2019","Chüy")</f>
        <v>Chüy</v>
      </c>
      <c r="G2188" s="72" t="str">
        <f>HYPERLINK("http://api.nsgreg.nga.mil/geo-division/GENC/6/3-11/KG-C","as:GENC:6:3-11:KG-C")</f>
        <v>as:GENC:6:3-11:KG-C</v>
      </c>
    </row>
    <row r="2189" spans="1:7" x14ac:dyDescent="0.25">
      <c r="A2189" s="112"/>
      <c r="B2189" s="21" t="s">
        <v>6026</v>
      </c>
      <c r="C2189" s="21" t="s">
        <v>6027</v>
      </c>
      <c r="D2189" s="21" t="s">
        <v>1668</v>
      </c>
      <c r="E2189" s="50" t="b">
        <v>1</v>
      </c>
      <c r="F2189" s="72" t="str">
        <f>HYPERLINK("http://nsgreg.nga.mil/genc/view?v=293676&amp;end_month=6&amp;end_day=30&amp;end_year=2019","Jalal-Abad")</f>
        <v>Jalal-Abad</v>
      </c>
      <c r="G2189" s="72" t="str">
        <f>HYPERLINK("http://api.nsgreg.nga.mil/geo-division/GENC/6/3-11/KG-J","as:GENC:6:3-11:KG-J")</f>
        <v>as:GENC:6:3-11:KG-J</v>
      </c>
    </row>
    <row r="2190" spans="1:7" x14ac:dyDescent="0.25">
      <c r="A2190" s="112"/>
      <c r="B2190" s="21" t="s">
        <v>6028</v>
      </c>
      <c r="C2190" s="21" t="s">
        <v>6029</v>
      </c>
      <c r="D2190" s="21" t="s">
        <v>1668</v>
      </c>
      <c r="E2190" s="50" t="b">
        <v>1</v>
      </c>
      <c r="F2190" s="72" t="str">
        <f>HYPERLINK("http://nsgreg.nga.mil/genc/view?v=293677&amp;end_month=6&amp;end_day=30&amp;end_year=2019","Naryn")</f>
        <v>Naryn</v>
      </c>
      <c r="G2190" s="72" t="str">
        <f>HYPERLINK("http://api.nsgreg.nga.mil/geo-division/GENC/6/3-11/KG-N","as:GENC:6:3-11:KG-N")</f>
        <v>as:GENC:6:3-11:KG-N</v>
      </c>
    </row>
    <row r="2191" spans="1:7" x14ac:dyDescent="0.25">
      <c r="A2191" s="112"/>
      <c r="B2191" s="21" t="s">
        <v>6030</v>
      </c>
      <c r="C2191" s="21" t="s">
        <v>6031</v>
      </c>
      <c r="D2191" s="21" t="s">
        <v>1996</v>
      </c>
      <c r="E2191" s="50" t="b">
        <v>1</v>
      </c>
      <c r="F2191" s="72" t="str">
        <f>HYPERLINK("http://nsgreg.nga.mil/genc/view?v=293675&amp;end_month=6&amp;end_day=30&amp;end_year=2019","Osh")</f>
        <v>Osh</v>
      </c>
      <c r="G2191" s="72" t="str">
        <f>HYPERLINK("http://api.nsgreg.nga.mil/geo-division/GENC/6/3-11/KG-GO","as:GENC:6:3-11:KG-GO")</f>
        <v>as:GENC:6:3-11:KG-GO</v>
      </c>
    </row>
    <row r="2192" spans="1:7" x14ac:dyDescent="0.25">
      <c r="A2192" s="112"/>
      <c r="B2192" s="21" t="s">
        <v>6032</v>
      </c>
      <c r="C2192" s="21" t="s">
        <v>6031</v>
      </c>
      <c r="D2192" s="21" t="s">
        <v>1668</v>
      </c>
      <c r="E2192" s="50" t="b">
        <v>1</v>
      </c>
      <c r="F2192" s="72" t="str">
        <f>HYPERLINK("http://nsgreg.nga.mil/genc/view?v=293678&amp;end_month=6&amp;end_day=30&amp;end_year=2019","Osh")</f>
        <v>Osh</v>
      </c>
      <c r="G2192" s="72" t="str">
        <f>HYPERLINK("http://api.nsgreg.nga.mil/geo-division/GENC/6/3-11/KG-O","as:GENC:6:3-11:KG-O")</f>
        <v>as:GENC:6:3-11:KG-O</v>
      </c>
    </row>
    <row r="2193" spans="1:7" x14ac:dyDescent="0.25">
      <c r="A2193" s="112"/>
      <c r="B2193" s="21" t="s">
        <v>6033</v>
      </c>
      <c r="C2193" s="21" t="s">
        <v>6034</v>
      </c>
      <c r="D2193" s="21" t="s">
        <v>1668</v>
      </c>
      <c r="E2193" s="50" t="b">
        <v>1</v>
      </c>
      <c r="F2193" s="72" t="str">
        <f>HYPERLINK("http://nsgreg.nga.mil/genc/view?v=293679&amp;end_month=6&amp;end_day=30&amp;end_year=2019","Talas")</f>
        <v>Talas</v>
      </c>
      <c r="G2193" s="72" t="str">
        <f>HYPERLINK("http://api.nsgreg.nga.mil/geo-division/GENC/6/3-11/KG-T","as:GENC:6:3-11:KG-T")</f>
        <v>as:GENC:6:3-11:KG-T</v>
      </c>
    </row>
    <row r="2194" spans="1:7" x14ac:dyDescent="0.25">
      <c r="A2194" s="113"/>
      <c r="B2194" s="47" t="s">
        <v>6035</v>
      </c>
      <c r="C2194" s="47" t="s">
        <v>6036</v>
      </c>
      <c r="D2194" s="47" t="s">
        <v>1668</v>
      </c>
      <c r="E2194" s="51" t="b">
        <v>1</v>
      </c>
      <c r="F2194" s="73" t="str">
        <f>HYPERLINK("http://nsgreg.nga.mil/genc/view?v=293680&amp;end_month=6&amp;end_day=30&amp;end_year=2019","Ysyk-Köl")</f>
        <v>Ysyk-Köl</v>
      </c>
      <c r="G2194" s="73" t="str">
        <f>HYPERLINK("http://api.nsgreg.nga.mil/geo-division/GENC/6/3-11/KG-Y","as:GENC:6:3-11:KG-Y")</f>
        <v>as:GENC:6:3-11:KG-Y</v>
      </c>
    </row>
    <row r="2195" spans="1:7" x14ac:dyDescent="0.25">
      <c r="A2195" s="111" t="str">
        <f>HYPERLINK("[#]Codes_for_GE_Names!A150:I150","LAOS")</f>
        <v>LAOS</v>
      </c>
      <c r="B2195" s="42" t="s">
        <v>6037</v>
      </c>
      <c r="C2195" s="42" t="s">
        <v>6038</v>
      </c>
      <c r="D2195" s="42" t="s">
        <v>1668</v>
      </c>
      <c r="E2195" s="49" t="b">
        <v>1</v>
      </c>
      <c r="F2195" s="74" t="str">
        <f>HYPERLINK("http://nsgreg.nga.mil/genc/view?v=293780&amp;end_month=6&amp;end_day=30&amp;end_year=2019","Attapu")</f>
        <v>Attapu</v>
      </c>
      <c r="G2195" s="74" t="str">
        <f>HYPERLINK("http://api.nsgreg.nga.mil/geo-division/GENC/6/3-11/LA-AT","as:GENC:6:3-11:LA-AT")</f>
        <v>as:GENC:6:3-11:LA-AT</v>
      </c>
    </row>
    <row r="2196" spans="1:7" x14ac:dyDescent="0.25">
      <c r="A2196" s="112"/>
      <c r="B2196" s="21" t="s">
        <v>6039</v>
      </c>
      <c r="C2196" s="21" t="s">
        <v>6040</v>
      </c>
      <c r="D2196" s="21" t="s">
        <v>1668</v>
      </c>
      <c r="E2196" s="50" t="b">
        <v>1</v>
      </c>
      <c r="F2196" s="72" t="str">
        <f>HYPERLINK("http://nsgreg.nga.mil/genc/view?v=293781&amp;end_month=6&amp;end_day=30&amp;end_year=2019","Bokèo")</f>
        <v>Bokèo</v>
      </c>
      <c r="G2196" s="72" t="str">
        <f>HYPERLINK("http://api.nsgreg.nga.mil/geo-division/GENC/6/3-11/LA-BK","as:GENC:6:3-11:LA-BK")</f>
        <v>as:GENC:6:3-11:LA-BK</v>
      </c>
    </row>
    <row r="2197" spans="1:7" x14ac:dyDescent="0.25">
      <c r="A2197" s="112"/>
      <c r="B2197" s="21" t="s">
        <v>6041</v>
      </c>
      <c r="C2197" s="21" t="s">
        <v>6042</v>
      </c>
      <c r="D2197" s="21" t="s">
        <v>1668</v>
      </c>
      <c r="E2197" s="50" t="b">
        <v>1</v>
      </c>
      <c r="F2197" s="72" t="str">
        <f>HYPERLINK("http://nsgreg.nga.mil/genc/view?v=293782&amp;end_month=6&amp;end_day=30&amp;end_year=2019","Bolikhamxai")</f>
        <v>Bolikhamxai</v>
      </c>
      <c r="G2197" s="72" t="str">
        <f>HYPERLINK("http://api.nsgreg.nga.mil/geo-division/GENC/6/3-11/LA-BL","as:GENC:6:3-11:LA-BL")</f>
        <v>as:GENC:6:3-11:LA-BL</v>
      </c>
    </row>
    <row r="2198" spans="1:7" x14ac:dyDescent="0.25">
      <c r="A2198" s="112"/>
      <c r="B2198" s="21" t="s">
        <v>6043</v>
      </c>
      <c r="C2198" s="21" t="s">
        <v>6044</v>
      </c>
      <c r="D2198" s="21" t="s">
        <v>1668</v>
      </c>
      <c r="E2198" s="50" t="b">
        <v>1</v>
      </c>
      <c r="F2198" s="72" t="str">
        <f>HYPERLINK("http://nsgreg.nga.mil/genc/view?v=293783&amp;end_month=6&amp;end_day=30&amp;end_year=2019","Champasak")</f>
        <v>Champasak</v>
      </c>
      <c r="G2198" s="72" t="str">
        <f>HYPERLINK("http://api.nsgreg.nga.mil/geo-division/GENC/6/3-11/LA-CH","as:GENC:6:3-11:LA-CH")</f>
        <v>as:GENC:6:3-11:LA-CH</v>
      </c>
    </row>
    <row r="2199" spans="1:7" x14ac:dyDescent="0.25">
      <c r="A2199" s="112"/>
      <c r="B2199" s="21" t="s">
        <v>6045</v>
      </c>
      <c r="C2199" s="21" t="s">
        <v>6046</v>
      </c>
      <c r="D2199" s="21" t="s">
        <v>1668</v>
      </c>
      <c r="E2199" s="50" t="b">
        <v>1</v>
      </c>
      <c r="F2199" s="72" t="str">
        <f>HYPERLINK("http://nsgreg.nga.mil/genc/view?v=293784&amp;end_month=6&amp;end_day=30&amp;end_year=2019","Houaphan")</f>
        <v>Houaphan</v>
      </c>
      <c r="G2199" s="72" t="str">
        <f>HYPERLINK("http://api.nsgreg.nga.mil/geo-division/GENC/6/3-11/LA-HO","as:GENC:6:3-11:LA-HO")</f>
        <v>as:GENC:6:3-11:LA-HO</v>
      </c>
    </row>
    <row r="2200" spans="1:7" x14ac:dyDescent="0.25">
      <c r="A2200" s="112"/>
      <c r="B2200" s="21" t="s">
        <v>6047</v>
      </c>
      <c r="C2200" s="21" t="s">
        <v>6048</v>
      </c>
      <c r="D2200" s="21" t="s">
        <v>1668</v>
      </c>
      <c r="E2200" s="50" t="b">
        <v>1</v>
      </c>
      <c r="F2200" s="72" t="str">
        <f>HYPERLINK("http://nsgreg.nga.mil/genc/view?v=293785&amp;end_month=6&amp;end_day=30&amp;end_year=2019","Khammouan")</f>
        <v>Khammouan</v>
      </c>
      <c r="G2200" s="72" t="str">
        <f>HYPERLINK("http://api.nsgreg.nga.mil/geo-division/GENC/6/3-11/LA-KH","as:GENC:6:3-11:LA-KH")</f>
        <v>as:GENC:6:3-11:LA-KH</v>
      </c>
    </row>
    <row r="2201" spans="1:7" x14ac:dyDescent="0.25">
      <c r="A2201" s="112"/>
      <c r="B2201" s="21" t="s">
        <v>6049</v>
      </c>
      <c r="C2201" s="21" t="s">
        <v>6050</v>
      </c>
      <c r="D2201" s="21" t="s">
        <v>1668</v>
      </c>
      <c r="E2201" s="50" t="b">
        <v>1</v>
      </c>
      <c r="F2201" s="72" t="str">
        <f>HYPERLINK("http://nsgreg.nga.mil/genc/view?v=293786&amp;end_month=6&amp;end_day=30&amp;end_year=2019","Louangnamtha")</f>
        <v>Louangnamtha</v>
      </c>
      <c r="G2201" s="72" t="str">
        <f>HYPERLINK("http://api.nsgreg.nga.mil/geo-division/GENC/6/3-11/LA-LM","as:GENC:6:3-11:LA-LM")</f>
        <v>as:GENC:6:3-11:LA-LM</v>
      </c>
    </row>
    <row r="2202" spans="1:7" x14ac:dyDescent="0.25">
      <c r="A2202" s="112"/>
      <c r="B2202" s="21" t="s">
        <v>6051</v>
      </c>
      <c r="C2202" s="21" t="s">
        <v>6052</v>
      </c>
      <c r="D2202" s="21" t="s">
        <v>1668</v>
      </c>
      <c r="E2202" s="50" t="b">
        <v>1</v>
      </c>
      <c r="F2202" s="72" t="str">
        <f>HYPERLINK("http://nsgreg.nga.mil/genc/view?v=293787&amp;end_month=6&amp;end_day=30&amp;end_year=2019","Louangphabang")</f>
        <v>Louangphabang</v>
      </c>
      <c r="G2202" s="72" t="str">
        <f>HYPERLINK("http://api.nsgreg.nga.mil/geo-division/GENC/6/3-11/LA-LP","as:GENC:6:3-11:LA-LP")</f>
        <v>as:GENC:6:3-11:LA-LP</v>
      </c>
    </row>
    <row r="2203" spans="1:7" x14ac:dyDescent="0.25">
      <c r="A2203" s="112"/>
      <c r="B2203" s="21" t="s">
        <v>6053</v>
      </c>
      <c r="C2203" s="21" t="s">
        <v>6054</v>
      </c>
      <c r="D2203" s="21" t="s">
        <v>1668</v>
      </c>
      <c r="E2203" s="50" t="b">
        <v>1</v>
      </c>
      <c r="F2203" s="72" t="str">
        <f>HYPERLINK("http://nsgreg.nga.mil/genc/view?v=293788&amp;end_month=6&amp;end_day=30&amp;end_year=2019","Oudômxai")</f>
        <v>Oudômxai</v>
      </c>
      <c r="G2203" s="72" t="str">
        <f>HYPERLINK("http://api.nsgreg.nga.mil/geo-division/GENC/6/3-11/LA-OU","as:GENC:6:3-11:LA-OU")</f>
        <v>as:GENC:6:3-11:LA-OU</v>
      </c>
    </row>
    <row r="2204" spans="1:7" x14ac:dyDescent="0.25">
      <c r="A2204" s="112"/>
      <c r="B2204" s="21" t="s">
        <v>6055</v>
      </c>
      <c r="C2204" s="21" t="s">
        <v>6056</v>
      </c>
      <c r="D2204" s="21" t="s">
        <v>1668</v>
      </c>
      <c r="E2204" s="50" t="b">
        <v>1</v>
      </c>
      <c r="F2204" s="72" t="str">
        <f>HYPERLINK("http://nsgreg.nga.mil/genc/view?v=293789&amp;end_month=6&amp;end_day=30&amp;end_year=2019","Phôngsali")</f>
        <v>Phôngsali</v>
      </c>
      <c r="G2204" s="72" t="str">
        <f>HYPERLINK("http://api.nsgreg.nga.mil/geo-division/GENC/6/3-11/LA-PH","as:GENC:6:3-11:LA-PH")</f>
        <v>as:GENC:6:3-11:LA-PH</v>
      </c>
    </row>
    <row r="2205" spans="1:7" x14ac:dyDescent="0.25">
      <c r="A2205" s="112"/>
      <c r="B2205" s="21" t="s">
        <v>6057</v>
      </c>
      <c r="C2205" s="21" t="s">
        <v>6058</v>
      </c>
      <c r="D2205" s="21" t="s">
        <v>1668</v>
      </c>
      <c r="E2205" s="50" t="b">
        <v>1</v>
      </c>
      <c r="F2205" s="72" t="str">
        <f>HYPERLINK("http://nsgreg.nga.mil/genc/view?v=293790&amp;end_month=6&amp;end_day=30&amp;end_year=2019","Salavan")</f>
        <v>Salavan</v>
      </c>
      <c r="G2205" s="72" t="str">
        <f>HYPERLINK("http://api.nsgreg.nga.mil/geo-division/GENC/6/3-11/LA-SL","as:GENC:6:3-11:LA-SL")</f>
        <v>as:GENC:6:3-11:LA-SL</v>
      </c>
    </row>
    <row r="2206" spans="1:7" x14ac:dyDescent="0.25">
      <c r="A2206" s="112"/>
      <c r="B2206" s="21" t="s">
        <v>6059</v>
      </c>
      <c r="C2206" s="21" t="s">
        <v>6060</v>
      </c>
      <c r="D2206" s="21" t="s">
        <v>1668</v>
      </c>
      <c r="E2206" s="50" t="b">
        <v>1</v>
      </c>
      <c r="F2206" s="72" t="str">
        <f>HYPERLINK("http://nsgreg.nga.mil/genc/view?v=293791&amp;end_month=6&amp;end_day=30&amp;end_year=2019","Savannakhét")</f>
        <v>Savannakhét</v>
      </c>
      <c r="G2206" s="72" t="str">
        <f>HYPERLINK("http://api.nsgreg.nga.mil/geo-division/GENC/6/3-11/LA-SV","as:GENC:6:3-11:LA-SV")</f>
        <v>as:GENC:6:3-11:LA-SV</v>
      </c>
    </row>
    <row r="2207" spans="1:7" x14ac:dyDescent="0.25">
      <c r="A2207" s="112"/>
      <c r="B2207" s="21" t="s">
        <v>6061</v>
      </c>
      <c r="C2207" s="21" t="s">
        <v>6062</v>
      </c>
      <c r="D2207" s="21" t="s">
        <v>3072</v>
      </c>
      <c r="E2207" s="50" t="b">
        <v>1</v>
      </c>
      <c r="F2207" s="72" t="str">
        <f>HYPERLINK("http://nsgreg.nga.mil/genc/view?v=293793&amp;end_month=6&amp;end_day=30&amp;end_year=2019","Viangchan")</f>
        <v>Viangchan</v>
      </c>
      <c r="G2207" s="72" t="str">
        <f>HYPERLINK("http://api.nsgreg.nga.mil/geo-division/GENC/6/3-11/LA-VT","as:GENC:6:3-11:LA-VT")</f>
        <v>as:GENC:6:3-11:LA-VT</v>
      </c>
    </row>
    <row r="2208" spans="1:7" x14ac:dyDescent="0.25">
      <c r="A2208" s="112"/>
      <c r="B2208" s="21" t="s">
        <v>6063</v>
      </c>
      <c r="C2208" s="21" t="s">
        <v>6062</v>
      </c>
      <c r="D2208" s="21" t="s">
        <v>1668</v>
      </c>
      <c r="E2208" s="50" t="b">
        <v>1</v>
      </c>
      <c r="F2208" s="72" t="str">
        <f>HYPERLINK("http://nsgreg.nga.mil/genc/view?v=293792&amp;end_month=6&amp;end_day=30&amp;end_year=2019","Viangchan")</f>
        <v>Viangchan</v>
      </c>
      <c r="G2208" s="72" t="str">
        <f>HYPERLINK("http://api.nsgreg.nga.mil/geo-division/GENC/6/3-11/LA-VI","as:GENC:6:3-11:LA-VI")</f>
        <v>as:GENC:6:3-11:LA-VI</v>
      </c>
    </row>
    <row r="2209" spans="1:7" x14ac:dyDescent="0.25">
      <c r="A2209" s="112"/>
      <c r="B2209" s="21" t="s">
        <v>6064</v>
      </c>
      <c r="C2209" s="21" t="s">
        <v>6065</v>
      </c>
      <c r="D2209" s="21" t="s">
        <v>1668</v>
      </c>
      <c r="E2209" s="50" t="b">
        <v>1</v>
      </c>
      <c r="F2209" s="72" t="str">
        <f>HYPERLINK("http://nsgreg.nga.mil/genc/view?v=293794&amp;end_month=6&amp;end_day=30&amp;end_year=2019","Xaignabouli")</f>
        <v>Xaignabouli</v>
      </c>
      <c r="G2209" s="72" t="str">
        <f>HYPERLINK("http://api.nsgreg.nga.mil/geo-division/GENC/6/3-11/LA-XA","as:GENC:6:3-11:LA-XA")</f>
        <v>as:GENC:6:3-11:LA-XA</v>
      </c>
    </row>
    <row r="2210" spans="1:7" x14ac:dyDescent="0.25">
      <c r="A2210" s="112"/>
      <c r="B2210" s="21" t="s">
        <v>6066</v>
      </c>
      <c r="C2210" s="21" t="s">
        <v>6067</v>
      </c>
      <c r="D2210" s="21" t="s">
        <v>1668</v>
      </c>
      <c r="E2210" s="50" t="b">
        <v>1</v>
      </c>
      <c r="F2210" s="72" t="str">
        <f>HYPERLINK("http://nsgreg.nga.mil/genc/view?v=293797&amp;end_month=6&amp;end_day=30&amp;end_year=2019","Xaisômboun")</f>
        <v>Xaisômboun</v>
      </c>
      <c r="G2210" s="72" t="str">
        <f>HYPERLINK("http://api.nsgreg.nga.mil/geo-division/GENC/6/3-11/LA-XS","as:GENC:6:3-11:LA-XS")</f>
        <v>as:GENC:6:3-11:LA-XS</v>
      </c>
    </row>
    <row r="2211" spans="1:7" x14ac:dyDescent="0.25">
      <c r="A2211" s="112"/>
      <c r="B2211" s="21" t="s">
        <v>6068</v>
      </c>
      <c r="C2211" s="21" t="s">
        <v>6069</v>
      </c>
      <c r="D2211" s="21" t="s">
        <v>1668</v>
      </c>
      <c r="E2211" s="50" t="b">
        <v>1</v>
      </c>
      <c r="F2211" s="72" t="str">
        <f>HYPERLINK("http://nsgreg.nga.mil/genc/view?v=293795&amp;end_month=6&amp;end_day=30&amp;end_year=2019","Xékong")</f>
        <v>Xékong</v>
      </c>
      <c r="G2211" s="72" t="str">
        <f>HYPERLINK("http://api.nsgreg.nga.mil/geo-division/GENC/6/3-11/LA-XE","as:GENC:6:3-11:LA-XE")</f>
        <v>as:GENC:6:3-11:LA-XE</v>
      </c>
    </row>
    <row r="2212" spans="1:7" x14ac:dyDescent="0.25">
      <c r="A2212" s="113"/>
      <c r="B2212" s="47" t="s">
        <v>6070</v>
      </c>
      <c r="C2212" s="47" t="s">
        <v>6071</v>
      </c>
      <c r="D2212" s="47" t="s">
        <v>1668</v>
      </c>
      <c r="E2212" s="51" t="b">
        <v>1</v>
      </c>
      <c r="F2212" s="73" t="str">
        <f>HYPERLINK("http://nsgreg.nga.mil/genc/view?v=293796&amp;end_month=6&amp;end_day=30&amp;end_year=2019","Xiangkhouang")</f>
        <v>Xiangkhouang</v>
      </c>
      <c r="G2212" s="73" t="str">
        <f>HYPERLINK("http://api.nsgreg.nga.mil/geo-division/GENC/6/3-11/LA-XI","as:GENC:6:3-11:LA-XI")</f>
        <v>as:GENC:6:3-11:LA-XI</v>
      </c>
    </row>
    <row r="2213" spans="1:7" x14ac:dyDescent="0.25">
      <c r="A2213" s="111" t="str">
        <f>HYPERLINK("[#]Codes_for_GE_Names!A151:I151","LATVIA")</f>
        <v>LATVIA</v>
      </c>
      <c r="B2213" s="42" t="s">
        <v>6072</v>
      </c>
      <c r="C2213" s="42" t="s">
        <v>6073</v>
      </c>
      <c r="D2213" s="42" t="s">
        <v>2505</v>
      </c>
      <c r="E2213" s="49" t="b">
        <v>1</v>
      </c>
      <c r="F2213" s="74" t="str">
        <f>HYPERLINK("http://nsgreg.nga.mil/genc/view?v=293978&amp;end_month=6&amp;end_day=30&amp;end_year=2019","Ādažu Novads")</f>
        <v>Ādažu Novads</v>
      </c>
      <c r="G2213" s="74" t="str">
        <f>HYPERLINK("http://api.nsgreg.nga.mil/geo-division/GENC/6/3-11/LV-011","as:GENC:6:3-11:LV-011")</f>
        <v>as:GENC:6:3-11:LV-011</v>
      </c>
    </row>
    <row r="2214" spans="1:7" x14ac:dyDescent="0.25">
      <c r="A2214" s="112"/>
      <c r="B2214" s="21" t="s">
        <v>6074</v>
      </c>
      <c r="C2214" s="21" t="s">
        <v>6075</v>
      </c>
      <c r="D2214" s="21" t="s">
        <v>2505</v>
      </c>
      <c r="E2214" s="50" t="b">
        <v>1</v>
      </c>
      <c r="F2214" s="72" t="str">
        <f>HYPERLINK("http://nsgreg.nga.mil/genc/view?v=293968&amp;end_month=6&amp;end_day=30&amp;end_year=2019","Aglonas Novads")</f>
        <v>Aglonas Novads</v>
      </c>
      <c r="G2214" s="72" t="str">
        <f>HYPERLINK("http://api.nsgreg.nga.mil/geo-division/GENC/6/3-11/LV-001","as:GENC:6:3-11:LV-001")</f>
        <v>as:GENC:6:3-11:LV-001</v>
      </c>
    </row>
    <row r="2215" spans="1:7" x14ac:dyDescent="0.25">
      <c r="A2215" s="112"/>
      <c r="B2215" s="21" t="s">
        <v>6076</v>
      </c>
      <c r="C2215" s="21" t="s">
        <v>6077</v>
      </c>
      <c r="D2215" s="21" t="s">
        <v>2505</v>
      </c>
      <c r="E2215" s="50" t="b">
        <v>1</v>
      </c>
      <c r="F2215" s="72" t="str">
        <f>HYPERLINK("http://nsgreg.nga.mil/genc/view?v=293969&amp;end_month=6&amp;end_day=30&amp;end_year=2019","Aizkraukles Novads")</f>
        <v>Aizkraukles Novads</v>
      </c>
      <c r="G2215" s="72" t="str">
        <f>HYPERLINK("http://api.nsgreg.nga.mil/geo-division/GENC/6/3-11/LV-002","as:GENC:6:3-11:LV-002")</f>
        <v>as:GENC:6:3-11:LV-002</v>
      </c>
    </row>
    <row r="2216" spans="1:7" x14ac:dyDescent="0.25">
      <c r="A2216" s="112"/>
      <c r="B2216" s="21" t="s">
        <v>6078</v>
      </c>
      <c r="C2216" s="21" t="s">
        <v>6079</v>
      </c>
      <c r="D2216" s="21" t="s">
        <v>2505</v>
      </c>
      <c r="E2216" s="50" t="b">
        <v>1</v>
      </c>
      <c r="F2216" s="72" t="str">
        <f>HYPERLINK("http://nsgreg.nga.mil/genc/view?v=293970&amp;end_month=6&amp;end_day=30&amp;end_year=2019","Aizputes Novads")</f>
        <v>Aizputes Novads</v>
      </c>
      <c r="G2216" s="72" t="str">
        <f>HYPERLINK("http://api.nsgreg.nga.mil/geo-division/GENC/6/3-11/LV-003","as:GENC:6:3-11:LV-003")</f>
        <v>as:GENC:6:3-11:LV-003</v>
      </c>
    </row>
    <row r="2217" spans="1:7" x14ac:dyDescent="0.25">
      <c r="A2217" s="112"/>
      <c r="B2217" s="21" t="s">
        <v>6080</v>
      </c>
      <c r="C2217" s="21" t="s">
        <v>6081</v>
      </c>
      <c r="D2217" s="21" t="s">
        <v>2505</v>
      </c>
      <c r="E2217" s="50" t="b">
        <v>1</v>
      </c>
      <c r="F2217" s="72" t="str">
        <f>HYPERLINK("http://nsgreg.nga.mil/genc/view?v=293971&amp;end_month=6&amp;end_day=30&amp;end_year=2019","Aknīstes Novads")</f>
        <v>Aknīstes Novads</v>
      </c>
      <c r="G2217" s="72" t="str">
        <f>HYPERLINK("http://api.nsgreg.nga.mil/geo-division/GENC/6/3-11/LV-004","as:GENC:6:3-11:LV-004")</f>
        <v>as:GENC:6:3-11:LV-004</v>
      </c>
    </row>
    <row r="2218" spans="1:7" x14ac:dyDescent="0.25">
      <c r="A2218" s="112"/>
      <c r="B2218" s="21" t="s">
        <v>6082</v>
      </c>
      <c r="C2218" s="21" t="s">
        <v>6083</v>
      </c>
      <c r="D2218" s="21" t="s">
        <v>2505</v>
      </c>
      <c r="E2218" s="50" t="b">
        <v>1</v>
      </c>
      <c r="F2218" s="72" t="str">
        <f>HYPERLINK("http://nsgreg.nga.mil/genc/view?v=293972&amp;end_month=6&amp;end_day=30&amp;end_year=2019","Alojas Novads")</f>
        <v>Alojas Novads</v>
      </c>
      <c r="G2218" s="72" t="str">
        <f>HYPERLINK("http://api.nsgreg.nga.mil/geo-division/GENC/6/3-11/LV-005","as:GENC:6:3-11:LV-005")</f>
        <v>as:GENC:6:3-11:LV-005</v>
      </c>
    </row>
    <row r="2219" spans="1:7" x14ac:dyDescent="0.25">
      <c r="A2219" s="112"/>
      <c r="B2219" s="21" t="s">
        <v>6084</v>
      </c>
      <c r="C2219" s="21" t="s">
        <v>6085</v>
      </c>
      <c r="D2219" s="21" t="s">
        <v>2505</v>
      </c>
      <c r="E2219" s="50" t="b">
        <v>1</v>
      </c>
      <c r="F2219" s="72" t="str">
        <f>HYPERLINK("http://nsgreg.nga.mil/genc/view?v=293973&amp;end_month=6&amp;end_day=30&amp;end_year=2019","Alsungas Novads")</f>
        <v>Alsungas Novads</v>
      </c>
      <c r="G2219" s="72" t="str">
        <f>HYPERLINK("http://api.nsgreg.nga.mil/geo-division/GENC/6/3-11/LV-006","as:GENC:6:3-11:LV-006")</f>
        <v>as:GENC:6:3-11:LV-006</v>
      </c>
    </row>
    <row r="2220" spans="1:7" x14ac:dyDescent="0.25">
      <c r="A2220" s="112"/>
      <c r="B2220" s="21" t="s">
        <v>6086</v>
      </c>
      <c r="C2220" s="21" t="s">
        <v>6087</v>
      </c>
      <c r="D2220" s="21" t="s">
        <v>2505</v>
      </c>
      <c r="E2220" s="50" t="b">
        <v>1</v>
      </c>
      <c r="F2220" s="72" t="str">
        <f>HYPERLINK("http://nsgreg.nga.mil/genc/view?v=293974&amp;end_month=6&amp;end_day=30&amp;end_year=2019","Alūksnes Novads")</f>
        <v>Alūksnes Novads</v>
      </c>
      <c r="G2220" s="72" t="str">
        <f>HYPERLINK("http://api.nsgreg.nga.mil/geo-division/GENC/6/3-11/LV-007","as:GENC:6:3-11:LV-007")</f>
        <v>as:GENC:6:3-11:LV-007</v>
      </c>
    </row>
    <row r="2221" spans="1:7" x14ac:dyDescent="0.25">
      <c r="A2221" s="112"/>
      <c r="B2221" s="21" t="s">
        <v>6088</v>
      </c>
      <c r="C2221" s="21" t="s">
        <v>6089</v>
      </c>
      <c r="D2221" s="21" t="s">
        <v>2505</v>
      </c>
      <c r="E2221" s="50" t="b">
        <v>1</v>
      </c>
      <c r="F2221" s="72" t="str">
        <f>HYPERLINK("http://nsgreg.nga.mil/genc/view?v=293975&amp;end_month=6&amp;end_day=30&amp;end_year=2019","Amatas Novads")</f>
        <v>Amatas Novads</v>
      </c>
      <c r="G2221" s="72" t="str">
        <f>HYPERLINK("http://api.nsgreg.nga.mil/geo-division/GENC/6/3-11/LV-008","as:GENC:6:3-11:LV-008")</f>
        <v>as:GENC:6:3-11:LV-008</v>
      </c>
    </row>
    <row r="2222" spans="1:7" x14ac:dyDescent="0.25">
      <c r="A2222" s="112"/>
      <c r="B2222" s="21" t="s">
        <v>6090</v>
      </c>
      <c r="C2222" s="21" t="s">
        <v>6091</v>
      </c>
      <c r="D2222" s="21" t="s">
        <v>2505</v>
      </c>
      <c r="E2222" s="50" t="b">
        <v>1</v>
      </c>
      <c r="F2222" s="72" t="str">
        <f>HYPERLINK("http://nsgreg.nga.mil/genc/view?v=293976&amp;end_month=6&amp;end_day=30&amp;end_year=2019","Apes Novads")</f>
        <v>Apes Novads</v>
      </c>
      <c r="G2222" s="72" t="str">
        <f>HYPERLINK("http://api.nsgreg.nga.mil/geo-division/GENC/6/3-11/LV-009","as:GENC:6:3-11:LV-009")</f>
        <v>as:GENC:6:3-11:LV-009</v>
      </c>
    </row>
    <row r="2223" spans="1:7" x14ac:dyDescent="0.25">
      <c r="A2223" s="112"/>
      <c r="B2223" s="21" t="s">
        <v>6092</v>
      </c>
      <c r="C2223" s="21" t="s">
        <v>6093</v>
      </c>
      <c r="D2223" s="21" t="s">
        <v>2505</v>
      </c>
      <c r="E2223" s="50" t="b">
        <v>1</v>
      </c>
      <c r="F2223" s="72" t="str">
        <f>HYPERLINK("http://nsgreg.nga.mil/genc/view?v=293977&amp;end_month=6&amp;end_day=30&amp;end_year=2019","Auces Novads")</f>
        <v>Auces Novads</v>
      </c>
      <c r="G2223" s="72" t="str">
        <f>HYPERLINK("http://api.nsgreg.nga.mil/geo-division/GENC/6/3-11/LV-010","as:GENC:6:3-11:LV-010")</f>
        <v>as:GENC:6:3-11:LV-010</v>
      </c>
    </row>
    <row r="2224" spans="1:7" x14ac:dyDescent="0.25">
      <c r="A2224" s="112"/>
      <c r="B2224" s="21" t="s">
        <v>6094</v>
      </c>
      <c r="C2224" s="21" t="s">
        <v>6095</v>
      </c>
      <c r="D2224" s="21" t="s">
        <v>2505</v>
      </c>
      <c r="E2224" s="50" t="b">
        <v>1</v>
      </c>
      <c r="F2224" s="72" t="str">
        <f>HYPERLINK("http://nsgreg.nga.mil/genc/view?v=293979&amp;end_month=6&amp;end_day=30&amp;end_year=2019","Babītes Novads")</f>
        <v>Babītes Novads</v>
      </c>
      <c r="G2224" s="72" t="str">
        <f>HYPERLINK("http://api.nsgreg.nga.mil/geo-division/GENC/6/3-11/LV-012","as:GENC:6:3-11:LV-012")</f>
        <v>as:GENC:6:3-11:LV-012</v>
      </c>
    </row>
    <row r="2225" spans="1:7" x14ac:dyDescent="0.25">
      <c r="A2225" s="112"/>
      <c r="B2225" s="21" t="s">
        <v>6096</v>
      </c>
      <c r="C2225" s="21" t="s">
        <v>6097</v>
      </c>
      <c r="D2225" s="21" t="s">
        <v>2505</v>
      </c>
      <c r="E2225" s="50" t="b">
        <v>1</v>
      </c>
      <c r="F2225" s="72" t="str">
        <f>HYPERLINK("http://nsgreg.nga.mil/genc/view?v=293980&amp;end_month=6&amp;end_day=30&amp;end_year=2019","Baldones Novads")</f>
        <v>Baldones Novads</v>
      </c>
      <c r="G2225" s="72" t="str">
        <f>HYPERLINK("http://api.nsgreg.nga.mil/geo-division/GENC/6/3-11/LV-013","as:GENC:6:3-11:LV-013")</f>
        <v>as:GENC:6:3-11:LV-013</v>
      </c>
    </row>
    <row r="2226" spans="1:7" x14ac:dyDescent="0.25">
      <c r="A2226" s="112"/>
      <c r="B2226" s="21" t="s">
        <v>6098</v>
      </c>
      <c r="C2226" s="21" t="s">
        <v>6099</v>
      </c>
      <c r="D2226" s="21" t="s">
        <v>2505</v>
      </c>
      <c r="E2226" s="50" t="b">
        <v>1</v>
      </c>
      <c r="F2226" s="72" t="str">
        <f>HYPERLINK("http://nsgreg.nga.mil/genc/view?v=293981&amp;end_month=6&amp;end_day=30&amp;end_year=2019","Baltinavas Novads")</f>
        <v>Baltinavas Novads</v>
      </c>
      <c r="G2226" s="72" t="str">
        <f>HYPERLINK("http://api.nsgreg.nga.mil/geo-division/GENC/6/3-11/LV-014","as:GENC:6:3-11:LV-014")</f>
        <v>as:GENC:6:3-11:LV-014</v>
      </c>
    </row>
    <row r="2227" spans="1:7" x14ac:dyDescent="0.25">
      <c r="A2227" s="112"/>
      <c r="B2227" s="21" t="s">
        <v>6100</v>
      </c>
      <c r="C2227" s="21" t="s">
        <v>6101</v>
      </c>
      <c r="D2227" s="21" t="s">
        <v>2505</v>
      </c>
      <c r="E2227" s="50" t="b">
        <v>1</v>
      </c>
      <c r="F2227" s="72" t="str">
        <f>HYPERLINK("http://nsgreg.nga.mil/genc/view?v=293982&amp;end_month=6&amp;end_day=30&amp;end_year=2019","Balvu Novads")</f>
        <v>Balvu Novads</v>
      </c>
      <c r="G2227" s="72" t="str">
        <f>HYPERLINK("http://api.nsgreg.nga.mil/geo-division/GENC/6/3-11/LV-015","as:GENC:6:3-11:LV-015")</f>
        <v>as:GENC:6:3-11:LV-015</v>
      </c>
    </row>
    <row r="2228" spans="1:7" x14ac:dyDescent="0.25">
      <c r="A2228" s="112"/>
      <c r="B2228" s="21" t="s">
        <v>6102</v>
      </c>
      <c r="C2228" s="21" t="s">
        <v>6103</v>
      </c>
      <c r="D2228" s="21" t="s">
        <v>2505</v>
      </c>
      <c r="E2228" s="50" t="b">
        <v>1</v>
      </c>
      <c r="F2228" s="72" t="str">
        <f>HYPERLINK("http://nsgreg.nga.mil/genc/view?v=293983&amp;end_month=6&amp;end_day=30&amp;end_year=2019","Bauskas Novads")</f>
        <v>Bauskas Novads</v>
      </c>
      <c r="G2228" s="72" t="str">
        <f>HYPERLINK("http://api.nsgreg.nga.mil/geo-division/GENC/6/3-11/LV-016","as:GENC:6:3-11:LV-016")</f>
        <v>as:GENC:6:3-11:LV-016</v>
      </c>
    </row>
    <row r="2229" spans="1:7" x14ac:dyDescent="0.25">
      <c r="A2229" s="112"/>
      <c r="B2229" s="21" t="s">
        <v>6104</v>
      </c>
      <c r="C2229" s="21" t="s">
        <v>6105</v>
      </c>
      <c r="D2229" s="21" t="s">
        <v>2505</v>
      </c>
      <c r="E2229" s="50" t="b">
        <v>1</v>
      </c>
      <c r="F2229" s="72" t="str">
        <f>HYPERLINK("http://nsgreg.nga.mil/genc/view?v=293984&amp;end_month=6&amp;end_day=30&amp;end_year=2019","Beverīnas Novads")</f>
        <v>Beverīnas Novads</v>
      </c>
      <c r="G2229" s="72" t="str">
        <f>HYPERLINK("http://api.nsgreg.nga.mil/geo-division/GENC/6/3-11/LV-017","as:GENC:6:3-11:LV-017")</f>
        <v>as:GENC:6:3-11:LV-017</v>
      </c>
    </row>
    <row r="2230" spans="1:7" x14ac:dyDescent="0.25">
      <c r="A2230" s="112"/>
      <c r="B2230" s="21" t="s">
        <v>6106</v>
      </c>
      <c r="C2230" s="21" t="s">
        <v>6107</v>
      </c>
      <c r="D2230" s="21" t="s">
        <v>2505</v>
      </c>
      <c r="E2230" s="50" t="b">
        <v>1</v>
      </c>
      <c r="F2230" s="72" t="str">
        <f>HYPERLINK("http://nsgreg.nga.mil/genc/view?v=293985&amp;end_month=6&amp;end_day=30&amp;end_year=2019","Brocēnu Novads")</f>
        <v>Brocēnu Novads</v>
      </c>
      <c r="G2230" s="72" t="str">
        <f>HYPERLINK("http://api.nsgreg.nga.mil/geo-division/GENC/6/3-11/LV-018","as:GENC:6:3-11:LV-018")</f>
        <v>as:GENC:6:3-11:LV-018</v>
      </c>
    </row>
    <row r="2231" spans="1:7" x14ac:dyDescent="0.25">
      <c r="A2231" s="112"/>
      <c r="B2231" s="21" t="s">
        <v>6108</v>
      </c>
      <c r="C2231" s="21" t="s">
        <v>6109</v>
      </c>
      <c r="D2231" s="21" t="s">
        <v>2505</v>
      </c>
      <c r="E2231" s="50" t="b">
        <v>1</v>
      </c>
      <c r="F2231" s="72" t="str">
        <f>HYPERLINK("http://nsgreg.nga.mil/genc/view?v=293986&amp;end_month=6&amp;end_day=30&amp;end_year=2019","Burtnieku Novads")</f>
        <v>Burtnieku Novads</v>
      </c>
      <c r="G2231" s="72" t="str">
        <f>HYPERLINK("http://api.nsgreg.nga.mil/geo-division/GENC/6/3-11/LV-019","as:GENC:6:3-11:LV-019")</f>
        <v>as:GENC:6:3-11:LV-019</v>
      </c>
    </row>
    <row r="2232" spans="1:7" x14ac:dyDescent="0.25">
      <c r="A2232" s="112"/>
      <c r="B2232" s="21" t="s">
        <v>6110</v>
      </c>
      <c r="C2232" s="21" t="s">
        <v>6111</v>
      </c>
      <c r="D2232" s="21" t="s">
        <v>2505</v>
      </c>
      <c r="E2232" s="50" t="b">
        <v>1</v>
      </c>
      <c r="F2232" s="72" t="str">
        <f>HYPERLINK("http://nsgreg.nga.mil/genc/view?v=293987&amp;end_month=6&amp;end_day=30&amp;end_year=2019","Carnikavas Novads")</f>
        <v>Carnikavas Novads</v>
      </c>
      <c r="G2232" s="72" t="str">
        <f>HYPERLINK("http://api.nsgreg.nga.mil/geo-division/GENC/6/3-11/LV-020","as:GENC:6:3-11:LV-020")</f>
        <v>as:GENC:6:3-11:LV-020</v>
      </c>
    </row>
    <row r="2233" spans="1:7" x14ac:dyDescent="0.25">
      <c r="A2233" s="112"/>
      <c r="B2233" s="21" t="s">
        <v>6112</v>
      </c>
      <c r="C2233" s="21" t="s">
        <v>6113</v>
      </c>
      <c r="D2233" s="21" t="s">
        <v>2505</v>
      </c>
      <c r="E2233" s="50" t="b">
        <v>1</v>
      </c>
      <c r="F2233" s="72" t="str">
        <f>HYPERLINK("http://nsgreg.nga.mil/genc/view?v=293989&amp;end_month=6&amp;end_day=30&amp;end_year=2019","Cēsu Novads")</f>
        <v>Cēsu Novads</v>
      </c>
      <c r="G2233" s="72" t="str">
        <f>HYPERLINK("http://api.nsgreg.nga.mil/geo-division/GENC/6/3-11/LV-022","as:GENC:6:3-11:LV-022")</f>
        <v>as:GENC:6:3-11:LV-022</v>
      </c>
    </row>
    <row r="2234" spans="1:7" x14ac:dyDescent="0.25">
      <c r="A2234" s="112"/>
      <c r="B2234" s="21" t="s">
        <v>6114</v>
      </c>
      <c r="C2234" s="21" t="s">
        <v>6115</v>
      </c>
      <c r="D2234" s="21" t="s">
        <v>2505</v>
      </c>
      <c r="E2234" s="50" t="b">
        <v>1</v>
      </c>
      <c r="F2234" s="72" t="str">
        <f>HYPERLINK("http://nsgreg.nga.mil/genc/view?v=293988&amp;end_month=6&amp;end_day=30&amp;end_year=2019","Cesvaines Novads")</f>
        <v>Cesvaines Novads</v>
      </c>
      <c r="G2234" s="72" t="str">
        <f>HYPERLINK("http://api.nsgreg.nga.mil/geo-division/GENC/6/3-11/LV-021","as:GENC:6:3-11:LV-021")</f>
        <v>as:GENC:6:3-11:LV-021</v>
      </c>
    </row>
    <row r="2235" spans="1:7" x14ac:dyDescent="0.25">
      <c r="A2235" s="112"/>
      <c r="B2235" s="21" t="s">
        <v>6116</v>
      </c>
      <c r="C2235" s="21" t="s">
        <v>6117</v>
      </c>
      <c r="D2235" s="21" t="s">
        <v>2505</v>
      </c>
      <c r="E2235" s="50" t="b">
        <v>1</v>
      </c>
      <c r="F2235" s="72" t="str">
        <f>HYPERLINK("http://nsgreg.nga.mil/genc/view?v=293990&amp;end_month=6&amp;end_day=30&amp;end_year=2019","Ciblas Novads")</f>
        <v>Ciblas Novads</v>
      </c>
      <c r="G2235" s="72" t="str">
        <f>HYPERLINK("http://api.nsgreg.nga.mil/geo-division/GENC/6/3-11/LV-023","as:GENC:6:3-11:LV-023")</f>
        <v>as:GENC:6:3-11:LV-023</v>
      </c>
    </row>
    <row r="2236" spans="1:7" x14ac:dyDescent="0.25">
      <c r="A2236" s="112"/>
      <c r="B2236" s="21" t="s">
        <v>6118</v>
      </c>
      <c r="C2236" s="21" t="s">
        <v>6119</v>
      </c>
      <c r="D2236" s="21" t="s">
        <v>2505</v>
      </c>
      <c r="E2236" s="50" t="b">
        <v>1</v>
      </c>
      <c r="F2236" s="72" t="str">
        <f>HYPERLINK("http://nsgreg.nga.mil/genc/view?v=293991&amp;end_month=6&amp;end_day=30&amp;end_year=2019","Dagdas Novads")</f>
        <v>Dagdas Novads</v>
      </c>
      <c r="G2236" s="72" t="str">
        <f>HYPERLINK("http://api.nsgreg.nga.mil/geo-division/GENC/6/3-11/LV-024","as:GENC:6:3-11:LV-024")</f>
        <v>as:GENC:6:3-11:LV-024</v>
      </c>
    </row>
    <row r="2237" spans="1:7" x14ac:dyDescent="0.25">
      <c r="A2237" s="112"/>
      <c r="B2237" s="21" t="s">
        <v>6120</v>
      </c>
      <c r="C2237" s="21" t="s">
        <v>6121</v>
      </c>
      <c r="D2237" s="21" t="s">
        <v>6122</v>
      </c>
      <c r="E2237" s="50" t="b">
        <v>1</v>
      </c>
      <c r="F2237" s="72" t="str">
        <f>HYPERLINK("http://nsgreg.nga.mil/genc/view?v=294078&amp;end_month=6&amp;end_day=30&amp;end_year=2019","Daugavpils")</f>
        <v>Daugavpils</v>
      </c>
      <c r="G2237" s="72" t="str">
        <f>HYPERLINK("http://api.nsgreg.nga.mil/geo-division/GENC/6/3-11/LV-DGV","as:GENC:6:3-11:LV-DGV")</f>
        <v>as:GENC:6:3-11:LV-DGV</v>
      </c>
    </row>
    <row r="2238" spans="1:7" x14ac:dyDescent="0.25">
      <c r="A2238" s="112"/>
      <c r="B2238" s="21" t="s">
        <v>6123</v>
      </c>
      <c r="C2238" s="21" t="s">
        <v>6124</v>
      </c>
      <c r="D2238" s="21" t="s">
        <v>2505</v>
      </c>
      <c r="E2238" s="50" t="b">
        <v>1</v>
      </c>
      <c r="F2238" s="72" t="str">
        <f>HYPERLINK("http://nsgreg.nga.mil/genc/view?v=293992&amp;end_month=6&amp;end_day=30&amp;end_year=2019","Daugavpils Novads")</f>
        <v>Daugavpils Novads</v>
      </c>
      <c r="G2238" s="72" t="str">
        <f>HYPERLINK("http://api.nsgreg.nga.mil/geo-division/GENC/6/3-11/LV-025","as:GENC:6:3-11:LV-025")</f>
        <v>as:GENC:6:3-11:LV-025</v>
      </c>
    </row>
    <row r="2239" spans="1:7" x14ac:dyDescent="0.25">
      <c r="A2239" s="112"/>
      <c r="B2239" s="21" t="s">
        <v>6125</v>
      </c>
      <c r="C2239" s="21" t="s">
        <v>6126</v>
      </c>
      <c r="D2239" s="21" t="s">
        <v>2505</v>
      </c>
      <c r="E2239" s="50" t="b">
        <v>1</v>
      </c>
      <c r="F2239" s="72" t="str">
        <f>HYPERLINK("http://nsgreg.nga.mil/genc/view?v=293993&amp;end_month=6&amp;end_day=30&amp;end_year=2019","Dobeles Novads")</f>
        <v>Dobeles Novads</v>
      </c>
      <c r="G2239" s="72" t="str">
        <f>HYPERLINK("http://api.nsgreg.nga.mil/geo-division/GENC/6/3-11/LV-026","as:GENC:6:3-11:LV-026")</f>
        <v>as:GENC:6:3-11:LV-026</v>
      </c>
    </row>
    <row r="2240" spans="1:7" x14ac:dyDescent="0.25">
      <c r="A2240" s="112"/>
      <c r="B2240" s="21" t="s">
        <v>6127</v>
      </c>
      <c r="C2240" s="21" t="s">
        <v>6128</v>
      </c>
      <c r="D2240" s="21" t="s">
        <v>2505</v>
      </c>
      <c r="E2240" s="50" t="b">
        <v>1</v>
      </c>
      <c r="F2240" s="72" t="str">
        <f>HYPERLINK("http://nsgreg.nga.mil/genc/view?v=293994&amp;end_month=6&amp;end_day=30&amp;end_year=2019","Dundagas Novads")</f>
        <v>Dundagas Novads</v>
      </c>
      <c r="G2240" s="72" t="str">
        <f>HYPERLINK("http://api.nsgreg.nga.mil/geo-division/GENC/6/3-11/LV-027","as:GENC:6:3-11:LV-027")</f>
        <v>as:GENC:6:3-11:LV-027</v>
      </c>
    </row>
    <row r="2241" spans="1:7" x14ac:dyDescent="0.25">
      <c r="A2241" s="112"/>
      <c r="B2241" s="21" t="s">
        <v>6129</v>
      </c>
      <c r="C2241" s="21" t="s">
        <v>6130</v>
      </c>
      <c r="D2241" s="21" t="s">
        <v>2505</v>
      </c>
      <c r="E2241" s="50" t="b">
        <v>1</v>
      </c>
      <c r="F2241" s="72" t="str">
        <f>HYPERLINK("http://nsgreg.nga.mil/genc/view?v=293995&amp;end_month=6&amp;end_day=30&amp;end_year=2019","Durbes Novads")</f>
        <v>Durbes Novads</v>
      </c>
      <c r="G2241" s="72" t="str">
        <f>HYPERLINK("http://api.nsgreg.nga.mil/geo-division/GENC/6/3-11/LV-028","as:GENC:6:3-11:LV-028")</f>
        <v>as:GENC:6:3-11:LV-028</v>
      </c>
    </row>
    <row r="2242" spans="1:7" x14ac:dyDescent="0.25">
      <c r="A2242" s="112"/>
      <c r="B2242" s="21" t="s">
        <v>6131</v>
      </c>
      <c r="C2242" s="21" t="s">
        <v>6132</v>
      </c>
      <c r="D2242" s="21" t="s">
        <v>2505</v>
      </c>
      <c r="E2242" s="50" t="b">
        <v>1</v>
      </c>
      <c r="F2242" s="72" t="str">
        <f>HYPERLINK("http://nsgreg.nga.mil/genc/view?v=293996&amp;end_month=6&amp;end_day=30&amp;end_year=2019","Engures Novads")</f>
        <v>Engures Novads</v>
      </c>
      <c r="G2242" s="72" t="str">
        <f>HYPERLINK("http://api.nsgreg.nga.mil/geo-division/GENC/6/3-11/LV-029","as:GENC:6:3-11:LV-029")</f>
        <v>as:GENC:6:3-11:LV-029</v>
      </c>
    </row>
    <row r="2243" spans="1:7" x14ac:dyDescent="0.25">
      <c r="A2243" s="112"/>
      <c r="B2243" s="21" t="s">
        <v>6133</v>
      </c>
      <c r="C2243" s="21" t="s">
        <v>6134</v>
      </c>
      <c r="D2243" s="21" t="s">
        <v>2505</v>
      </c>
      <c r="E2243" s="50" t="b">
        <v>1</v>
      </c>
      <c r="F2243" s="72" t="str">
        <f>HYPERLINK("http://nsgreg.nga.mil/genc/view?v=293997&amp;end_month=6&amp;end_day=30&amp;end_year=2019","Ērgļu Novads")</f>
        <v>Ērgļu Novads</v>
      </c>
      <c r="G2243" s="72" t="str">
        <f>HYPERLINK("http://api.nsgreg.nga.mil/geo-division/GENC/6/3-11/LV-030","as:GENC:6:3-11:LV-030")</f>
        <v>as:GENC:6:3-11:LV-030</v>
      </c>
    </row>
    <row r="2244" spans="1:7" x14ac:dyDescent="0.25">
      <c r="A2244" s="112"/>
      <c r="B2244" s="21" t="s">
        <v>6135</v>
      </c>
      <c r="C2244" s="21" t="s">
        <v>6136</v>
      </c>
      <c r="D2244" s="21" t="s">
        <v>2505</v>
      </c>
      <c r="E2244" s="50" t="b">
        <v>1</v>
      </c>
      <c r="F2244" s="72" t="str">
        <f>HYPERLINK("http://nsgreg.nga.mil/genc/view?v=293998&amp;end_month=6&amp;end_day=30&amp;end_year=2019","Garkalnes Novads")</f>
        <v>Garkalnes Novads</v>
      </c>
      <c r="G2244" s="72" t="str">
        <f>HYPERLINK("http://api.nsgreg.nga.mil/geo-division/GENC/6/3-11/LV-031","as:GENC:6:3-11:LV-031")</f>
        <v>as:GENC:6:3-11:LV-031</v>
      </c>
    </row>
    <row r="2245" spans="1:7" x14ac:dyDescent="0.25">
      <c r="A2245" s="112"/>
      <c r="B2245" s="21" t="s">
        <v>6137</v>
      </c>
      <c r="C2245" s="21" t="s">
        <v>6138</v>
      </c>
      <c r="D2245" s="21" t="s">
        <v>2505</v>
      </c>
      <c r="E2245" s="50" t="b">
        <v>1</v>
      </c>
      <c r="F2245" s="72" t="str">
        <f>HYPERLINK("http://nsgreg.nga.mil/genc/view?v=293999&amp;end_month=6&amp;end_day=30&amp;end_year=2019","Grobiņas Novads")</f>
        <v>Grobiņas Novads</v>
      </c>
      <c r="G2245" s="72" t="str">
        <f>HYPERLINK("http://api.nsgreg.nga.mil/geo-division/GENC/6/3-11/LV-032","as:GENC:6:3-11:LV-032")</f>
        <v>as:GENC:6:3-11:LV-032</v>
      </c>
    </row>
    <row r="2246" spans="1:7" x14ac:dyDescent="0.25">
      <c r="A2246" s="112"/>
      <c r="B2246" s="21" t="s">
        <v>6139</v>
      </c>
      <c r="C2246" s="21" t="s">
        <v>6140</v>
      </c>
      <c r="D2246" s="21" t="s">
        <v>2505</v>
      </c>
      <c r="E2246" s="50" t="b">
        <v>1</v>
      </c>
      <c r="F2246" s="72" t="str">
        <f>HYPERLINK("http://nsgreg.nga.mil/genc/view?v=294000&amp;end_month=6&amp;end_day=30&amp;end_year=2019","Gulbenes Novads")</f>
        <v>Gulbenes Novads</v>
      </c>
      <c r="G2246" s="72" t="str">
        <f>HYPERLINK("http://api.nsgreg.nga.mil/geo-division/GENC/6/3-11/LV-033","as:GENC:6:3-11:LV-033")</f>
        <v>as:GENC:6:3-11:LV-033</v>
      </c>
    </row>
    <row r="2247" spans="1:7" x14ac:dyDescent="0.25">
      <c r="A2247" s="112"/>
      <c r="B2247" s="21" t="s">
        <v>6141</v>
      </c>
      <c r="C2247" s="21" t="s">
        <v>6142</v>
      </c>
      <c r="D2247" s="21" t="s">
        <v>2505</v>
      </c>
      <c r="E2247" s="50" t="b">
        <v>1</v>
      </c>
      <c r="F2247" s="72" t="str">
        <f>HYPERLINK("http://nsgreg.nga.mil/genc/view?v=294001&amp;end_month=6&amp;end_day=30&amp;end_year=2019","Iecavas Novads")</f>
        <v>Iecavas Novads</v>
      </c>
      <c r="G2247" s="72" t="str">
        <f>HYPERLINK("http://api.nsgreg.nga.mil/geo-division/GENC/6/3-11/LV-034","as:GENC:6:3-11:LV-034")</f>
        <v>as:GENC:6:3-11:LV-034</v>
      </c>
    </row>
    <row r="2248" spans="1:7" x14ac:dyDescent="0.25">
      <c r="A2248" s="112"/>
      <c r="B2248" s="21" t="s">
        <v>6143</v>
      </c>
      <c r="C2248" s="21" t="s">
        <v>6144</v>
      </c>
      <c r="D2248" s="21" t="s">
        <v>2505</v>
      </c>
      <c r="E2248" s="50" t="b">
        <v>1</v>
      </c>
      <c r="F2248" s="72" t="str">
        <f>HYPERLINK("http://nsgreg.nga.mil/genc/view?v=294002&amp;end_month=6&amp;end_day=30&amp;end_year=2019","Ikšķiles Novads")</f>
        <v>Ikšķiles Novads</v>
      </c>
      <c r="G2248" s="72" t="str">
        <f>HYPERLINK("http://api.nsgreg.nga.mil/geo-division/GENC/6/3-11/LV-035","as:GENC:6:3-11:LV-035")</f>
        <v>as:GENC:6:3-11:LV-035</v>
      </c>
    </row>
    <row r="2249" spans="1:7" x14ac:dyDescent="0.25">
      <c r="A2249" s="112"/>
      <c r="B2249" s="21" t="s">
        <v>6145</v>
      </c>
      <c r="C2249" s="21" t="s">
        <v>6146</v>
      </c>
      <c r="D2249" s="21" t="s">
        <v>2505</v>
      </c>
      <c r="E2249" s="50" t="b">
        <v>1</v>
      </c>
      <c r="F2249" s="72" t="str">
        <f>HYPERLINK("http://nsgreg.nga.mil/genc/view?v=294003&amp;end_month=6&amp;end_day=30&amp;end_year=2019","Ilūkstes Novads")</f>
        <v>Ilūkstes Novads</v>
      </c>
      <c r="G2249" s="72" t="str">
        <f>HYPERLINK("http://api.nsgreg.nga.mil/geo-division/GENC/6/3-11/LV-036","as:GENC:6:3-11:LV-036")</f>
        <v>as:GENC:6:3-11:LV-036</v>
      </c>
    </row>
    <row r="2250" spans="1:7" x14ac:dyDescent="0.25">
      <c r="A2250" s="112"/>
      <c r="B2250" s="21" t="s">
        <v>6147</v>
      </c>
      <c r="C2250" s="21" t="s">
        <v>6148</v>
      </c>
      <c r="D2250" s="21" t="s">
        <v>2505</v>
      </c>
      <c r="E2250" s="50" t="b">
        <v>1</v>
      </c>
      <c r="F2250" s="72" t="str">
        <f>HYPERLINK("http://nsgreg.nga.mil/genc/view?v=294004&amp;end_month=6&amp;end_day=30&amp;end_year=2019","Inčukalna Novads")</f>
        <v>Inčukalna Novads</v>
      </c>
      <c r="G2250" s="72" t="str">
        <f>HYPERLINK("http://api.nsgreg.nga.mil/geo-division/GENC/6/3-11/LV-037","as:GENC:6:3-11:LV-037")</f>
        <v>as:GENC:6:3-11:LV-037</v>
      </c>
    </row>
    <row r="2251" spans="1:7" x14ac:dyDescent="0.25">
      <c r="A2251" s="112"/>
      <c r="B2251" s="21" t="s">
        <v>6149</v>
      </c>
      <c r="C2251" s="21" t="s">
        <v>6150</v>
      </c>
      <c r="D2251" s="21" t="s">
        <v>2505</v>
      </c>
      <c r="E2251" s="50" t="b">
        <v>1</v>
      </c>
      <c r="F2251" s="72" t="str">
        <f>HYPERLINK("http://nsgreg.nga.mil/genc/view?v=294005&amp;end_month=6&amp;end_day=30&amp;end_year=2019","Jaunjelgavas Novads")</f>
        <v>Jaunjelgavas Novads</v>
      </c>
      <c r="G2251" s="72" t="str">
        <f>HYPERLINK("http://api.nsgreg.nga.mil/geo-division/GENC/6/3-11/LV-038","as:GENC:6:3-11:LV-038")</f>
        <v>as:GENC:6:3-11:LV-038</v>
      </c>
    </row>
    <row r="2252" spans="1:7" x14ac:dyDescent="0.25">
      <c r="A2252" s="112"/>
      <c r="B2252" s="21" t="s">
        <v>6151</v>
      </c>
      <c r="C2252" s="21" t="s">
        <v>6152</v>
      </c>
      <c r="D2252" s="21" t="s">
        <v>2505</v>
      </c>
      <c r="E2252" s="50" t="b">
        <v>1</v>
      </c>
      <c r="F2252" s="72" t="str">
        <f>HYPERLINK("http://nsgreg.nga.mil/genc/view?v=294006&amp;end_month=6&amp;end_day=30&amp;end_year=2019","Jaunpiebalgas Novads")</f>
        <v>Jaunpiebalgas Novads</v>
      </c>
      <c r="G2252" s="72" t="str">
        <f>HYPERLINK("http://api.nsgreg.nga.mil/geo-division/GENC/6/3-11/LV-039","as:GENC:6:3-11:LV-039")</f>
        <v>as:GENC:6:3-11:LV-039</v>
      </c>
    </row>
    <row r="2253" spans="1:7" x14ac:dyDescent="0.25">
      <c r="A2253" s="112"/>
      <c r="B2253" s="21" t="s">
        <v>6153</v>
      </c>
      <c r="C2253" s="21" t="s">
        <v>6154</v>
      </c>
      <c r="D2253" s="21" t="s">
        <v>2505</v>
      </c>
      <c r="E2253" s="50" t="b">
        <v>1</v>
      </c>
      <c r="F2253" s="72" t="str">
        <f>HYPERLINK("http://nsgreg.nga.mil/genc/view?v=294007&amp;end_month=6&amp;end_day=30&amp;end_year=2019","Jaunpils Novads")</f>
        <v>Jaunpils Novads</v>
      </c>
      <c r="G2253" s="72" t="str">
        <f>HYPERLINK("http://api.nsgreg.nga.mil/geo-division/GENC/6/3-11/LV-040","as:GENC:6:3-11:LV-040")</f>
        <v>as:GENC:6:3-11:LV-040</v>
      </c>
    </row>
    <row r="2254" spans="1:7" x14ac:dyDescent="0.25">
      <c r="A2254" s="112"/>
      <c r="B2254" s="21" t="s">
        <v>6155</v>
      </c>
      <c r="C2254" s="21" t="s">
        <v>6156</v>
      </c>
      <c r="D2254" s="21" t="s">
        <v>6122</v>
      </c>
      <c r="E2254" s="50" t="b">
        <v>1</v>
      </c>
      <c r="F2254" s="72" t="str">
        <f>HYPERLINK("http://nsgreg.nga.mil/genc/view?v=294080&amp;end_month=6&amp;end_day=30&amp;end_year=2019","Jēkabpils")</f>
        <v>Jēkabpils</v>
      </c>
      <c r="G2254" s="72" t="str">
        <f>HYPERLINK("http://api.nsgreg.nga.mil/geo-division/GENC/6/3-11/LV-JKB","as:GENC:6:3-11:LV-JKB")</f>
        <v>as:GENC:6:3-11:LV-JKB</v>
      </c>
    </row>
    <row r="2255" spans="1:7" x14ac:dyDescent="0.25">
      <c r="A2255" s="112"/>
      <c r="B2255" s="21" t="s">
        <v>6157</v>
      </c>
      <c r="C2255" s="21" t="s">
        <v>6158</v>
      </c>
      <c r="D2255" s="21" t="s">
        <v>2505</v>
      </c>
      <c r="E2255" s="50" t="b">
        <v>1</v>
      </c>
      <c r="F2255" s="72" t="str">
        <f>HYPERLINK("http://nsgreg.nga.mil/genc/view?v=294009&amp;end_month=6&amp;end_day=30&amp;end_year=2019","Jēkabpils Novads")</f>
        <v>Jēkabpils Novads</v>
      </c>
      <c r="G2255" s="72" t="str">
        <f>HYPERLINK("http://api.nsgreg.nga.mil/geo-division/GENC/6/3-11/LV-042","as:GENC:6:3-11:LV-042")</f>
        <v>as:GENC:6:3-11:LV-042</v>
      </c>
    </row>
    <row r="2256" spans="1:7" x14ac:dyDescent="0.25">
      <c r="A2256" s="112"/>
      <c r="B2256" s="21" t="s">
        <v>6159</v>
      </c>
      <c r="C2256" s="21" t="s">
        <v>6160</v>
      </c>
      <c r="D2256" s="21" t="s">
        <v>6122</v>
      </c>
      <c r="E2256" s="50" t="b">
        <v>1</v>
      </c>
      <c r="F2256" s="72" t="str">
        <f>HYPERLINK("http://nsgreg.nga.mil/genc/view?v=294079&amp;end_month=6&amp;end_day=30&amp;end_year=2019","Jelgava")</f>
        <v>Jelgava</v>
      </c>
      <c r="G2256" s="72" t="str">
        <f>HYPERLINK("http://api.nsgreg.nga.mil/geo-division/GENC/6/3-11/LV-JEL","as:GENC:6:3-11:LV-JEL")</f>
        <v>as:GENC:6:3-11:LV-JEL</v>
      </c>
    </row>
    <row r="2257" spans="1:7" x14ac:dyDescent="0.25">
      <c r="A2257" s="112"/>
      <c r="B2257" s="21" t="s">
        <v>6161</v>
      </c>
      <c r="C2257" s="21" t="s">
        <v>6162</v>
      </c>
      <c r="D2257" s="21" t="s">
        <v>2505</v>
      </c>
      <c r="E2257" s="50" t="b">
        <v>1</v>
      </c>
      <c r="F2257" s="72" t="str">
        <f>HYPERLINK("http://nsgreg.nga.mil/genc/view?v=294008&amp;end_month=6&amp;end_day=30&amp;end_year=2019","Jelgavas Novads")</f>
        <v>Jelgavas Novads</v>
      </c>
      <c r="G2257" s="72" t="str">
        <f>HYPERLINK("http://api.nsgreg.nga.mil/geo-division/GENC/6/3-11/LV-041","as:GENC:6:3-11:LV-041")</f>
        <v>as:GENC:6:3-11:LV-041</v>
      </c>
    </row>
    <row r="2258" spans="1:7" x14ac:dyDescent="0.25">
      <c r="A2258" s="112"/>
      <c r="B2258" s="21" t="s">
        <v>6163</v>
      </c>
      <c r="C2258" s="21" t="s">
        <v>6164</v>
      </c>
      <c r="D2258" s="21" t="s">
        <v>6122</v>
      </c>
      <c r="E2258" s="50" t="b">
        <v>1</v>
      </c>
      <c r="F2258" s="72" t="str">
        <f>HYPERLINK("http://nsgreg.nga.mil/genc/view?v=294081&amp;end_month=6&amp;end_day=30&amp;end_year=2019","Jūrmala")</f>
        <v>Jūrmala</v>
      </c>
      <c r="G2258" s="72" t="str">
        <f>HYPERLINK("http://api.nsgreg.nga.mil/geo-division/GENC/6/3-11/LV-JUR","as:GENC:6:3-11:LV-JUR")</f>
        <v>as:GENC:6:3-11:LV-JUR</v>
      </c>
    </row>
    <row r="2259" spans="1:7" x14ac:dyDescent="0.25">
      <c r="A2259" s="112"/>
      <c r="B2259" s="21" t="s">
        <v>6165</v>
      </c>
      <c r="C2259" s="21" t="s">
        <v>6166</v>
      </c>
      <c r="D2259" s="21" t="s">
        <v>2505</v>
      </c>
      <c r="E2259" s="50" t="b">
        <v>1</v>
      </c>
      <c r="F2259" s="72" t="str">
        <f>HYPERLINK("http://nsgreg.nga.mil/genc/view?v=294010&amp;end_month=6&amp;end_day=30&amp;end_year=2019","Kandavas Novads")</f>
        <v>Kandavas Novads</v>
      </c>
      <c r="G2259" s="72" t="str">
        <f>HYPERLINK("http://api.nsgreg.nga.mil/geo-division/GENC/6/3-11/LV-043","as:GENC:6:3-11:LV-043")</f>
        <v>as:GENC:6:3-11:LV-043</v>
      </c>
    </row>
    <row r="2260" spans="1:7" x14ac:dyDescent="0.25">
      <c r="A2260" s="112"/>
      <c r="B2260" s="21" t="s">
        <v>6167</v>
      </c>
      <c r="C2260" s="21" t="s">
        <v>6168</v>
      </c>
      <c r="D2260" s="21" t="s">
        <v>2505</v>
      </c>
      <c r="E2260" s="50" t="b">
        <v>1</v>
      </c>
      <c r="F2260" s="72" t="str">
        <f>HYPERLINK("http://nsgreg.nga.mil/genc/view?v=294011&amp;end_month=6&amp;end_day=30&amp;end_year=2019","Kārsavas Novads")</f>
        <v>Kārsavas Novads</v>
      </c>
      <c r="G2260" s="72" t="str">
        <f>HYPERLINK("http://api.nsgreg.nga.mil/geo-division/GENC/6/3-11/LV-044","as:GENC:6:3-11:LV-044")</f>
        <v>as:GENC:6:3-11:LV-044</v>
      </c>
    </row>
    <row r="2261" spans="1:7" x14ac:dyDescent="0.25">
      <c r="A2261" s="112"/>
      <c r="B2261" s="21" t="s">
        <v>6169</v>
      </c>
      <c r="C2261" s="21" t="s">
        <v>6170</v>
      </c>
      <c r="D2261" s="21" t="s">
        <v>2505</v>
      </c>
      <c r="E2261" s="50" t="b">
        <v>1</v>
      </c>
      <c r="F2261" s="72" t="str">
        <f>HYPERLINK("http://nsgreg.nga.mil/genc/view?v=294018&amp;end_month=6&amp;end_day=30&amp;end_year=2019","Ķeguma Novads")</f>
        <v>Ķeguma Novads</v>
      </c>
      <c r="G2261" s="72" t="str">
        <f>HYPERLINK("http://api.nsgreg.nga.mil/geo-division/GENC/6/3-11/LV-051","as:GENC:6:3-11:LV-051")</f>
        <v>as:GENC:6:3-11:LV-051</v>
      </c>
    </row>
    <row r="2262" spans="1:7" x14ac:dyDescent="0.25">
      <c r="A2262" s="112"/>
      <c r="B2262" s="21" t="s">
        <v>6171</v>
      </c>
      <c r="C2262" s="21" t="s">
        <v>6172</v>
      </c>
      <c r="D2262" s="21" t="s">
        <v>2505</v>
      </c>
      <c r="E2262" s="50" t="b">
        <v>1</v>
      </c>
      <c r="F2262" s="72" t="str">
        <f>HYPERLINK("http://nsgreg.nga.mil/genc/view?v=294019&amp;end_month=6&amp;end_day=30&amp;end_year=2019","Ķekavas Novads")</f>
        <v>Ķekavas Novads</v>
      </c>
      <c r="G2262" s="72" t="str">
        <f>HYPERLINK("http://api.nsgreg.nga.mil/geo-division/GENC/6/3-11/LV-052","as:GENC:6:3-11:LV-052")</f>
        <v>as:GENC:6:3-11:LV-052</v>
      </c>
    </row>
    <row r="2263" spans="1:7" x14ac:dyDescent="0.25">
      <c r="A2263" s="112"/>
      <c r="B2263" s="21" t="s">
        <v>6173</v>
      </c>
      <c r="C2263" s="21" t="s">
        <v>6174</v>
      </c>
      <c r="D2263" s="21" t="s">
        <v>2505</v>
      </c>
      <c r="E2263" s="50" t="b">
        <v>1</v>
      </c>
      <c r="F2263" s="72" t="str">
        <f>HYPERLINK("http://nsgreg.nga.mil/genc/view?v=294012&amp;end_month=6&amp;end_day=30&amp;end_year=2019","Kocēnu Novads")</f>
        <v>Kocēnu Novads</v>
      </c>
      <c r="G2263" s="72" t="str">
        <f>HYPERLINK("http://api.nsgreg.nga.mil/geo-division/GENC/6/3-11/LV-045","as:GENC:6:3-11:LV-045")</f>
        <v>as:GENC:6:3-11:LV-045</v>
      </c>
    </row>
    <row r="2264" spans="1:7" x14ac:dyDescent="0.25">
      <c r="A2264" s="112"/>
      <c r="B2264" s="21" t="s">
        <v>6175</v>
      </c>
      <c r="C2264" s="21" t="s">
        <v>6176</v>
      </c>
      <c r="D2264" s="21" t="s">
        <v>2505</v>
      </c>
      <c r="E2264" s="50" t="b">
        <v>1</v>
      </c>
      <c r="F2264" s="72" t="str">
        <f>HYPERLINK("http://nsgreg.nga.mil/genc/view?v=294013&amp;end_month=6&amp;end_day=30&amp;end_year=2019","Kokneses Novads")</f>
        <v>Kokneses Novads</v>
      </c>
      <c r="G2264" s="72" t="str">
        <f>HYPERLINK("http://api.nsgreg.nga.mil/geo-division/GENC/6/3-11/LV-046","as:GENC:6:3-11:LV-046")</f>
        <v>as:GENC:6:3-11:LV-046</v>
      </c>
    </row>
    <row r="2265" spans="1:7" x14ac:dyDescent="0.25">
      <c r="A2265" s="112"/>
      <c r="B2265" s="21" t="s">
        <v>6177</v>
      </c>
      <c r="C2265" s="21" t="s">
        <v>6178</v>
      </c>
      <c r="D2265" s="21" t="s">
        <v>2505</v>
      </c>
      <c r="E2265" s="50" t="b">
        <v>1</v>
      </c>
      <c r="F2265" s="72" t="str">
        <f>HYPERLINK("http://nsgreg.nga.mil/genc/view?v=294014&amp;end_month=6&amp;end_day=30&amp;end_year=2019","Krāslavas Novads")</f>
        <v>Krāslavas Novads</v>
      </c>
      <c r="G2265" s="72" t="str">
        <f>HYPERLINK("http://api.nsgreg.nga.mil/geo-division/GENC/6/3-11/LV-047","as:GENC:6:3-11:LV-047")</f>
        <v>as:GENC:6:3-11:LV-047</v>
      </c>
    </row>
    <row r="2266" spans="1:7" x14ac:dyDescent="0.25">
      <c r="A2266" s="112"/>
      <c r="B2266" s="21" t="s">
        <v>6179</v>
      </c>
      <c r="C2266" s="21" t="s">
        <v>6180</v>
      </c>
      <c r="D2266" s="21" t="s">
        <v>2505</v>
      </c>
      <c r="E2266" s="50" t="b">
        <v>1</v>
      </c>
      <c r="F2266" s="72" t="str">
        <f>HYPERLINK("http://nsgreg.nga.mil/genc/view?v=294015&amp;end_month=6&amp;end_day=30&amp;end_year=2019","Krimuldas Novads")</f>
        <v>Krimuldas Novads</v>
      </c>
      <c r="G2266" s="72" t="str">
        <f>HYPERLINK("http://api.nsgreg.nga.mil/geo-division/GENC/6/3-11/LV-048","as:GENC:6:3-11:LV-048")</f>
        <v>as:GENC:6:3-11:LV-048</v>
      </c>
    </row>
    <row r="2267" spans="1:7" x14ac:dyDescent="0.25">
      <c r="A2267" s="112"/>
      <c r="B2267" s="21" t="s">
        <v>6181</v>
      </c>
      <c r="C2267" s="21" t="s">
        <v>6182</v>
      </c>
      <c r="D2267" s="21" t="s">
        <v>2505</v>
      </c>
      <c r="E2267" s="50" t="b">
        <v>1</v>
      </c>
      <c r="F2267" s="72" t="str">
        <f>HYPERLINK("http://nsgreg.nga.mil/genc/view?v=294016&amp;end_month=6&amp;end_day=30&amp;end_year=2019","Krustpils Novads")</f>
        <v>Krustpils Novads</v>
      </c>
      <c r="G2267" s="72" t="str">
        <f>HYPERLINK("http://api.nsgreg.nga.mil/geo-division/GENC/6/3-11/LV-049","as:GENC:6:3-11:LV-049")</f>
        <v>as:GENC:6:3-11:LV-049</v>
      </c>
    </row>
    <row r="2268" spans="1:7" x14ac:dyDescent="0.25">
      <c r="A2268" s="112"/>
      <c r="B2268" s="21" t="s">
        <v>6183</v>
      </c>
      <c r="C2268" s="21" t="s">
        <v>6184</v>
      </c>
      <c r="D2268" s="21" t="s">
        <v>2505</v>
      </c>
      <c r="E2268" s="50" t="b">
        <v>1</v>
      </c>
      <c r="F2268" s="72" t="str">
        <f>HYPERLINK("http://nsgreg.nga.mil/genc/view?v=294017&amp;end_month=6&amp;end_day=30&amp;end_year=2019","Kuldīgas Novads")</f>
        <v>Kuldīgas Novads</v>
      </c>
      <c r="G2268" s="72" t="str">
        <f>HYPERLINK("http://api.nsgreg.nga.mil/geo-division/GENC/6/3-11/LV-050","as:GENC:6:3-11:LV-050")</f>
        <v>as:GENC:6:3-11:LV-050</v>
      </c>
    </row>
    <row r="2269" spans="1:7" x14ac:dyDescent="0.25">
      <c r="A2269" s="112"/>
      <c r="B2269" s="21" t="s">
        <v>6185</v>
      </c>
      <c r="C2269" s="21" t="s">
        <v>6186</v>
      </c>
      <c r="D2269" s="21" t="s">
        <v>2505</v>
      </c>
      <c r="E2269" s="50" t="b">
        <v>1</v>
      </c>
      <c r="F2269" s="72" t="str">
        <f>HYPERLINK("http://nsgreg.nga.mil/genc/view?v=294020&amp;end_month=6&amp;end_day=30&amp;end_year=2019","Lielvārdes Novads")</f>
        <v>Lielvārdes Novads</v>
      </c>
      <c r="G2269" s="72" t="str">
        <f>HYPERLINK("http://api.nsgreg.nga.mil/geo-division/GENC/6/3-11/LV-053","as:GENC:6:3-11:LV-053")</f>
        <v>as:GENC:6:3-11:LV-053</v>
      </c>
    </row>
    <row r="2270" spans="1:7" x14ac:dyDescent="0.25">
      <c r="A2270" s="112"/>
      <c r="B2270" s="21" t="s">
        <v>6187</v>
      </c>
      <c r="C2270" s="21" t="s">
        <v>6188</v>
      </c>
      <c r="D2270" s="21" t="s">
        <v>6122</v>
      </c>
      <c r="E2270" s="50" t="b">
        <v>1</v>
      </c>
      <c r="F2270" s="72" t="str">
        <f>HYPERLINK("http://nsgreg.nga.mil/genc/view?v=294082&amp;end_month=6&amp;end_day=30&amp;end_year=2019","Liepāja")</f>
        <v>Liepāja</v>
      </c>
      <c r="G2270" s="72" t="str">
        <f>HYPERLINK("http://api.nsgreg.nga.mil/geo-division/GENC/6/3-11/LV-LPX","as:GENC:6:3-11:LV-LPX")</f>
        <v>as:GENC:6:3-11:LV-LPX</v>
      </c>
    </row>
    <row r="2271" spans="1:7" x14ac:dyDescent="0.25">
      <c r="A2271" s="112"/>
      <c r="B2271" s="21" t="s">
        <v>6189</v>
      </c>
      <c r="C2271" s="21" t="s">
        <v>6190</v>
      </c>
      <c r="D2271" s="21" t="s">
        <v>2505</v>
      </c>
      <c r="E2271" s="50" t="b">
        <v>1</v>
      </c>
      <c r="F2271" s="72" t="str">
        <f>HYPERLINK("http://nsgreg.nga.mil/genc/view?v=294022&amp;end_month=6&amp;end_day=30&amp;end_year=2019","Līgatnes Novads")</f>
        <v>Līgatnes Novads</v>
      </c>
      <c r="G2271" s="72" t="str">
        <f>HYPERLINK("http://api.nsgreg.nga.mil/geo-division/GENC/6/3-11/LV-055","as:GENC:6:3-11:LV-055")</f>
        <v>as:GENC:6:3-11:LV-055</v>
      </c>
    </row>
    <row r="2272" spans="1:7" x14ac:dyDescent="0.25">
      <c r="A2272" s="112"/>
      <c r="B2272" s="21" t="s">
        <v>6191</v>
      </c>
      <c r="C2272" s="21" t="s">
        <v>6192</v>
      </c>
      <c r="D2272" s="21" t="s">
        <v>2505</v>
      </c>
      <c r="E2272" s="50" t="b">
        <v>1</v>
      </c>
      <c r="F2272" s="72" t="str">
        <f>HYPERLINK("http://nsgreg.nga.mil/genc/view?v=294021&amp;end_month=6&amp;end_day=30&amp;end_year=2019","Limbažu Novads")</f>
        <v>Limbažu Novads</v>
      </c>
      <c r="G2272" s="72" t="str">
        <f>HYPERLINK("http://api.nsgreg.nga.mil/geo-division/GENC/6/3-11/LV-054","as:GENC:6:3-11:LV-054")</f>
        <v>as:GENC:6:3-11:LV-054</v>
      </c>
    </row>
    <row r="2273" spans="1:7" x14ac:dyDescent="0.25">
      <c r="A2273" s="112"/>
      <c r="B2273" s="21" t="s">
        <v>6193</v>
      </c>
      <c r="C2273" s="21" t="s">
        <v>6194</v>
      </c>
      <c r="D2273" s="21" t="s">
        <v>2505</v>
      </c>
      <c r="E2273" s="50" t="b">
        <v>1</v>
      </c>
      <c r="F2273" s="72" t="str">
        <f>HYPERLINK("http://nsgreg.nga.mil/genc/view?v=294023&amp;end_month=6&amp;end_day=30&amp;end_year=2019","Līvānu Novads")</f>
        <v>Līvānu Novads</v>
      </c>
      <c r="G2273" s="72" t="str">
        <f>HYPERLINK("http://api.nsgreg.nga.mil/geo-division/GENC/6/3-11/LV-056","as:GENC:6:3-11:LV-056")</f>
        <v>as:GENC:6:3-11:LV-056</v>
      </c>
    </row>
    <row r="2274" spans="1:7" x14ac:dyDescent="0.25">
      <c r="A2274" s="112"/>
      <c r="B2274" s="21" t="s">
        <v>6195</v>
      </c>
      <c r="C2274" s="21" t="s">
        <v>6196</v>
      </c>
      <c r="D2274" s="21" t="s">
        <v>2505</v>
      </c>
      <c r="E2274" s="50" t="b">
        <v>1</v>
      </c>
      <c r="F2274" s="72" t="str">
        <f>HYPERLINK("http://nsgreg.nga.mil/genc/view?v=294024&amp;end_month=6&amp;end_day=30&amp;end_year=2019","Lubānas Novads")</f>
        <v>Lubānas Novads</v>
      </c>
      <c r="G2274" s="72" t="str">
        <f>HYPERLINK("http://api.nsgreg.nga.mil/geo-division/GENC/6/3-11/LV-057","as:GENC:6:3-11:LV-057")</f>
        <v>as:GENC:6:3-11:LV-057</v>
      </c>
    </row>
    <row r="2275" spans="1:7" x14ac:dyDescent="0.25">
      <c r="A2275" s="112"/>
      <c r="B2275" s="21" t="s">
        <v>6197</v>
      </c>
      <c r="C2275" s="21" t="s">
        <v>6198</v>
      </c>
      <c r="D2275" s="21" t="s">
        <v>2505</v>
      </c>
      <c r="E2275" s="50" t="b">
        <v>1</v>
      </c>
      <c r="F2275" s="72" t="str">
        <f>HYPERLINK("http://nsgreg.nga.mil/genc/view?v=294025&amp;end_month=6&amp;end_day=30&amp;end_year=2019","Ludzas Novads")</f>
        <v>Ludzas Novads</v>
      </c>
      <c r="G2275" s="72" t="str">
        <f>HYPERLINK("http://api.nsgreg.nga.mil/geo-division/GENC/6/3-11/LV-058","as:GENC:6:3-11:LV-058")</f>
        <v>as:GENC:6:3-11:LV-058</v>
      </c>
    </row>
    <row r="2276" spans="1:7" x14ac:dyDescent="0.25">
      <c r="A2276" s="112"/>
      <c r="B2276" s="21" t="s">
        <v>6199</v>
      </c>
      <c r="C2276" s="21" t="s">
        <v>6200</v>
      </c>
      <c r="D2276" s="21" t="s">
        <v>2505</v>
      </c>
      <c r="E2276" s="50" t="b">
        <v>1</v>
      </c>
      <c r="F2276" s="72" t="str">
        <f>HYPERLINK("http://nsgreg.nga.mil/genc/view?v=294026&amp;end_month=6&amp;end_day=30&amp;end_year=2019","Madonas Novads")</f>
        <v>Madonas Novads</v>
      </c>
      <c r="G2276" s="72" t="str">
        <f>HYPERLINK("http://api.nsgreg.nga.mil/geo-division/GENC/6/3-11/LV-059","as:GENC:6:3-11:LV-059")</f>
        <v>as:GENC:6:3-11:LV-059</v>
      </c>
    </row>
    <row r="2277" spans="1:7" x14ac:dyDescent="0.25">
      <c r="A2277" s="112"/>
      <c r="B2277" s="21" t="s">
        <v>6201</v>
      </c>
      <c r="C2277" s="21" t="s">
        <v>6202</v>
      </c>
      <c r="D2277" s="21" t="s">
        <v>2505</v>
      </c>
      <c r="E2277" s="50" t="b">
        <v>1</v>
      </c>
      <c r="F2277" s="72" t="str">
        <f>HYPERLINK("http://nsgreg.nga.mil/genc/view?v=294028&amp;end_month=6&amp;end_day=30&amp;end_year=2019","Mālpils Novads")</f>
        <v>Mālpils Novads</v>
      </c>
      <c r="G2277" s="72" t="str">
        <f>HYPERLINK("http://api.nsgreg.nga.mil/geo-division/GENC/6/3-11/LV-061","as:GENC:6:3-11:LV-061")</f>
        <v>as:GENC:6:3-11:LV-061</v>
      </c>
    </row>
    <row r="2278" spans="1:7" x14ac:dyDescent="0.25">
      <c r="A2278" s="112"/>
      <c r="B2278" s="21" t="s">
        <v>6203</v>
      </c>
      <c r="C2278" s="21" t="s">
        <v>6204</v>
      </c>
      <c r="D2278" s="21" t="s">
        <v>2505</v>
      </c>
      <c r="E2278" s="50" t="b">
        <v>1</v>
      </c>
      <c r="F2278" s="72" t="str">
        <f>HYPERLINK("http://nsgreg.nga.mil/genc/view?v=294029&amp;end_month=6&amp;end_day=30&amp;end_year=2019","Mārupes Novads")</f>
        <v>Mārupes Novads</v>
      </c>
      <c r="G2278" s="72" t="str">
        <f>HYPERLINK("http://api.nsgreg.nga.mil/geo-division/GENC/6/3-11/LV-062","as:GENC:6:3-11:LV-062")</f>
        <v>as:GENC:6:3-11:LV-062</v>
      </c>
    </row>
    <row r="2279" spans="1:7" x14ac:dyDescent="0.25">
      <c r="A2279" s="112"/>
      <c r="B2279" s="21" t="s">
        <v>6205</v>
      </c>
      <c r="C2279" s="21" t="s">
        <v>6206</v>
      </c>
      <c r="D2279" s="21" t="s">
        <v>2505</v>
      </c>
      <c r="E2279" s="50" t="b">
        <v>1</v>
      </c>
      <c r="F2279" s="72" t="str">
        <f>HYPERLINK("http://nsgreg.nga.mil/genc/view?v=294027&amp;end_month=6&amp;end_day=30&amp;end_year=2019","Mazsalacas Novads")</f>
        <v>Mazsalacas Novads</v>
      </c>
      <c r="G2279" s="72" t="str">
        <f>HYPERLINK("http://api.nsgreg.nga.mil/geo-division/GENC/6/3-11/LV-060","as:GENC:6:3-11:LV-060")</f>
        <v>as:GENC:6:3-11:LV-060</v>
      </c>
    </row>
    <row r="2280" spans="1:7" x14ac:dyDescent="0.25">
      <c r="A2280" s="112"/>
      <c r="B2280" s="21" t="s">
        <v>6207</v>
      </c>
      <c r="C2280" s="21" t="s">
        <v>6208</v>
      </c>
      <c r="D2280" s="21" t="s">
        <v>2505</v>
      </c>
      <c r="E2280" s="50" t="b">
        <v>1</v>
      </c>
      <c r="F2280" s="72" t="str">
        <f>HYPERLINK("http://nsgreg.nga.mil/genc/view?v=294030&amp;end_month=6&amp;end_day=30&amp;end_year=2019","Mērsraga Novads")</f>
        <v>Mērsraga Novads</v>
      </c>
      <c r="G2280" s="72" t="str">
        <f>HYPERLINK("http://api.nsgreg.nga.mil/geo-division/GENC/6/3-11/LV-063","as:GENC:6:3-11:LV-063")</f>
        <v>as:GENC:6:3-11:LV-063</v>
      </c>
    </row>
    <row r="2281" spans="1:7" x14ac:dyDescent="0.25">
      <c r="A2281" s="112"/>
      <c r="B2281" s="21" t="s">
        <v>6209</v>
      </c>
      <c r="C2281" s="21" t="s">
        <v>6210</v>
      </c>
      <c r="D2281" s="21" t="s">
        <v>2505</v>
      </c>
      <c r="E2281" s="50" t="b">
        <v>1</v>
      </c>
      <c r="F2281" s="72" t="str">
        <f>HYPERLINK("http://nsgreg.nga.mil/genc/view?v=294031&amp;end_month=6&amp;end_day=30&amp;end_year=2019","Naukšēnu Novads")</f>
        <v>Naukšēnu Novads</v>
      </c>
      <c r="G2281" s="72" t="str">
        <f>HYPERLINK("http://api.nsgreg.nga.mil/geo-division/GENC/6/3-11/LV-064","as:GENC:6:3-11:LV-064")</f>
        <v>as:GENC:6:3-11:LV-064</v>
      </c>
    </row>
    <row r="2282" spans="1:7" x14ac:dyDescent="0.25">
      <c r="A2282" s="112"/>
      <c r="B2282" s="21" t="s">
        <v>6211</v>
      </c>
      <c r="C2282" s="21" t="s">
        <v>6212</v>
      </c>
      <c r="D2282" s="21" t="s">
        <v>2505</v>
      </c>
      <c r="E2282" s="50" t="b">
        <v>1</v>
      </c>
      <c r="F2282" s="72" t="str">
        <f>HYPERLINK("http://nsgreg.nga.mil/genc/view?v=294032&amp;end_month=6&amp;end_day=30&amp;end_year=2019","Neretas Novads")</f>
        <v>Neretas Novads</v>
      </c>
      <c r="G2282" s="72" t="str">
        <f>HYPERLINK("http://api.nsgreg.nga.mil/geo-division/GENC/6/3-11/LV-065","as:GENC:6:3-11:LV-065")</f>
        <v>as:GENC:6:3-11:LV-065</v>
      </c>
    </row>
    <row r="2283" spans="1:7" x14ac:dyDescent="0.25">
      <c r="A2283" s="112"/>
      <c r="B2283" s="21" t="s">
        <v>6213</v>
      </c>
      <c r="C2283" s="21" t="s">
        <v>6214</v>
      </c>
      <c r="D2283" s="21" t="s">
        <v>2505</v>
      </c>
      <c r="E2283" s="50" t="b">
        <v>1</v>
      </c>
      <c r="F2283" s="72" t="str">
        <f>HYPERLINK("http://nsgreg.nga.mil/genc/view?v=294033&amp;end_month=6&amp;end_day=30&amp;end_year=2019","Nīcas Novads")</f>
        <v>Nīcas Novads</v>
      </c>
      <c r="G2283" s="72" t="str">
        <f>HYPERLINK("http://api.nsgreg.nga.mil/geo-division/GENC/6/3-11/LV-066","as:GENC:6:3-11:LV-066")</f>
        <v>as:GENC:6:3-11:LV-066</v>
      </c>
    </row>
    <row r="2284" spans="1:7" x14ac:dyDescent="0.25">
      <c r="A2284" s="112"/>
      <c r="B2284" s="21" t="s">
        <v>6215</v>
      </c>
      <c r="C2284" s="21" t="s">
        <v>6216</v>
      </c>
      <c r="D2284" s="21" t="s">
        <v>2505</v>
      </c>
      <c r="E2284" s="50" t="b">
        <v>1</v>
      </c>
      <c r="F2284" s="72" t="str">
        <f>HYPERLINK("http://nsgreg.nga.mil/genc/view?v=294034&amp;end_month=6&amp;end_day=30&amp;end_year=2019","Ogres Novads")</f>
        <v>Ogres Novads</v>
      </c>
      <c r="G2284" s="72" t="str">
        <f>HYPERLINK("http://api.nsgreg.nga.mil/geo-division/GENC/6/3-11/LV-067","as:GENC:6:3-11:LV-067")</f>
        <v>as:GENC:6:3-11:LV-067</v>
      </c>
    </row>
    <row r="2285" spans="1:7" x14ac:dyDescent="0.25">
      <c r="A2285" s="112"/>
      <c r="B2285" s="21" t="s">
        <v>6217</v>
      </c>
      <c r="C2285" s="21" t="s">
        <v>6218</v>
      </c>
      <c r="D2285" s="21" t="s">
        <v>2505</v>
      </c>
      <c r="E2285" s="50" t="b">
        <v>1</v>
      </c>
      <c r="F2285" s="72" t="str">
        <f>HYPERLINK("http://nsgreg.nga.mil/genc/view?v=294035&amp;end_month=6&amp;end_day=30&amp;end_year=2019","Olaines Novads")</f>
        <v>Olaines Novads</v>
      </c>
      <c r="G2285" s="72" t="str">
        <f>HYPERLINK("http://api.nsgreg.nga.mil/geo-division/GENC/6/3-11/LV-068","as:GENC:6:3-11:LV-068")</f>
        <v>as:GENC:6:3-11:LV-068</v>
      </c>
    </row>
    <row r="2286" spans="1:7" x14ac:dyDescent="0.25">
      <c r="A2286" s="112"/>
      <c r="B2286" s="21" t="s">
        <v>6219</v>
      </c>
      <c r="C2286" s="21" t="s">
        <v>6220</v>
      </c>
      <c r="D2286" s="21" t="s">
        <v>2505</v>
      </c>
      <c r="E2286" s="50" t="b">
        <v>1</v>
      </c>
      <c r="F2286" s="72" t="str">
        <f>HYPERLINK("http://nsgreg.nga.mil/genc/view?v=294036&amp;end_month=6&amp;end_day=30&amp;end_year=2019","Ozolnieku Novads")</f>
        <v>Ozolnieku Novads</v>
      </c>
      <c r="G2286" s="72" t="str">
        <f>HYPERLINK("http://api.nsgreg.nga.mil/geo-division/GENC/6/3-11/LV-069","as:GENC:6:3-11:LV-069")</f>
        <v>as:GENC:6:3-11:LV-069</v>
      </c>
    </row>
    <row r="2287" spans="1:7" x14ac:dyDescent="0.25">
      <c r="A2287" s="112"/>
      <c r="B2287" s="21" t="s">
        <v>6221</v>
      </c>
      <c r="C2287" s="21" t="s">
        <v>6222</v>
      </c>
      <c r="D2287" s="21" t="s">
        <v>2505</v>
      </c>
      <c r="E2287" s="50" t="b">
        <v>1</v>
      </c>
      <c r="F2287" s="72" t="str">
        <f>HYPERLINK("http://nsgreg.nga.mil/genc/view?v=294037&amp;end_month=6&amp;end_day=30&amp;end_year=2019","Pārgaujas Novads")</f>
        <v>Pārgaujas Novads</v>
      </c>
      <c r="G2287" s="72" t="str">
        <f>HYPERLINK("http://api.nsgreg.nga.mil/geo-division/GENC/6/3-11/LV-070","as:GENC:6:3-11:LV-070")</f>
        <v>as:GENC:6:3-11:LV-070</v>
      </c>
    </row>
    <row r="2288" spans="1:7" x14ac:dyDescent="0.25">
      <c r="A2288" s="112"/>
      <c r="B2288" s="21" t="s">
        <v>6223</v>
      </c>
      <c r="C2288" s="21" t="s">
        <v>6224</v>
      </c>
      <c r="D2288" s="21" t="s">
        <v>2505</v>
      </c>
      <c r="E2288" s="50" t="b">
        <v>1</v>
      </c>
      <c r="F2288" s="72" t="str">
        <f>HYPERLINK("http://nsgreg.nga.mil/genc/view?v=294038&amp;end_month=6&amp;end_day=30&amp;end_year=2019","Pāvilostas Novads")</f>
        <v>Pāvilostas Novads</v>
      </c>
      <c r="G2288" s="72" t="str">
        <f>HYPERLINK("http://api.nsgreg.nga.mil/geo-division/GENC/6/3-11/LV-071","as:GENC:6:3-11:LV-071")</f>
        <v>as:GENC:6:3-11:LV-071</v>
      </c>
    </row>
    <row r="2289" spans="1:7" x14ac:dyDescent="0.25">
      <c r="A2289" s="112"/>
      <c r="B2289" s="21" t="s">
        <v>6225</v>
      </c>
      <c r="C2289" s="21" t="s">
        <v>6226</v>
      </c>
      <c r="D2289" s="21" t="s">
        <v>2505</v>
      </c>
      <c r="E2289" s="50" t="b">
        <v>1</v>
      </c>
      <c r="F2289" s="72" t="str">
        <f>HYPERLINK("http://nsgreg.nga.mil/genc/view?v=294039&amp;end_month=6&amp;end_day=30&amp;end_year=2019","Pļaviņu Novads")</f>
        <v>Pļaviņu Novads</v>
      </c>
      <c r="G2289" s="72" t="str">
        <f>HYPERLINK("http://api.nsgreg.nga.mil/geo-division/GENC/6/3-11/LV-072","as:GENC:6:3-11:LV-072")</f>
        <v>as:GENC:6:3-11:LV-072</v>
      </c>
    </row>
    <row r="2290" spans="1:7" x14ac:dyDescent="0.25">
      <c r="A2290" s="112"/>
      <c r="B2290" s="21" t="s">
        <v>6227</v>
      </c>
      <c r="C2290" s="21" t="s">
        <v>6228</v>
      </c>
      <c r="D2290" s="21" t="s">
        <v>2505</v>
      </c>
      <c r="E2290" s="50" t="b">
        <v>1</v>
      </c>
      <c r="F2290" s="72" t="str">
        <f>HYPERLINK("http://nsgreg.nga.mil/genc/view?v=294040&amp;end_month=6&amp;end_day=30&amp;end_year=2019","Preiļu Novads")</f>
        <v>Preiļu Novads</v>
      </c>
      <c r="G2290" s="72" t="str">
        <f>HYPERLINK("http://api.nsgreg.nga.mil/geo-division/GENC/6/3-11/LV-073","as:GENC:6:3-11:LV-073")</f>
        <v>as:GENC:6:3-11:LV-073</v>
      </c>
    </row>
    <row r="2291" spans="1:7" x14ac:dyDescent="0.25">
      <c r="A2291" s="112"/>
      <c r="B2291" s="21" t="s">
        <v>6229</v>
      </c>
      <c r="C2291" s="21" t="s">
        <v>6230</v>
      </c>
      <c r="D2291" s="21" t="s">
        <v>2505</v>
      </c>
      <c r="E2291" s="50" t="b">
        <v>1</v>
      </c>
      <c r="F2291" s="72" t="str">
        <f>HYPERLINK("http://nsgreg.nga.mil/genc/view?v=294041&amp;end_month=6&amp;end_day=30&amp;end_year=2019","Priekules Novads")</f>
        <v>Priekules Novads</v>
      </c>
      <c r="G2291" s="72" t="str">
        <f>HYPERLINK("http://api.nsgreg.nga.mil/geo-division/GENC/6/3-11/LV-074","as:GENC:6:3-11:LV-074")</f>
        <v>as:GENC:6:3-11:LV-074</v>
      </c>
    </row>
    <row r="2292" spans="1:7" x14ac:dyDescent="0.25">
      <c r="A2292" s="112"/>
      <c r="B2292" s="21" t="s">
        <v>6231</v>
      </c>
      <c r="C2292" s="21" t="s">
        <v>6232</v>
      </c>
      <c r="D2292" s="21" t="s">
        <v>2505</v>
      </c>
      <c r="E2292" s="50" t="b">
        <v>1</v>
      </c>
      <c r="F2292" s="72" t="str">
        <f>HYPERLINK("http://nsgreg.nga.mil/genc/view?v=294042&amp;end_month=6&amp;end_day=30&amp;end_year=2019","Priekuļu Novads")</f>
        <v>Priekuļu Novads</v>
      </c>
      <c r="G2292" s="72" t="str">
        <f>HYPERLINK("http://api.nsgreg.nga.mil/geo-division/GENC/6/3-11/LV-075","as:GENC:6:3-11:LV-075")</f>
        <v>as:GENC:6:3-11:LV-075</v>
      </c>
    </row>
    <row r="2293" spans="1:7" x14ac:dyDescent="0.25">
      <c r="A2293" s="112"/>
      <c r="B2293" s="21" t="s">
        <v>6233</v>
      </c>
      <c r="C2293" s="21" t="s">
        <v>6234</v>
      </c>
      <c r="D2293" s="21" t="s">
        <v>2505</v>
      </c>
      <c r="E2293" s="50" t="b">
        <v>1</v>
      </c>
      <c r="F2293" s="72" t="str">
        <f>HYPERLINK("http://nsgreg.nga.mil/genc/view?v=294043&amp;end_month=6&amp;end_day=30&amp;end_year=2019","Raunas Novads")</f>
        <v>Raunas Novads</v>
      </c>
      <c r="G2293" s="72" t="str">
        <f>HYPERLINK("http://api.nsgreg.nga.mil/geo-division/GENC/6/3-11/LV-076","as:GENC:6:3-11:LV-076")</f>
        <v>as:GENC:6:3-11:LV-076</v>
      </c>
    </row>
    <row r="2294" spans="1:7" x14ac:dyDescent="0.25">
      <c r="A2294" s="112"/>
      <c r="B2294" s="21" t="s">
        <v>6235</v>
      </c>
      <c r="C2294" s="21" t="s">
        <v>6236</v>
      </c>
      <c r="D2294" s="21" t="s">
        <v>6122</v>
      </c>
      <c r="E2294" s="50" t="b">
        <v>1</v>
      </c>
      <c r="F2294" s="72" t="str">
        <f>HYPERLINK("http://nsgreg.nga.mil/genc/view?v=294083&amp;end_month=6&amp;end_day=30&amp;end_year=2019","Rēzekne")</f>
        <v>Rēzekne</v>
      </c>
      <c r="G2294" s="72" t="str">
        <f>HYPERLINK("http://api.nsgreg.nga.mil/geo-division/GENC/6/3-11/LV-REZ","as:GENC:6:3-11:LV-REZ")</f>
        <v>as:GENC:6:3-11:LV-REZ</v>
      </c>
    </row>
    <row r="2295" spans="1:7" x14ac:dyDescent="0.25">
      <c r="A2295" s="112"/>
      <c r="B2295" s="21" t="s">
        <v>6237</v>
      </c>
      <c r="C2295" s="21" t="s">
        <v>6238</v>
      </c>
      <c r="D2295" s="21" t="s">
        <v>2505</v>
      </c>
      <c r="E2295" s="50" t="b">
        <v>1</v>
      </c>
      <c r="F2295" s="72" t="str">
        <f>HYPERLINK("http://nsgreg.nga.mil/genc/view?v=294044&amp;end_month=6&amp;end_day=30&amp;end_year=2019","Rēzeknes Novads")</f>
        <v>Rēzeknes Novads</v>
      </c>
      <c r="G2295" s="72" t="str">
        <f>HYPERLINK("http://api.nsgreg.nga.mil/geo-division/GENC/6/3-11/LV-077","as:GENC:6:3-11:LV-077")</f>
        <v>as:GENC:6:3-11:LV-077</v>
      </c>
    </row>
    <row r="2296" spans="1:7" x14ac:dyDescent="0.25">
      <c r="A2296" s="112"/>
      <c r="B2296" s="21" t="s">
        <v>6239</v>
      </c>
      <c r="C2296" s="21" t="s">
        <v>6240</v>
      </c>
      <c r="D2296" s="21" t="s">
        <v>2505</v>
      </c>
      <c r="E2296" s="50" t="b">
        <v>1</v>
      </c>
      <c r="F2296" s="72" t="str">
        <f>HYPERLINK("http://nsgreg.nga.mil/genc/view?v=294045&amp;end_month=6&amp;end_day=30&amp;end_year=2019","Riebiņu Novads")</f>
        <v>Riebiņu Novads</v>
      </c>
      <c r="G2296" s="72" t="str">
        <f>HYPERLINK("http://api.nsgreg.nga.mil/geo-division/GENC/6/3-11/LV-078","as:GENC:6:3-11:LV-078")</f>
        <v>as:GENC:6:3-11:LV-078</v>
      </c>
    </row>
    <row r="2297" spans="1:7" x14ac:dyDescent="0.25">
      <c r="A2297" s="112"/>
      <c r="B2297" s="21" t="s">
        <v>6241</v>
      </c>
      <c r="C2297" s="21" t="s">
        <v>6242</v>
      </c>
      <c r="D2297" s="21" t="s">
        <v>6122</v>
      </c>
      <c r="E2297" s="50" t="b">
        <v>1</v>
      </c>
      <c r="F2297" s="72" t="str">
        <f>HYPERLINK("http://nsgreg.nga.mil/genc/view?v=294084&amp;end_month=6&amp;end_day=30&amp;end_year=2019","Rīga")</f>
        <v>Rīga</v>
      </c>
      <c r="G2297" s="72" t="str">
        <f>HYPERLINK("http://api.nsgreg.nga.mil/geo-division/GENC/6/3-11/LV-RIX","as:GENC:6:3-11:LV-RIX")</f>
        <v>as:GENC:6:3-11:LV-RIX</v>
      </c>
    </row>
    <row r="2298" spans="1:7" x14ac:dyDescent="0.25">
      <c r="A2298" s="112"/>
      <c r="B2298" s="21" t="s">
        <v>6243</v>
      </c>
      <c r="C2298" s="21" t="s">
        <v>6244</v>
      </c>
      <c r="D2298" s="21" t="s">
        <v>2505</v>
      </c>
      <c r="E2298" s="50" t="b">
        <v>1</v>
      </c>
      <c r="F2298" s="72" t="str">
        <f>HYPERLINK("http://nsgreg.nga.mil/genc/view?v=294046&amp;end_month=6&amp;end_day=30&amp;end_year=2019","Rojas Novads")</f>
        <v>Rojas Novads</v>
      </c>
      <c r="G2298" s="72" t="str">
        <f>HYPERLINK("http://api.nsgreg.nga.mil/geo-division/GENC/6/3-11/LV-079","as:GENC:6:3-11:LV-079")</f>
        <v>as:GENC:6:3-11:LV-079</v>
      </c>
    </row>
    <row r="2299" spans="1:7" x14ac:dyDescent="0.25">
      <c r="A2299" s="112"/>
      <c r="B2299" s="21" t="s">
        <v>6245</v>
      </c>
      <c r="C2299" s="21" t="s">
        <v>6246</v>
      </c>
      <c r="D2299" s="21" t="s">
        <v>2505</v>
      </c>
      <c r="E2299" s="50" t="b">
        <v>1</v>
      </c>
      <c r="F2299" s="72" t="str">
        <f>HYPERLINK("http://nsgreg.nga.mil/genc/view?v=294047&amp;end_month=6&amp;end_day=30&amp;end_year=2019","Ropažu Novads")</f>
        <v>Ropažu Novads</v>
      </c>
      <c r="G2299" s="72" t="str">
        <f>HYPERLINK("http://api.nsgreg.nga.mil/geo-division/GENC/6/3-11/LV-080","as:GENC:6:3-11:LV-080")</f>
        <v>as:GENC:6:3-11:LV-080</v>
      </c>
    </row>
    <row r="2300" spans="1:7" x14ac:dyDescent="0.25">
      <c r="A2300" s="112"/>
      <c r="B2300" s="21" t="s">
        <v>6247</v>
      </c>
      <c r="C2300" s="21" t="s">
        <v>6248</v>
      </c>
      <c r="D2300" s="21" t="s">
        <v>2505</v>
      </c>
      <c r="E2300" s="50" t="b">
        <v>1</v>
      </c>
      <c r="F2300" s="72" t="str">
        <f>HYPERLINK("http://nsgreg.nga.mil/genc/view?v=294048&amp;end_month=6&amp;end_day=30&amp;end_year=2019","Rucavas Novads")</f>
        <v>Rucavas Novads</v>
      </c>
      <c r="G2300" s="72" t="str">
        <f>HYPERLINK("http://api.nsgreg.nga.mil/geo-division/GENC/6/3-11/LV-081","as:GENC:6:3-11:LV-081")</f>
        <v>as:GENC:6:3-11:LV-081</v>
      </c>
    </row>
    <row r="2301" spans="1:7" x14ac:dyDescent="0.25">
      <c r="A2301" s="112"/>
      <c r="B2301" s="21" t="s">
        <v>6249</v>
      </c>
      <c r="C2301" s="21" t="s">
        <v>6250</v>
      </c>
      <c r="D2301" s="21" t="s">
        <v>2505</v>
      </c>
      <c r="E2301" s="50" t="b">
        <v>1</v>
      </c>
      <c r="F2301" s="72" t="str">
        <f>HYPERLINK("http://nsgreg.nga.mil/genc/view?v=294049&amp;end_month=6&amp;end_day=30&amp;end_year=2019","Rugāju Novads")</f>
        <v>Rugāju Novads</v>
      </c>
      <c r="G2301" s="72" t="str">
        <f>HYPERLINK("http://api.nsgreg.nga.mil/geo-division/GENC/6/3-11/LV-082","as:GENC:6:3-11:LV-082")</f>
        <v>as:GENC:6:3-11:LV-082</v>
      </c>
    </row>
    <row r="2302" spans="1:7" x14ac:dyDescent="0.25">
      <c r="A2302" s="112"/>
      <c r="B2302" s="21" t="s">
        <v>6251</v>
      </c>
      <c r="C2302" s="21" t="s">
        <v>6252</v>
      </c>
      <c r="D2302" s="21" t="s">
        <v>2505</v>
      </c>
      <c r="E2302" s="50" t="b">
        <v>1</v>
      </c>
      <c r="F2302" s="72" t="str">
        <f>HYPERLINK("http://nsgreg.nga.mil/genc/view?v=294051&amp;end_month=6&amp;end_day=30&amp;end_year=2019","Rūjienas Novads")</f>
        <v>Rūjienas Novads</v>
      </c>
      <c r="G2302" s="72" t="str">
        <f>HYPERLINK("http://api.nsgreg.nga.mil/geo-division/GENC/6/3-11/LV-084","as:GENC:6:3-11:LV-084")</f>
        <v>as:GENC:6:3-11:LV-084</v>
      </c>
    </row>
    <row r="2303" spans="1:7" x14ac:dyDescent="0.25">
      <c r="A2303" s="112"/>
      <c r="B2303" s="21" t="s">
        <v>6253</v>
      </c>
      <c r="C2303" s="21" t="s">
        <v>6254</v>
      </c>
      <c r="D2303" s="21" t="s">
        <v>2505</v>
      </c>
      <c r="E2303" s="50" t="b">
        <v>1</v>
      </c>
      <c r="F2303" s="72" t="str">
        <f>HYPERLINK("http://nsgreg.nga.mil/genc/view?v=294050&amp;end_month=6&amp;end_day=30&amp;end_year=2019","Rundāles Novads")</f>
        <v>Rundāles Novads</v>
      </c>
      <c r="G2303" s="72" t="str">
        <f>HYPERLINK("http://api.nsgreg.nga.mil/geo-division/GENC/6/3-11/LV-083","as:GENC:6:3-11:LV-083")</f>
        <v>as:GENC:6:3-11:LV-083</v>
      </c>
    </row>
    <row r="2304" spans="1:7" x14ac:dyDescent="0.25">
      <c r="A2304" s="112"/>
      <c r="B2304" s="21" t="s">
        <v>6255</v>
      </c>
      <c r="C2304" s="21" t="s">
        <v>6256</v>
      </c>
      <c r="D2304" s="21" t="s">
        <v>2505</v>
      </c>
      <c r="E2304" s="50" t="b">
        <v>1</v>
      </c>
      <c r="F2304" s="72" t="str">
        <f>HYPERLINK("http://nsgreg.nga.mil/genc/view?v=294053&amp;end_month=6&amp;end_day=30&amp;end_year=2019","Salacgrīvas Novads")</f>
        <v>Salacgrīvas Novads</v>
      </c>
      <c r="G2304" s="72" t="str">
        <f>HYPERLINK("http://api.nsgreg.nga.mil/geo-division/GENC/6/3-11/LV-086","as:GENC:6:3-11:LV-086")</f>
        <v>as:GENC:6:3-11:LV-086</v>
      </c>
    </row>
    <row r="2305" spans="1:7" x14ac:dyDescent="0.25">
      <c r="A2305" s="112"/>
      <c r="B2305" s="21" t="s">
        <v>6257</v>
      </c>
      <c r="C2305" s="21" t="s">
        <v>6258</v>
      </c>
      <c r="D2305" s="21" t="s">
        <v>2505</v>
      </c>
      <c r="E2305" s="50" t="b">
        <v>1</v>
      </c>
      <c r="F2305" s="72" t="str">
        <f>HYPERLINK("http://nsgreg.nga.mil/genc/view?v=294052&amp;end_month=6&amp;end_day=30&amp;end_year=2019","Salas Novads")</f>
        <v>Salas Novads</v>
      </c>
      <c r="G2305" s="72" t="str">
        <f>HYPERLINK("http://api.nsgreg.nga.mil/geo-division/GENC/6/3-11/LV-085","as:GENC:6:3-11:LV-085")</f>
        <v>as:GENC:6:3-11:LV-085</v>
      </c>
    </row>
    <row r="2306" spans="1:7" x14ac:dyDescent="0.25">
      <c r="A2306" s="112"/>
      <c r="B2306" s="21" t="s">
        <v>6259</v>
      </c>
      <c r="C2306" s="21" t="s">
        <v>6260</v>
      </c>
      <c r="D2306" s="21" t="s">
        <v>2505</v>
      </c>
      <c r="E2306" s="50" t="b">
        <v>1</v>
      </c>
      <c r="F2306" s="72" t="str">
        <f>HYPERLINK("http://nsgreg.nga.mil/genc/view?v=294054&amp;end_month=6&amp;end_day=30&amp;end_year=2019","Salaspils Novads")</f>
        <v>Salaspils Novads</v>
      </c>
      <c r="G2306" s="72" t="str">
        <f>HYPERLINK("http://api.nsgreg.nga.mil/geo-division/GENC/6/3-11/LV-087","as:GENC:6:3-11:LV-087")</f>
        <v>as:GENC:6:3-11:LV-087</v>
      </c>
    </row>
    <row r="2307" spans="1:7" x14ac:dyDescent="0.25">
      <c r="A2307" s="112"/>
      <c r="B2307" s="21" t="s">
        <v>6261</v>
      </c>
      <c r="C2307" s="21" t="s">
        <v>6262</v>
      </c>
      <c r="D2307" s="21" t="s">
        <v>2505</v>
      </c>
      <c r="E2307" s="50" t="b">
        <v>1</v>
      </c>
      <c r="F2307" s="72" t="str">
        <f>HYPERLINK("http://nsgreg.nga.mil/genc/view?v=294055&amp;end_month=6&amp;end_day=30&amp;end_year=2019","Saldus Novads")</f>
        <v>Saldus Novads</v>
      </c>
      <c r="G2307" s="72" t="str">
        <f>HYPERLINK("http://api.nsgreg.nga.mil/geo-division/GENC/6/3-11/LV-088","as:GENC:6:3-11:LV-088")</f>
        <v>as:GENC:6:3-11:LV-088</v>
      </c>
    </row>
    <row r="2308" spans="1:7" x14ac:dyDescent="0.25">
      <c r="A2308" s="112"/>
      <c r="B2308" s="21" t="s">
        <v>6263</v>
      </c>
      <c r="C2308" s="21" t="s">
        <v>6264</v>
      </c>
      <c r="D2308" s="21" t="s">
        <v>2505</v>
      </c>
      <c r="E2308" s="50" t="b">
        <v>1</v>
      </c>
      <c r="F2308" s="72" t="str">
        <f>HYPERLINK("http://nsgreg.nga.mil/genc/view?v=294056&amp;end_month=6&amp;end_day=30&amp;end_year=2019","Saulkrastu Novads")</f>
        <v>Saulkrastu Novads</v>
      </c>
      <c r="G2308" s="72" t="str">
        <f>HYPERLINK("http://api.nsgreg.nga.mil/geo-division/GENC/6/3-11/LV-089","as:GENC:6:3-11:LV-089")</f>
        <v>as:GENC:6:3-11:LV-089</v>
      </c>
    </row>
    <row r="2309" spans="1:7" x14ac:dyDescent="0.25">
      <c r="A2309" s="112"/>
      <c r="B2309" s="21" t="s">
        <v>6265</v>
      </c>
      <c r="C2309" s="21" t="s">
        <v>6266</v>
      </c>
      <c r="D2309" s="21" t="s">
        <v>2505</v>
      </c>
      <c r="E2309" s="50" t="b">
        <v>1</v>
      </c>
      <c r="F2309" s="72" t="str">
        <f>HYPERLINK("http://nsgreg.nga.mil/genc/view?v=294057&amp;end_month=6&amp;end_day=30&amp;end_year=2019","Sējas Novads")</f>
        <v>Sējas Novads</v>
      </c>
      <c r="G2309" s="72" t="str">
        <f>HYPERLINK("http://api.nsgreg.nga.mil/geo-division/GENC/6/3-11/LV-090","as:GENC:6:3-11:LV-090")</f>
        <v>as:GENC:6:3-11:LV-090</v>
      </c>
    </row>
    <row r="2310" spans="1:7" x14ac:dyDescent="0.25">
      <c r="A2310" s="112"/>
      <c r="B2310" s="21" t="s">
        <v>6267</v>
      </c>
      <c r="C2310" s="21" t="s">
        <v>6268</v>
      </c>
      <c r="D2310" s="21" t="s">
        <v>2505</v>
      </c>
      <c r="E2310" s="50" t="b">
        <v>1</v>
      </c>
      <c r="F2310" s="72" t="str">
        <f>HYPERLINK("http://nsgreg.nga.mil/genc/view?v=294058&amp;end_month=6&amp;end_day=30&amp;end_year=2019","Siguldas Novads")</f>
        <v>Siguldas Novads</v>
      </c>
      <c r="G2310" s="72" t="str">
        <f>HYPERLINK("http://api.nsgreg.nga.mil/geo-division/GENC/6/3-11/LV-091","as:GENC:6:3-11:LV-091")</f>
        <v>as:GENC:6:3-11:LV-091</v>
      </c>
    </row>
    <row r="2311" spans="1:7" x14ac:dyDescent="0.25">
      <c r="A2311" s="112"/>
      <c r="B2311" s="21" t="s">
        <v>6269</v>
      </c>
      <c r="C2311" s="21" t="s">
        <v>6270</v>
      </c>
      <c r="D2311" s="21" t="s">
        <v>2505</v>
      </c>
      <c r="E2311" s="50" t="b">
        <v>1</v>
      </c>
      <c r="F2311" s="72" t="str">
        <f>HYPERLINK("http://nsgreg.nga.mil/genc/view?v=294059&amp;end_month=6&amp;end_day=30&amp;end_year=2019","Skrīveru Novads")</f>
        <v>Skrīveru Novads</v>
      </c>
      <c r="G2311" s="72" t="str">
        <f>HYPERLINK("http://api.nsgreg.nga.mil/geo-division/GENC/6/3-11/LV-092","as:GENC:6:3-11:LV-092")</f>
        <v>as:GENC:6:3-11:LV-092</v>
      </c>
    </row>
    <row r="2312" spans="1:7" x14ac:dyDescent="0.25">
      <c r="A2312" s="112"/>
      <c r="B2312" s="21" t="s">
        <v>6271</v>
      </c>
      <c r="C2312" s="21" t="s">
        <v>6272</v>
      </c>
      <c r="D2312" s="21" t="s">
        <v>2505</v>
      </c>
      <c r="E2312" s="50" t="b">
        <v>1</v>
      </c>
      <c r="F2312" s="72" t="str">
        <f>HYPERLINK("http://nsgreg.nga.mil/genc/view?v=294060&amp;end_month=6&amp;end_day=30&amp;end_year=2019","Skrundas Novads")</f>
        <v>Skrundas Novads</v>
      </c>
      <c r="G2312" s="72" t="str">
        <f>HYPERLINK("http://api.nsgreg.nga.mil/geo-division/GENC/6/3-11/LV-093","as:GENC:6:3-11:LV-093")</f>
        <v>as:GENC:6:3-11:LV-093</v>
      </c>
    </row>
    <row r="2313" spans="1:7" x14ac:dyDescent="0.25">
      <c r="A2313" s="112"/>
      <c r="B2313" s="21" t="s">
        <v>6273</v>
      </c>
      <c r="C2313" s="21" t="s">
        <v>6274</v>
      </c>
      <c r="D2313" s="21" t="s">
        <v>2505</v>
      </c>
      <c r="E2313" s="50" t="b">
        <v>1</v>
      </c>
      <c r="F2313" s="72" t="str">
        <f>HYPERLINK("http://nsgreg.nga.mil/genc/view?v=294061&amp;end_month=6&amp;end_day=30&amp;end_year=2019","Smiltenes Novads")</f>
        <v>Smiltenes Novads</v>
      </c>
      <c r="G2313" s="72" t="str">
        <f>HYPERLINK("http://api.nsgreg.nga.mil/geo-division/GENC/6/3-11/LV-094","as:GENC:6:3-11:LV-094")</f>
        <v>as:GENC:6:3-11:LV-094</v>
      </c>
    </row>
    <row r="2314" spans="1:7" x14ac:dyDescent="0.25">
      <c r="A2314" s="112"/>
      <c r="B2314" s="21" t="s">
        <v>6275</v>
      </c>
      <c r="C2314" s="21" t="s">
        <v>6276</v>
      </c>
      <c r="D2314" s="21" t="s">
        <v>2505</v>
      </c>
      <c r="E2314" s="50" t="b">
        <v>1</v>
      </c>
      <c r="F2314" s="72" t="str">
        <f>HYPERLINK("http://nsgreg.nga.mil/genc/view?v=294062&amp;end_month=6&amp;end_day=30&amp;end_year=2019","Stopiņu Novads")</f>
        <v>Stopiņu Novads</v>
      </c>
      <c r="G2314" s="72" t="str">
        <f>HYPERLINK("http://api.nsgreg.nga.mil/geo-division/GENC/6/3-11/LV-095","as:GENC:6:3-11:LV-095")</f>
        <v>as:GENC:6:3-11:LV-095</v>
      </c>
    </row>
    <row r="2315" spans="1:7" x14ac:dyDescent="0.25">
      <c r="A2315" s="112"/>
      <c r="B2315" s="21" t="s">
        <v>6277</v>
      </c>
      <c r="C2315" s="21" t="s">
        <v>6278</v>
      </c>
      <c r="D2315" s="21" t="s">
        <v>2505</v>
      </c>
      <c r="E2315" s="50" t="b">
        <v>1</v>
      </c>
      <c r="F2315" s="72" t="str">
        <f>HYPERLINK("http://nsgreg.nga.mil/genc/view?v=294063&amp;end_month=6&amp;end_day=30&amp;end_year=2019","Strenču Novads")</f>
        <v>Strenču Novads</v>
      </c>
      <c r="G2315" s="72" t="str">
        <f>HYPERLINK("http://api.nsgreg.nga.mil/geo-division/GENC/6/3-11/LV-096","as:GENC:6:3-11:LV-096")</f>
        <v>as:GENC:6:3-11:LV-096</v>
      </c>
    </row>
    <row r="2316" spans="1:7" x14ac:dyDescent="0.25">
      <c r="A2316" s="112"/>
      <c r="B2316" s="21" t="s">
        <v>6279</v>
      </c>
      <c r="C2316" s="21" t="s">
        <v>6280</v>
      </c>
      <c r="D2316" s="21" t="s">
        <v>2505</v>
      </c>
      <c r="E2316" s="50" t="b">
        <v>1</v>
      </c>
      <c r="F2316" s="72" t="str">
        <f>HYPERLINK("http://nsgreg.nga.mil/genc/view?v=294064&amp;end_month=6&amp;end_day=30&amp;end_year=2019","Talsu Novads")</f>
        <v>Talsu Novads</v>
      </c>
      <c r="G2316" s="72" t="str">
        <f>HYPERLINK("http://api.nsgreg.nga.mil/geo-division/GENC/6/3-11/LV-097","as:GENC:6:3-11:LV-097")</f>
        <v>as:GENC:6:3-11:LV-097</v>
      </c>
    </row>
    <row r="2317" spans="1:7" x14ac:dyDescent="0.25">
      <c r="A2317" s="112"/>
      <c r="B2317" s="21" t="s">
        <v>6281</v>
      </c>
      <c r="C2317" s="21" t="s">
        <v>6282</v>
      </c>
      <c r="D2317" s="21" t="s">
        <v>2505</v>
      </c>
      <c r="E2317" s="50" t="b">
        <v>1</v>
      </c>
      <c r="F2317" s="72" t="str">
        <f>HYPERLINK("http://nsgreg.nga.mil/genc/view?v=294065&amp;end_month=6&amp;end_day=30&amp;end_year=2019","Tērvetes Novads")</f>
        <v>Tērvetes Novads</v>
      </c>
      <c r="G2317" s="72" t="str">
        <f>HYPERLINK("http://api.nsgreg.nga.mil/geo-division/GENC/6/3-11/LV-098","as:GENC:6:3-11:LV-098")</f>
        <v>as:GENC:6:3-11:LV-098</v>
      </c>
    </row>
    <row r="2318" spans="1:7" x14ac:dyDescent="0.25">
      <c r="A2318" s="112"/>
      <c r="B2318" s="21" t="s">
        <v>6283</v>
      </c>
      <c r="C2318" s="21" t="s">
        <v>6284</v>
      </c>
      <c r="D2318" s="21" t="s">
        <v>2505</v>
      </c>
      <c r="E2318" s="50" t="b">
        <v>1</v>
      </c>
      <c r="F2318" s="72" t="str">
        <f>HYPERLINK("http://nsgreg.nga.mil/genc/view?v=294066&amp;end_month=6&amp;end_day=30&amp;end_year=2019","Tukuma Novads")</f>
        <v>Tukuma Novads</v>
      </c>
      <c r="G2318" s="72" t="str">
        <f>HYPERLINK("http://api.nsgreg.nga.mil/geo-division/GENC/6/3-11/LV-099","as:GENC:6:3-11:LV-099")</f>
        <v>as:GENC:6:3-11:LV-099</v>
      </c>
    </row>
    <row r="2319" spans="1:7" x14ac:dyDescent="0.25">
      <c r="A2319" s="112"/>
      <c r="B2319" s="21" t="s">
        <v>6285</v>
      </c>
      <c r="C2319" s="21" t="s">
        <v>6286</v>
      </c>
      <c r="D2319" s="21" t="s">
        <v>2505</v>
      </c>
      <c r="E2319" s="50" t="b">
        <v>1</v>
      </c>
      <c r="F2319" s="72" t="str">
        <f>HYPERLINK("http://nsgreg.nga.mil/genc/view?v=294067&amp;end_month=6&amp;end_day=30&amp;end_year=2019","Vaiņodes Novads")</f>
        <v>Vaiņodes Novads</v>
      </c>
      <c r="G2319" s="72" t="str">
        <f>HYPERLINK("http://api.nsgreg.nga.mil/geo-division/GENC/6/3-11/LV-100","as:GENC:6:3-11:LV-100")</f>
        <v>as:GENC:6:3-11:LV-100</v>
      </c>
    </row>
    <row r="2320" spans="1:7" x14ac:dyDescent="0.25">
      <c r="A2320" s="112"/>
      <c r="B2320" s="21" t="s">
        <v>6287</v>
      </c>
      <c r="C2320" s="21" t="s">
        <v>6288</v>
      </c>
      <c r="D2320" s="21" t="s">
        <v>2505</v>
      </c>
      <c r="E2320" s="50" t="b">
        <v>1</v>
      </c>
      <c r="F2320" s="72" t="str">
        <f>HYPERLINK("http://nsgreg.nga.mil/genc/view?v=294068&amp;end_month=6&amp;end_day=30&amp;end_year=2019","Valkas Novads")</f>
        <v>Valkas Novads</v>
      </c>
      <c r="G2320" s="72" t="str">
        <f>HYPERLINK("http://api.nsgreg.nga.mil/geo-division/GENC/6/3-11/LV-101","as:GENC:6:3-11:LV-101")</f>
        <v>as:GENC:6:3-11:LV-101</v>
      </c>
    </row>
    <row r="2321" spans="1:7" x14ac:dyDescent="0.25">
      <c r="A2321" s="112"/>
      <c r="B2321" s="21" t="s">
        <v>6289</v>
      </c>
      <c r="C2321" s="21" t="s">
        <v>6290</v>
      </c>
      <c r="D2321" s="21" t="s">
        <v>6122</v>
      </c>
      <c r="E2321" s="50" t="b">
        <v>1</v>
      </c>
      <c r="F2321" s="72" t="str">
        <f>HYPERLINK("http://nsgreg.nga.mil/genc/view?v=294086&amp;end_month=6&amp;end_day=30&amp;end_year=2019","Valmiera")</f>
        <v>Valmiera</v>
      </c>
      <c r="G2321" s="72" t="str">
        <f>HYPERLINK("http://api.nsgreg.nga.mil/geo-division/GENC/6/3-11/LV-VMR","as:GENC:6:3-11:LV-VMR")</f>
        <v>as:GENC:6:3-11:LV-VMR</v>
      </c>
    </row>
    <row r="2322" spans="1:7" x14ac:dyDescent="0.25">
      <c r="A2322" s="112"/>
      <c r="B2322" s="21" t="s">
        <v>6291</v>
      </c>
      <c r="C2322" s="21" t="s">
        <v>6292</v>
      </c>
      <c r="D2322" s="21" t="s">
        <v>2505</v>
      </c>
      <c r="E2322" s="50" t="b">
        <v>1</v>
      </c>
      <c r="F2322" s="72" t="str">
        <f>HYPERLINK("http://nsgreg.nga.mil/genc/view?v=294069&amp;end_month=6&amp;end_day=30&amp;end_year=2019","Varakļānu Novads")</f>
        <v>Varakļānu Novads</v>
      </c>
      <c r="G2322" s="72" t="str">
        <f>HYPERLINK("http://api.nsgreg.nga.mil/geo-division/GENC/6/3-11/LV-102","as:GENC:6:3-11:LV-102")</f>
        <v>as:GENC:6:3-11:LV-102</v>
      </c>
    </row>
    <row r="2323" spans="1:7" x14ac:dyDescent="0.25">
      <c r="A2323" s="112"/>
      <c r="B2323" s="21" t="s">
        <v>6293</v>
      </c>
      <c r="C2323" s="21" t="s">
        <v>6294</v>
      </c>
      <c r="D2323" s="21" t="s">
        <v>2505</v>
      </c>
      <c r="E2323" s="50" t="b">
        <v>1</v>
      </c>
      <c r="F2323" s="72" t="str">
        <f>HYPERLINK("http://nsgreg.nga.mil/genc/view?v=294070&amp;end_month=6&amp;end_day=30&amp;end_year=2019","Vārkavas Novads")</f>
        <v>Vārkavas Novads</v>
      </c>
      <c r="G2323" s="72" t="str">
        <f>HYPERLINK("http://api.nsgreg.nga.mil/geo-division/GENC/6/3-11/LV-103","as:GENC:6:3-11:LV-103")</f>
        <v>as:GENC:6:3-11:LV-103</v>
      </c>
    </row>
    <row r="2324" spans="1:7" x14ac:dyDescent="0.25">
      <c r="A2324" s="112"/>
      <c r="B2324" s="21" t="s">
        <v>6295</v>
      </c>
      <c r="C2324" s="21" t="s">
        <v>6296</v>
      </c>
      <c r="D2324" s="21" t="s">
        <v>2505</v>
      </c>
      <c r="E2324" s="50" t="b">
        <v>1</v>
      </c>
      <c r="F2324" s="72" t="str">
        <f>HYPERLINK("http://nsgreg.nga.mil/genc/view?v=294071&amp;end_month=6&amp;end_day=30&amp;end_year=2019","Vecpiebalgas Novads")</f>
        <v>Vecpiebalgas Novads</v>
      </c>
      <c r="G2324" s="72" t="str">
        <f>HYPERLINK("http://api.nsgreg.nga.mil/geo-division/GENC/6/3-11/LV-104","as:GENC:6:3-11:LV-104")</f>
        <v>as:GENC:6:3-11:LV-104</v>
      </c>
    </row>
    <row r="2325" spans="1:7" x14ac:dyDescent="0.25">
      <c r="A2325" s="112"/>
      <c r="B2325" s="21" t="s">
        <v>6297</v>
      </c>
      <c r="C2325" s="21" t="s">
        <v>6298</v>
      </c>
      <c r="D2325" s="21" t="s">
        <v>2505</v>
      </c>
      <c r="E2325" s="50" t="b">
        <v>1</v>
      </c>
      <c r="F2325" s="72" t="str">
        <f>HYPERLINK("http://nsgreg.nga.mil/genc/view?v=294072&amp;end_month=6&amp;end_day=30&amp;end_year=2019","Vecumnieku Novads")</f>
        <v>Vecumnieku Novads</v>
      </c>
      <c r="G2325" s="72" t="str">
        <f>HYPERLINK("http://api.nsgreg.nga.mil/geo-division/GENC/6/3-11/LV-105","as:GENC:6:3-11:LV-105")</f>
        <v>as:GENC:6:3-11:LV-105</v>
      </c>
    </row>
    <row r="2326" spans="1:7" x14ac:dyDescent="0.25">
      <c r="A2326" s="112"/>
      <c r="B2326" s="21" t="s">
        <v>6299</v>
      </c>
      <c r="C2326" s="21" t="s">
        <v>6300</v>
      </c>
      <c r="D2326" s="21" t="s">
        <v>6122</v>
      </c>
      <c r="E2326" s="50" t="b">
        <v>1</v>
      </c>
      <c r="F2326" s="72" t="str">
        <f>HYPERLINK("http://nsgreg.nga.mil/genc/view?v=294085&amp;end_month=6&amp;end_day=30&amp;end_year=2019","Ventspils")</f>
        <v>Ventspils</v>
      </c>
      <c r="G2326" s="72" t="str">
        <f>HYPERLINK("http://api.nsgreg.nga.mil/geo-division/GENC/6/3-11/LV-VEN","as:GENC:6:3-11:LV-VEN")</f>
        <v>as:GENC:6:3-11:LV-VEN</v>
      </c>
    </row>
    <row r="2327" spans="1:7" x14ac:dyDescent="0.25">
      <c r="A2327" s="112"/>
      <c r="B2327" s="21" t="s">
        <v>6301</v>
      </c>
      <c r="C2327" s="21" t="s">
        <v>6302</v>
      </c>
      <c r="D2327" s="21" t="s">
        <v>2505</v>
      </c>
      <c r="E2327" s="50" t="b">
        <v>1</v>
      </c>
      <c r="F2327" s="72" t="str">
        <f>HYPERLINK("http://nsgreg.nga.mil/genc/view?v=294073&amp;end_month=6&amp;end_day=30&amp;end_year=2019","Ventspils Novads")</f>
        <v>Ventspils Novads</v>
      </c>
      <c r="G2327" s="72" t="str">
        <f>HYPERLINK("http://api.nsgreg.nga.mil/geo-division/GENC/6/3-11/LV-106","as:GENC:6:3-11:LV-106")</f>
        <v>as:GENC:6:3-11:LV-106</v>
      </c>
    </row>
    <row r="2328" spans="1:7" x14ac:dyDescent="0.25">
      <c r="A2328" s="112"/>
      <c r="B2328" s="21" t="s">
        <v>6303</v>
      </c>
      <c r="C2328" s="21" t="s">
        <v>6304</v>
      </c>
      <c r="D2328" s="21" t="s">
        <v>2505</v>
      </c>
      <c r="E2328" s="50" t="b">
        <v>1</v>
      </c>
      <c r="F2328" s="72" t="str">
        <f>HYPERLINK("http://nsgreg.nga.mil/genc/view?v=294074&amp;end_month=6&amp;end_day=30&amp;end_year=2019","Viesītes Novads")</f>
        <v>Viesītes Novads</v>
      </c>
      <c r="G2328" s="72" t="str">
        <f>HYPERLINK("http://api.nsgreg.nga.mil/geo-division/GENC/6/3-11/LV-107","as:GENC:6:3-11:LV-107")</f>
        <v>as:GENC:6:3-11:LV-107</v>
      </c>
    </row>
    <row r="2329" spans="1:7" x14ac:dyDescent="0.25">
      <c r="A2329" s="112"/>
      <c r="B2329" s="21" t="s">
        <v>6305</v>
      </c>
      <c r="C2329" s="21" t="s">
        <v>6306</v>
      </c>
      <c r="D2329" s="21" t="s">
        <v>2505</v>
      </c>
      <c r="E2329" s="50" t="b">
        <v>1</v>
      </c>
      <c r="F2329" s="72" t="str">
        <f>HYPERLINK("http://nsgreg.nga.mil/genc/view?v=294075&amp;end_month=6&amp;end_day=30&amp;end_year=2019","Viļakas Novads")</f>
        <v>Viļakas Novads</v>
      </c>
      <c r="G2329" s="72" t="str">
        <f>HYPERLINK("http://api.nsgreg.nga.mil/geo-division/GENC/6/3-11/LV-108","as:GENC:6:3-11:LV-108")</f>
        <v>as:GENC:6:3-11:LV-108</v>
      </c>
    </row>
    <row r="2330" spans="1:7" x14ac:dyDescent="0.25">
      <c r="A2330" s="112"/>
      <c r="B2330" s="21" t="s">
        <v>6307</v>
      </c>
      <c r="C2330" s="21" t="s">
        <v>6308</v>
      </c>
      <c r="D2330" s="21" t="s">
        <v>2505</v>
      </c>
      <c r="E2330" s="50" t="b">
        <v>1</v>
      </c>
      <c r="F2330" s="72" t="str">
        <f>HYPERLINK("http://nsgreg.nga.mil/genc/view?v=294076&amp;end_month=6&amp;end_day=30&amp;end_year=2019","Viļānu Novads")</f>
        <v>Viļānu Novads</v>
      </c>
      <c r="G2330" s="72" t="str">
        <f>HYPERLINK("http://api.nsgreg.nga.mil/geo-division/GENC/6/3-11/LV-109","as:GENC:6:3-11:LV-109")</f>
        <v>as:GENC:6:3-11:LV-109</v>
      </c>
    </row>
    <row r="2331" spans="1:7" x14ac:dyDescent="0.25">
      <c r="A2331" s="113"/>
      <c r="B2331" s="47" t="s">
        <v>6309</v>
      </c>
      <c r="C2331" s="47" t="s">
        <v>6310</v>
      </c>
      <c r="D2331" s="47" t="s">
        <v>2505</v>
      </c>
      <c r="E2331" s="51" t="b">
        <v>1</v>
      </c>
      <c r="F2331" s="73" t="str">
        <f>HYPERLINK("http://nsgreg.nga.mil/genc/view?v=294077&amp;end_month=6&amp;end_day=30&amp;end_year=2019","Zilupes Novads")</f>
        <v>Zilupes Novads</v>
      </c>
      <c r="G2331" s="73" t="str">
        <f>HYPERLINK("http://api.nsgreg.nga.mil/geo-division/GENC/6/3-11/LV-110","as:GENC:6:3-11:LV-110")</f>
        <v>as:GENC:6:3-11:LV-110</v>
      </c>
    </row>
    <row r="2332" spans="1:7" x14ac:dyDescent="0.25">
      <c r="A2332" s="111" t="str">
        <f>HYPERLINK("[#]Codes_for_GE_Names!A152:I152","LEBANON")</f>
        <v>LEBANON</v>
      </c>
      <c r="B2332" s="42" t="s">
        <v>6311</v>
      </c>
      <c r="C2332" s="42" t="s">
        <v>6312</v>
      </c>
      <c r="D2332" s="42" t="s">
        <v>2255</v>
      </c>
      <c r="E2332" s="49" t="b">
        <v>1</v>
      </c>
      <c r="F2332" s="74" t="str">
        <f>HYPERLINK("http://nsgreg.nga.mil/genc/view?v=293798&amp;end_month=6&amp;end_day=30&amp;end_year=2019","Aakkâr")</f>
        <v>Aakkâr</v>
      </c>
      <c r="G2332" s="74" t="str">
        <f>HYPERLINK("http://api.nsgreg.nga.mil/geo-division/GENC/6/3-11/LB-AK","as:GENC:6:3-11:LB-AK")</f>
        <v>as:GENC:6:3-11:LB-AK</v>
      </c>
    </row>
    <row r="2333" spans="1:7" x14ac:dyDescent="0.25">
      <c r="A2333" s="112"/>
      <c r="B2333" s="21" t="s">
        <v>6313</v>
      </c>
      <c r="C2333" s="21" t="s">
        <v>6314</v>
      </c>
      <c r="D2333" s="21" t="s">
        <v>2255</v>
      </c>
      <c r="E2333" s="50" t="b">
        <v>1</v>
      </c>
      <c r="F2333" s="72" t="str">
        <f>HYPERLINK("http://nsgreg.nga.mil/genc/view?v=293801&amp;end_month=6&amp;end_day=30&amp;end_year=2019","Baalbek-Hermel")</f>
        <v>Baalbek-Hermel</v>
      </c>
      <c r="G2333" s="72" t="str">
        <f>HYPERLINK("http://api.nsgreg.nga.mil/geo-division/GENC/6/3-11/LB-BH","as:GENC:6:3-11:LB-BH")</f>
        <v>as:GENC:6:3-11:LB-BH</v>
      </c>
    </row>
    <row r="2334" spans="1:7" x14ac:dyDescent="0.25">
      <c r="A2334" s="112"/>
      <c r="B2334" s="21" t="s">
        <v>6315</v>
      </c>
      <c r="C2334" s="21" t="s">
        <v>6316</v>
      </c>
      <c r="D2334" s="21" t="s">
        <v>2255</v>
      </c>
      <c r="E2334" s="50" t="b">
        <v>1</v>
      </c>
      <c r="F2334" s="72" t="str">
        <f>HYPERLINK("http://nsgreg.nga.mil/genc/view?v=293802&amp;end_month=6&amp;end_day=30&amp;end_year=2019","Béqaa")</f>
        <v>Béqaa</v>
      </c>
      <c r="G2334" s="72" t="str">
        <f>HYPERLINK("http://api.nsgreg.nga.mil/geo-division/GENC/6/3-11/LB-BI","as:GENC:6:3-11:LB-BI")</f>
        <v>as:GENC:6:3-11:LB-BI</v>
      </c>
    </row>
    <row r="2335" spans="1:7" x14ac:dyDescent="0.25">
      <c r="A2335" s="112"/>
      <c r="B2335" s="21" t="s">
        <v>6317</v>
      </c>
      <c r="C2335" s="21" t="s">
        <v>6318</v>
      </c>
      <c r="D2335" s="21" t="s">
        <v>2255</v>
      </c>
      <c r="E2335" s="50" t="b">
        <v>1</v>
      </c>
      <c r="F2335" s="72" t="str">
        <f>HYPERLINK("http://nsgreg.nga.mil/genc/view?v=293800&amp;end_month=6&amp;end_day=30&amp;end_year=2019","Beyrouth")</f>
        <v>Beyrouth</v>
      </c>
      <c r="G2335" s="72" t="str">
        <f>HYPERLINK("http://api.nsgreg.nga.mil/geo-division/GENC/6/3-11/LB-BA","as:GENC:6:3-11:LB-BA")</f>
        <v>as:GENC:6:3-11:LB-BA</v>
      </c>
    </row>
    <row r="2336" spans="1:7" x14ac:dyDescent="0.25">
      <c r="A2336" s="112"/>
      <c r="B2336" s="21" t="s">
        <v>6319</v>
      </c>
      <c r="C2336" s="21" t="s">
        <v>6320</v>
      </c>
      <c r="D2336" s="21" t="s">
        <v>2255</v>
      </c>
      <c r="E2336" s="50" t="b">
        <v>1</v>
      </c>
      <c r="F2336" s="72" t="str">
        <f>HYPERLINK("http://nsgreg.nga.mil/genc/view?v=293799&amp;end_month=6&amp;end_day=30&amp;end_year=2019","Liban-Nord")</f>
        <v>Liban-Nord</v>
      </c>
      <c r="G2336" s="72" t="str">
        <f>HYPERLINK("http://api.nsgreg.nga.mil/geo-division/GENC/6/3-11/LB-AS","as:GENC:6:3-11:LB-AS")</f>
        <v>as:GENC:6:3-11:LB-AS</v>
      </c>
    </row>
    <row r="2337" spans="1:7" x14ac:dyDescent="0.25">
      <c r="A2337" s="112"/>
      <c r="B2337" s="21" t="s">
        <v>6321</v>
      </c>
      <c r="C2337" s="21" t="s">
        <v>6322</v>
      </c>
      <c r="D2337" s="21" t="s">
        <v>2255</v>
      </c>
      <c r="E2337" s="50" t="b">
        <v>1</v>
      </c>
      <c r="F2337" s="72" t="str">
        <f>HYPERLINK("http://nsgreg.nga.mil/genc/view?v=293803&amp;end_month=6&amp;end_day=30&amp;end_year=2019","Liban-Sud")</f>
        <v>Liban-Sud</v>
      </c>
      <c r="G2337" s="72" t="str">
        <f>HYPERLINK("http://api.nsgreg.nga.mil/geo-division/GENC/6/3-11/LB-JA","as:GENC:6:3-11:LB-JA")</f>
        <v>as:GENC:6:3-11:LB-JA</v>
      </c>
    </row>
    <row r="2338" spans="1:7" x14ac:dyDescent="0.25">
      <c r="A2338" s="112"/>
      <c r="B2338" s="21" t="s">
        <v>6323</v>
      </c>
      <c r="C2338" s="21" t="s">
        <v>6324</v>
      </c>
      <c r="D2338" s="21" t="s">
        <v>2255</v>
      </c>
      <c r="E2338" s="50" t="b">
        <v>1</v>
      </c>
      <c r="F2338" s="72" t="str">
        <f>HYPERLINK("http://nsgreg.nga.mil/genc/view?v=293804&amp;end_month=6&amp;end_day=30&amp;end_year=2019","Mont-Liban")</f>
        <v>Mont-Liban</v>
      </c>
      <c r="G2338" s="72" t="str">
        <f>HYPERLINK("http://api.nsgreg.nga.mil/geo-division/GENC/6/3-11/LB-JL","as:GENC:6:3-11:LB-JL")</f>
        <v>as:GENC:6:3-11:LB-JL</v>
      </c>
    </row>
    <row r="2339" spans="1:7" x14ac:dyDescent="0.25">
      <c r="A2339" s="113"/>
      <c r="B2339" s="47" t="s">
        <v>6325</v>
      </c>
      <c r="C2339" s="47" t="s">
        <v>6326</v>
      </c>
      <c r="D2339" s="47" t="s">
        <v>2255</v>
      </c>
      <c r="E2339" s="51" t="b">
        <v>1</v>
      </c>
      <c r="F2339" s="73" t="str">
        <f>HYPERLINK("http://nsgreg.nga.mil/genc/view?v=293805&amp;end_month=6&amp;end_day=30&amp;end_year=2019","Nabatîyé")</f>
        <v>Nabatîyé</v>
      </c>
      <c r="G2339" s="73" t="str">
        <f>HYPERLINK("http://api.nsgreg.nga.mil/geo-division/GENC/6/3-11/LB-NA","as:GENC:6:3-11:LB-NA")</f>
        <v>as:GENC:6:3-11:LB-NA</v>
      </c>
    </row>
    <row r="2340" spans="1:7" x14ac:dyDescent="0.25">
      <c r="A2340" s="111" t="str">
        <f>HYPERLINK("[#]Codes_for_GE_Names!A153:I153","LESOTHO")</f>
        <v>LESOTHO</v>
      </c>
      <c r="B2340" s="42" t="s">
        <v>6327</v>
      </c>
      <c r="C2340" s="42" t="s">
        <v>6328</v>
      </c>
      <c r="D2340" s="42" t="s">
        <v>2035</v>
      </c>
      <c r="E2340" s="49" t="b">
        <v>1</v>
      </c>
      <c r="F2340" s="74" t="str">
        <f>HYPERLINK("http://nsgreg.nga.mil/genc/view?v=293879&amp;end_month=6&amp;end_day=30&amp;end_year=2019","Berea")</f>
        <v>Berea</v>
      </c>
      <c r="G2340" s="74" t="str">
        <f>HYPERLINK("http://api.nsgreg.nga.mil/geo-division/GENC/6/3-11/LS-D","as:GENC:6:3-11:LS-D")</f>
        <v>as:GENC:6:3-11:LS-D</v>
      </c>
    </row>
    <row r="2341" spans="1:7" x14ac:dyDescent="0.25">
      <c r="A2341" s="112"/>
      <c r="B2341" s="21" t="s">
        <v>6329</v>
      </c>
      <c r="C2341" s="21" t="s">
        <v>6330</v>
      </c>
      <c r="D2341" s="21" t="s">
        <v>2035</v>
      </c>
      <c r="E2341" s="50" t="b">
        <v>1</v>
      </c>
      <c r="F2341" s="72" t="str">
        <f>HYPERLINK("http://nsgreg.nga.mil/genc/view?v=293877&amp;end_month=6&amp;end_day=30&amp;end_year=2019","Butha-Buthe")</f>
        <v>Butha-Buthe</v>
      </c>
      <c r="G2341" s="72" t="str">
        <f>HYPERLINK("http://api.nsgreg.nga.mil/geo-division/GENC/6/3-11/LS-B","as:GENC:6:3-11:LS-B")</f>
        <v>as:GENC:6:3-11:LS-B</v>
      </c>
    </row>
    <row r="2342" spans="1:7" x14ac:dyDescent="0.25">
      <c r="A2342" s="112"/>
      <c r="B2342" s="21" t="s">
        <v>6331</v>
      </c>
      <c r="C2342" s="21" t="s">
        <v>6332</v>
      </c>
      <c r="D2342" s="21" t="s">
        <v>2035</v>
      </c>
      <c r="E2342" s="50" t="b">
        <v>1</v>
      </c>
      <c r="F2342" s="72" t="str">
        <f>HYPERLINK("http://nsgreg.nga.mil/genc/view?v=293878&amp;end_month=6&amp;end_day=30&amp;end_year=2019","Leribe")</f>
        <v>Leribe</v>
      </c>
      <c r="G2342" s="72" t="str">
        <f>HYPERLINK("http://api.nsgreg.nga.mil/geo-division/GENC/6/3-11/LS-C","as:GENC:6:3-11:LS-C")</f>
        <v>as:GENC:6:3-11:LS-C</v>
      </c>
    </row>
    <row r="2343" spans="1:7" x14ac:dyDescent="0.25">
      <c r="A2343" s="112"/>
      <c r="B2343" s="21" t="s">
        <v>6333</v>
      </c>
      <c r="C2343" s="21" t="s">
        <v>6334</v>
      </c>
      <c r="D2343" s="21" t="s">
        <v>2035</v>
      </c>
      <c r="E2343" s="50" t="b">
        <v>1</v>
      </c>
      <c r="F2343" s="72" t="str">
        <f>HYPERLINK("http://nsgreg.nga.mil/genc/view?v=293880&amp;end_month=6&amp;end_day=30&amp;end_year=2019","Mafeteng")</f>
        <v>Mafeteng</v>
      </c>
      <c r="G2343" s="72" t="str">
        <f>HYPERLINK("http://api.nsgreg.nga.mil/geo-division/GENC/6/3-11/LS-E","as:GENC:6:3-11:LS-E")</f>
        <v>as:GENC:6:3-11:LS-E</v>
      </c>
    </row>
    <row r="2344" spans="1:7" x14ac:dyDescent="0.25">
      <c r="A2344" s="112"/>
      <c r="B2344" s="21" t="s">
        <v>6335</v>
      </c>
      <c r="C2344" s="21" t="s">
        <v>6336</v>
      </c>
      <c r="D2344" s="21" t="s">
        <v>2035</v>
      </c>
      <c r="E2344" s="50" t="b">
        <v>1</v>
      </c>
      <c r="F2344" s="72" t="str">
        <f>HYPERLINK("http://nsgreg.nga.mil/genc/view?v=293876&amp;end_month=6&amp;end_day=30&amp;end_year=2019","Maseru")</f>
        <v>Maseru</v>
      </c>
      <c r="G2344" s="72" t="str">
        <f>HYPERLINK("http://api.nsgreg.nga.mil/geo-division/GENC/6/3-11/LS-A","as:GENC:6:3-11:LS-A")</f>
        <v>as:GENC:6:3-11:LS-A</v>
      </c>
    </row>
    <row r="2345" spans="1:7" x14ac:dyDescent="0.25">
      <c r="A2345" s="112"/>
      <c r="B2345" s="21" t="s">
        <v>6337</v>
      </c>
      <c r="C2345" s="21" t="s">
        <v>6338</v>
      </c>
      <c r="D2345" s="21" t="s">
        <v>2035</v>
      </c>
      <c r="E2345" s="50" t="b">
        <v>1</v>
      </c>
      <c r="F2345" s="72" t="str">
        <f>HYPERLINK("http://nsgreg.nga.mil/genc/view?v=293881&amp;end_month=6&amp;end_day=30&amp;end_year=2019","Mohale’s Hoek")</f>
        <v>Mohale’s Hoek</v>
      </c>
      <c r="G2345" s="72" t="str">
        <f>HYPERLINK("http://api.nsgreg.nga.mil/geo-division/GENC/6/3-11/LS-F","as:GENC:6:3-11:LS-F")</f>
        <v>as:GENC:6:3-11:LS-F</v>
      </c>
    </row>
    <row r="2346" spans="1:7" x14ac:dyDescent="0.25">
      <c r="A2346" s="112"/>
      <c r="B2346" s="21" t="s">
        <v>6339</v>
      </c>
      <c r="C2346" s="21" t="s">
        <v>6340</v>
      </c>
      <c r="D2346" s="21" t="s">
        <v>2035</v>
      </c>
      <c r="E2346" s="50" t="b">
        <v>1</v>
      </c>
      <c r="F2346" s="72" t="str">
        <f>HYPERLINK("http://nsgreg.nga.mil/genc/view?v=293884&amp;end_month=6&amp;end_day=30&amp;end_year=2019","Mokhotlong")</f>
        <v>Mokhotlong</v>
      </c>
      <c r="G2346" s="72" t="str">
        <f>HYPERLINK("http://api.nsgreg.nga.mil/geo-division/GENC/6/3-11/LS-J","as:GENC:6:3-11:LS-J")</f>
        <v>as:GENC:6:3-11:LS-J</v>
      </c>
    </row>
    <row r="2347" spans="1:7" x14ac:dyDescent="0.25">
      <c r="A2347" s="112"/>
      <c r="B2347" s="21" t="s">
        <v>6341</v>
      </c>
      <c r="C2347" s="21" t="s">
        <v>6342</v>
      </c>
      <c r="D2347" s="21" t="s">
        <v>2035</v>
      </c>
      <c r="E2347" s="50" t="b">
        <v>1</v>
      </c>
      <c r="F2347" s="72" t="str">
        <f>HYPERLINK("http://nsgreg.nga.mil/genc/view?v=293883&amp;end_month=6&amp;end_day=30&amp;end_year=2019","Qacha’s Nek")</f>
        <v>Qacha’s Nek</v>
      </c>
      <c r="G2347" s="72" t="str">
        <f>HYPERLINK("http://api.nsgreg.nga.mil/geo-division/GENC/6/3-11/LS-H","as:GENC:6:3-11:LS-H")</f>
        <v>as:GENC:6:3-11:LS-H</v>
      </c>
    </row>
    <row r="2348" spans="1:7" x14ac:dyDescent="0.25">
      <c r="A2348" s="112"/>
      <c r="B2348" s="21" t="s">
        <v>6343</v>
      </c>
      <c r="C2348" s="21" t="s">
        <v>6344</v>
      </c>
      <c r="D2348" s="21" t="s">
        <v>2035</v>
      </c>
      <c r="E2348" s="50" t="b">
        <v>1</v>
      </c>
      <c r="F2348" s="72" t="str">
        <f>HYPERLINK("http://nsgreg.nga.mil/genc/view?v=293882&amp;end_month=6&amp;end_day=30&amp;end_year=2019","Quthing")</f>
        <v>Quthing</v>
      </c>
      <c r="G2348" s="72" t="str">
        <f>HYPERLINK("http://api.nsgreg.nga.mil/geo-division/GENC/6/3-11/LS-G","as:GENC:6:3-11:LS-G")</f>
        <v>as:GENC:6:3-11:LS-G</v>
      </c>
    </row>
    <row r="2349" spans="1:7" x14ac:dyDescent="0.25">
      <c r="A2349" s="113"/>
      <c r="B2349" s="47" t="s">
        <v>6345</v>
      </c>
      <c r="C2349" s="47" t="s">
        <v>6346</v>
      </c>
      <c r="D2349" s="47" t="s">
        <v>2035</v>
      </c>
      <c r="E2349" s="51" t="b">
        <v>1</v>
      </c>
      <c r="F2349" s="73" t="str">
        <f>HYPERLINK("http://nsgreg.nga.mil/genc/view?v=293885&amp;end_month=6&amp;end_day=30&amp;end_year=2019","Thaba-Tseka")</f>
        <v>Thaba-Tseka</v>
      </c>
      <c r="G2349" s="73" t="str">
        <f>HYPERLINK("http://api.nsgreg.nga.mil/geo-division/GENC/6/3-11/LS-K","as:GENC:6:3-11:LS-K")</f>
        <v>as:GENC:6:3-11:LS-K</v>
      </c>
    </row>
    <row r="2350" spans="1:7" x14ac:dyDescent="0.25">
      <c r="A2350" s="111" t="str">
        <f>HYPERLINK("[#]Codes_for_GE_Names!A154:I154","LIBERIA")</f>
        <v>LIBERIA</v>
      </c>
      <c r="B2350" s="42" t="s">
        <v>6347</v>
      </c>
      <c r="C2350" s="42" t="s">
        <v>6348</v>
      </c>
      <c r="D2350" s="42" t="s">
        <v>1737</v>
      </c>
      <c r="E2350" s="49" t="b">
        <v>1</v>
      </c>
      <c r="F2350" s="74" t="str">
        <f>HYPERLINK("http://nsgreg.nga.mil/genc/view?v=293862&amp;end_month=6&amp;end_day=30&amp;end_year=2019","Bomi")</f>
        <v>Bomi</v>
      </c>
      <c r="G2350" s="74" t="str">
        <f>HYPERLINK("http://api.nsgreg.nga.mil/geo-division/GENC/6/3-11/LR-BM","as:GENC:6:3-11:LR-BM")</f>
        <v>as:GENC:6:3-11:LR-BM</v>
      </c>
    </row>
    <row r="2351" spans="1:7" x14ac:dyDescent="0.25">
      <c r="A2351" s="112"/>
      <c r="B2351" s="21" t="s">
        <v>6349</v>
      </c>
      <c r="C2351" s="21" t="s">
        <v>6350</v>
      </c>
      <c r="D2351" s="21" t="s">
        <v>1737</v>
      </c>
      <c r="E2351" s="50" t="b">
        <v>1</v>
      </c>
      <c r="F2351" s="72" t="str">
        <f>HYPERLINK("http://nsgreg.nga.mil/genc/view?v=293861&amp;end_month=6&amp;end_day=30&amp;end_year=2019","Bong")</f>
        <v>Bong</v>
      </c>
      <c r="G2351" s="72" t="str">
        <f>HYPERLINK("http://api.nsgreg.nga.mil/geo-division/GENC/6/3-11/LR-BG","as:GENC:6:3-11:LR-BG")</f>
        <v>as:GENC:6:3-11:LR-BG</v>
      </c>
    </row>
    <row r="2352" spans="1:7" x14ac:dyDescent="0.25">
      <c r="A2352" s="112"/>
      <c r="B2352" s="21" t="s">
        <v>6351</v>
      </c>
      <c r="C2352" s="21" t="s">
        <v>6352</v>
      </c>
      <c r="D2352" s="21" t="s">
        <v>1737</v>
      </c>
      <c r="E2352" s="50" t="b">
        <v>1</v>
      </c>
      <c r="F2352" s="72" t="str">
        <f>HYPERLINK("http://nsgreg.nga.mil/genc/view?v=293867&amp;end_month=6&amp;end_day=30&amp;end_year=2019","Gbarpolu")</f>
        <v>Gbarpolu</v>
      </c>
      <c r="G2352" s="72" t="str">
        <f>HYPERLINK("http://api.nsgreg.nga.mil/geo-division/GENC/6/3-11/LR-GP","as:GENC:6:3-11:LR-GP")</f>
        <v>as:GENC:6:3-11:LR-GP</v>
      </c>
    </row>
    <row r="2353" spans="1:7" x14ac:dyDescent="0.25">
      <c r="A2353" s="112"/>
      <c r="B2353" s="21" t="s">
        <v>6353</v>
      </c>
      <c r="C2353" s="21" t="s">
        <v>6354</v>
      </c>
      <c r="D2353" s="21" t="s">
        <v>1737</v>
      </c>
      <c r="E2353" s="50" t="b">
        <v>1</v>
      </c>
      <c r="F2353" s="72" t="str">
        <f>HYPERLINK("http://nsgreg.nga.mil/genc/view?v=293864&amp;end_month=6&amp;end_day=30&amp;end_year=2019","Grand Bassa")</f>
        <v>Grand Bassa</v>
      </c>
      <c r="G2353" s="72" t="str">
        <f>HYPERLINK("http://api.nsgreg.nga.mil/geo-division/GENC/6/3-11/LR-GB","as:GENC:6:3-11:LR-GB")</f>
        <v>as:GENC:6:3-11:LR-GB</v>
      </c>
    </row>
    <row r="2354" spans="1:7" x14ac:dyDescent="0.25">
      <c r="A2354" s="112"/>
      <c r="B2354" s="21" t="s">
        <v>6355</v>
      </c>
      <c r="C2354" s="21" t="s">
        <v>6356</v>
      </c>
      <c r="D2354" s="21" t="s">
        <v>1737</v>
      </c>
      <c r="E2354" s="50" t="b">
        <v>1</v>
      </c>
      <c r="F2354" s="72" t="str">
        <f>HYPERLINK("http://nsgreg.nga.mil/genc/view?v=293863&amp;end_month=6&amp;end_day=30&amp;end_year=2019","Grand Cape Mount")</f>
        <v>Grand Cape Mount</v>
      </c>
      <c r="G2354" s="72" t="str">
        <f>HYPERLINK("http://api.nsgreg.nga.mil/geo-division/GENC/6/3-11/LR-CM","as:GENC:6:3-11:LR-CM")</f>
        <v>as:GENC:6:3-11:LR-CM</v>
      </c>
    </row>
    <row r="2355" spans="1:7" x14ac:dyDescent="0.25">
      <c r="A2355" s="112"/>
      <c r="B2355" s="21" t="s">
        <v>6357</v>
      </c>
      <c r="C2355" s="21" t="s">
        <v>6358</v>
      </c>
      <c r="D2355" s="21" t="s">
        <v>1737</v>
      </c>
      <c r="E2355" s="50" t="b">
        <v>1</v>
      </c>
      <c r="F2355" s="72" t="str">
        <f>HYPERLINK("http://nsgreg.nga.mil/genc/view?v=293865&amp;end_month=6&amp;end_day=30&amp;end_year=2019","Grand Gedeh")</f>
        <v>Grand Gedeh</v>
      </c>
      <c r="G2355" s="72" t="str">
        <f>HYPERLINK("http://api.nsgreg.nga.mil/geo-division/GENC/6/3-11/LR-GG","as:GENC:6:3-11:LR-GG")</f>
        <v>as:GENC:6:3-11:LR-GG</v>
      </c>
    </row>
    <row r="2356" spans="1:7" x14ac:dyDescent="0.25">
      <c r="A2356" s="112"/>
      <c r="B2356" s="21" t="s">
        <v>6359</v>
      </c>
      <c r="C2356" s="21" t="s">
        <v>6360</v>
      </c>
      <c r="D2356" s="21" t="s">
        <v>1737</v>
      </c>
      <c r="E2356" s="50" t="b">
        <v>1</v>
      </c>
      <c r="F2356" s="72" t="str">
        <f>HYPERLINK("http://nsgreg.nga.mil/genc/view?v=293866&amp;end_month=6&amp;end_day=30&amp;end_year=2019","Grand Kru")</f>
        <v>Grand Kru</v>
      </c>
      <c r="G2356" s="72" t="str">
        <f>HYPERLINK("http://api.nsgreg.nga.mil/geo-division/GENC/6/3-11/LR-GK","as:GENC:6:3-11:LR-GK")</f>
        <v>as:GENC:6:3-11:LR-GK</v>
      </c>
    </row>
    <row r="2357" spans="1:7" x14ac:dyDescent="0.25">
      <c r="A2357" s="112"/>
      <c r="B2357" s="21" t="s">
        <v>6361</v>
      </c>
      <c r="C2357" s="21" t="s">
        <v>6362</v>
      </c>
      <c r="D2357" s="21" t="s">
        <v>1737</v>
      </c>
      <c r="E2357" s="50" t="b">
        <v>1</v>
      </c>
      <c r="F2357" s="72" t="str">
        <f>HYPERLINK("http://nsgreg.nga.mil/genc/view?v=293868&amp;end_month=6&amp;end_day=30&amp;end_year=2019","Lofa")</f>
        <v>Lofa</v>
      </c>
      <c r="G2357" s="72" t="str">
        <f>HYPERLINK("http://api.nsgreg.nga.mil/geo-division/GENC/6/3-11/LR-LO","as:GENC:6:3-11:LR-LO")</f>
        <v>as:GENC:6:3-11:LR-LO</v>
      </c>
    </row>
    <row r="2358" spans="1:7" x14ac:dyDescent="0.25">
      <c r="A2358" s="112"/>
      <c r="B2358" s="21" t="s">
        <v>6363</v>
      </c>
      <c r="C2358" s="21" t="s">
        <v>6364</v>
      </c>
      <c r="D2358" s="21" t="s">
        <v>1737</v>
      </c>
      <c r="E2358" s="50" t="b">
        <v>1</v>
      </c>
      <c r="F2358" s="72" t="str">
        <f>HYPERLINK("http://nsgreg.nga.mil/genc/view?v=293869&amp;end_month=6&amp;end_day=30&amp;end_year=2019","Margibi")</f>
        <v>Margibi</v>
      </c>
      <c r="G2358" s="72" t="str">
        <f>HYPERLINK("http://api.nsgreg.nga.mil/geo-division/GENC/6/3-11/LR-MG","as:GENC:6:3-11:LR-MG")</f>
        <v>as:GENC:6:3-11:LR-MG</v>
      </c>
    </row>
    <row r="2359" spans="1:7" x14ac:dyDescent="0.25">
      <c r="A2359" s="112"/>
      <c r="B2359" s="21" t="s">
        <v>6365</v>
      </c>
      <c r="C2359" s="21" t="s">
        <v>6366</v>
      </c>
      <c r="D2359" s="21" t="s">
        <v>1737</v>
      </c>
      <c r="E2359" s="50" t="b">
        <v>1</v>
      </c>
      <c r="F2359" s="72" t="str">
        <f>HYPERLINK("http://nsgreg.nga.mil/genc/view?v=293871&amp;end_month=6&amp;end_day=30&amp;end_year=2019","Maryland")</f>
        <v>Maryland</v>
      </c>
      <c r="G2359" s="72" t="str">
        <f>HYPERLINK("http://api.nsgreg.nga.mil/geo-division/GENC/6/3-11/LR-MY","as:GENC:6:3-11:LR-MY")</f>
        <v>as:GENC:6:3-11:LR-MY</v>
      </c>
    </row>
    <row r="2360" spans="1:7" x14ac:dyDescent="0.25">
      <c r="A2360" s="112"/>
      <c r="B2360" s="21" t="s">
        <v>6367</v>
      </c>
      <c r="C2360" s="21" t="s">
        <v>6368</v>
      </c>
      <c r="D2360" s="21" t="s">
        <v>1737</v>
      </c>
      <c r="E2360" s="50" t="b">
        <v>1</v>
      </c>
      <c r="F2360" s="72" t="str">
        <f>HYPERLINK("http://nsgreg.nga.mil/genc/view?v=293870&amp;end_month=6&amp;end_day=30&amp;end_year=2019","Montserrado")</f>
        <v>Montserrado</v>
      </c>
      <c r="G2360" s="72" t="str">
        <f>HYPERLINK("http://api.nsgreg.nga.mil/geo-division/GENC/6/3-11/LR-MO","as:GENC:6:3-11:LR-MO")</f>
        <v>as:GENC:6:3-11:LR-MO</v>
      </c>
    </row>
    <row r="2361" spans="1:7" x14ac:dyDescent="0.25">
      <c r="A2361" s="112"/>
      <c r="B2361" s="21" t="s">
        <v>6369</v>
      </c>
      <c r="C2361" s="21" t="s">
        <v>6370</v>
      </c>
      <c r="D2361" s="21" t="s">
        <v>1737</v>
      </c>
      <c r="E2361" s="50" t="b">
        <v>1</v>
      </c>
      <c r="F2361" s="72" t="str">
        <f>HYPERLINK("http://nsgreg.nga.mil/genc/view?v=293872&amp;end_month=6&amp;end_day=30&amp;end_year=2019","Nimba")</f>
        <v>Nimba</v>
      </c>
      <c r="G2361" s="72" t="str">
        <f>HYPERLINK("http://api.nsgreg.nga.mil/geo-division/GENC/6/3-11/LR-NI","as:GENC:6:3-11:LR-NI")</f>
        <v>as:GENC:6:3-11:LR-NI</v>
      </c>
    </row>
    <row r="2362" spans="1:7" x14ac:dyDescent="0.25">
      <c r="A2362" s="112"/>
      <c r="B2362" s="21" t="s">
        <v>6371</v>
      </c>
      <c r="C2362" s="21" t="s">
        <v>6372</v>
      </c>
      <c r="D2362" s="21" t="s">
        <v>1737</v>
      </c>
      <c r="E2362" s="50" t="b">
        <v>1</v>
      </c>
      <c r="F2362" s="72" t="str">
        <f>HYPERLINK("http://nsgreg.nga.mil/genc/view?v=293874&amp;end_month=6&amp;end_day=30&amp;end_year=2019","River Cess")</f>
        <v>River Cess</v>
      </c>
      <c r="G2362" s="72" t="str">
        <f>HYPERLINK("http://api.nsgreg.nga.mil/geo-division/GENC/6/3-11/LR-RI","as:GENC:6:3-11:LR-RI")</f>
        <v>as:GENC:6:3-11:LR-RI</v>
      </c>
    </row>
    <row r="2363" spans="1:7" x14ac:dyDescent="0.25">
      <c r="A2363" s="112"/>
      <c r="B2363" s="21" t="s">
        <v>6373</v>
      </c>
      <c r="C2363" s="21" t="s">
        <v>6374</v>
      </c>
      <c r="D2363" s="21" t="s">
        <v>1737</v>
      </c>
      <c r="E2363" s="50" t="b">
        <v>1</v>
      </c>
      <c r="F2363" s="72" t="str">
        <f>HYPERLINK("http://nsgreg.nga.mil/genc/view?v=293873&amp;end_month=6&amp;end_day=30&amp;end_year=2019","River Gee")</f>
        <v>River Gee</v>
      </c>
      <c r="G2363" s="72" t="str">
        <f>HYPERLINK("http://api.nsgreg.nga.mil/geo-division/GENC/6/3-11/LR-RG","as:GENC:6:3-11:LR-RG")</f>
        <v>as:GENC:6:3-11:LR-RG</v>
      </c>
    </row>
    <row r="2364" spans="1:7" x14ac:dyDescent="0.25">
      <c r="A2364" s="113"/>
      <c r="B2364" s="47" t="s">
        <v>6375</v>
      </c>
      <c r="C2364" s="47" t="s">
        <v>6376</v>
      </c>
      <c r="D2364" s="47" t="s">
        <v>1737</v>
      </c>
      <c r="E2364" s="51" t="b">
        <v>1</v>
      </c>
      <c r="F2364" s="73" t="str">
        <f>HYPERLINK("http://nsgreg.nga.mil/genc/view?v=293875&amp;end_month=6&amp;end_day=30&amp;end_year=2019","Sinoe")</f>
        <v>Sinoe</v>
      </c>
      <c r="G2364" s="73" t="str">
        <f>HYPERLINK("http://api.nsgreg.nga.mil/geo-division/GENC/6/3-11/LR-SI","as:GENC:6:3-11:LR-SI")</f>
        <v>as:GENC:6:3-11:LR-SI</v>
      </c>
    </row>
    <row r="2365" spans="1:7" x14ac:dyDescent="0.25">
      <c r="A2365" s="111" t="str">
        <f>HYPERLINK("[#]Codes_for_GE_Names!A155:I155","LIBYA")</f>
        <v>LIBYA</v>
      </c>
      <c r="B2365" s="42" t="s">
        <v>6377</v>
      </c>
      <c r="C2365" s="42" t="s">
        <v>6378</v>
      </c>
      <c r="D2365" s="42" t="s">
        <v>2255</v>
      </c>
      <c r="E2365" s="49" t="b">
        <v>1</v>
      </c>
      <c r="F2365" s="74" t="str">
        <f>HYPERLINK("http://nsgreg.nga.mil/genc/view?v=294088&amp;end_month=6&amp;end_day=30&amp;end_year=2019","Al Buţnān")</f>
        <v>Al Buţnān</v>
      </c>
      <c r="G2365" s="74" t="str">
        <f>HYPERLINK("http://api.nsgreg.nga.mil/geo-division/GENC/6/3-11/LY-BU","as:GENC:6:3-11:LY-BU")</f>
        <v>as:GENC:6:3-11:LY-BU</v>
      </c>
    </row>
    <row r="2366" spans="1:7" x14ac:dyDescent="0.25">
      <c r="A2366" s="112"/>
      <c r="B2366" s="21" t="s">
        <v>6379</v>
      </c>
      <c r="C2366" s="21" t="s">
        <v>6380</v>
      </c>
      <c r="D2366" s="21" t="s">
        <v>2255</v>
      </c>
      <c r="E2366" s="50" t="b">
        <v>1</v>
      </c>
      <c r="F2366" s="72" t="str">
        <f>HYPERLINK("http://nsgreg.nga.mil/genc/view?v=294091&amp;end_month=6&amp;end_day=30&amp;end_year=2019","Al Jabal al Akhḑar")</f>
        <v>Al Jabal al Akhḑar</v>
      </c>
      <c r="G2366" s="72" t="str">
        <f>HYPERLINK("http://api.nsgreg.nga.mil/geo-division/GENC/6/3-11/LY-JA","as:GENC:6:3-11:LY-JA")</f>
        <v>as:GENC:6:3-11:LY-JA</v>
      </c>
    </row>
    <row r="2367" spans="1:7" x14ac:dyDescent="0.25">
      <c r="A2367" s="112"/>
      <c r="B2367" s="21" t="s">
        <v>6381</v>
      </c>
      <c r="C2367" s="21" t="s">
        <v>6382</v>
      </c>
      <c r="D2367" s="21" t="s">
        <v>2255</v>
      </c>
      <c r="E2367" s="50" t="b">
        <v>1</v>
      </c>
      <c r="F2367" s="72" t="str">
        <f>HYPERLINK("http://nsgreg.nga.mil/genc/view?v=294092&amp;end_month=6&amp;end_day=30&amp;end_year=2019","Al Jabal al Gharbī")</f>
        <v>Al Jabal al Gharbī</v>
      </c>
      <c r="G2367" s="72" t="str">
        <f>HYPERLINK("http://api.nsgreg.nga.mil/geo-division/GENC/6/3-11/LY-JG","as:GENC:6:3-11:LY-JG")</f>
        <v>as:GENC:6:3-11:LY-JG</v>
      </c>
    </row>
    <row r="2368" spans="1:7" x14ac:dyDescent="0.25">
      <c r="A2368" s="112"/>
      <c r="B2368" s="21" t="s">
        <v>6383</v>
      </c>
      <c r="C2368" s="21" t="s">
        <v>6384</v>
      </c>
      <c r="D2368" s="21" t="s">
        <v>2255</v>
      </c>
      <c r="E2368" s="50" t="b">
        <v>1</v>
      </c>
      <c r="F2368" s="72" t="str">
        <f>HYPERLINK("http://nsgreg.nga.mil/genc/view?v=294093&amp;end_month=6&amp;end_day=30&amp;end_year=2019","Al Jafārah")</f>
        <v>Al Jafārah</v>
      </c>
      <c r="G2368" s="72" t="str">
        <f>HYPERLINK("http://api.nsgreg.nga.mil/geo-division/GENC/6/3-11/LY-JI","as:GENC:6:3-11:LY-JI")</f>
        <v>as:GENC:6:3-11:LY-JI</v>
      </c>
    </row>
    <row r="2369" spans="1:7" x14ac:dyDescent="0.25">
      <c r="A2369" s="112"/>
      <c r="B2369" s="21" t="s">
        <v>6385</v>
      </c>
      <c r="C2369" s="21" t="s">
        <v>6386</v>
      </c>
      <c r="D2369" s="21" t="s">
        <v>2255</v>
      </c>
      <c r="E2369" s="50" t="b">
        <v>1</v>
      </c>
      <c r="F2369" s="72" t="str">
        <f>HYPERLINK("http://nsgreg.nga.mil/genc/view?v=294094&amp;end_month=6&amp;end_day=30&amp;end_year=2019","Al Jufrah")</f>
        <v>Al Jufrah</v>
      </c>
      <c r="G2369" s="72" t="str">
        <f>HYPERLINK("http://api.nsgreg.nga.mil/geo-division/GENC/6/3-11/LY-JU","as:GENC:6:3-11:LY-JU")</f>
        <v>as:GENC:6:3-11:LY-JU</v>
      </c>
    </row>
    <row r="2370" spans="1:7" x14ac:dyDescent="0.25">
      <c r="A2370" s="112"/>
      <c r="B2370" s="21" t="s">
        <v>6387</v>
      </c>
      <c r="C2370" s="21" t="s">
        <v>6388</v>
      </c>
      <c r="D2370" s="21" t="s">
        <v>2255</v>
      </c>
      <c r="E2370" s="50" t="b">
        <v>1</v>
      </c>
      <c r="F2370" s="72" t="str">
        <f>HYPERLINK("http://nsgreg.nga.mil/genc/view?v=294095&amp;end_month=6&amp;end_day=30&amp;end_year=2019","Al Kufrah")</f>
        <v>Al Kufrah</v>
      </c>
      <c r="G2370" s="72" t="str">
        <f>HYPERLINK("http://api.nsgreg.nga.mil/geo-division/GENC/6/3-11/LY-KF","as:GENC:6:3-11:LY-KF")</f>
        <v>as:GENC:6:3-11:LY-KF</v>
      </c>
    </row>
    <row r="2371" spans="1:7" x14ac:dyDescent="0.25">
      <c r="A2371" s="112"/>
      <c r="B2371" s="21" t="s">
        <v>6389</v>
      </c>
      <c r="C2371" s="21" t="s">
        <v>6390</v>
      </c>
      <c r="D2371" s="21" t="s">
        <v>2255</v>
      </c>
      <c r="E2371" s="50" t="b">
        <v>1</v>
      </c>
      <c r="F2371" s="72" t="str">
        <f>HYPERLINK("http://nsgreg.nga.mil/genc/view?v=294098&amp;end_month=6&amp;end_day=30&amp;end_year=2019","Al Marj")</f>
        <v>Al Marj</v>
      </c>
      <c r="G2371" s="72" t="str">
        <f>HYPERLINK("http://api.nsgreg.nga.mil/geo-division/GENC/6/3-11/LY-MJ","as:GENC:6:3-11:LY-MJ")</f>
        <v>as:GENC:6:3-11:LY-MJ</v>
      </c>
    </row>
    <row r="2372" spans="1:7" x14ac:dyDescent="0.25">
      <c r="A2372" s="112"/>
      <c r="B2372" s="21" t="s">
        <v>6391</v>
      </c>
      <c r="C2372" s="21" t="s">
        <v>6392</v>
      </c>
      <c r="D2372" s="21" t="s">
        <v>2255</v>
      </c>
      <c r="E2372" s="50" t="b">
        <v>1</v>
      </c>
      <c r="F2372" s="72" t="str">
        <f>HYPERLINK("http://nsgreg.nga.mil/genc/view?v=294096&amp;end_month=6&amp;end_day=30&amp;end_year=2019","Al Marqab")</f>
        <v>Al Marqab</v>
      </c>
      <c r="G2372" s="72" t="str">
        <f>HYPERLINK("http://api.nsgreg.nga.mil/geo-division/GENC/6/3-11/LY-MB","as:GENC:6:3-11:LY-MB")</f>
        <v>as:GENC:6:3-11:LY-MB</v>
      </c>
    </row>
    <row r="2373" spans="1:7" x14ac:dyDescent="0.25">
      <c r="A2373" s="112"/>
      <c r="B2373" s="21" t="s">
        <v>6393</v>
      </c>
      <c r="C2373" s="21" t="s">
        <v>6394</v>
      </c>
      <c r="D2373" s="21" t="s">
        <v>2255</v>
      </c>
      <c r="E2373" s="50" t="b">
        <v>1</v>
      </c>
      <c r="F2373" s="72" t="str">
        <f>HYPERLINK("http://nsgreg.nga.mil/genc/view?v=294105&amp;end_month=6&amp;end_day=30&amp;end_year=2019","Al Wāḩāt")</f>
        <v>Al Wāḩāt</v>
      </c>
      <c r="G2373" s="72" t="str">
        <f>HYPERLINK("http://api.nsgreg.nga.mil/geo-division/GENC/6/3-11/LY-WA","as:GENC:6:3-11:LY-WA")</f>
        <v>as:GENC:6:3-11:LY-WA</v>
      </c>
    </row>
    <row r="2374" spans="1:7" x14ac:dyDescent="0.25">
      <c r="A2374" s="112"/>
      <c r="B2374" s="21" t="s">
        <v>6395</v>
      </c>
      <c r="C2374" s="21" t="s">
        <v>6396</v>
      </c>
      <c r="D2374" s="21" t="s">
        <v>2255</v>
      </c>
      <c r="E2374" s="50" t="b">
        <v>1</v>
      </c>
      <c r="F2374" s="72" t="str">
        <f>HYPERLINK("http://nsgreg.nga.mil/genc/view?v=294101&amp;end_month=6&amp;end_day=30&amp;end_year=2019","An Nuqāţ al Khams")</f>
        <v>An Nuqāţ al Khams</v>
      </c>
      <c r="G2374" s="72" t="str">
        <f>HYPERLINK("http://api.nsgreg.nga.mil/geo-division/GENC/6/3-11/LY-NQ","as:GENC:6:3-11:LY-NQ")</f>
        <v>as:GENC:6:3-11:LY-NQ</v>
      </c>
    </row>
    <row r="2375" spans="1:7" x14ac:dyDescent="0.25">
      <c r="A2375" s="112"/>
      <c r="B2375" s="21" t="s">
        <v>6397</v>
      </c>
      <c r="C2375" s="21" t="s">
        <v>6398</v>
      </c>
      <c r="D2375" s="21" t="s">
        <v>2255</v>
      </c>
      <c r="E2375" s="50" t="b">
        <v>1</v>
      </c>
      <c r="F2375" s="72" t="str">
        <f>HYPERLINK("http://nsgreg.nga.mil/genc/view?v=294108&amp;end_month=6&amp;end_day=30&amp;end_year=2019","Az Zāwiyah")</f>
        <v>Az Zāwiyah</v>
      </c>
      <c r="G2375" s="72" t="str">
        <f>HYPERLINK("http://api.nsgreg.nga.mil/geo-division/GENC/6/3-11/LY-ZA","as:GENC:6:3-11:LY-ZA")</f>
        <v>as:GENC:6:3-11:LY-ZA</v>
      </c>
    </row>
    <row r="2376" spans="1:7" x14ac:dyDescent="0.25">
      <c r="A2376" s="112"/>
      <c r="B2376" s="21" t="s">
        <v>6399</v>
      </c>
      <c r="C2376" s="21" t="s">
        <v>6400</v>
      </c>
      <c r="D2376" s="21" t="s">
        <v>2255</v>
      </c>
      <c r="E2376" s="50" t="b">
        <v>1</v>
      </c>
      <c r="F2376" s="72" t="str">
        <f>HYPERLINK("http://nsgreg.nga.mil/genc/view?v=294087&amp;end_month=6&amp;end_day=30&amp;end_year=2019","Banghāzī")</f>
        <v>Banghāzī</v>
      </c>
      <c r="G2376" s="72" t="str">
        <f>HYPERLINK("http://api.nsgreg.nga.mil/geo-division/GENC/6/3-11/LY-BA","as:GENC:6:3-11:LY-BA")</f>
        <v>as:GENC:6:3-11:LY-BA</v>
      </c>
    </row>
    <row r="2377" spans="1:7" x14ac:dyDescent="0.25">
      <c r="A2377" s="112"/>
      <c r="B2377" s="21" t="s">
        <v>6401</v>
      </c>
      <c r="C2377" s="21" t="s">
        <v>6402</v>
      </c>
      <c r="D2377" s="21" t="s">
        <v>2255</v>
      </c>
      <c r="E2377" s="50" t="b">
        <v>1</v>
      </c>
      <c r="F2377" s="72" t="str">
        <f>HYPERLINK("http://nsgreg.nga.mil/genc/view?v=294089&amp;end_month=6&amp;end_day=30&amp;end_year=2019","Darnah")</f>
        <v>Darnah</v>
      </c>
      <c r="G2377" s="72" t="str">
        <f>HYPERLINK("http://api.nsgreg.nga.mil/geo-division/GENC/6/3-11/LY-DR","as:GENC:6:3-11:LY-DR")</f>
        <v>as:GENC:6:3-11:LY-DR</v>
      </c>
    </row>
    <row r="2378" spans="1:7" x14ac:dyDescent="0.25">
      <c r="A2378" s="112"/>
      <c r="B2378" s="21" t="s">
        <v>6403</v>
      </c>
      <c r="C2378" s="21" t="s">
        <v>6404</v>
      </c>
      <c r="D2378" s="21" t="s">
        <v>2255</v>
      </c>
      <c r="E2378" s="50" t="b">
        <v>1</v>
      </c>
      <c r="F2378" s="72" t="str">
        <f>HYPERLINK("http://nsgreg.nga.mil/genc/view?v=294090&amp;end_month=6&amp;end_day=30&amp;end_year=2019","Ghāt")</f>
        <v>Ghāt</v>
      </c>
      <c r="G2378" s="72" t="str">
        <f>HYPERLINK("http://api.nsgreg.nga.mil/geo-division/GENC/6/3-11/LY-GT","as:GENC:6:3-11:LY-GT")</f>
        <v>as:GENC:6:3-11:LY-GT</v>
      </c>
    </row>
    <row r="2379" spans="1:7" x14ac:dyDescent="0.25">
      <c r="A2379" s="112"/>
      <c r="B2379" s="21" t="s">
        <v>6405</v>
      </c>
      <c r="C2379" s="21" t="s">
        <v>6406</v>
      </c>
      <c r="D2379" s="21" t="s">
        <v>2255</v>
      </c>
      <c r="E2379" s="50" t="b">
        <v>1</v>
      </c>
      <c r="F2379" s="72" t="str">
        <f>HYPERLINK("http://nsgreg.nga.mil/genc/view?v=294097&amp;end_month=6&amp;end_day=30&amp;end_year=2019","Mişrātah")</f>
        <v>Mişrātah</v>
      </c>
      <c r="G2379" s="72" t="str">
        <f>HYPERLINK("http://api.nsgreg.nga.mil/geo-division/GENC/6/3-11/LY-MI","as:GENC:6:3-11:LY-MI")</f>
        <v>as:GENC:6:3-11:LY-MI</v>
      </c>
    </row>
    <row r="2380" spans="1:7" x14ac:dyDescent="0.25">
      <c r="A2380" s="112"/>
      <c r="B2380" s="21" t="s">
        <v>6407</v>
      </c>
      <c r="C2380" s="21" t="s">
        <v>6408</v>
      </c>
      <c r="D2380" s="21" t="s">
        <v>2255</v>
      </c>
      <c r="E2380" s="50" t="b">
        <v>1</v>
      </c>
      <c r="F2380" s="72" t="str">
        <f>HYPERLINK("http://nsgreg.nga.mil/genc/view?v=294099&amp;end_month=6&amp;end_day=30&amp;end_year=2019","Murzuq")</f>
        <v>Murzuq</v>
      </c>
      <c r="G2380" s="72" t="str">
        <f>HYPERLINK("http://api.nsgreg.nga.mil/geo-division/GENC/6/3-11/LY-MQ","as:GENC:6:3-11:LY-MQ")</f>
        <v>as:GENC:6:3-11:LY-MQ</v>
      </c>
    </row>
    <row r="2381" spans="1:7" x14ac:dyDescent="0.25">
      <c r="A2381" s="112"/>
      <c r="B2381" s="21" t="s">
        <v>6409</v>
      </c>
      <c r="C2381" s="21" t="s">
        <v>6410</v>
      </c>
      <c r="D2381" s="21" t="s">
        <v>2255</v>
      </c>
      <c r="E2381" s="50" t="b">
        <v>1</v>
      </c>
      <c r="F2381" s="72" t="str">
        <f>HYPERLINK("http://nsgreg.nga.mil/genc/view?v=294100&amp;end_month=6&amp;end_day=30&amp;end_year=2019","Nālūt")</f>
        <v>Nālūt</v>
      </c>
      <c r="G2381" s="72" t="str">
        <f>HYPERLINK("http://api.nsgreg.nga.mil/geo-division/GENC/6/3-11/LY-NL","as:GENC:6:3-11:LY-NL")</f>
        <v>as:GENC:6:3-11:LY-NL</v>
      </c>
    </row>
    <row r="2382" spans="1:7" x14ac:dyDescent="0.25">
      <c r="A2382" s="112"/>
      <c r="B2382" s="21" t="s">
        <v>6411</v>
      </c>
      <c r="C2382" s="21" t="s">
        <v>6412</v>
      </c>
      <c r="D2382" s="21" t="s">
        <v>2255</v>
      </c>
      <c r="E2382" s="50" t="b">
        <v>1</v>
      </c>
      <c r="F2382" s="72" t="str">
        <f>HYPERLINK("http://nsgreg.nga.mil/genc/view?v=294102&amp;end_month=6&amp;end_day=30&amp;end_year=2019","Sabhā")</f>
        <v>Sabhā</v>
      </c>
      <c r="G2382" s="72" t="str">
        <f>HYPERLINK("http://api.nsgreg.nga.mil/geo-division/GENC/6/3-11/LY-SB","as:GENC:6:3-11:LY-SB")</f>
        <v>as:GENC:6:3-11:LY-SB</v>
      </c>
    </row>
    <row r="2383" spans="1:7" x14ac:dyDescent="0.25">
      <c r="A2383" s="112"/>
      <c r="B2383" s="21" t="s">
        <v>6413</v>
      </c>
      <c r="C2383" s="21" t="s">
        <v>6414</v>
      </c>
      <c r="D2383" s="21" t="s">
        <v>2255</v>
      </c>
      <c r="E2383" s="50" t="b">
        <v>1</v>
      </c>
      <c r="F2383" s="72" t="str">
        <f>HYPERLINK("http://nsgreg.nga.mil/genc/view?v=294103&amp;end_month=6&amp;end_day=30&amp;end_year=2019","Surt")</f>
        <v>Surt</v>
      </c>
      <c r="G2383" s="72" t="str">
        <f>HYPERLINK("http://api.nsgreg.nga.mil/geo-division/GENC/6/3-11/LY-SR","as:GENC:6:3-11:LY-SR")</f>
        <v>as:GENC:6:3-11:LY-SR</v>
      </c>
    </row>
    <row r="2384" spans="1:7" x14ac:dyDescent="0.25">
      <c r="A2384" s="112"/>
      <c r="B2384" s="21" t="s">
        <v>6415</v>
      </c>
      <c r="C2384" s="21" t="s">
        <v>6416</v>
      </c>
      <c r="D2384" s="21" t="s">
        <v>2255</v>
      </c>
      <c r="E2384" s="50" t="b">
        <v>1</v>
      </c>
      <c r="F2384" s="72" t="str">
        <f>HYPERLINK("http://nsgreg.nga.mil/genc/view?v=294104&amp;end_month=6&amp;end_day=30&amp;end_year=2019","Ţarābulus")</f>
        <v>Ţarābulus</v>
      </c>
      <c r="G2384" s="72" t="str">
        <f>HYPERLINK("http://api.nsgreg.nga.mil/geo-division/GENC/6/3-11/LY-TB","as:GENC:6:3-11:LY-TB")</f>
        <v>as:GENC:6:3-11:LY-TB</v>
      </c>
    </row>
    <row r="2385" spans="1:7" x14ac:dyDescent="0.25">
      <c r="A2385" s="112"/>
      <c r="B2385" s="21" t="s">
        <v>6417</v>
      </c>
      <c r="C2385" s="21" t="s">
        <v>6418</v>
      </c>
      <c r="D2385" s="21" t="s">
        <v>2255</v>
      </c>
      <c r="E2385" s="50" t="b">
        <v>1</v>
      </c>
      <c r="F2385" s="72" t="str">
        <f>HYPERLINK("http://nsgreg.nga.mil/genc/view?v=294106&amp;end_month=6&amp;end_day=30&amp;end_year=2019","Wādī al Ḩayāt")</f>
        <v>Wādī al Ḩayāt</v>
      </c>
      <c r="G2385" s="72" t="str">
        <f>HYPERLINK("http://api.nsgreg.nga.mil/geo-division/GENC/6/3-11/LY-WD","as:GENC:6:3-11:LY-WD")</f>
        <v>as:GENC:6:3-11:LY-WD</v>
      </c>
    </row>
    <row r="2386" spans="1:7" x14ac:dyDescent="0.25">
      <c r="A2386" s="113"/>
      <c r="B2386" s="47" t="s">
        <v>6419</v>
      </c>
      <c r="C2386" s="47" t="s">
        <v>6420</v>
      </c>
      <c r="D2386" s="47" t="s">
        <v>2255</v>
      </c>
      <c r="E2386" s="51" t="b">
        <v>1</v>
      </c>
      <c r="F2386" s="73" t="str">
        <f>HYPERLINK("http://nsgreg.nga.mil/genc/view?v=294107&amp;end_month=6&amp;end_day=30&amp;end_year=2019","Wādī ash Shāţi’")</f>
        <v>Wādī ash Shāţi’</v>
      </c>
      <c r="G2386" s="73" t="str">
        <f>HYPERLINK("http://api.nsgreg.nga.mil/geo-division/GENC/6/3-11/LY-WS","as:GENC:6:3-11:LY-WS")</f>
        <v>as:GENC:6:3-11:LY-WS</v>
      </c>
    </row>
    <row r="2387" spans="1:7" x14ac:dyDescent="0.25">
      <c r="A2387" s="111" t="str">
        <f>HYPERLINK("[#]Codes_for_GE_Names!A156:I156","LIECHTENSTEIN")</f>
        <v>LIECHTENSTEIN</v>
      </c>
      <c r="B2387" s="42" t="s">
        <v>6421</v>
      </c>
      <c r="C2387" s="42" t="s">
        <v>6422</v>
      </c>
      <c r="D2387" s="42" t="s">
        <v>3075</v>
      </c>
      <c r="E2387" s="49" t="b">
        <v>1</v>
      </c>
      <c r="F2387" s="74" t="str">
        <f>HYPERLINK("http://nsgreg.nga.mil/genc/view?v=293816&amp;end_month=6&amp;end_day=30&amp;end_year=2019","Balzers")</f>
        <v>Balzers</v>
      </c>
      <c r="G2387" s="74" t="str">
        <f>HYPERLINK("http://api.nsgreg.nga.mil/geo-division/GENC/6/3-11/LI-01","as:GENC:6:3-11:LI-01")</f>
        <v>as:GENC:6:3-11:LI-01</v>
      </c>
    </row>
    <row r="2388" spans="1:7" x14ac:dyDescent="0.25">
      <c r="A2388" s="112"/>
      <c r="B2388" s="21" t="s">
        <v>6423</v>
      </c>
      <c r="C2388" s="21" t="s">
        <v>6424</v>
      </c>
      <c r="D2388" s="21" t="s">
        <v>3075</v>
      </c>
      <c r="E2388" s="50" t="b">
        <v>1</v>
      </c>
      <c r="F2388" s="72" t="str">
        <f>HYPERLINK("http://nsgreg.nga.mil/genc/view?v=293817&amp;end_month=6&amp;end_day=30&amp;end_year=2019","Eschen")</f>
        <v>Eschen</v>
      </c>
      <c r="G2388" s="72" t="str">
        <f>HYPERLINK("http://api.nsgreg.nga.mil/geo-division/GENC/6/3-11/LI-02","as:GENC:6:3-11:LI-02")</f>
        <v>as:GENC:6:3-11:LI-02</v>
      </c>
    </row>
    <row r="2389" spans="1:7" x14ac:dyDescent="0.25">
      <c r="A2389" s="112"/>
      <c r="B2389" s="21" t="s">
        <v>6425</v>
      </c>
      <c r="C2389" s="21" t="s">
        <v>6426</v>
      </c>
      <c r="D2389" s="21" t="s">
        <v>3075</v>
      </c>
      <c r="E2389" s="50" t="b">
        <v>1</v>
      </c>
      <c r="F2389" s="72" t="str">
        <f>HYPERLINK("http://nsgreg.nga.mil/genc/view?v=293818&amp;end_month=6&amp;end_day=30&amp;end_year=2019","Gamprin")</f>
        <v>Gamprin</v>
      </c>
      <c r="G2389" s="72" t="str">
        <f>HYPERLINK("http://api.nsgreg.nga.mil/geo-division/GENC/6/3-11/LI-03","as:GENC:6:3-11:LI-03")</f>
        <v>as:GENC:6:3-11:LI-03</v>
      </c>
    </row>
    <row r="2390" spans="1:7" x14ac:dyDescent="0.25">
      <c r="A2390" s="112"/>
      <c r="B2390" s="21" t="s">
        <v>6427</v>
      </c>
      <c r="C2390" s="21" t="s">
        <v>6428</v>
      </c>
      <c r="D2390" s="21" t="s">
        <v>3075</v>
      </c>
      <c r="E2390" s="50" t="b">
        <v>1</v>
      </c>
      <c r="F2390" s="72" t="str">
        <f>HYPERLINK("http://nsgreg.nga.mil/genc/view?v=293819&amp;end_month=6&amp;end_day=30&amp;end_year=2019","Mauren")</f>
        <v>Mauren</v>
      </c>
      <c r="G2390" s="72" t="str">
        <f>HYPERLINK("http://api.nsgreg.nga.mil/geo-division/GENC/6/3-11/LI-04","as:GENC:6:3-11:LI-04")</f>
        <v>as:GENC:6:3-11:LI-04</v>
      </c>
    </row>
    <row r="2391" spans="1:7" x14ac:dyDescent="0.25">
      <c r="A2391" s="112"/>
      <c r="B2391" s="21" t="s">
        <v>6429</v>
      </c>
      <c r="C2391" s="21" t="s">
        <v>6430</v>
      </c>
      <c r="D2391" s="21" t="s">
        <v>3075</v>
      </c>
      <c r="E2391" s="50" t="b">
        <v>1</v>
      </c>
      <c r="F2391" s="72" t="str">
        <f>HYPERLINK("http://nsgreg.nga.mil/genc/view?v=293820&amp;end_month=6&amp;end_day=30&amp;end_year=2019","Planken")</f>
        <v>Planken</v>
      </c>
      <c r="G2391" s="72" t="str">
        <f>HYPERLINK("http://api.nsgreg.nga.mil/geo-division/GENC/6/3-11/LI-05","as:GENC:6:3-11:LI-05")</f>
        <v>as:GENC:6:3-11:LI-05</v>
      </c>
    </row>
    <row r="2392" spans="1:7" x14ac:dyDescent="0.25">
      <c r="A2392" s="112"/>
      <c r="B2392" s="21" t="s">
        <v>6431</v>
      </c>
      <c r="C2392" s="21" t="s">
        <v>6432</v>
      </c>
      <c r="D2392" s="21" t="s">
        <v>3075</v>
      </c>
      <c r="E2392" s="50" t="b">
        <v>1</v>
      </c>
      <c r="F2392" s="72" t="str">
        <f>HYPERLINK("http://nsgreg.nga.mil/genc/view?v=293821&amp;end_month=6&amp;end_day=30&amp;end_year=2019","Ruggell")</f>
        <v>Ruggell</v>
      </c>
      <c r="G2392" s="72" t="str">
        <f>HYPERLINK("http://api.nsgreg.nga.mil/geo-division/GENC/6/3-11/LI-06","as:GENC:6:3-11:LI-06")</f>
        <v>as:GENC:6:3-11:LI-06</v>
      </c>
    </row>
    <row r="2393" spans="1:7" x14ac:dyDescent="0.25">
      <c r="A2393" s="112"/>
      <c r="B2393" s="21" t="s">
        <v>6433</v>
      </c>
      <c r="C2393" s="21" t="s">
        <v>6434</v>
      </c>
      <c r="D2393" s="21" t="s">
        <v>3075</v>
      </c>
      <c r="E2393" s="50" t="b">
        <v>1</v>
      </c>
      <c r="F2393" s="72" t="str">
        <f>HYPERLINK("http://nsgreg.nga.mil/genc/view?v=293822&amp;end_month=6&amp;end_day=30&amp;end_year=2019","Schaan")</f>
        <v>Schaan</v>
      </c>
      <c r="G2393" s="72" t="str">
        <f>HYPERLINK("http://api.nsgreg.nga.mil/geo-division/GENC/6/3-11/LI-07","as:GENC:6:3-11:LI-07")</f>
        <v>as:GENC:6:3-11:LI-07</v>
      </c>
    </row>
    <row r="2394" spans="1:7" x14ac:dyDescent="0.25">
      <c r="A2394" s="112"/>
      <c r="B2394" s="21" t="s">
        <v>6435</v>
      </c>
      <c r="C2394" s="21" t="s">
        <v>6436</v>
      </c>
      <c r="D2394" s="21" t="s">
        <v>3075</v>
      </c>
      <c r="E2394" s="50" t="b">
        <v>1</v>
      </c>
      <c r="F2394" s="72" t="str">
        <f>HYPERLINK("http://nsgreg.nga.mil/genc/view?v=293823&amp;end_month=6&amp;end_day=30&amp;end_year=2019","Schellenberg")</f>
        <v>Schellenberg</v>
      </c>
      <c r="G2394" s="72" t="str">
        <f>HYPERLINK("http://api.nsgreg.nga.mil/geo-division/GENC/6/3-11/LI-08","as:GENC:6:3-11:LI-08")</f>
        <v>as:GENC:6:3-11:LI-08</v>
      </c>
    </row>
    <row r="2395" spans="1:7" x14ac:dyDescent="0.25">
      <c r="A2395" s="112"/>
      <c r="B2395" s="21" t="s">
        <v>6437</v>
      </c>
      <c r="C2395" s="21" t="s">
        <v>6438</v>
      </c>
      <c r="D2395" s="21" t="s">
        <v>3075</v>
      </c>
      <c r="E2395" s="50" t="b">
        <v>1</v>
      </c>
      <c r="F2395" s="72" t="str">
        <f>HYPERLINK("http://nsgreg.nga.mil/genc/view?v=293824&amp;end_month=6&amp;end_day=30&amp;end_year=2019","Triesen")</f>
        <v>Triesen</v>
      </c>
      <c r="G2395" s="72" t="str">
        <f>HYPERLINK("http://api.nsgreg.nga.mil/geo-division/GENC/6/3-11/LI-09","as:GENC:6:3-11:LI-09")</f>
        <v>as:GENC:6:3-11:LI-09</v>
      </c>
    </row>
    <row r="2396" spans="1:7" x14ac:dyDescent="0.25">
      <c r="A2396" s="112"/>
      <c r="B2396" s="21" t="s">
        <v>6439</v>
      </c>
      <c r="C2396" s="21" t="s">
        <v>6440</v>
      </c>
      <c r="D2396" s="21" t="s">
        <v>3075</v>
      </c>
      <c r="E2396" s="50" t="b">
        <v>1</v>
      </c>
      <c r="F2396" s="72" t="str">
        <f>HYPERLINK("http://nsgreg.nga.mil/genc/view?v=293825&amp;end_month=6&amp;end_day=30&amp;end_year=2019","Triesenberg")</f>
        <v>Triesenberg</v>
      </c>
      <c r="G2396" s="72" t="str">
        <f>HYPERLINK("http://api.nsgreg.nga.mil/geo-division/GENC/6/3-11/LI-10","as:GENC:6:3-11:LI-10")</f>
        <v>as:GENC:6:3-11:LI-10</v>
      </c>
    </row>
    <row r="2397" spans="1:7" x14ac:dyDescent="0.25">
      <c r="A2397" s="113"/>
      <c r="B2397" s="47" t="s">
        <v>6441</v>
      </c>
      <c r="C2397" s="47" t="s">
        <v>6442</v>
      </c>
      <c r="D2397" s="47" t="s">
        <v>3075</v>
      </c>
      <c r="E2397" s="51" t="b">
        <v>1</v>
      </c>
      <c r="F2397" s="73" t="str">
        <f>HYPERLINK("http://nsgreg.nga.mil/genc/view?v=293826&amp;end_month=6&amp;end_day=30&amp;end_year=2019","Vaduz")</f>
        <v>Vaduz</v>
      </c>
      <c r="G2397" s="73" t="str">
        <f>HYPERLINK("http://api.nsgreg.nga.mil/geo-division/GENC/6/3-11/LI-11","as:GENC:6:3-11:LI-11")</f>
        <v>as:GENC:6:3-11:LI-11</v>
      </c>
    </row>
    <row r="2398" spans="1:7" x14ac:dyDescent="0.25">
      <c r="A2398" s="111" t="str">
        <f>HYPERLINK("[#]Codes_for_GE_Names!A157:I157","LITHUANIA")</f>
        <v>LITHUANIA</v>
      </c>
      <c r="B2398" s="42" t="s">
        <v>6443</v>
      </c>
      <c r="C2398" s="42" t="s">
        <v>6444</v>
      </c>
      <c r="D2398" s="80" t="s">
        <v>1737</v>
      </c>
      <c r="E2398" s="81" t="b">
        <v>0</v>
      </c>
      <c r="F2398" s="74" t="str">
        <f>HYPERLINK("http://nsgreg.nga.mil/genc/view?v=293946&amp;end_month=6&amp;end_day=30&amp;end_year=2019","Alytaus Apskritis")</f>
        <v>Alytaus Apskritis</v>
      </c>
      <c r="G2398" s="74" t="str">
        <f>HYPERLINK("http://api.nsgreg.nga.mil/geo-division/GENC/6/3-11/LT-AL","as:GENC:6:3-11:LT-AL")</f>
        <v>as:GENC:6:3-11:LT-AL</v>
      </c>
    </row>
    <row r="2399" spans="1:7" x14ac:dyDescent="0.25">
      <c r="A2399" s="112"/>
      <c r="B2399" s="21" t="s">
        <v>6445</v>
      </c>
      <c r="C2399" s="21" t="s">
        <v>6446</v>
      </c>
      <c r="D2399" s="21" t="s">
        <v>6447</v>
      </c>
      <c r="E2399" s="50" t="b">
        <v>1</v>
      </c>
      <c r="F2399" s="72" t="str">
        <f>HYPERLINK("http://nsgreg.nga.mil/genc/view?v=293887&amp;end_month=6&amp;end_day=30&amp;end_year=2019","Alytaus Miestas")</f>
        <v>Alytaus Miestas</v>
      </c>
      <c r="G2399" s="72" t="str">
        <f>HYPERLINK("http://api.nsgreg.nga.mil/geo-division/GENC/6/3-11/LT-02","as:GENC:6:3-11:LT-02")</f>
        <v>as:GENC:6:3-11:LT-02</v>
      </c>
    </row>
    <row r="2400" spans="1:7" x14ac:dyDescent="0.25">
      <c r="A2400" s="112"/>
      <c r="B2400" s="21" t="s">
        <v>6448</v>
      </c>
      <c r="C2400" s="21" t="s">
        <v>6449</v>
      </c>
      <c r="D2400" s="21" t="s">
        <v>6450</v>
      </c>
      <c r="E2400" s="50" t="b">
        <v>1</v>
      </c>
      <c r="F2400" s="72" t="str">
        <f>HYPERLINK("http://nsgreg.nga.mil/genc/view?v=293888&amp;end_month=6&amp;end_day=30&amp;end_year=2019","Alytus")</f>
        <v>Alytus</v>
      </c>
      <c r="G2400" s="72" t="str">
        <f>HYPERLINK("http://api.nsgreg.nga.mil/geo-division/GENC/6/3-11/LT-03","as:GENC:6:3-11:LT-03")</f>
        <v>as:GENC:6:3-11:LT-03</v>
      </c>
    </row>
    <row r="2401" spans="1:7" x14ac:dyDescent="0.25">
      <c r="A2401" s="112"/>
      <c r="B2401" s="21" t="s">
        <v>6451</v>
      </c>
      <c r="C2401" s="21" t="s">
        <v>6452</v>
      </c>
      <c r="D2401" s="21" t="s">
        <v>2505</v>
      </c>
      <c r="E2401" s="50" t="b">
        <v>1</v>
      </c>
      <c r="F2401" s="72" t="str">
        <f>HYPERLINK("http://nsgreg.nga.mil/genc/view?v=293892&amp;end_month=6&amp;end_day=30&amp;end_year=2019","Druskininkai")</f>
        <v>Druskininkai</v>
      </c>
      <c r="G2401" s="72" t="str">
        <f>HYPERLINK("http://api.nsgreg.nga.mil/geo-division/GENC/6/3-11/LT-07","as:GENC:6:3-11:LT-07")</f>
        <v>as:GENC:6:3-11:LT-07</v>
      </c>
    </row>
    <row r="2402" spans="1:7" x14ac:dyDescent="0.25">
      <c r="A2402" s="112"/>
      <c r="B2402" s="21" t="s">
        <v>6453</v>
      </c>
      <c r="C2402" s="21" t="s">
        <v>6454</v>
      </c>
      <c r="D2402" s="21" t="s">
        <v>6450</v>
      </c>
      <c r="E2402" s="50" t="b">
        <v>1</v>
      </c>
      <c r="F2402" s="72" t="str">
        <f>HYPERLINK("http://nsgreg.nga.mil/genc/view?v=293909&amp;end_month=6&amp;end_day=30&amp;end_year=2019","Lazdijai")</f>
        <v>Lazdijai</v>
      </c>
      <c r="G2402" s="72" t="str">
        <f>HYPERLINK("http://api.nsgreg.nga.mil/geo-division/GENC/6/3-11/LT-24","as:GENC:6:3-11:LT-24")</f>
        <v>as:GENC:6:3-11:LT-24</v>
      </c>
    </row>
    <row r="2403" spans="1:7" x14ac:dyDescent="0.25">
      <c r="A2403" s="112"/>
      <c r="B2403" s="21" t="s">
        <v>6455</v>
      </c>
      <c r="C2403" s="21" t="s">
        <v>6456</v>
      </c>
      <c r="D2403" s="21" t="s">
        <v>6450</v>
      </c>
      <c r="E2403" s="50" t="b">
        <v>1</v>
      </c>
      <c r="F2403" s="72" t="str">
        <f>HYPERLINK("http://nsgreg.nga.mil/genc/view?v=293940&amp;end_month=6&amp;end_day=30&amp;end_year=2019","Varėna")</f>
        <v>Varėna</v>
      </c>
      <c r="G2403" s="72" t="str">
        <f>HYPERLINK("http://api.nsgreg.nga.mil/geo-division/GENC/6/3-11/LT-55","as:GENC:6:3-11:LT-55")</f>
        <v>as:GENC:6:3-11:LT-55</v>
      </c>
    </row>
    <row r="2404" spans="1:7" x14ac:dyDescent="0.25">
      <c r="A2404" s="112"/>
      <c r="B2404" s="21" t="s">
        <v>6457</v>
      </c>
      <c r="C2404" s="21" t="s">
        <v>6458</v>
      </c>
      <c r="D2404" s="76" t="s">
        <v>1737</v>
      </c>
      <c r="E2404" s="77" t="b">
        <v>0</v>
      </c>
      <c r="F2404" s="72" t="str">
        <f>HYPERLINK("http://nsgreg.nga.mil/genc/view?v=293948&amp;end_month=6&amp;end_day=30&amp;end_year=2019","Kauno Apskritis")</f>
        <v>Kauno Apskritis</v>
      </c>
      <c r="G2404" s="72" t="str">
        <f>HYPERLINK("http://api.nsgreg.nga.mil/geo-division/GENC/6/3-11/LT-KU","as:GENC:6:3-11:LT-KU")</f>
        <v>as:GENC:6:3-11:LT-KU</v>
      </c>
    </row>
    <row r="2405" spans="1:7" x14ac:dyDescent="0.25">
      <c r="A2405" s="112"/>
      <c r="B2405" s="21" t="s">
        <v>6459</v>
      </c>
      <c r="C2405" s="21" t="s">
        <v>6460</v>
      </c>
      <c r="D2405" s="21" t="s">
        <v>2505</v>
      </c>
      <c r="E2405" s="50" t="b">
        <v>1</v>
      </c>
      <c r="F2405" s="72" t="str">
        <f>HYPERLINK("http://nsgreg.nga.mil/genc/view?v=293890&amp;end_month=6&amp;end_day=30&amp;end_year=2019","Birštono")</f>
        <v>Birštono</v>
      </c>
      <c r="G2405" s="72" t="str">
        <f>HYPERLINK("http://api.nsgreg.nga.mil/geo-division/GENC/6/3-11/LT-05","as:GENC:6:3-11:LT-05")</f>
        <v>as:GENC:6:3-11:LT-05</v>
      </c>
    </row>
    <row r="2406" spans="1:7" x14ac:dyDescent="0.25">
      <c r="A2406" s="112"/>
      <c r="B2406" s="21" t="s">
        <v>6461</v>
      </c>
      <c r="C2406" s="21" t="s">
        <v>6462</v>
      </c>
      <c r="D2406" s="21" t="s">
        <v>6450</v>
      </c>
      <c r="E2406" s="50" t="b">
        <v>1</v>
      </c>
      <c r="F2406" s="72" t="str">
        <f>HYPERLINK("http://nsgreg.nga.mil/genc/view?v=293895&amp;end_month=6&amp;end_day=30&amp;end_year=2019","Jonava")</f>
        <v>Jonava</v>
      </c>
      <c r="G2406" s="72" t="str">
        <f>HYPERLINK("http://api.nsgreg.nga.mil/geo-division/GENC/6/3-11/LT-10","as:GENC:6:3-11:LT-10")</f>
        <v>as:GENC:6:3-11:LT-10</v>
      </c>
    </row>
    <row r="2407" spans="1:7" x14ac:dyDescent="0.25">
      <c r="A2407" s="112"/>
      <c r="B2407" s="21" t="s">
        <v>6463</v>
      </c>
      <c r="C2407" s="21" t="s">
        <v>6464</v>
      </c>
      <c r="D2407" s="21" t="s">
        <v>6450</v>
      </c>
      <c r="E2407" s="50" t="b">
        <v>1</v>
      </c>
      <c r="F2407" s="72" t="str">
        <f>HYPERLINK("http://nsgreg.nga.mil/genc/view?v=293898&amp;end_month=6&amp;end_day=30&amp;end_year=2019","Kaišiadorys")</f>
        <v>Kaišiadorys</v>
      </c>
      <c r="G2407" s="72" t="str">
        <f>HYPERLINK("http://api.nsgreg.nga.mil/geo-division/GENC/6/3-11/LT-13","as:GENC:6:3-11:LT-13")</f>
        <v>as:GENC:6:3-11:LT-13</v>
      </c>
    </row>
    <row r="2408" spans="1:7" x14ac:dyDescent="0.25">
      <c r="A2408" s="112"/>
      <c r="B2408" s="21" t="s">
        <v>6465</v>
      </c>
      <c r="C2408" s="21" t="s">
        <v>6466</v>
      </c>
      <c r="D2408" s="21" t="s">
        <v>6450</v>
      </c>
      <c r="E2408" s="50" t="b">
        <v>1</v>
      </c>
      <c r="F2408" s="72" t="str">
        <f>HYPERLINK("http://nsgreg.nga.mil/genc/view?v=293901&amp;end_month=6&amp;end_day=30&amp;end_year=2019","Kaunas")</f>
        <v>Kaunas</v>
      </c>
      <c r="G2408" s="72" t="str">
        <f>HYPERLINK("http://api.nsgreg.nga.mil/geo-division/GENC/6/3-11/LT-16","as:GENC:6:3-11:LT-16")</f>
        <v>as:GENC:6:3-11:LT-16</v>
      </c>
    </row>
    <row r="2409" spans="1:7" x14ac:dyDescent="0.25">
      <c r="A2409" s="112"/>
      <c r="B2409" s="21" t="s">
        <v>6467</v>
      </c>
      <c r="C2409" s="21" t="s">
        <v>6468</v>
      </c>
      <c r="D2409" s="21" t="s">
        <v>6447</v>
      </c>
      <c r="E2409" s="50" t="b">
        <v>1</v>
      </c>
      <c r="F2409" s="72" t="str">
        <f>HYPERLINK("http://nsgreg.nga.mil/genc/view?v=293900&amp;end_month=6&amp;end_day=30&amp;end_year=2019","Kauno Miestas")</f>
        <v>Kauno Miestas</v>
      </c>
      <c r="G2409" s="72" t="str">
        <f>HYPERLINK("http://api.nsgreg.nga.mil/geo-division/GENC/6/3-11/LT-15","as:GENC:6:3-11:LT-15")</f>
        <v>as:GENC:6:3-11:LT-15</v>
      </c>
    </row>
    <row r="2410" spans="1:7" x14ac:dyDescent="0.25">
      <c r="A2410" s="112"/>
      <c r="B2410" s="21" t="s">
        <v>6469</v>
      </c>
      <c r="C2410" s="21" t="s">
        <v>6470</v>
      </c>
      <c r="D2410" s="21" t="s">
        <v>6450</v>
      </c>
      <c r="E2410" s="50" t="b">
        <v>1</v>
      </c>
      <c r="F2410" s="72" t="str">
        <f>HYPERLINK("http://nsgreg.nga.mil/genc/view?v=293903&amp;end_month=6&amp;end_day=30&amp;end_year=2019","Kėdainiai")</f>
        <v>Kėdainiai</v>
      </c>
      <c r="G2410" s="72" t="str">
        <f>HYPERLINK("http://api.nsgreg.nga.mil/geo-division/GENC/6/3-11/LT-18","as:GENC:6:3-11:LT-18")</f>
        <v>as:GENC:6:3-11:LT-18</v>
      </c>
    </row>
    <row r="2411" spans="1:7" x14ac:dyDescent="0.25">
      <c r="A2411" s="112"/>
      <c r="B2411" s="21" t="s">
        <v>6471</v>
      </c>
      <c r="C2411" s="21" t="s">
        <v>6472</v>
      </c>
      <c r="D2411" s="21" t="s">
        <v>6450</v>
      </c>
      <c r="E2411" s="50" t="b">
        <v>1</v>
      </c>
      <c r="F2411" s="72" t="str">
        <f>HYPERLINK("http://nsgreg.nga.mil/genc/view?v=293921&amp;end_month=6&amp;end_day=30&amp;end_year=2019","Prienai")</f>
        <v>Prienai</v>
      </c>
      <c r="G2411" s="72" t="str">
        <f>HYPERLINK("http://api.nsgreg.nga.mil/geo-division/GENC/6/3-11/LT-36","as:GENC:6:3-11:LT-36")</f>
        <v>as:GENC:6:3-11:LT-36</v>
      </c>
    </row>
    <row r="2412" spans="1:7" x14ac:dyDescent="0.25">
      <c r="A2412" s="112"/>
      <c r="B2412" s="21" t="s">
        <v>6473</v>
      </c>
      <c r="C2412" s="21" t="s">
        <v>6474</v>
      </c>
      <c r="D2412" s="21" t="s">
        <v>6450</v>
      </c>
      <c r="E2412" s="50" t="b">
        <v>1</v>
      </c>
      <c r="F2412" s="72" t="str">
        <f>HYPERLINK("http://nsgreg.nga.mil/genc/view?v=293923&amp;end_month=6&amp;end_day=30&amp;end_year=2019","Raseiniai")</f>
        <v>Raseiniai</v>
      </c>
      <c r="G2412" s="72" t="str">
        <f>HYPERLINK("http://api.nsgreg.nga.mil/geo-division/GENC/6/3-11/LT-38","as:GENC:6:3-11:LT-38")</f>
        <v>as:GENC:6:3-11:LT-38</v>
      </c>
    </row>
    <row r="2413" spans="1:7" x14ac:dyDescent="0.25">
      <c r="A2413" s="112"/>
      <c r="B2413" s="21" t="s">
        <v>6475</v>
      </c>
      <c r="C2413" s="21" t="s">
        <v>6476</v>
      </c>
      <c r="D2413" s="76" t="s">
        <v>1737</v>
      </c>
      <c r="E2413" s="77" t="b">
        <v>0</v>
      </c>
      <c r="F2413" s="72" t="str">
        <f>HYPERLINK("http://nsgreg.nga.mil/genc/view?v=293947&amp;end_month=6&amp;end_day=30&amp;end_year=2019","Klaipėdos Apskritis")</f>
        <v>Klaipėdos Apskritis</v>
      </c>
      <c r="G2413" s="72" t="str">
        <f>HYPERLINK("http://api.nsgreg.nga.mil/geo-division/GENC/6/3-11/LT-KL","as:GENC:6:3-11:LT-KL")</f>
        <v>as:GENC:6:3-11:LT-KL</v>
      </c>
    </row>
    <row r="2414" spans="1:7" x14ac:dyDescent="0.25">
      <c r="A2414" s="112"/>
      <c r="B2414" s="21" t="s">
        <v>6477</v>
      </c>
      <c r="C2414" s="21" t="s">
        <v>6478</v>
      </c>
      <c r="D2414" s="21" t="s">
        <v>6450</v>
      </c>
      <c r="E2414" s="50" t="b">
        <v>1</v>
      </c>
      <c r="F2414" s="72" t="str">
        <f>HYPERLINK("http://nsgreg.nga.mil/genc/view?v=293906&amp;end_month=6&amp;end_day=30&amp;end_year=2019","Klaipėda")</f>
        <v>Klaipėda</v>
      </c>
      <c r="G2414" s="72" t="str">
        <f>HYPERLINK("http://api.nsgreg.nga.mil/geo-division/GENC/6/3-11/LT-21","as:GENC:6:3-11:LT-21")</f>
        <v>as:GENC:6:3-11:LT-21</v>
      </c>
    </row>
    <row r="2415" spans="1:7" x14ac:dyDescent="0.25">
      <c r="A2415" s="112"/>
      <c r="B2415" s="21" t="s">
        <v>6479</v>
      </c>
      <c r="C2415" s="21" t="s">
        <v>6480</v>
      </c>
      <c r="D2415" s="21" t="s">
        <v>6447</v>
      </c>
      <c r="E2415" s="50" t="b">
        <v>1</v>
      </c>
      <c r="F2415" s="72" t="str">
        <f>HYPERLINK("http://nsgreg.nga.mil/genc/view?v=293905&amp;end_month=6&amp;end_day=30&amp;end_year=2019","Klaipėdos Miestas")</f>
        <v>Klaipėdos Miestas</v>
      </c>
      <c r="G2415" s="72" t="str">
        <f>HYPERLINK("http://api.nsgreg.nga.mil/geo-division/GENC/6/3-11/LT-20","as:GENC:6:3-11:LT-20")</f>
        <v>as:GENC:6:3-11:LT-20</v>
      </c>
    </row>
    <row r="2416" spans="1:7" x14ac:dyDescent="0.25">
      <c r="A2416" s="112"/>
      <c r="B2416" s="21" t="s">
        <v>6481</v>
      </c>
      <c r="C2416" s="21" t="s">
        <v>6482</v>
      </c>
      <c r="D2416" s="21" t="s">
        <v>6450</v>
      </c>
      <c r="E2416" s="50" t="b">
        <v>1</v>
      </c>
      <c r="F2416" s="72" t="str">
        <f>HYPERLINK("http://nsgreg.nga.mil/genc/view?v=293907&amp;end_month=6&amp;end_day=30&amp;end_year=2019","Kretinga")</f>
        <v>Kretinga</v>
      </c>
      <c r="G2416" s="72" t="str">
        <f>HYPERLINK("http://api.nsgreg.nga.mil/geo-division/GENC/6/3-11/LT-22","as:GENC:6:3-11:LT-22")</f>
        <v>as:GENC:6:3-11:LT-22</v>
      </c>
    </row>
    <row r="2417" spans="1:7" x14ac:dyDescent="0.25">
      <c r="A2417" s="112"/>
      <c r="B2417" s="21" t="s">
        <v>6483</v>
      </c>
      <c r="C2417" s="21" t="s">
        <v>6484</v>
      </c>
      <c r="D2417" s="21" t="s">
        <v>2505</v>
      </c>
      <c r="E2417" s="50" t="b">
        <v>1</v>
      </c>
      <c r="F2417" s="72" t="str">
        <f>HYPERLINK("http://nsgreg.nga.mil/genc/view?v=293913&amp;end_month=6&amp;end_day=30&amp;end_year=2019","Neringa")</f>
        <v>Neringa</v>
      </c>
      <c r="G2417" s="72" t="str">
        <f>HYPERLINK("http://api.nsgreg.nga.mil/geo-division/GENC/6/3-11/LT-28","as:GENC:6:3-11:LT-28")</f>
        <v>as:GENC:6:3-11:LT-28</v>
      </c>
    </row>
    <row r="2418" spans="1:7" x14ac:dyDescent="0.25">
      <c r="A2418" s="112"/>
      <c r="B2418" s="21" t="s">
        <v>6485</v>
      </c>
      <c r="C2418" s="21" t="s">
        <v>6486</v>
      </c>
      <c r="D2418" s="21" t="s">
        <v>6447</v>
      </c>
      <c r="E2418" s="50" t="b">
        <v>1</v>
      </c>
      <c r="F2418" s="72" t="str">
        <f>HYPERLINK("http://nsgreg.nga.mil/genc/view?v=293916&amp;end_month=6&amp;end_day=30&amp;end_year=2019","Palangos Miestas")</f>
        <v>Palangos Miestas</v>
      </c>
      <c r="G2418" s="72" t="str">
        <f>HYPERLINK("http://api.nsgreg.nga.mil/geo-division/GENC/6/3-11/LT-31","as:GENC:6:3-11:LT-31")</f>
        <v>as:GENC:6:3-11:LT-31</v>
      </c>
    </row>
    <row r="2419" spans="1:7" x14ac:dyDescent="0.25">
      <c r="A2419" s="112"/>
      <c r="B2419" s="21" t="s">
        <v>6487</v>
      </c>
      <c r="C2419" s="21" t="s">
        <v>6488</v>
      </c>
      <c r="D2419" s="21" t="s">
        <v>6450</v>
      </c>
      <c r="E2419" s="50" t="b">
        <v>1</v>
      </c>
      <c r="F2419" s="72" t="str">
        <f>HYPERLINK("http://nsgreg.nga.mil/genc/view?v=293931&amp;end_month=6&amp;end_day=30&amp;end_year=2019","Šilutė")</f>
        <v>Šilutė</v>
      </c>
      <c r="G2419" s="72" t="str">
        <f>HYPERLINK("http://api.nsgreg.nga.mil/geo-division/GENC/6/3-11/LT-46","as:GENC:6:3-11:LT-46")</f>
        <v>as:GENC:6:3-11:LT-46</v>
      </c>
    </row>
    <row r="2420" spans="1:7" x14ac:dyDescent="0.25">
      <c r="A2420" s="112"/>
      <c r="B2420" s="21" t="s">
        <v>6489</v>
      </c>
      <c r="C2420" s="21" t="s">
        <v>6490</v>
      </c>
      <c r="D2420" s="21" t="s">
        <v>6450</v>
      </c>
      <c r="E2420" s="50" t="b">
        <v>1</v>
      </c>
      <c r="F2420" s="72" t="str">
        <f>HYPERLINK("http://nsgreg.nga.mil/genc/view?v=293933&amp;end_month=6&amp;end_day=30&amp;end_year=2019","Skuodas")</f>
        <v>Skuodas</v>
      </c>
      <c r="G2420" s="72" t="str">
        <f>HYPERLINK("http://api.nsgreg.nga.mil/geo-division/GENC/6/3-11/LT-48","as:GENC:6:3-11:LT-48")</f>
        <v>as:GENC:6:3-11:LT-48</v>
      </c>
    </row>
    <row r="2421" spans="1:7" x14ac:dyDescent="0.25">
      <c r="A2421" s="112"/>
      <c r="B2421" s="21" t="s">
        <v>6491</v>
      </c>
      <c r="C2421" s="21" t="s">
        <v>6492</v>
      </c>
      <c r="D2421" s="76" t="s">
        <v>1737</v>
      </c>
      <c r="E2421" s="77" t="b">
        <v>0</v>
      </c>
      <c r="F2421" s="72" t="str">
        <f>HYPERLINK("http://nsgreg.nga.mil/genc/view?v=293949&amp;end_month=6&amp;end_day=30&amp;end_year=2019","Marijampolės Apskritis")</f>
        <v>Marijampolės Apskritis</v>
      </c>
      <c r="G2421" s="72" t="str">
        <f>HYPERLINK("http://api.nsgreg.nga.mil/geo-division/GENC/6/3-11/LT-MR","as:GENC:6:3-11:LT-MR")</f>
        <v>as:GENC:6:3-11:LT-MR</v>
      </c>
    </row>
    <row r="2422" spans="1:7" x14ac:dyDescent="0.25">
      <c r="A2422" s="112"/>
      <c r="B2422" s="21" t="s">
        <v>6493</v>
      </c>
      <c r="C2422" s="21" t="s">
        <v>6494</v>
      </c>
      <c r="D2422" s="21" t="s">
        <v>2505</v>
      </c>
      <c r="E2422" s="50" t="b">
        <v>1</v>
      </c>
      <c r="F2422" s="72" t="str">
        <f>HYPERLINK("http://nsgreg.nga.mil/genc/view?v=293899&amp;end_month=6&amp;end_day=30&amp;end_year=2019","Kalvarijos")</f>
        <v>Kalvarijos</v>
      </c>
      <c r="G2422" s="72" t="str">
        <f>HYPERLINK("http://api.nsgreg.nga.mil/geo-division/GENC/6/3-11/LT-14","as:GENC:6:3-11:LT-14")</f>
        <v>as:GENC:6:3-11:LT-14</v>
      </c>
    </row>
    <row r="2423" spans="1:7" x14ac:dyDescent="0.25">
      <c r="A2423" s="112"/>
      <c r="B2423" s="21" t="s">
        <v>6495</v>
      </c>
      <c r="C2423" s="21" t="s">
        <v>6496</v>
      </c>
      <c r="D2423" s="21" t="s">
        <v>2505</v>
      </c>
      <c r="E2423" s="50" t="b">
        <v>1</v>
      </c>
      <c r="F2423" s="72" t="str">
        <f>HYPERLINK("http://nsgreg.nga.mil/genc/view?v=293902&amp;end_month=6&amp;end_day=30&amp;end_year=2019","Kazlų Rūdos")</f>
        <v>Kazlų Rūdos</v>
      </c>
      <c r="G2423" s="72" t="str">
        <f>HYPERLINK("http://api.nsgreg.nga.mil/geo-division/GENC/6/3-11/LT-17","as:GENC:6:3-11:LT-17")</f>
        <v>as:GENC:6:3-11:LT-17</v>
      </c>
    </row>
    <row r="2424" spans="1:7" x14ac:dyDescent="0.25">
      <c r="A2424" s="112"/>
      <c r="B2424" s="21" t="s">
        <v>6497</v>
      </c>
      <c r="C2424" s="21" t="s">
        <v>6498</v>
      </c>
      <c r="D2424" s="21" t="s">
        <v>6450</v>
      </c>
      <c r="E2424" s="50" t="b">
        <v>1</v>
      </c>
      <c r="F2424" s="72" t="str">
        <f>HYPERLINK("http://nsgreg.nga.mil/genc/view?v=293910&amp;end_month=6&amp;end_day=30&amp;end_year=2019","Marijampolė")</f>
        <v>Marijampolė</v>
      </c>
      <c r="G2424" s="72" t="str">
        <f>HYPERLINK("http://api.nsgreg.nga.mil/geo-division/GENC/6/3-11/LT-25","as:GENC:6:3-11:LT-25")</f>
        <v>as:GENC:6:3-11:LT-25</v>
      </c>
    </row>
    <row r="2425" spans="1:7" x14ac:dyDescent="0.25">
      <c r="A2425" s="112"/>
      <c r="B2425" s="21" t="s">
        <v>6499</v>
      </c>
      <c r="C2425" s="21" t="s">
        <v>6500</v>
      </c>
      <c r="D2425" s="21" t="s">
        <v>6450</v>
      </c>
      <c r="E2425" s="50" t="b">
        <v>1</v>
      </c>
      <c r="F2425" s="72" t="str">
        <f>HYPERLINK("http://nsgreg.nga.mil/genc/view?v=293926&amp;end_month=6&amp;end_day=30&amp;end_year=2019","Šakiai")</f>
        <v>Šakiai</v>
      </c>
      <c r="G2425" s="72" t="str">
        <f>HYPERLINK("http://api.nsgreg.nga.mil/geo-division/GENC/6/3-11/LT-41","as:GENC:6:3-11:LT-41")</f>
        <v>as:GENC:6:3-11:LT-41</v>
      </c>
    </row>
    <row r="2426" spans="1:7" x14ac:dyDescent="0.25">
      <c r="A2426" s="112"/>
      <c r="B2426" s="21" t="s">
        <v>6501</v>
      </c>
      <c r="C2426" s="21" t="s">
        <v>6502</v>
      </c>
      <c r="D2426" s="21" t="s">
        <v>6450</v>
      </c>
      <c r="E2426" s="50" t="b">
        <v>1</v>
      </c>
      <c r="F2426" s="72" t="str">
        <f>HYPERLINK("http://nsgreg.nga.mil/genc/view?v=293941&amp;end_month=6&amp;end_day=30&amp;end_year=2019","Vilkaviškis")</f>
        <v>Vilkaviškis</v>
      </c>
      <c r="G2426" s="72" t="str">
        <f>HYPERLINK("http://api.nsgreg.nga.mil/geo-division/GENC/6/3-11/LT-56","as:GENC:6:3-11:LT-56")</f>
        <v>as:GENC:6:3-11:LT-56</v>
      </c>
    </row>
    <row r="2427" spans="1:7" x14ac:dyDescent="0.25">
      <c r="A2427" s="112"/>
      <c r="B2427" s="21" t="s">
        <v>6503</v>
      </c>
      <c r="C2427" s="21" t="s">
        <v>6504</v>
      </c>
      <c r="D2427" s="76" t="s">
        <v>1737</v>
      </c>
      <c r="E2427" s="77" t="b">
        <v>0</v>
      </c>
      <c r="F2427" s="72" t="str">
        <f>HYPERLINK("http://nsgreg.nga.mil/genc/view?v=293950&amp;end_month=6&amp;end_day=30&amp;end_year=2019","Panevėžio Apskritis")</f>
        <v>Panevėžio Apskritis</v>
      </c>
      <c r="G2427" s="72" t="str">
        <f>HYPERLINK("http://api.nsgreg.nga.mil/geo-division/GENC/6/3-11/LT-PN","as:GENC:6:3-11:LT-PN")</f>
        <v>as:GENC:6:3-11:LT-PN</v>
      </c>
    </row>
    <row r="2428" spans="1:7" x14ac:dyDescent="0.25">
      <c r="A2428" s="112"/>
      <c r="B2428" s="21" t="s">
        <v>6505</v>
      </c>
      <c r="C2428" s="21" t="s">
        <v>6506</v>
      </c>
      <c r="D2428" s="21" t="s">
        <v>6450</v>
      </c>
      <c r="E2428" s="50" t="b">
        <v>1</v>
      </c>
      <c r="F2428" s="72" t="str">
        <f>HYPERLINK("http://nsgreg.nga.mil/genc/view?v=293891&amp;end_month=6&amp;end_day=30&amp;end_year=2019","Biržai")</f>
        <v>Biržai</v>
      </c>
      <c r="G2428" s="72" t="str">
        <f>HYPERLINK("http://api.nsgreg.nga.mil/geo-division/GENC/6/3-11/LT-06","as:GENC:6:3-11:LT-06")</f>
        <v>as:GENC:6:3-11:LT-06</v>
      </c>
    </row>
    <row r="2429" spans="1:7" x14ac:dyDescent="0.25">
      <c r="A2429" s="112"/>
      <c r="B2429" s="21" t="s">
        <v>6507</v>
      </c>
      <c r="C2429" s="21" t="s">
        <v>6508</v>
      </c>
      <c r="D2429" s="21" t="s">
        <v>6450</v>
      </c>
      <c r="E2429" s="50" t="b">
        <v>1</v>
      </c>
      <c r="F2429" s="72" t="str">
        <f>HYPERLINK("http://nsgreg.nga.mil/genc/view?v=293908&amp;end_month=6&amp;end_day=30&amp;end_year=2019","Kupiškis")</f>
        <v>Kupiškis</v>
      </c>
      <c r="G2429" s="72" t="str">
        <f>HYPERLINK("http://api.nsgreg.nga.mil/geo-division/GENC/6/3-11/LT-23","as:GENC:6:3-11:LT-23")</f>
        <v>as:GENC:6:3-11:LT-23</v>
      </c>
    </row>
    <row r="2430" spans="1:7" x14ac:dyDescent="0.25">
      <c r="A2430" s="112"/>
      <c r="B2430" s="21" t="s">
        <v>6509</v>
      </c>
      <c r="C2430" s="21" t="s">
        <v>6510</v>
      </c>
      <c r="D2430" s="21" t="s">
        <v>6447</v>
      </c>
      <c r="E2430" s="50" t="b">
        <v>1</v>
      </c>
      <c r="F2430" s="72" t="str">
        <f>HYPERLINK("http://nsgreg.nga.mil/genc/view?v=293917&amp;end_month=6&amp;end_day=30&amp;end_year=2019","Panevėžio Miestas")</f>
        <v>Panevėžio Miestas</v>
      </c>
      <c r="G2430" s="72" t="str">
        <f>HYPERLINK("http://api.nsgreg.nga.mil/geo-division/GENC/6/3-11/LT-32","as:GENC:6:3-11:LT-32")</f>
        <v>as:GENC:6:3-11:LT-32</v>
      </c>
    </row>
    <row r="2431" spans="1:7" x14ac:dyDescent="0.25">
      <c r="A2431" s="112"/>
      <c r="B2431" s="21" t="s">
        <v>6511</v>
      </c>
      <c r="C2431" s="21" t="s">
        <v>6512</v>
      </c>
      <c r="D2431" s="21" t="s">
        <v>6450</v>
      </c>
      <c r="E2431" s="50" t="b">
        <v>1</v>
      </c>
      <c r="F2431" s="72" t="str">
        <f>HYPERLINK("http://nsgreg.nga.mil/genc/view?v=293918&amp;end_month=6&amp;end_day=30&amp;end_year=2019","Panevėžys")</f>
        <v>Panevėžys</v>
      </c>
      <c r="G2431" s="72" t="str">
        <f>HYPERLINK("http://api.nsgreg.nga.mil/geo-division/GENC/6/3-11/LT-33","as:GENC:6:3-11:LT-33")</f>
        <v>as:GENC:6:3-11:LT-33</v>
      </c>
    </row>
    <row r="2432" spans="1:7" x14ac:dyDescent="0.25">
      <c r="A2432" s="112"/>
      <c r="B2432" s="21" t="s">
        <v>6513</v>
      </c>
      <c r="C2432" s="21" t="s">
        <v>6514</v>
      </c>
      <c r="D2432" s="21" t="s">
        <v>6450</v>
      </c>
      <c r="E2432" s="50" t="b">
        <v>1</v>
      </c>
      <c r="F2432" s="72" t="str">
        <f>HYPERLINK("http://nsgreg.nga.mil/genc/view?v=293919&amp;end_month=6&amp;end_day=30&amp;end_year=2019","Pasvalys")</f>
        <v>Pasvalys</v>
      </c>
      <c r="G2432" s="72" t="str">
        <f>HYPERLINK("http://api.nsgreg.nga.mil/geo-division/GENC/6/3-11/LT-34","as:GENC:6:3-11:LT-34")</f>
        <v>as:GENC:6:3-11:LT-34</v>
      </c>
    </row>
    <row r="2433" spans="1:7" x14ac:dyDescent="0.25">
      <c r="A2433" s="112"/>
      <c r="B2433" s="21" t="s">
        <v>6515</v>
      </c>
      <c r="C2433" s="21" t="s">
        <v>6516</v>
      </c>
      <c r="D2433" s="21" t="s">
        <v>6450</v>
      </c>
      <c r="E2433" s="50" t="b">
        <v>1</v>
      </c>
      <c r="F2433" s="72" t="str">
        <f>HYPERLINK("http://nsgreg.nga.mil/genc/view?v=293925&amp;end_month=6&amp;end_day=30&amp;end_year=2019","Rokiškis")</f>
        <v>Rokiškis</v>
      </c>
      <c r="G2433" s="72" t="str">
        <f>HYPERLINK("http://api.nsgreg.nga.mil/geo-division/GENC/6/3-11/LT-40","as:GENC:6:3-11:LT-40")</f>
        <v>as:GENC:6:3-11:LT-40</v>
      </c>
    </row>
    <row r="2434" spans="1:7" x14ac:dyDescent="0.25">
      <c r="A2434" s="112"/>
      <c r="B2434" s="21" t="s">
        <v>6517</v>
      </c>
      <c r="C2434" s="21" t="s">
        <v>6518</v>
      </c>
      <c r="D2434" s="76" t="s">
        <v>1737</v>
      </c>
      <c r="E2434" s="77" t="b">
        <v>0</v>
      </c>
      <c r="F2434" s="72" t="str">
        <f>HYPERLINK("http://nsgreg.nga.mil/genc/view?v=293951&amp;end_month=6&amp;end_day=30&amp;end_year=2019","Šiaulių Apskritis")</f>
        <v>Šiaulių Apskritis</v>
      </c>
      <c r="G2434" s="72" t="str">
        <f>HYPERLINK("http://api.nsgreg.nga.mil/geo-division/GENC/6/3-11/LT-SA","as:GENC:6:3-11:LT-SA")</f>
        <v>as:GENC:6:3-11:LT-SA</v>
      </c>
    </row>
    <row r="2435" spans="1:7" x14ac:dyDescent="0.25">
      <c r="A2435" s="112"/>
      <c r="B2435" s="21" t="s">
        <v>6519</v>
      </c>
      <c r="C2435" s="21" t="s">
        <v>6520</v>
      </c>
      <c r="D2435" s="21" t="s">
        <v>6450</v>
      </c>
      <c r="E2435" s="50" t="b">
        <v>1</v>
      </c>
      <c r="F2435" s="72" t="str">
        <f>HYPERLINK("http://nsgreg.nga.mil/genc/view?v=293886&amp;end_month=6&amp;end_day=30&amp;end_year=2019","Akmenė")</f>
        <v>Akmenė</v>
      </c>
      <c r="G2435" s="72" t="str">
        <f>HYPERLINK("http://api.nsgreg.nga.mil/geo-division/GENC/6/3-11/LT-01","as:GENC:6:3-11:LT-01")</f>
        <v>as:GENC:6:3-11:LT-01</v>
      </c>
    </row>
    <row r="2436" spans="1:7" x14ac:dyDescent="0.25">
      <c r="A2436" s="112"/>
      <c r="B2436" s="21" t="s">
        <v>6521</v>
      </c>
      <c r="C2436" s="21" t="s">
        <v>6522</v>
      </c>
      <c r="D2436" s="21" t="s">
        <v>6450</v>
      </c>
      <c r="E2436" s="50" t="b">
        <v>1</v>
      </c>
      <c r="F2436" s="72" t="str">
        <f>HYPERLINK("http://nsgreg.nga.mil/genc/view?v=293896&amp;end_month=6&amp;end_day=30&amp;end_year=2019","Joniškis")</f>
        <v>Joniškis</v>
      </c>
      <c r="G2436" s="72" t="str">
        <f>HYPERLINK("http://api.nsgreg.nga.mil/geo-division/GENC/6/3-11/LT-11","as:GENC:6:3-11:LT-11")</f>
        <v>as:GENC:6:3-11:LT-11</v>
      </c>
    </row>
    <row r="2437" spans="1:7" x14ac:dyDescent="0.25">
      <c r="A2437" s="112"/>
      <c r="B2437" s="21" t="s">
        <v>6523</v>
      </c>
      <c r="C2437" s="21" t="s">
        <v>6524</v>
      </c>
      <c r="D2437" s="21" t="s">
        <v>6450</v>
      </c>
      <c r="E2437" s="50" t="b">
        <v>1</v>
      </c>
      <c r="F2437" s="72" t="str">
        <f>HYPERLINK("http://nsgreg.nga.mil/genc/view?v=293904&amp;end_month=6&amp;end_day=30&amp;end_year=2019","Kelmė")</f>
        <v>Kelmė</v>
      </c>
      <c r="G2437" s="72" t="str">
        <f>HYPERLINK("http://api.nsgreg.nga.mil/geo-division/GENC/6/3-11/LT-19","as:GENC:6:3-11:LT-19")</f>
        <v>as:GENC:6:3-11:LT-19</v>
      </c>
    </row>
    <row r="2438" spans="1:7" x14ac:dyDescent="0.25">
      <c r="A2438" s="112"/>
      <c r="B2438" s="21" t="s">
        <v>6525</v>
      </c>
      <c r="C2438" s="21" t="s">
        <v>6526</v>
      </c>
      <c r="D2438" s="21" t="s">
        <v>6450</v>
      </c>
      <c r="E2438" s="50" t="b">
        <v>1</v>
      </c>
      <c r="F2438" s="72" t="str">
        <f>HYPERLINK("http://nsgreg.nga.mil/genc/view?v=293915&amp;end_month=6&amp;end_day=30&amp;end_year=2019","Pakruojis")</f>
        <v>Pakruojis</v>
      </c>
      <c r="G2438" s="72" t="str">
        <f>HYPERLINK("http://api.nsgreg.nga.mil/geo-division/GENC/6/3-11/LT-30","as:GENC:6:3-11:LT-30")</f>
        <v>as:GENC:6:3-11:LT-30</v>
      </c>
    </row>
    <row r="2439" spans="1:7" x14ac:dyDescent="0.25">
      <c r="A2439" s="112"/>
      <c r="B2439" s="21" t="s">
        <v>6527</v>
      </c>
      <c r="C2439" s="21" t="s">
        <v>6528</v>
      </c>
      <c r="D2439" s="21" t="s">
        <v>6450</v>
      </c>
      <c r="E2439" s="50" t="b">
        <v>1</v>
      </c>
      <c r="F2439" s="72" t="str">
        <f>HYPERLINK("http://nsgreg.nga.mil/genc/view?v=293922&amp;end_month=6&amp;end_day=30&amp;end_year=2019","Radviliškis")</f>
        <v>Radviliškis</v>
      </c>
      <c r="G2439" s="72" t="str">
        <f>HYPERLINK("http://api.nsgreg.nga.mil/geo-division/GENC/6/3-11/LT-37","as:GENC:6:3-11:LT-37")</f>
        <v>as:GENC:6:3-11:LT-37</v>
      </c>
    </row>
    <row r="2440" spans="1:7" x14ac:dyDescent="0.25">
      <c r="A2440" s="112"/>
      <c r="B2440" s="21" t="s">
        <v>6529</v>
      </c>
      <c r="C2440" s="21" t="s">
        <v>6530</v>
      </c>
      <c r="D2440" s="21" t="s">
        <v>6450</v>
      </c>
      <c r="E2440" s="50" t="b">
        <v>1</v>
      </c>
      <c r="F2440" s="72" t="str">
        <f>HYPERLINK("http://nsgreg.nga.mil/genc/view?v=293929&amp;end_month=6&amp;end_day=30&amp;end_year=2019","Šiauliai")</f>
        <v>Šiauliai</v>
      </c>
      <c r="G2440" s="72" t="str">
        <f>HYPERLINK("http://api.nsgreg.nga.mil/geo-division/GENC/6/3-11/LT-44","as:GENC:6:3-11:LT-44")</f>
        <v>as:GENC:6:3-11:LT-44</v>
      </c>
    </row>
    <row r="2441" spans="1:7" x14ac:dyDescent="0.25">
      <c r="A2441" s="112"/>
      <c r="B2441" s="21" t="s">
        <v>6531</v>
      </c>
      <c r="C2441" s="21" t="s">
        <v>6532</v>
      </c>
      <c r="D2441" s="21" t="s">
        <v>6447</v>
      </c>
      <c r="E2441" s="50" t="b">
        <v>1</v>
      </c>
      <c r="F2441" s="72" t="str">
        <f>HYPERLINK("http://nsgreg.nga.mil/genc/view?v=293928&amp;end_month=6&amp;end_day=30&amp;end_year=2019","Šiaulių Miestas")</f>
        <v>Šiaulių Miestas</v>
      </c>
      <c r="G2441" s="72" t="str">
        <f>HYPERLINK("http://api.nsgreg.nga.mil/geo-division/GENC/6/3-11/LT-43","as:GENC:6:3-11:LT-43")</f>
        <v>as:GENC:6:3-11:LT-43</v>
      </c>
    </row>
    <row r="2442" spans="1:7" x14ac:dyDescent="0.25">
      <c r="A2442" s="112"/>
      <c r="B2442" s="21" t="s">
        <v>6533</v>
      </c>
      <c r="C2442" s="21" t="s">
        <v>6534</v>
      </c>
      <c r="D2442" s="76" t="s">
        <v>1737</v>
      </c>
      <c r="E2442" s="77" t="b">
        <v>0</v>
      </c>
      <c r="F2442" s="72" t="str">
        <f>HYPERLINK("http://nsgreg.nga.mil/genc/view?v=293952&amp;end_month=6&amp;end_day=30&amp;end_year=2019","Tauragės Apskritis")</f>
        <v>Tauragės Apskritis</v>
      </c>
      <c r="G2442" s="72" t="str">
        <f>HYPERLINK("http://api.nsgreg.nga.mil/geo-division/GENC/6/3-11/LT-TA","as:GENC:6:3-11:LT-TA")</f>
        <v>as:GENC:6:3-11:LT-TA</v>
      </c>
    </row>
    <row r="2443" spans="1:7" x14ac:dyDescent="0.25">
      <c r="A2443" s="112"/>
      <c r="B2443" s="21" t="s">
        <v>6535</v>
      </c>
      <c r="C2443" s="21" t="s">
        <v>6536</v>
      </c>
      <c r="D2443" s="21" t="s">
        <v>6450</v>
      </c>
      <c r="E2443" s="50" t="b">
        <v>1</v>
      </c>
      <c r="F2443" s="72" t="str">
        <f>HYPERLINK("http://nsgreg.nga.mil/genc/view?v=293897&amp;end_month=6&amp;end_day=30&amp;end_year=2019","Jurbarkas")</f>
        <v>Jurbarkas</v>
      </c>
      <c r="G2443" s="72" t="str">
        <f>HYPERLINK("http://api.nsgreg.nga.mil/geo-division/GENC/6/3-11/LT-12","as:GENC:6:3-11:LT-12")</f>
        <v>as:GENC:6:3-11:LT-12</v>
      </c>
    </row>
    <row r="2444" spans="1:7" x14ac:dyDescent="0.25">
      <c r="A2444" s="112"/>
      <c r="B2444" s="21" t="s">
        <v>6537</v>
      </c>
      <c r="C2444" s="21" t="s">
        <v>6538</v>
      </c>
      <c r="D2444" s="21" t="s">
        <v>2505</v>
      </c>
      <c r="E2444" s="50" t="b">
        <v>1</v>
      </c>
      <c r="F2444" s="72" t="str">
        <f>HYPERLINK("http://nsgreg.nga.mil/genc/view?v=293914&amp;end_month=6&amp;end_day=30&amp;end_year=2019","Pagégiai")</f>
        <v>Pagégiai</v>
      </c>
      <c r="G2444" s="72" t="str">
        <f>HYPERLINK("http://api.nsgreg.nga.mil/geo-division/GENC/6/3-11/LT-29","as:GENC:6:3-11:LT-29")</f>
        <v>as:GENC:6:3-11:LT-29</v>
      </c>
    </row>
    <row r="2445" spans="1:7" x14ac:dyDescent="0.25">
      <c r="A2445" s="112"/>
      <c r="B2445" s="21" t="s">
        <v>6539</v>
      </c>
      <c r="C2445" s="21" t="s">
        <v>6540</v>
      </c>
      <c r="D2445" s="21" t="s">
        <v>6450</v>
      </c>
      <c r="E2445" s="50" t="b">
        <v>1</v>
      </c>
      <c r="F2445" s="72" t="str">
        <f>HYPERLINK("http://nsgreg.nga.mil/genc/view?v=293930&amp;end_month=6&amp;end_day=30&amp;end_year=2019","Šilalė")</f>
        <v>Šilalė</v>
      </c>
      <c r="G2445" s="72" t="str">
        <f>HYPERLINK("http://api.nsgreg.nga.mil/geo-division/GENC/6/3-11/LT-45","as:GENC:6:3-11:LT-45")</f>
        <v>as:GENC:6:3-11:LT-45</v>
      </c>
    </row>
    <row r="2446" spans="1:7" x14ac:dyDescent="0.25">
      <c r="A2446" s="112"/>
      <c r="B2446" s="21" t="s">
        <v>6541</v>
      </c>
      <c r="C2446" s="21" t="s">
        <v>6542</v>
      </c>
      <c r="D2446" s="21" t="s">
        <v>6450</v>
      </c>
      <c r="E2446" s="50" t="b">
        <v>1</v>
      </c>
      <c r="F2446" s="72" t="str">
        <f>HYPERLINK("http://nsgreg.nga.mil/genc/view?v=293935&amp;end_month=6&amp;end_day=30&amp;end_year=2019","Tauragė")</f>
        <v>Tauragė</v>
      </c>
      <c r="G2446" s="72" t="str">
        <f>HYPERLINK("http://api.nsgreg.nga.mil/geo-division/GENC/6/3-11/LT-50","as:GENC:6:3-11:LT-50")</f>
        <v>as:GENC:6:3-11:LT-50</v>
      </c>
    </row>
    <row r="2447" spans="1:7" x14ac:dyDescent="0.25">
      <c r="A2447" s="112"/>
      <c r="B2447" s="21" t="s">
        <v>6543</v>
      </c>
      <c r="C2447" s="21" t="s">
        <v>6544</v>
      </c>
      <c r="D2447" s="76" t="s">
        <v>1737</v>
      </c>
      <c r="E2447" s="77" t="b">
        <v>0</v>
      </c>
      <c r="F2447" s="72" t="str">
        <f>HYPERLINK("http://nsgreg.nga.mil/genc/view?v=293953&amp;end_month=6&amp;end_day=30&amp;end_year=2019","Telšių Apskritis")</f>
        <v>Telšių Apskritis</v>
      </c>
      <c r="G2447" s="72" t="str">
        <f>HYPERLINK("http://api.nsgreg.nga.mil/geo-division/GENC/6/3-11/LT-TE","as:GENC:6:3-11:LT-TE")</f>
        <v>as:GENC:6:3-11:LT-TE</v>
      </c>
    </row>
    <row r="2448" spans="1:7" x14ac:dyDescent="0.25">
      <c r="A2448" s="112"/>
      <c r="B2448" s="21" t="s">
        <v>6545</v>
      </c>
      <c r="C2448" s="21" t="s">
        <v>6546</v>
      </c>
      <c r="D2448" s="21" t="s">
        <v>6450</v>
      </c>
      <c r="E2448" s="50" t="b">
        <v>1</v>
      </c>
      <c r="F2448" s="72" t="str">
        <f>HYPERLINK("http://nsgreg.nga.mil/genc/view?v=293911&amp;end_month=6&amp;end_day=30&amp;end_year=2019","Mažeikiai")</f>
        <v>Mažeikiai</v>
      </c>
      <c r="G2448" s="72" t="str">
        <f>HYPERLINK("http://api.nsgreg.nga.mil/geo-division/GENC/6/3-11/LT-26","as:GENC:6:3-11:LT-26")</f>
        <v>as:GENC:6:3-11:LT-26</v>
      </c>
    </row>
    <row r="2449" spans="1:7" x14ac:dyDescent="0.25">
      <c r="A2449" s="112"/>
      <c r="B2449" s="21" t="s">
        <v>6547</v>
      </c>
      <c r="C2449" s="21" t="s">
        <v>6548</v>
      </c>
      <c r="D2449" s="21" t="s">
        <v>6450</v>
      </c>
      <c r="E2449" s="50" t="b">
        <v>1</v>
      </c>
      <c r="F2449" s="72" t="str">
        <f>HYPERLINK("http://nsgreg.nga.mil/genc/view?v=293920&amp;end_month=6&amp;end_day=30&amp;end_year=2019","Plungė")</f>
        <v>Plungė</v>
      </c>
      <c r="G2449" s="72" t="str">
        <f>HYPERLINK("http://api.nsgreg.nga.mil/geo-division/GENC/6/3-11/LT-35","as:GENC:6:3-11:LT-35")</f>
        <v>as:GENC:6:3-11:LT-35</v>
      </c>
    </row>
    <row r="2450" spans="1:7" x14ac:dyDescent="0.25">
      <c r="A2450" s="112"/>
      <c r="B2450" s="21" t="s">
        <v>6549</v>
      </c>
      <c r="C2450" s="21" t="s">
        <v>6550</v>
      </c>
      <c r="D2450" s="21" t="s">
        <v>2505</v>
      </c>
      <c r="E2450" s="50" t="b">
        <v>1</v>
      </c>
      <c r="F2450" s="72" t="str">
        <f>HYPERLINK("http://nsgreg.nga.mil/genc/view?v=293924&amp;end_month=6&amp;end_day=30&amp;end_year=2019","Rietavo")</f>
        <v>Rietavo</v>
      </c>
      <c r="G2450" s="72" t="str">
        <f>HYPERLINK("http://api.nsgreg.nga.mil/geo-division/GENC/6/3-11/LT-39","as:GENC:6:3-11:LT-39")</f>
        <v>as:GENC:6:3-11:LT-39</v>
      </c>
    </row>
    <row r="2451" spans="1:7" x14ac:dyDescent="0.25">
      <c r="A2451" s="112"/>
      <c r="B2451" s="21" t="s">
        <v>6551</v>
      </c>
      <c r="C2451" s="21" t="s">
        <v>6552</v>
      </c>
      <c r="D2451" s="21" t="s">
        <v>6450</v>
      </c>
      <c r="E2451" s="50" t="b">
        <v>1</v>
      </c>
      <c r="F2451" s="72" t="str">
        <f>HYPERLINK("http://nsgreg.nga.mil/genc/view?v=293936&amp;end_month=6&amp;end_day=30&amp;end_year=2019","Telšiai")</f>
        <v>Telšiai</v>
      </c>
      <c r="G2451" s="72" t="str">
        <f>HYPERLINK("http://api.nsgreg.nga.mil/geo-division/GENC/6/3-11/LT-51","as:GENC:6:3-11:LT-51")</f>
        <v>as:GENC:6:3-11:LT-51</v>
      </c>
    </row>
    <row r="2452" spans="1:7" x14ac:dyDescent="0.25">
      <c r="A2452" s="112"/>
      <c r="B2452" s="21" t="s">
        <v>6553</v>
      </c>
      <c r="C2452" s="21" t="s">
        <v>6554</v>
      </c>
      <c r="D2452" s="76" t="s">
        <v>1737</v>
      </c>
      <c r="E2452" s="77" t="b">
        <v>0</v>
      </c>
      <c r="F2452" s="72" t="str">
        <f>HYPERLINK("http://nsgreg.nga.mil/genc/view?v=293954&amp;end_month=6&amp;end_day=30&amp;end_year=2019","Utenos Apskritis")</f>
        <v>Utenos Apskritis</v>
      </c>
      <c r="G2452" s="72" t="str">
        <f>HYPERLINK("http://api.nsgreg.nga.mil/geo-division/GENC/6/3-11/LT-UT","as:GENC:6:3-11:LT-UT")</f>
        <v>as:GENC:6:3-11:LT-UT</v>
      </c>
    </row>
    <row r="2453" spans="1:7" x14ac:dyDescent="0.25">
      <c r="A2453" s="112"/>
      <c r="B2453" s="21" t="s">
        <v>6555</v>
      </c>
      <c r="C2453" s="21" t="s">
        <v>6556</v>
      </c>
      <c r="D2453" s="21" t="s">
        <v>6450</v>
      </c>
      <c r="E2453" s="50" t="b">
        <v>1</v>
      </c>
      <c r="F2453" s="72" t="str">
        <f>HYPERLINK("http://nsgreg.nga.mil/genc/view?v=293889&amp;end_month=6&amp;end_day=30&amp;end_year=2019","Anykščiai")</f>
        <v>Anykščiai</v>
      </c>
      <c r="G2453" s="72" t="str">
        <f>HYPERLINK("http://api.nsgreg.nga.mil/geo-division/GENC/6/3-11/LT-04","as:GENC:6:3-11:LT-04")</f>
        <v>as:GENC:6:3-11:LT-04</v>
      </c>
    </row>
    <row r="2454" spans="1:7" x14ac:dyDescent="0.25">
      <c r="A2454" s="112"/>
      <c r="B2454" s="21" t="s">
        <v>6557</v>
      </c>
      <c r="C2454" s="21" t="s">
        <v>6558</v>
      </c>
      <c r="D2454" s="21" t="s">
        <v>6450</v>
      </c>
      <c r="E2454" s="50" t="b">
        <v>1</v>
      </c>
      <c r="F2454" s="72" t="str">
        <f>HYPERLINK("http://nsgreg.nga.mil/genc/view?v=293894&amp;end_month=6&amp;end_day=30&amp;end_year=2019","Ignalina")</f>
        <v>Ignalina</v>
      </c>
      <c r="G2454" s="72" t="str">
        <f>HYPERLINK("http://api.nsgreg.nga.mil/geo-division/GENC/6/3-11/LT-09","as:GENC:6:3-11:LT-09")</f>
        <v>as:GENC:6:3-11:LT-09</v>
      </c>
    </row>
    <row r="2455" spans="1:7" x14ac:dyDescent="0.25">
      <c r="A2455" s="112"/>
      <c r="B2455" s="21" t="s">
        <v>6559</v>
      </c>
      <c r="C2455" s="21" t="s">
        <v>6560</v>
      </c>
      <c r="D2455" s="21" t="s">
        <v>6450</v>
      </c>
      <c r="E2455" s="50" t="b">
        <v>1</v>
      </c>
      <c r="F2455" s="72" t="str">
        <f>HYPERLINK("http://nsgreg.nga.mil/genc/view?v=293912&amp;end_month=6&amp;end_day=30&amp;end_year=2019","Molėtai")</f>
        <v>Molėtai</v>
      </c>
      <c r="G2455" s="72" t="str">
        <f>HYPERLINK("http://api.nsgreg.nga.mil/geo-division/GENC/6/3-11/LT-27","as:GENC:6:3-11:LT-27")</f>
        <v>as:GENC:6:3-11:LT-27</v>
      </c>
    </row>
    <row r="2456" spans="1:7" x14ac:dyDescent="0.25">
      <c r="A2456" s="112"/>
      <c r="B2456" s="21" t="s">
        <v>6561</v>
      </c>
      <c r="C2456" s="21" t="s">
        <v>6562</v>
      </c>
      <c r="D2456" s="21" t="s">
        <v>6450</v>
      </c>
      <c r="E2456" s="50" t="b">
        <v>1</v>
      </c>
      <c r="F2456" s="72" t="str">
        <f>HYPERLINK("http://nsgreg.nga.mil/genc/view?v=293939&amp;end_month=6&amp;end_day=30&amp;end_year=2019","Utena")</f>
        <v>Utena</v>
      </c>
      <c r="G2456" s="72" t="str">
        <f>HYPERLINK("http://api.nsgreg.nga.mil/geo-division/GENC/6/3-11/LT-54","as:GENC:6:3-11:LT-54")</f>
        <v>as:GENC:6:3-11:LT-54</v>
      </c>
    </row>
    <row r="2457" spans="1:7" x14ac:dyDescent="0.25">
      <c r="A2457" s="112"/>
      <c r="B2457" s="21" t="s">
        <v>6563</v>
      </c>
      <c r="C2457" s="21" t="s">
        <v>6564</v>
      </c>
      <c r="D2457" s="21" t="s">
        <v>2505</v>
      </c>
      <c r="E2457" s="50" t="b">
        <v>1</v>
      </c>
      <c r="F2457" s="72" t="str">
        <f>HYPERLINK("http://nsgreg.nga.mil/genc/view?v=293944&amp;end_month=6&amp;end_day=30&amp;end_year=2019","Visaginas")</f>
        <v>Visaginas</v>
      </c>
      <c r="G2457" s="72" t="str">
        <f>HYPERLINK("http://api.nsgreg.nga.mil/geo-division/GENC/6/3-11/LT-59","as:GENC:6:3-11:LT-59")</f>
        <v>as:GENC:6:3-11:LT-59</v>
      </c>
    </row>
    <row r="2458" spans="1:7" x14ac:dyDescent="0.25">
      <c r="A2458" s="112"/>
      <c r="B2458" s="21" t="s">
        <v>6565</v>
      </c>
      <c r="C2458" s="21" t="s">
        <v>6566</v>
      </c>
      <c r="D2458" s="21" t="s">
        <v>6450</v>
      </c>
      <c r="E2458" s="50" t="b">
        <v>1</v>
      </c>
      <c r="F2458" s="72" t="str">
        <f>HYPERLINK("http://nsgreg.nga.mil/genc/view?v=293945&amp;end_month=6&amp;end_day=30&amp;end_year=2019","Zarasai")</f>
        <v>Zarasai</v>
      </c>
      <c r="G2458" s="72" t="str">
        <f>HYPERLINK("http://api.nsgreg.nga.mil/geo-division/GENC/6/3-11/LT-60","as:GENC:6:3-11:LT-60")</f>
        <v>as:GENC:6:3-11:LT-60</v>
      </c>
    </row>
    <row r="2459" spans="1:7" x14ac:dyDescent="0.25">
      <c r="A2459" s="112"/>
      <c r="B2459" s="21" t="s">
        <v>6567</v>
      </c>
      <c r="C2459" s="21" t="s">
        <v>6568</v>
      </c>
      <c r="D2459" s="76" t="s">
        <v>1737</v>
      </c>
      <c r="E2459" s="77" t="b">
        <v>0</v>
      </c>
      <c r="F2459" s="72" t="str">
        <f>HYPERLINK("http://nsgreg.nga.mil/genc/view?v=293955&amp;end_month=6&amp;end_day=30&amp;end_year=2019","Vilniaus Apskritis")</f>
        <v>Vilniaus Apskritis</v>
      </c>
      <c r="G2459" s="72" t="str">
        <f>HYPERLINK("http://api.nsgreg.nga.mil/geo-division/GENC/6/3-11/LT-VL","as:GENC:6:3-11:LT-VL")</f>
        <v>as:GENC:6:3-11:LT-VL</v>
      </c>
    </row>
    <row r="2460" spans="1:7" x14ac:dyDescent="0.25">
      <c r="A2460" s="112"/>
      <c r="B2460" s="21" t="s">
        <v>6569</v>
      </c>
      <c r="C2460" s="21" t="s">
        <v>6570</v>
      </c>
      <c r="D2460" s="21" t="s">
        <v>2505</v>
      </c>
      <c r="E2460" s="50" t="b">
        <v>1</v>
      </c>
      <c r="F2460" s="72" t="str">
        <f>HYPERLINK("http://nsgreg.nga.mil/genc/view?v=293893&amp;end_month=6&amp;end_day=30&amp;end_year=2019","Elektrénai")</f>
        <v>Elektrénai</v>
      </c>
      <c r="G2460" s="72" t="str">
        <f>HYPERLINK("http://api.nsgreg.nga.mil/geo-division/GENC/6/3-11/LT-08","as:GENC:6:3-11:LT-08")</f>
        <v>as:GENC:6:3-11:LT-08</v>
      </c>
    </row>
    <row r="2461" spans="1:7" x14ac:dyDescent="0.25">
      <c r="A2461" s="112"/>
      <c r="B2461" s="21" t="s">
        <v>6571</v>
      </c>
      <c r="C2461" s="21" t="s">
        <v>6572</v>
      </c>
      <c r="D2461" s="21" t="s">
        <v>6450</v>
      </c>
      <c r="E2461" s="50" t="b">
        <v>1</v>
      </c>
      <c r="F2461" s="72" t="str">
        <f>HYPERLINK("http://nsgreg.nga.mil/genc/view?v=293927&amp;end_month=6&amp;end_day=30&amp;end_year=2019","Šalčininkai")</f>
        <v>Šalčininkai</v>
      </c>
      <c r="G2461" s="72" t="str">
        <f>HYPERLINK("http://api.nsgreg.nga.mil/geo-division/GENC/6/3-11/LT-42","as:GENC:6:3-11:LT-42")</f>
        <v>as:GENC:6:3-11:LT-42</v>
      </c>
    </row>
    <row r="2462" spans="1:7" x14ac:dyDescent="0.25">
      <c r="A2462" s="112"/>
      <c r="B2462" s="21" t="s">
        <v>6573</v>
      </c>
      <c r="C2462" s="21" t="s">
        <v>6574</v>
      </c>
      <c r="D2462" s="21" t="s">
        <v>6450</v>
      </c>
      <c r="E2462" s="50" t="b">
        <v>1</v>
      </c>
      <c r="F2462" s="72" t="str">
        <f>HYPERLINK("http://nsgreg.nga.mil/genc/view?v=293932&amp;end_month=6&amp;end_day=30&amp;end_year=2019","Širvintos")</f>
        <v>Širvintos</v>
      </c>
      <c r="G2462" s="72" t="str">
        <f>HYPERLINK("http://api.nsgreg.nga.mil/geo-division/GENC/6/3-11/LT-47","as:GENC:6:3-11:LT-47")</f>
        <v>as:GENC:6:3-11:LT-47</v>
      </c>
    </row>
    <row r="2463" spans="1:7" x14ac:dyDescent="0.25">
      <c r="A2463" s="112"/>
      <c r="B2463" s="21" t="s">
        <v>6575</v>
      </c>
      <c r="C2463" s="21" t="s">
        <v>6576</v>
      </c>
      <c r="D2463" s="21" t="s">
        <v>6450</v>
      </c>
      <c r="E2463" s="50" t="b">
        <v>1</v>
      </c>
      <c r="F2463" s="72" t="str">
        <f>HYPERLINK("http://nsgreg.nga.mil/genc/view?v=293934&amp;end_month=6&amp;end_day=30&amp;end_year=2019","Švenčionys")</f>
        <v>Švenčionys</v>
      </c>
      <c r="G2463" s="72" t="str">
        <f>HYPERLINK("http://api.nsgreg.nga.mil/geo-division/GENC/6/3-11/LT-49","as:GENC:6:3-11:LT-49")</f>
        <v>as:GENC:6:3-11:LT-49</v>
      </c>
    </row>
    <row r="2464" spans="1:7" x14ac:dyDescent="0.25">
      <c r="A2464" s="112"/>
      <c r="B2464" s="21" t="s">
        <v>6577</v>
      </c>
      <c r="C2464" s="21" t="s">
        <v>6578</v>
      </c>
      <c r="D2464" s="21" t="s">
        <v>6450</v>
      </c>
      <c r="E2464" s="50" t="b">
        <v>1</v>
      </c>
      <c r="F2464" s="72" t="str">
        <f>HYPERLINK("http://nsgreg.nga.mil/genc/view?v=293937&amp;end_month=6&amp;end_day=30&amp;end_year=2019","Trakai")</f>
        <v>Trakai</v>
      </c>
      <c r="G2464" s="72" t="str">
        <f>HYPERLINK("http://api.nsgreg.nga.mil/geo-division/GENC/6/3-11/LT-52","as:GENC:6:3-11:LT-52")</f>
        <v>as:GENC:6:3-11:LT-52</v>
      </c>
    </row>
    <row r="2465" spans="1:7" x14ac:dyDescent="0.25">
      <c r="A2465" s="112"/>
      <c r="B2465" s="21" t="s">
        <v>6579</v>
      </c>
      <c r="C2465" s="21" t="s">
        <v>6580</v>
      </c>
      <c r="D2465" s="21" t="s">
        <v>6450</v>
      </c>
      <c r="E2465" s="50" t="b">
        <v>1</v>
      </c>
      <c r="F2465" s="72" t="str">
        <f>HYPERLINK("http://nsgreg.nga.mil/genc/view?v=293938&amp;end_month=6&amp;end_day=30&amp;end_year=2019","Ukmergė")</f>
        <v>Ukmergė</v>
      </c>
      <c r="G2465" s="72" t="str">
        <f>HYPERLINK("http://api.nsgreg.nga.mil/geo-division/GENC/6/3-11/LT-53","as:GENC:6:3-11:LT-53")</f>
        <v>as:GENC:6:3-11:LT-53</v>
      </c>
    </row>
    <row r="2466" spans="1:7" x14ac:dyDescent="0.25">
      <c r="A2466" s="112"/>
      <c r="B2466" s="21" t="s">
        <v>6581</v>
      </c>
      <c r="C2466" s="21" t="s">
        <v>6582</v>
      </c>
      <c r="D2466" s="21" t="s">
        <v>6447</v>
      </c>
      <c r="E2466" s="50" t="b">
        <v>1</v>
      </c>
      <c r="F2466" s="72" t="str">
        <f>HYPERLINK("http://nsgreg.nga.mil/genc/view?v=293942&amp;end_month=6&amp;end_day=30&amp;end_year=2019","Vilniaus Miestas")</f>
        <v>Vilniaus Miestas</v>
      </c>
      <c r="G2466" s="72" t="str">
        <f>HYPERLINK("http://api.nsgreg.nga.mil/geo-division/GENC/6/3-11/LT-57","as:GENC:6:3-11:LT-57")</f>
        <v>as:GENC:6:3-11:LT-57</v>
      </c>
    </row>
    <row r="2467" spans="1:7" x14ac:dyDescent="0.25">
      <c r="A2467" s="113"/>
      <c r="B2467" s="47" t="s">
        <v>6583</v>
      </c>
      <c r="C2467" s="47" t="s">
        <v>6584</v>
      </c>
      <c r="D2467" s="47" t="s">
        <v>6450</v>
      </c>
      <c r="E2467" s="51" t="b">
        <v>1</v>
      </c>
      <c r="F2467" s="73" t="str">
        <f>HYPERLINK("http://nsgreg.nga.mil/genc/view?v=293943&amp;end_month=6&amp;end_day=30&amp;end_year=2019","Vilnius")</f>
        <v>Vilnius</v>
      </c>
      <c r="G2467" s="73" t="str">
        <f>HYPERLINK("http://api.nsgreg.nga.mil/geo-division/GENC/6/3-11/LT-58","as:GENC:6:3-11:LT-58")</f>
        <v>as:GENC:6:3-11:LT-58</v>
      </c>
    </row>
    <row r="2468" spans="1:7" x14ac:dyDescent="0.25">
      <c r="A2468" s="111" t="str">
        <f>HYPERLINK("[#]Codes_for_GE_Names!A158:I158","LUXEMBOURG")</f>
        <v>LUXEMBOURG</v>
      </c>
      <c r="B2468" s="42" t="s">
        <v>6585</v>
      </c>
      <c r="C2468" s="42" t="s">
        <v>6586</v>
      </c>
      <c r="D2468" s="42" t="s">
        <v>6587</v>
      </c>
      <c r="E2468" s="49" t="b">
        <v>1</v>
      </c>
      <c r="F2468" s="74" t="str">
        <f>HYPERLINK("http://nsgreg.nga.mil/genc/view?v=293956&amp;end_month=6&amp;end_day=30&amp;end_year=2019","Capellen")</f>
        <v>Capellen</v>
      </c>
      <c r="G2468" s="74" t="str">
        <f>HYPERLINK("http://api.nsgreg.nga.mil/geo-division/GENC/6/3-11/LU-CA","as:GENC:6:3-11:LU-CA")</f>
        <v>as:GENC:6:3-11:LU-CA</v>
      </c>
    </row>
    <row r="2469" spans="1:7" x14ac:dyDescent="0.25">
      <c r="A2469" s="112"/>
      <c r="B2469" s="21" t="s">
        <v>6588</v>
      </c>
      <c r="C2469" s="21" t="s">
        <v>6589</v>
      </c>
      <c r="D2469" s="21" t="s">
        <v>6587</v>
      </c>
      <c r="E2469" s="50" t="b">
        <v>1</v>
      </c>
      <c r="F2469" s="72" t="str">
        <f>HYPERLINK("http://nsgreg.nga.mil/genc/view?v=293957&amp;end_month=6&amp;end_day=30&amp;end_year=2019","Clervaux")</f>
        <v>Clervaux</v>
      </c>
      <c r="G2469" s="72" t="str">
        <f>HYPERLINK("http://api.nsgreg.nga.mil/geo-division/GENC/6/3-11/LU-CL","as:GENC:6:3-11:LU-CL")</f>
        <v>as:GENC:6:3-11:LU-CL</v>
      </c>
    </row>
    <row r="2470" spans="1:7" x14ac:dyDescent="0.25">
      <c r="A2470" s="112"/>
      <c r="B2470" s="21" t="s">
        <v>6590</v>
      </c>
      <c r="C2470" s="21" t="s">
        <v>6591</v>
      </c>
      <c r="D2470" s="21" t="s">
        <v>6587</v>
      </c>
      <c r="E2470" s="50" t="b">
        <v>1</v>
      </c>
      <c r="F2470" s="72" t="str">
        <f>HYPERLINK("http://nsgreg.nga.mil/genc/view?v=293958&amp;end_month=6&amp;end_day=30&amp;end_year=2019","Diekirch")</f>
        <v>Diekirch</v>
      </c>
      <c r="G2470" s="72" t="str">
        <f>HYPERLINK("http://api.nsgreg.nga.mil/geo-division/GENC/6/3-11/LU-DI","as:GENC:6:3-11:LU-DI")</f>
        <v>as:GENC:6:3-11:LU-DI</v>
      </c>
    </row>
    <row r="2471" spans="1:7" x14ac:dyDescent="0.25">
      <c r="A2471" s="112"/>
      <c r="B2471" s="21" t="s">
        <v>6592</v>
      </c>
      <c r="C2471" s="21" t="s">
        <v>6593</v>
      </c>
      <c r="D2471" s="21" t="s">
        <v>6587</v>
      </c>
      <c r="E2471" s="50" t="b">
        <v>1</v>
      </c>
      <c r="F2471" s="72" t="str">
        <f>HYPERLINK("http://nsgreg.nga.mil/genc/view?v=293959&amp;end_month=6&amp;end_day=30&amp;end_year=2019","Echternach")</f>
        <v>Echternach</v>
      </c>
      <c r="G2471" s="72" t="str">
        <f>HYPERLINK("http://api.nsgreg.nga.mil/geo-division/GENC/6/3-11/LU-EC","as:GENC:6:3-11:LU-EC")</f>
        <v>as:GENC:6:3-11:LU-EC</v>
      </c>
    </row>
    <row r="2472" spans="1:7" x14ac:dyDescent="0.25">
      <c r="A2472" s="112"/>
      <c r="B2472" s="21" t="s">
        <v>6594</v>
      </c>
      <c r="C2472" s="21" t="s">
        <v>6595</v>
      </c>
      <c r="D2472" s="21" t="s">
        <v>6587</v>
      </c>
      <c r="E2472" s="50" t="b">
        <v>1</v>
      </c>
      <c r="F2472" s="72" t="str">
        <f>HYPERLINK("http://nsgreg.nga.mil/genc/view?v=293960&amp;end_month=6&amp;end_day=30&amp;end_year=2019","Esch-sur-Alzette")</f>
        <v>Esch-sur-Alzette</v>
      </c>
      <c r="G2472" s="72" t="str">
        <f>HYPERLINK("http://api.nsgreg.nga.mil/geo-division/GENC/6/3-11/LU-ES","as:GENC:6:3-11:LU-ES")</f>
        <v>as:GENC:6:3-11:LU-ES</v>
      </c>
    </row>
    <row r="2473" spans="1:7" x14ac:dyDescent="0.25">
      <c r="A2473" s="112"/>
      <c r="B2473" s="21" t="s">
        <v>6596</v>
      </c>
      <c r="C2473" s="21" t="s">
        <v>6597</v>
      </c>
      <c r="D2473" s="21" t="s">
        <v>6587</v>
      </c>
      <c r="E2473" s="50" t="b">
        <v>1</v>
      </c>
      <c r="F2473" s="72" t="str">
        <f>HYPERLINK("http://nsgreg.nga.mil/genc/view?v=293961&amp;end_month=6&amp;end_day=30&amp;end_year=2019","Grevenmacher")</f>
        <v>Grevenmacher</v>
      </c>
      <c r="G2473" s="72" t="str">
        <f>HYPERLINK("http://api.nsgreg.nga.mil/geo-division/GENC/6/3-11/LU-GR","as:GENC:6:3-11:LU-GR")</f>
        <v>as:GENC:6:3-11:LU-GR</v>
      </c>
    </row>
    <row r="2474" spans="1:7" x14ac:dyDescent="0.25">
      <c r="A2474" s="112"/>
      <c r="B2474" s="21" t="s">
        <v>6598</v>
      </c>
      <c r="C2474" s="21" t="s">
        <v>950</v>
      </c>
      <c r="D2474" s="21" t="s">
        <v>6587</v>
      </c>
      <c r="E2474" s="50" t="b">
        <v>1</v>
      </c>
      <c r="F2474" s="72" t="str">
        <f>HYPERLINK("http://nsgreg.nga.mil/genc/view?v=293962&amp;end_month=6&amp;end_day=30&amp;end_year=2019","Luxembourg")</f>
        <v>Luxembourg</v>
      </c>
      <c r="G2474" s="72" t="str">
        <f>HYPERLINK("http://api.nsgreg.nga.mil/geo-division/GENC/6/3-11/LU-LU","as:GENC:6:3-11:LU-LU")</f>
        <v>as:GENC:6:3-11:LU-LU</v>
      </c>
    </row>
    <row r="2475" spans="1:7" x14ac:dyDescent="0.25">
      <c r="A2475" s="112"/>
      <c r="B2475" s="21" t="s">
        <v>6599</v>
      </c>
      <c r="C2475" s="21" t="s">
        <v>6600</v>
      </c>
      <c r="D2475" s="21" t="s">
        <v>6587</v>
      </c>
      <c r="E2475" s="50" t="b">
        <v>1</v>
      </c>
      <c r="F2475" s="72" t="str">
        <f>HYPERLINK("http://nsgreg.nga.mil/genc/view?v=293963&amp;end_month=6&amp;end_day=30&amp;end_year=2019","Mersch")</f>
        <v>Mersch</v>
      </c>
      <c r="G2475" s="72" t="str">
        <f>HYPERLINK("http://api.nsgreg.nga.mil/geo-division/GENC/6/3-11/LU-ME","as:GENC:6:3-11:LU-ME")</f>
        <v>as:GENC:6:3-11:LU-ME</v>
      </c>
    </row>
    <row r="2476" spans="1:7" x14ac:dyDescent="0.25">
      <c r="A2476" s="112"/>
      <c r="B2476" s="21" t="s">
        <v>6601</v>
      </c>
      <c r="C2476" s="21" t="s">
        <v>6602</v>
      </c>
      <c r="D2476" s="21" t="s">
        <v>6587</v>
      </c>
      <c r="E2476" s="50" t="b">
        <v>1</v>
      </c>
      <c r="F2476" s="72" t="str">
        <f>HYPERLINK("http://nsgreg.nga.mil/genc/view?v=293964&amp;end_month=6&amp;end_day=30&amp;end_year=2019","Redange")</f>
        <v>Redange</v>
      </c>
      <c r="G2476" s="72" t="str">
        <f>HYPERLINK("http://api.nsgreg.nga.mil/geo-division/GENC/6/3-11/LU-RD","as:GENC:6:3-11:LU-RD")</f>
        <v>as:GENC:6:3-11:LU-RD</v>
      </c>
    </row>
    <row r="2477" spans="1:7" x14ac:dyDescent="0.25">
      <c r="A2477" s="112"/>
      <c r="B2477" s="21" t="s">
        <v>6603</v>
      </c>
      <c r="C2477" s="21" t="s">
        <v>6604</v>
      </c>
      <c r="D2477" s="21" t="s">
        <v>6587</v>
      </c>
      <c r="E2477" s="50" t="b">
        <v>1</v>
      </c>
      <c r="F2477" s="72" t="str">
        <f>HYPERLINK("http://nsgreg.nga.mil/genc/view?v=293965&amp;end_month=6&amp;end_day=30&amp;end_year=2019","Remich")</f>
        <v>Remich</v>
      </c>
      <c r="G2477" s="72" t="str">
        <f>HYPERLINK("http://api.nsgreg.nga.mil/geo-division/GENC/6/3-11/LU-RM","as:GENC:6:3-11:LU-RM")</f>
        <v>as:GENC:6:3-11:LU-RM</v>
      </c>
    </row>
    <row r="2478" spans="1:7" x14ac:dyDescent="0.25">
      <c r="A2478" s="112"/>
      <c r="B2478" s="21" t="s">
        <v>6605</v>
      </c>
      <c r="C2478" s="21" t="s">
        <v>6606</v>
      </c>
      <c r="D2478" s="21" t="s">
        <v>6587</v>
      </c>
      <c r="E2478" s="50" t="b">
        <v>1</v>
      </c>
      <c r="F2478" s="72" t="str">
        <f>HYPERLINK("http://nsgreg.nga.mil/genc/view?v=293966&amp;end_month=6&amp;end_day=30&amp;end_year=2019","Vianden")</f>
        <v>Vianden</v>
      </c>
      <c r="G2478" s="72" t="str">
        <f>HYPERLINK("http://api.nsgreg.nga.mil/geo-division/GENC/6/3-11/LU-VD","as:GENC:6:3-11:LU-VD")</f>
        <v>as:GENC:6:3-11:LU-VD</v>
      </c>
    </row>
    <row r="2479" spans="1:7" x14ac:dyDescent="0.25">
      <c r="A2479" s="113"/>
      <c r="B2479" s="47" t="s">
        <v>6607</v>
      </c>
      <c r="C2479" s="47" t="s">
        <v>6608</v>
      </c>
      <c r="D2479" s="47" t="s">
        <v>6587</v>
      </c>
      <c r="E2479" s="51" t="b">
        <v>1</v>
      </c>
      <c r="F2479" s="73" t="str">
        <f>HYPERLINK("http://nsgreg.nga.mil/genc/view?v=293967&amp;end_month=6&amp;end_day=30&amp;end_year=2019","Wiltz")</f>
        <v>Wiltz</v>
      </c>
      <c r="G2479" s="73" t="str">
        <f>HYPERLINK("http://api.nsgreg.nga.mil/geo-division/GENC/6/3-11/LU-WI","as:GENC:6:3-11:LU-WI")</f>
        <v>as:GENC:6:3-11:LU-WI</v>
      </c>
    </row>
    <row r="2480" spans="1:7" x14ac:dyDescent="0.25">
      <c r="A2480" s="111" t="str">
        <f>HYPERLINK("[#]Codes_for_GE_Names!A160:I160","MADAGASCAR")</f>
        <v>MADAGASCAR</v>
      </c>
      <c r="B2480" s="42" t="s">
        <v>6609</v>
      </c>
      <c r="C2480" s="42" t="s">
        <v>6610</v>
      </c>
      <c r="D2480" s="42" t="s">
        <v>1668</v>
      </c>
      <c r="E2480" s="49" t="b">
        <v>1</v>
      </c>
      <c r="F2480" s="74" t="str">
        <f>HYPERLINK("http://nsgreg.nga.mil/genc/view?v=294278&amp;end_month=6&amp;end_day=30&amp;end_year=2019","Antananarivo")</f>
        <v>Antananarivo</v>
      </c>
      <c r="G2480" s="74" t="str">
        <f>HYPERLINK("http://api.nsgreg.nga.mil/geo-division/GENC/6/3-11/MG-T","as:GENC:6:3-11:MG-T")</f>
        <v>as:GENC:6:3-11:MG-T</v>
      </c>
    </row>
    <row r="2481" spans="1:7" x14ac:dyDescent="0.25">
      <c r="A2481" s="112"/>
      <c r="B2481" s="21" t="s">
        <v>6611</v>
      </c>
      <c r="C2481" s="21" t="s">
        <v>6612</v>
      </c>
      <c r="D2481" s="21" t="s">
        <v>1668</v>
      </c>
      <c r="E2481" s="50" t="b">
        <v>1</v>
      </c>
      <c r="F2481" s="72" t="str">
        <f>HYPERLINK("http://nsgreg.nga.mil/genc/view?v=294275&amp;end_month=6&amp;end_day=30&amp;end_year=2019","Antsiranana")</f>
        <v>Antsiranana</v>
      </c>
      <c r="G2481" s="72" t="str">
        <f>HYPERLINK("http://api.nsgreg.nga.mil/geo-division/GENC/6/3-11/MG-D","as:GENC:6:3-11:MG-D")</f>
        <v>as:GENC:6:3-11:MG-D</v>
      </c>
    </row>
    <row r="2482" spans="1:7" x14ac:dyDescent="0.25">
      <c r="A2482" s="112"/>
      <c r="B2482" s="21" t="s">
        <v>6613</v>
      </c>
      <c r="C2482" s="21" t="s">
        <v>6614</v>
      </c>
      <c r="D2482" s="21" t="s">
        <v>1668</v>
      </c>
      <c r="E2482" s="50" t="b">
        <v>1</v>
      </c>
      <c r="F2482" s="72" t="str">
        <f>HYPERLINK("http://nsgreg.nga.mil/genc/view?v=294276&amp;end_month=6&amp;end_day=30&amp;end_year=2019","Fianarantsoa")</f>
        <v>Fianarantsoa</v>
      </c>
      <c r="G2482" s="72" t="str">
        <f>HYPERLINK("http://api.nsgreg.nga.mil/geo-division/GENC/6/3-11/MG-F","as:GENC:6:3-11:MG-F")</f>
        <v>as:GENC:6:3-11:MG-F</v>
      </c>
    </row>
    <row r="2483" spans="1:7" x14ac:dyDescent="0.25">
      <c r="A2483" s="112"/>
      <c r="B2483" s="21" t="s">
        <v>6615</v>
      </c>
      <c r="C2483" s="21" t="s">
        <v>6616</v>
      </c>
      <c r="D2483" s="21" t="s">
        <v>1668</v>
      </c>
      <c r="E2483" s="50" t="b">
        <v>1</v>
      </c>
      <c r="F2483" s="72" t="str">
        <f>HYPERLINK("http://nsgreg.nga.mil/genc/view?v=294277&amp;end_month=6&amp;end_day=30&amp;end_year=2019","Mahajanga")</f>
        <v>Mahajanga</v>
      </c>
      <c r="G2483" s="72" t="str">
        <f>HYPERLINK("http://api.nsgreg.nga.mil/geo-division/GENC/6/3-11/MG-M","as:GENC:6:3-11:MG-M")</f>
        <v>as:GENC:6:3-11:MG-M</v>
      </c>
    </row>
    <row r="2484" spans="1:7" x14ac:dyDescent="0.25">
      <c r="A2484" s="112"/>
      <c r="B2484" s="21" t="s">
        <v>6617</v>
      </c>
      <c r="C2484" s="21" t="s">
        <v>6618</v>
      </c>
      <c r="D2484" s="21" t="s">
        <v>1668</v>
      </c>
      <c r="E2484" s="50" t="b">
        <v>1</v>
      </c>
      <c r="F2484" s="72" t="str">
        <f>HYPERLINK("http://nsgreg.nga.mil/genc/view?v=294274&amp;end_month=6&amp;end_day=30&amp;end_year=2019","Toamasina")</f>
        <v>Toamasina</v>
      </c>
      <c r="G2484" s="72" t="str">
        <f>HYPERLINK("http://api.nsgreg.nga.mil/geo-division/GENC/6/3-11/MG-A","as:GENC:6:3-11:MG-A")</f>
        <v>as:GENC:6:3-11:MG-A</v>
      </c>
    </row>
    <row r="2485" spans="1:7" x14ac:dyDescent="0.25">
      <c r="A2485" s="113"/>
      <c r="B2485" s="47" t="s">
        <v>6619</v>
      </c>
      <c r="C2485" s="47" t="s">
        <v>6620</v>
      </c>
      <c r="D2485" s="47" t="s">
        <v>1668</v>
      </c>
      <c r="E2485" s="51" t="b">
        <v>1</v>
      </c>
      <c r="F2485" s="73" t="str">
        <f>HYPERLINK("http://nsgreg.nga.mil/genc/view?v=294279&amp;end_month=6&amp;end_day=30&amp;end_year=2019","Toliara")</f>
        <v>Toliara</v>
      </c>
      <c r="G2485" s="73" t="str">
        <f>HYPERLINK("http://api.nsgreg.nga.mil/geo-division/GENC/6/3-11/MG-U","as:GENC:6:3-11:MG-U")</f>
        <v>as:GENC:6:3-11:MG-U</v>
      </c>
    </row>
    <row r="2486" spans="1:7" x14ac:dyDescent="0.25">
      <c r="A2486" s="111" t="str">
        <f>HYPERLINK("[#]Codes_for_GE_Names!A161:I161","MALAWI")</f>
        <v>MALAWI</v>
      </c>
      <c r="B2486" s="42" t="s">
        <v>6621</v>
      </c>
      <c r="C2486" s="42" t="s">
        <v>6622</v>
      </c>
      <c r="D2486" s="80" t="s">
        <v>1975</v>
      </c>
      <c r="E2486" s="81" t="b">
        <v>0</v>
      </c>
      <c r="F2486" s="74" t="str">
        <f>HYPERLINK("http://nsgreg.nga.mil/genc/view?v=294549&amp;end_month=6&amp;end_day=30&amp;end_year=2019","Central Region")</f>
        <v>Central Region</v>
      </c>
      <c r="G2486" s="74" t="str">
        <f>HYPERLINK("http://api.nsgreg.nga.mil/geo-division/GENC/6/3-11/MW-C","as:GENC:6:3-11:MW-C")</f>
        <v>as:GENC:6:3-11:MW-C</v>
      </c>
    </row>
    <row r="2487" spans="1:7" x14ac:dyDescent="0.25">
      <c r="A2487" s="112"/>
      <c r="B2487" s="21" t="s">
        <v>6623</v>
      </c>
      <c r="C2487" s="21" t="s">
        <v>6624</v>
      </c>
      <c r="D2487" s="21" t="s">
        <v>2035</v>
      </c>
      <c r="E2487" s="50" t="b">
        <v>1</v>
      </c>
      <c r="F2487" s="72" t="str">
        <f>HYPERLINK("http://nsgreg.nga.mil/genc/view?v=294553&amp;end_month=6&amp;end_day=30&amp;end_year=2019","Dedza")</f>
        <v>Dedza</v>
      </c>
      <c r="G2487" s="72" t="str">
        <f>HYPERLINK("http://api.nsgreg.nga.mil/geo-division/GENC/6/3-11/MW-DE","as:GENC:6:3-11:MW-DE")</f>
        <v>as:GENC:6:3-11:MW-DE</v>
      </c>
    </row>
    <row r="2488" spans="1:7" x14ac:dyDescent="0.25">
      <c r="A2488" s="112"/>
      <c r="B2488" s="21" t="s">
        <v>6625</v>
      </c>
      <c r="C2488" s="21" t="s">
        <v>6626</v>
      </c>
      <c r="D2488" s="21" t="s">
        <v>2035</v>
      </c>
      <c r="E2488" s="50" t="b">
        <v>1</v>
      </c>
      <c r="F2488" s="72" t="str">
        <f>HYPERLINK("http://nsgreg.nga.mil/genc/view?v=294554&amp;end_month=6&amp;end_day=30&amp;end_year=2019","Dowa")</f>
        <v>Dowa</v>
      </c>
      <c r="G2488" s="72" t="str">
        <f>HYPERLINK("http://api.nsgreg.nga.mil/geo-division/GENC/6/3-11/MW-DO","as:GENC:6:3-11:MW-DO")</f>
        <v>as:GENC:6:3-11:MW-DO</v>
      </c>
    </row>
    <row r="2489" spans="1:7" x14ac:dyDescent="0.25">
      <c r="A2489" s="112"/>
      <c r="B2489" s="21" t="s">
        <v>6627</v>
      </c>
      <c r="C2489" s="21" t="s">
        <v>6628</v>
      </c>
      <c r="D2489" s="21" t="s">
        <v>2035</v>
      </c>
      <c r="E2489" s="50" t="b">
        <v>1</v>
      </c>
      <c r="F2489" s="72" t="str">
        <f>HYPERLINK("http://nsgreg.nga.mil/genc/view?v=294556&amp;end_month=6&amp;end_day=30&amp;end_year=2019","Kasungu")</f>
        <v>Kasungu</v>
      </c>
      <c r="G2489" s="72" t="str">
        <f>HYPERLINK("http://api.nsgreg.nga.mil/geo-division/GENC/6/3-11/MW-KS","as:GENC:6:3-11:MW-KS")</f>
        <v>as:GENC:6:3-11:MW-KS</v>
      </c>
    </row>
    <row r="2490" spans="1:7" x14ac:dyDescent="0.25">
      <c r="A2490" s="112"/>
      <c r="B2490" s="21" t="s">
        <v>6629</v>
      </c>
      <c r="C2490" s="21" t="s">
        <v>6630</v>
      </c>
      <c r="D2490" s="21" t="s">
        <v>2035</v>
      </c>
      <c r="E2490" s="50" t="b">
        <v>1</v>
      </c>
      <c r="F2490" s="72" t="str">
        <f>HYPERLINK("http://nsgreg.nga.mil/genc/view?v=294557&amp;end_month=6&amp;end_day=30&amp;end_year=2019","Lilongwe")</f>
        <v>Lilongwe</v>
      </c>
      <c r="G2490" s="72" t="str">
        <f>HYPERLINK("http://api.nsgreg.nga.mil/geo-division/GENC/6/3-11/MW-LI","as:GENC:6:3-11:MW-LI")</f>
        <v>as:GENC:6:3-11:MW-LI</v>
      </c>
    </row>
    <row r="2491" spans="1:7" x14ac:dyDescent="0.25">
      <c r="A2491" s="112"/>
      <c r="B2491" s="21" t="s">
        <v>6631</v>
      </c>
      <c r="C2491" s="21" t="s">
        <v>6632</v>
      </c>
      <c r="D2491" s="21" t="s">
        <v>2035</v>
      </c>
      <c r="E2491" s="50" t="b">
        <v>1</v>
      </c>
      <c r="F2491" s="72" t="str">
        <f>HYPERLINK("http://nsgreg.nga.mil/genc/view?v=294559&amp;end_month=6&amp;end_day=30&amp;end_year=2019","Mchinji")</f>
        <v>Mchinji</v>
      </c>
      <c r="G2491" s="72" t="str">
        <f>HYPERLINK("http://api.nsgreg.nga.mil/geo-division/GENC/6/3-11/MW-MC","as:GENC:6:3-11:MW-MC")</f>
        <v>as:GENC:6:3-11:MW-MC</v>
      </c>
    </row>
    <row r="2492" spans="1:7" x14ac:dyDescent="0.25">
      <c r="A2492" s="112"/>
      <c r="B2492" s="21" t="s">
        <v>6633</v>
      </c>
      <c r="C2492" s="21" t="s">
        <v>6634</v>
      </c>
      <c r="D2492" s="21" t="s">
        <v>2035</v>
      </c>
      <c r="E2492" s="50" t="b">
        <v>1</v>
      </c>
      <c r="F2492" s="72" t="str">
        <f>HYPERLINK("http://nsgreg.nga.mil/genc/view?v=294569&amp;end_month=6&amp;end_day=30&amp;end_year=2019","Nkhotakota")</f>
        <v>Nkhotakota</v>
      </c>
      <c r="G2492" s="72" t="str">
        <f>HYPERLINK("http://api.nsgreg.nga.mil/geo-division/GENC/6/3-11/MW-NK","as:GENC:6:3-11:MW-NK")</f>
        <v>as:GENC:6:3-11:MW-NK</v>
      </c>
    </row>
    <row r="2493" spans="1:7" x14ac:dyDescent="0.25">
      <c r="A2493" s="112"/>
      <c r="B2493" s="21" t="s">
        <v>6635</v>
      </c>
      <c r="C2493" s="21" t="s">
        <v>6636</v>
      </c>
      <c r="D2493" s="21" t="s">
        <v>2035</v>
      </c>
      <c r="E2493" s="50" t="b">
        <v>1</v>
      </c>
      <c r="F2493" s="72" t="str">
        <f>HYPERLINK("http://nsgreg.nga.mil/genc/view?v=294571&amp;end_month=6&amp;end_day=30&amp;end_year=2019","Ntcheu")</f>
        <v>Ntcheu</v>
      </c>
      <c r="G2493" s="72" t="str">
        <f>HYPERLINK("http://api.nsgreg.nga.mil/geo-division/GENC/6/3-11/MW-NU","as:GENC:6:3-11:MW-NU")</f>
        <v>as:GENC:6:3-11:MW-NU</v>
      </c>
    </row>
    <row r="2494" spans="1:7" x14ac:dyDescent="0.25">
      <c r="A2494" s="112"/>
      <c r="B2494" s="21" t="s">
        <v>6637</v>
      </c>
      <c r="C2494" s="21" t="s">
        <v>6638</v>
      </c>
      <c r="D2494" s="21" t="s">
        <v>2035</v>
      </c>
      <c r="E2494" s="50" t="b">
        <v>1</v>
      </c>
      <c r="F2494" s="72" t="str">
        <f>HYPERLINK("http://nsgreg.nga.mil/genc/view?v=294568&amp;end_month=6&amp;end_day=30&amp;end_year=2019","Ntchisi")</f>
        <v>Ntchisi</v>
      </c>
      <c r="G2494" s="72" t="str">
        <f>HYPERLINK("http://api.nsgreg.nga.mil/geo-division/GENC/6/3-11/MW-NI","as:GENC:6:3-11:MW-NI")</f>
        <v>as:GENC:6:3-11:MW-NI</v>
      </c>
    </row>
    <row r="2495" spans="1:7" x14ac:dyDescent="0.25">
      <c r="A2495" s="112"/>
      <c r="B2495" s="21" t="s">
        <v>6639</v>
      </c>
      <c r="C2495" s="21" t="s">
        <v>6640</v>
      </c>
      <c r="D2495" s="21" t="s">
        <v>2035</v>
      </c>
      <c r="E2495" s="50" t="b">
        <v>1</v>
      </c>
      <c r="F2495" s="72" t="str">
        <f>HYPERLINK("http://nsgreg.nga.mil/genc/view?v=294575&amp;end_month=6&amp;end_day=30&amp;end_year=2019","Salima")</f>
        <v>Salima</v>
      </c>
      <c r="G2495" s="72" t="str">
        <f>HYPERLINK("http://api.nsgreg.nga.mil/geo-division/GENC/6/3-11/MW-SA","as:GENC:6:3-11:MW-SA")</f>
        <v>as:GENC:6:3-11:MW-SA</v>
      </c>
    </row>
    <row r="2496" spans="1:7" x14ac:dyDescent="0.25">
      <c r="A2496" s="112"/>
      <c r="B2496" s="21" t="s">
        <v>6641</v>
      </c>
      <c r="C2496" s="21" t="s">
        <v>6642</v>
      </c>
      <c r="D2496" s="76" t="s">
        <v>1975</v>
      </c>
      <c r="E2496" s="77" t="b">
        <v>0</v>
      </c>
      <c r="F2496" s="72" t="str">
        <f>HYPERLINK("http://nsgreg.nga.mil/genc/view?v=294565&amp;end_month=6&amp;end_day=30&amp;end_year=2019","Northern Region")</f>
        <v>Northern Region</v>
      </c>
      <c r="G2496" s="72" t="str">
        <f>HYPERLINK("http://api.nsgreg.nga.mil/geo-division/GENC/6/3-11/MW-N","as:GENC:6:3-11:MW-N")</f>
        <v>as:GENC:6:3-11:MW-N</v>
      </c>
    </row>
    <row r="2497" spans="1:7" x14ac:dyDescent="0.25">
      <c r="A2497" s="112"/>
      <c r="B2497" s="21" t="s">
        <v>6643</v>
      </c>
      <c r="C2497" s="21" t="s">
        <v>6644</v>
      </c>
      <c r="D2497" s="21" t="s">
        <v>2035</v>
      </c>
      <c r="E2497" s="50" t="b">
        <v>1</v>
      </c>
      <c r="F2497" s="72" t="str">
        <f>HYPERLINK("http://nsgreg.nga.mil/genc/view?v=294552&amp;end_month=6&amp;end_day=30&amp;end_year=2019","Chitipa")</f>
        <v>Chitipa</v>
      </c>
      <c r="G2497" s="72" t="str">
        <f>HYPERLINK("http://api.nsgreg.nga.mil/geo-division/GENC/6/3-11/MW-CT","as:GENC:6:3-11:MW-CT")</f>
        <v>as:GENC:6:3-11:MW-CT</v>
      </c>
    </row>
    <row r="2498" spans="1:7" x14ac:dyDescent="0.25">
      <c r="A2498" s="112"/>
      <c r="B2498" s="21" t="s">
        <v>6645</v>
      </c>
      <c r="C2498" s="21" t="s">
        <v>6646</v>
      </c>
      <c r="D2498" s="21" t="s">
        <v>2035</v>
      </c>
      <c r="E2498" s="50" t="b">
        <v>1</v>
      </c>
      <c r="F2498" s="72" t="str">
        <f>HYPERLINK("http://nsgreg.nga.mil/genc/view?v=294555&amp;end_month=6&amp;end_day=30&amp;end_year=2019","Karonga")</f>
        <v>Karonga</v>
      </c>
      <c r="G2498" s="72" t="str">
        <f>HYPERLINK("http://api.nsgreg.nga.mil/geo-division/GENC/6/3-11/MW-KR","as:GENC:6:3-11:MW-KR")</f>
        <v>as:GENC:6:3-11:MW-KR</v>
      </c>
    </row>
    <row r="2499" spans="1:7" x14ac:dyDescent="0.25">
      <c r="A2499" s="112"/>
      <c r="B2499" s="21" t="s">
        <v>6647</v>
      </c>
      <c r="C2499" s="21" t="s">
        <v>6648</v>
      </c>
      <c r="D2499" s="21" t="s">
        <v>2035</v>
      </c>
      <c r="E2499" s="50" t="b">
        <v>1</v>
      </c>
      <c r="F2499" s="72" t="str">
        <f>HYPERLINK("http://nsgreg.nga.mil/genc/view?v=294558&amp;end_month=6&amp;end_day=30&amp;end_year=2019","Likoma")</f>
        <v>Likoma</v>
      </c>
      <c r="G2499" s="72" t="str">
        <f>HYPERLINK("http://api.nsgreg.nga.mil/geo-division/GENC/6/3-11/MW-LK","as:GENC:6:3-11:MW-LK")</f>
        <v>as:GENC:6:3-11:MW-LK</v>
      </c>
    </row>
    <row r="2500" spans="1:7" x14ac:dyDescent="0.25">
      <c r="A2500" s="112"/>
      <c r="B2500" s="21" t="s">
        <v>6649</v>
      </c>
      <c r="C2500" s="21" t="s">
        <v>6650</v>
      </c>
      <c r="D2500" s="21" t="s">
        <v>2035</v>
      </c>
      <c r="E2500" s="50" t="b">
        <v>1</v>
      </c>
      <c r="F2500" s="72" t="str">
        <f>HYPERLINK("http://nsgreg.nga.mil/genc/view?v=294564&amp;end_month=6&amp;end_day=30&amp;end_year=2019","Mzimba")</f>
        <v>Mzimba</v>
      </c>
      <c r="G2500" s="72" t="str">
        <f>HYPERLINK("http://api.nsgreg.nga.mil/geo-division/GENC/6/3-11/MW-MZ","as:GENC:6:3-11:MW-MZ")</f>
        <v>as:GENC:6:3-11:MW-MZ</v>
      </c>
    </row>
    <row r="2501" spans="1:7" x14ac:dyDescent="0.25">
      <c r="A2501" s="112"/>
      <c r="B2501" s="21" t="s">
        <v>6651</v>
      </c>
      <c r="C2501" s="21" t="s">
        <v>6652</v>
      </c>
      <c r="D2501" s="21" t="s">
        <v>2035</v>
      </c>
      <c r="E2501" s="50" t="b">
        <v>1</v>
      </c>
      <c r="F2501" s="72" t="str">
        <f>HYPERLINK("http://nsgreg.nga.mil/genc/view?v=294566&amp;end_month=6&amp;end_day=30&amp;end_year=2019","Nkhata Bay")</f>
        <v>Nkhata Bay</v>
      </c>
      <c r="G2501" s="72" t="str">
        <f>HYPERLINK("http://api.nsgreg.nga.mil/geo-division/GENC/6/3-11/MW-NB","as:GENC:6:3-11:MW-NB")</f>
        <v>as:GENC:6:3-11:MW-NB</v>
      </c>
    </row>
    <row r="2502" spans="1:7" x14ac:dyDescent="0.25">
      <c r="A2502" s="112"/>
      <c r="B2502" s="21" t="s">
        <v>6653</v>
      </c>
      <c r="C2502" s="21" t="s">
        <v>6654</v>
      </c>
      <c r="D2502" s="21" t="s">
        <v>2035</v>
      </c>
      <c r="E2502" s="50" t="b">
        <v>1</v>
      </c>
      <c r="F2502" s="72" t="str">
        <f>HYPERLINK("http://nsgreg.nga.mil/genc/view?v=294573&amp;end_month=6&amp;end_day=30&amp;end_year=2019","Rumphi")</f>
        <v>Rumphi</v>
      </c>
      <c r="G2502" s="72" t="str">
        <f>HYPERLINK("http://api.nsgreg.nga.mil/geo-division/GENC/6/3-11/MW-RU","as:GENC:6:3-11:MW-RU")</f>
        <v>as:GENC:6:3-11:MW-RU</v>
      </c>
    </row>
    <row r="2503" spans="1:7" x14ac:dyDescent="0.25">
      <c r="A2503" s="112"/>
      <c r="B2503" s="21" t="s">
        <v>6655</v>
      </c>
      <c r="C2503" s="21" t="s">
        <v>6656</v>
      </c>
      <c r="D2503" s="76" t="s">
        <v>1975</v>
      </c>
      <c r="E2503" s="77" t="b">
        <v>0</v>
      </c>
      <c r="F2503" s="72" t="str">
        <f>HYPERLINK("http://nsgreg.nga.mil/genc/view?v=294574&amp;end_month=6&amp;end_day=30&amp;end_year=2019","Southern Region")</f>
        <v>Southern Region</v>
      </c>
      <c r="G2503" s="72" t="str">
        <f>HYPERLINK("http://api.nsgreg.nga.mil/geo-division/GENC/6/3-11/MW-S","as:GENC:6:3-11:MW-S")</f>
        <v>as:GENC:6:3-11:MW-S</v>
      </c>
    </row>
    <row r="2504" spans="1:7" x14ac:dyDescent="0.25">
      <c r="A2504" s="112"/>
      <c r="B2504" s="21" t="s">
        <v>6657</v>
      </c>
      <c r="C2504" s="21" t="s">
        <v>6658</v>
      </c>
      <c r="D2504" s="21" t="s">
        <v>2035</v>
      </c>
      <c r="E2504" s="50" t="b">
        <v>1</v>
      </c>
      <c r="F2504" s="72" t="str">
        <f>HYPERLINK("http://nsgreg.nga.mil/genc/view?v=294547&amp;end_month=6&amp;end_day=30&amp;end_year=2019","Balaka")</f>
        <v>Balaka</v>
      </c>
      <c r="G2504" s="72" t="str">
        <f>HYPERLINK("http://api.nsgreg.nga.mil/geo-division/GENC/6/3-11/MW-BA","as:GENC:6:3-11:MW-BA")</f>
        <v>as:GENC:6:3-11:MW-BA</v>
      </c>
    </row>
    <row r="2505" spans="1:7" x14ac:dyDescent="0.25">
      <c r="A2505" s="112"/>
      <c r="B2505" s="21" t="s">
        <v>6659</v>
      </c>
      <c r="C2505" s="21" t="s">
        <v>6660</v>
      </c>
      <c r="D2505" s="21" t="s">
        <v>2035</v>
      </c>
      <c r="E2505" s="50" t="b">
        <v>1</v>
      </c>
      <c r="F2505" s="72" t="str">
        <f>HYPERLINK("http://nsgreg.nga.mil/genc/view?v=294548&amp;end_month=6&amp;end_day=30&amp;end_year=2019","Blantyre")</f>
        <v>Blantyre</v>
      </c>
      <c r="G2505" s="72" t="str">
        <f>HYPERLINK("http://api.nsgreg.nga.mil/geo-division/GENC/6/3-11/MW-BL","as:GENC:6:3-11:MW-BL")</f>
        <v>as:GENC:6:3-11:MW-BL</v>
      </c>
    </row>
    <row r="2506" spans="1:7" x14ac:dyDescent="0.25">
      <c r="A2506" s="112"/>
      <c r="B2506" s="21" t="s">
        <v>6661</v>
      </c>
      <c r="C2506" s="21" t="s">
        <v>6662</v>
      </c>
      <c r="D2506" s="21" t="s">
        <v>2035</v>
      </c>
      <c r="E2506" s="50" t="b">
        <v>1</v>
      </c>
      <c r="F2506" s="72" t="str">
        <f>HYPERLINK("http://nsgreg.nga.mil/genc/view?v=294550&amp;end_month=6&amp;end_day=30&amp;end_year=2019","Chikwawa")</f>
        <v>Chikwawa</v>
      </c>
      <c r="G2506" s="72" t="str">
        <f>HYPERLINK("http://api.nsgreg.nga.mil/geo-division/GENC/6/3-11/MW-CK","as:GENC:6:3-11:MW-CK")</f>
        <v>as:GENC:6:3-11:MW-CK</v>
      </c>
    </row>
    <row r="2507" spans="1:7" x14ac:dyDescent="0.25">
      <c r="A2507" s="112"/>
      <c r="B2507" s="21" t="s">
        <v>6663</v>
      </c>
      <c r="C2507" s="21" t="s">
        <v>6664</v>
      </c>
      <c r="D2507" s="21" t="s">
        <v>2035</v>
      </c>
      <c r="E2507" s="50" t="b">
        <v>1</v>
      </c>
      <c r="F2507" s="72" t="str">
        <f>HYPERLINK("http://nsgreg.nga.mil/genc/view?v=294551&amp;end_month=6&amp;end_day=30&amp;end_year=2019","Chiradzulu")</f>
        <v>Chiradzulu</v>
      </c>
      <c r="G2507" s="72" t="str">
        <f>HYPERLINK("http://api.nsgreg.nga.mil/geo-division/GENC/6/3-11/MW-CR","as:GENC:6:3-11:MW-CR")</f>
        <v>as:GENC:6:3-11:MW-CR</v>
      </c>
    </row>
    <row r="2508" spans="1:7" x14ac:dyDescent="0.25">
      <c r="A2508" s="112"/>
      <c r="B2508" s="21" t="s">
        <v>6665</v>
      </c>
      <c r="C2508" s="21" t="s">
        <v>6666</v>
      </c>
      <c r="D2508" s="21" t="s">
        <v>2035</v>
      </c>
      <c r="E2508" s="50" t="b">
        <v>1</v>
      </c>
      <c r="F2508" s="72" t="str">
        <f>HYPERLINK("http://nsgreg.nga.mil/genc/view?v=294561&amp;end_month=6&amp;end_day=30&amp;end_year=2019","Machinga")</f>
        <v>Machinga</v>
      </c>
      <c r="G2508" s="72" t="str">
        <f>HYPERLINK("http://api.nsgreg.nga.mil/geo-division/GENC/6/3-11/MW-MH","as:GENC:6:3-11:MW-MH")</f>
        <v>as:GENC:6:3-11:MW-MH</v>
      </c>
    </row>
    <row r="2509" spans="1:7" x14ac:dyDescent="0.25">
      <c r="A2509" s="112"/>
      <c r="B2509" s="21" t="s">
        <v>6667</v>
      </c>
      <c r="C2509" s="21" t="s">
        <v>6668</v>
      </c>
      <c r="D2509" s="21" t="s">
        <v>2035</v>
      </c>
      <c r="E2509" s="50" t="b">
        <v>1</v>
      </c>
      <c r="F2509" s="72" t="str">
        <f>HYPERLINK("http://nsgreg.nga.mil/genc/view?v=294560&amp;end_month=6&amp;end_day=30&amp;end_year=2019","Mangochi")</f>
        <v>Mangochi</v>
      </c>
      <c r="G2509" s="72" t="str">
        <f>HYPERLINK("http://api.nsgreg.nga.mil/geo-division/GENC/6/3-11/MW-MG","as:GENC:6:3-11:MW-MG")</f>
        <v>as:GENC:6:3-11:MW-MG</v>
      </c>
    </row>
    <row r="2510" spans="1:7" x14ac:dyDescent="0.25">
      <c r="A2510" s="112"/>
      <c r="B2510" s="21" t="s">
        <v>6669</v>
      </c>
      <c r="C2510" s="21" t="s">
        <v>6670</v>
      </c>
      <c r="D2510" s="21" t="s">
        <v>2035</v>
      </c>
      <c r="E2510" s="50" t="b">
        <v>1</v>
      </c>
      <c r="F2510" s="72" t="str">
        <f>HYPERLINK("http://nsgreg.nga.mil/genc/view?v=294562&amp;end_month=6&amp;end_day=30&amp;end_year=2019","Mulanje")</f>
        <v>Mulanje</v>
      </c>
      <c r="G2510" s="72" t="str">
        <f>HYPERLINK("http://api.nsgreg.nga.mil/geo-division/GENC/6/3-11/MW-MU","as:GENC:6:3-11:MW-MU")</f>
        <v>as:GENC:6:3-11:MW-MU</v>
      </c>
    </row>
    <row r="2511" spans="1:7" x14ac:dyDescent="0.25">
      <c r="A2511" s="112"/>
      <c r="B2511" s="21" t="s">
        <v>6671</v>
      </c>
      <c r="C2511" s="21" t="s">
        <v>6672</v>
      </c>
      <c r="D2511" s="21" t="s">
        <v>2035</v>
      </c>
      <c r="E2511" s="50" t="b">
        <v>1</v>
      </c>
      <c r="F2511" s="72" t="str">
        <f>HYPERLINK("http://nsgreg.nga.mil/genc/view?v=294563&amp;end_month=6&amp;end_day=30&amp;end_year=2019","Mwanza")</f>
        <v>Mwanza</v>
      </c>
      <c r="G2511" s="72" t="str">
        <f>HYPERLINK("http://api.nsgreg.nga.mil/geo-division/GENC/6/3-11/MW-MW","as:GENC:6:3-11:MW-MW")</f>
        <v>as:GENC:6:3-11:MW-MW</v>
      </c>
    </row>
    <row r="2512" spans="1:7" x14ac:dyDescent="0.25">
      <c r="A2512" s="112"/>
      <c r="B2512" s="21" t="s">
        <v>6673</v>
      </c>
      <c r="C2512" s="21" t="s">
        <v>6674</v>
      </c>
      <c r="D2512" s="21" t="s">
        <v>2035</v>
      </c>
      <c r="E2512" s="50" t="b">
        <v>1</v>
      </c>
      <c r="F2512" s="72" t="str">
        <f>HYPERLINK("http://nsgreg.nga.mil/genc/view?v=294567&amp;end_month=6&amp;end_day=30&amp;end_year=2019","Neno")</f>
        <v>Neno</v>
      </c>
      <c r="G2512" s="72" t="str">
        <f>HYPERLINK("http://api.nsgreg.nga.mil/geo-division/GENC/6/3-11/MW-NE","as:GENC:6:3-11:MW-NE")</f>
        <v>as:GENC:6:3-11:MW-NE</v>
      </c>
    </row>
    <row r="2513" spans="1:7" x14ac:dyDescent="0.25">
      <c r="A2513" s="112"/>
      <c r="B2513" s="21" t="s">
        <v>6675</v>
      </c>
      <c r="C2513" s="21" t="s">
        <v>6676</v>
      </c>
      <c r="D2513" s="21" t="s">
        <v>2035</v>
      </c>
      <c r="E2513" s="50" t="b">
        <v>1</v>
      </c>
      <c r="F2513" s="72" t="str">
        <f>HYPERLINK("http://nsgreg.nga.mil/genc/view?v=294570&amp;end_month=6&amp;end_day=30&amp;end_year=2019","Nsanje")</f>
        <v>Nsanje</v>
      </c>
      <c r="G2513" s="72" t="str">
        <f>HYPERLINK("http://api.nsgreg.nga.mil/geo-division/GENC/6/3-11/MW-NS","as:GENC:6:3-11:MW-NS")</f>
        <v>as:GENC:6:3-11:MW-NS</v>
      </c>
    </row>
    <row r="2514" spans="1:7" x14ac:dyDescent="0.25">
      <c r="A2514" s="112"/>
      <c r="B2514" s="21" t="s">
        <v>6677</v>
      </c>
      <c r="C2514" s="21" t="s">
        <v>6678</v>
      </c>
      <c r="D2514" s="21" t="s">
        <v>2035</v>
      </c>
      <c r="E2514" s="50" t="b">
        <v>1</v>
      </c>
      <c r="F2514" s="72" t="str">
        <f>HYPERLINK("http://nsgreg.nga.mil/genc/view?v=294572&amp;end_month=6&amp;end_day=30&amp;end_year=2019","Phalombe")</f>
        <v>Phalombe</v>
      </c>
      <c r="G2514" s="72" t="str">
        <f>HYPERLINK("http://api.nsgreg.nga.mil/geo-division/GENC/6/3-11/MW-PH","as:GENC:6:3-11:MW-PH")</f>
        <v>as:GENC:6:3-11:MW-PH</v>
      </c>
    </row>
    <row r="2515" spans="1:7" x14ac:dyDescent="0.25">
      <c r="A2515" s="112"/>
      <c r="B2515" s="21" t="s">
        <v>6679</v>
      </c>
      <c r="C2515" s="21" t="s">
        <v>6680</v>
      </c>
      <c r="D2515" s="21" t="s">
        <v>2035</v>
      </c>
      <c r="E2515" s="50" t="b">
        <v>1</v>
      </c>
      <c r="F2515" s="72" t="str">
        <f>HYPERLINK("http://nsgreg.nga.mil/genc/view?v=294576&amp;end_month=6&amp;end_day=30&amp;end_year=2019","Thyolo")</f>
        <v>Thyolo</v>
      </c>
      <c r="G2515" s="72" t="str">
        <f>HYPERLINK("http://api.nsgreg.nga.mil/geo-division/GENC/6/3-11/MW-TH","as:GENC:6:3-11:MW-TH")</f>
        <v>as:GENC:6:3-11:MW-TH</v>
      </c>
    </row>
    <row r="2516" spans="1:7" x14ac:dyDescent="0.25">
      <c r="A2516" s="113"/>
      <c r="B2516" s="47" t="s">
        <v>6681</v>
      </c>
      <c r="C2516" s="47" t="s">
        <v>6682</v>
      </c>
      <c r="D2516" s="47" t="s">
        <v>2035</v>
      </c>
      <c r="E2516" s="51" t="b">
        <v>1</v>
      </c>
      <c r="F2516" s="73" t="str">
        <f>HYPERLINK("http://nsgreg.nga.mil/genc/view?v=294577&amp;end_month=6&amp;end_day=30&amp;end_year=2019","Zomba")</f>
        <v>Zomba</v>
      </c>
      <c r="G2516" s="73" t="str">
        <f>HYPERLINK("http://api.nsgreg.nga.mil/geo-division/GENC/6/3-11/MW-ZO","as:GENC:6:3-11:MW-ZO")</f>
        <v>as:GENC:6:3-11:MW-ZO</v>
      </c>
    </row>
    <row r="2517" spans="1:7" x14ac:dyDescent="0.25">
      <c r="A2517" s="111" t="str">
        <f>HYPERLINK("[#]Codes_for_GE_Names!A162:I162","MALAYSIA")</f>
        <v>MALAYSIA</v>
      </c>
      <c r="B2517" s="42" t="s">
        <v>6683</v>
      </c>
      <c r="C2517" s="42" t="s">
        <v>6684</v>
      </c>
      <c r="D2517" s="42" t="s">
        <v>2002</v>
      </c>
      <c r="E2517" s="49" t="b">
        <v>1</v>
      </c>
      <c r="F2517" s="74" t="str">
        <f>HYPERLINK("http://nsgreg.nga.mil/genc/view?v=294610&amp;end_month=6&amp;end_day=30&amp;end_year=2019","Johor")</f>
        <v>Johor</v>
      </c>
      <c r="G2517" s="74" t="str">
        <f>HYPERLINK("http://api.nsgreg.nga.mil/geo-division/GENC/6/3-11/MY-01","as:GENC:6:3-11:MY-01")</f>
        <v>as:GENC:6:3-11:MY-01</v>
      </c>
    </row>
    <row r="2518" spans="1:7" x14ac:dyDescent="0.25">
      <c r="A2518" s="112"/>
      <c r="B2518" s="21" t="s">
        <v>6685</v>
      </c>
      <c r="C2518" s="21" t="s">
        <v>6686</v>
      </c>
      <c r="D2518" s="21" t="s">
        <v>2002</v>
      </c>
      <c r="E2518" s="50" t="b">
        <v>1</v>
      </c>
      <c r="F2518" s="72" t="str">
        <f>HYPERLINK("http://nsgreg.nga.mil/genc/view?v=294611&amp;end_month=6&amp;end_day=30&amp;end_year=2019","Kedah")</f>
        <v>Kedah</v>
      </c>
      <c r="G2518" s="72" t="str">
        <f>HYPERLINK("http://api.nsgreg.nga.mil/geo-division/GENC/6/3-11/MY-02","as:GENC:6:3-11:MY-02")</f>
        <v>as:GENC:6:3-11:MY-02</v>
      </c>
    </row>
    <row r="2519" spans="1:7" x14ac:dyDescent="0.25">
      <c r="A2519" s="112"/>
      <c r="B2519" s="21" t="s">
        <v>6687</v>
      </c>
      <c r="C2519" s="21" t="s">
        <v>6688</v>
      </c>
      <c r="D2519" s="21" t="s">
        <v>2002</v>
      </c>
      <c r="E2519" s="50" t="b">
        <v>1</v>
      </c>
      <c r="F2519" s="72" t="str">
        <f>HYPERLINK("http://nsgreg.nga.mil/genc/view?v=294612&amp;end_month=6&amp;end_day=30&amp;end_year=2019","Kelantan")</f>
        <v>Kelantan</v>
      </c>
      <c r="G2519" s="72" t="str">
        <f>HYPERLINK("http://api.nsgreg.nga.mil/geo-division/GENC/6/3-11/MY-03","as:GENC:6:3-11:MY-03")</f>
        <v>as:GENC:6:3-11:MY-03</v>
      </c>
    </row>
    <row r="2520" spans="1:7" x14ac:dyDescent="0.25">
      <c r="A2520" s="112"/>
      <c r="B2520" s="21" t="s">
        <v>6689</v>
      </c>
      <c r="C2520" s="21" t="s">
        <v>6690</v>
      </c>
      <c r="D2520" s="21" t="s">
        <v>6691</v>
      </c>
      <c r="E2520" s="50" t="b">
        <v>1</v>
      </c>
      <c r="F2520" s="72" t="str">
        <f>HYPERLINK("http://nsgreg.nga.mil/genc/view?v=294623&amp;end_month=6&amp;end_day=30&amp;end_year=2019","Kuala Lumpur ")</f>
        <v xml:space="preserve">Kuala Lumpur </v>
      </c>
      <c r="G2520" s="72" t="str">
        <f>HYPERLINK("http://api.nsgreg.nga.mil/geo-division/GENC/6/3-11/MY-14","as:GENC:6:3-11:MY-14")</f>
        <v>as:GENC:6:3-11:MY-14</v>
      </c>
    </row>
    <row r="2521" spans="1:7" x14ac:dyDescent="0.25">
      <c r="A2521" s="112"/>
      <c r="B2521" s="21" t="s">
        <v>6692</v>
      </c>
      <c r="C2521" s="21" t="s">
        <v>6693</v>
      </c>
      <c r="D2521" s="21" t="s">
        <v>6691</v>
      </c>
      <c r="E2521" s="50" t="b">
        <v>1</v>
      </c>
      <c r="F2521" s="72" t="str">
        <f>HYPERLINK("http://nsgreg.nga.mil/genc/view?v=294624&amp;end_month=6&amp;end_day=30&amp;end_year=2019","Labuan")</f>
        <v>Labuan</v>
      </c>
      <c r="G2521" s="72" t="str">
        <f>HYPERLINK("http://api.nsgreg.nga.mil/geo-division/GENC/6/3-11/MY-15","as:GENC:6:3-11:MY-15")</f>
        <v>as:GENC:6:3-11:MY-15</v>
      </c>
    </row>
    <row r="2522" spans="1:7" x14ac:dyDescent="0.25">
      <c r="A2522" s="112"/>
      <c r="B2522" s="21" t="s">
        <v>6694</v>
      </c>
      <c r="C2522" s="21" t="s">
        <v>6695</v>
      </c>
      <c r="D2522" s="21" t="s">
        <v>2002</v>
      </c>
      <c r="E2522" s="50" t="b">
        <v>1</v>
      </c>
      <c r="F2522" s="72" t="str">
        <f>HYPERLINK("http://nsgreg.nga.mil/genc/view?v=294613&amp;end_month=6&amp;end_day=30&amp;end_year=2019","Melaka")</f>
        <v>Melaka</v>
      </c>
      <c r="G2522" s="72" t="str">
        <f>HYPERLINK("http://api.nsgreg.nga.mil/geo-division/GENC/6/3-11/MY-04","as:GENC:6:3-11:MY-04")</f>
        <v>as:GENC:6:3-11:MY-04</v>
      </c>
    </row>
    <row r="2523" spans="1:7" x14ac:dyDescent="0.25">
      <c r="A2523" s="112"/>
      <c r="B2523" s="21" t="s">
        <v>6696</v>
      </c>
      <c r="C2523" s="21" t="s">
        <v>6697</v>
      </c>
      <c r="D2523" s="21" t="s">
        <v>2002</v>
      </c>
      <c r="E2523" s="50" t="b">
        <v>1</v>
      </c>
      <c r="F2523" s="72" t="str">
        <f>HYPERLINK("http://nsgreg.nga.mil/genc/view?v=294614&amp;end_month=6&amp;end_day=30&amp;end_year=2019","Negeri Sembilan")</f>
        <v>Negeri Sembilan</v>
      </c>
      <c r="G2523" s="72" t="str">
        <f>HYPERLINK("http://api.nsgreg.nga.mil/geo-division/GENC/6/3-11/MY-05","as:GENC:6:3-11:MY-05")</f>
        <v>as:GENC:6:3-11:MY-05</v>
      </c>
    </row>
    <row r="2524" spans="1:7" x14ac:dyDescent="0.25">
      <c r="A2524" s="112"/>
      <c r="B2524" s="21" t="s">
        <v>6698</v>
      </c>
      <c r="C2524" s="21" t="s">
        <v>6699</v>
      </c>
      <c r="D2524" s="21" t="s">
        <v>2002</v>
      </c>
      <c r="E2524" s="50" t="b">
        <v>1</v>
      </c>
      <c r="F2524" s="72" t="str">
        <f>HYPERLINK("http://nsgreg.nga.mil/genc/view?v=294615&amp;end_month=6&amp;end_day=30&amp;end_year=2019","Pahang")</f>
        <v>Pahang</v>
      </c>
      <c r="G2524" s="72" t="str">
        <f>HYPERLINK("http://api.nsgreg.nga.mil/geo-division/GENC/6/3-11/MY-06","as:GENC:6:3-11:MY-06")</f>
        <v>as:GENC:6:3-11:MY-06</v>
      </c>
    </row>
    <row r="2525" spans="1:7" x14ac:dyDescent="0.25">
      <c r="A2525" s="112"/>
      <c r="B2525" s="21" t="s">
        <v>6700</v>
      </c>
      <c r="C2525" s="21" t="s">
        <v>6701</v>
      </c>
      <c r="D2525" s="21" t="s">
        <v>2002</v>
      </c>
      <c r="E2525" s="50" t="b">
        <v>1</v>
      </c>
      <c r="F2525" s="72" t="str">
        <f>HYPERLINK("http://nsgreg.nga.mil/genc/view?v=294617&amp;end_month=6&amp;end_day=30&amp;end_year=2019","Perak")</f>
        <v>Perak</v>
      </c>
      <c r="G2525" s="72" t="str">
        <f>HYPERLINK("http://api.nsgreg.nga.mil/geo-division/GENC/6/3-11/MY-08","as:GENC:6:3-11:MY-08")</f>
        <v>as:GENC:6:3-11:MY-08</v>
      </c>
    </row>
    <row r="2526" spans="1:7" x14ac:dyDescent="0.25">
      <c r="A2526" s="112"/>
      <c r="B2526" s="21" t="s">
        <v>6702</v>
      </c>
      <c r="C2526" s="21" t="s">
        <v>6703</v>
      </c>
      <c r="D2526" s="21" t="s">
        <v>2002</v>
      </c>
      <c r="E2526" s="50" t="b">
        <v>1</v>
      </c>
      <c r="F2526" s="72" t="str">
        <f>HYPERLINK("http://nsgreg.nga.mil/genc/view?v=294618&amp;end_month=6&amp;end_day=30&amp;end_year=2019","Perlis")</f>
        <v>Perlis</v>
      </c>
      <c r="G2526" s="72" t="str">
        <f>HYPERLINK("http://api.nsgreg.nga.mil/geo-division/GENC/6/3-11/MY-09","as:GENC:6:3-11:MY-09")</f>
        <v>as:GENC:6:3-11:MY-09</v>
      </c>
    </row>
    <row r="2527" spans="1:7" x14ac:dyDescent="0.25">
      <c r="A2527" s="112"/>
      <c r="B2527" s="21" t="s">
        <v>6704</v>
      </c>
      <c r="C2527" s="21" t="s">
        <v>6705</v>
      </c>
      <c r="D2527" s="21" t="s">
        <v>2002</v>
      </c>
      <c r="E2527" s="50" t="b">
        <v>1</v>
      </c>
      <c r="F2527" s="72" t="str">
        <f>HYPERLINK("http://nsgreg.nga.mil/genc/view?v=294616&amp;end_month=6&amp;end_day=30&amp;end_year=2019","Pulau Pinang")</f>
        <v>Pulau Pinang</v>
      </c>
      <c r="G2527" s="72" t="str">
        <f>HYPERLINK("http://api.nsgreg.nga.mil/geo-division/GENC/6/3-11/MY-07","as:GENC:6:3-11:MY-07")</f>
        <v>as:GENC:6:3-11:MY-07</v>
      </c>
    </row>
    <row r="2528" spans="1:7" x14ac:dyDescent="0.25">
      <c r="A2528" s="112"/>
      <c r="B2528" s="21" t="s">
        <v>6706</v>
      </c>
      <c r="C2528" s="21" t="s">
        <v>6707</v>
      </c>
      <c r="D2528" s="21" t="s">
        <v>6691</v>
      </c>
      <c r="E2528" s="50" t="b">
        <v>1</v>
      </c>
      <c r="F2528" s="72" t="str">
        <f>HYPERLINK("http://nsgreg.nga.mil/genc/view?v=294625&amp;end_month=6&amp;end_day=30&amp;end_year=2019","Putrajaya")</f>
        <v>Putrajaya</v>
      </c>
      <c r="G2528" s="72" t="str">
        <f>HYPERLINK("http://api.nsgreg.nga.mil/geo-division/GENC/6/3-11/MY-16","as:GENC:6:3-11:MY-16")</f>
        <v>as:GENC:6:3-11:MY-16</v>
      </c>
    </row>
    <row r="2529" spans="1:7" x14ac:dyDescent="0.25">
      <c r="A2529" s="112"/>
      <c r="B2529" s="21" t="s">
        <v>6708</v>
      </c>
      <c r="C2529" s="21" t="s">
        <v>6709</v>
      </c>
      <c r="D2529" s="21" t="s">
        <v>2002</v>
      </c>
      <c r="E2529" s="50" t="b">
        <v>1</v>
      </c>
      <c r="F2529" s="72" t="str">
        <f>HYPERLINK("http://nsgreg.nga.mil/genc/view?v=294621&amp;end_month=6&amp;end_day=30&amp;end_year=2019","Sabah")</f>
        <v>Sabah</v>
      </c>
      <c r="G2529" s="72" t="str">
        <f>HYPERLINK("http://api.nsgreg.nga.mil/geo-division/GENC/6/3-11/MY-12","as:GENC:6:3-11:MY-12")</f>
        <v>as:GENC:6:3-11:MY-12</v>
      </c>
    </row>
    <row r="2530" spans="1:7" x14ac:dyDescent="0.25">
      <c r="A2530" s="112"/>
      <c r="B2530" s="21" t="s">
        <v>6710</v>
      </c>
      <c r="C2530" s="21" t="s">
        <v>6711</v>
      </c>
      <c r="D2530" s="21" t="s">
        <v>2002</v>
      </c>
      <c r="E2530" s="50" t="b">
        <v>1</v>
      </c>
      <c r="F2530" s="72" t="str">
        <f>HYPERLINK("http://nsgreg.nga.mil/genc/view?v=294622&amp;end_month=6&amp;end_day=30&amp;end_year=2019","Sarawak")</f>
        <v>Sarawak</v>
      </c>
      <c r="G2530" s="72" t="str">
        <f>HYPERLINK("http://api.nsgreg.nga.mil/geo-division/GENC/6/3-11/MY-13","as:GENC:6:3-11:MY-13")</f>
        <v>as:GENC:6:3-11:MY-13</v>
      </c>
    </row>
    <row r="2531" spans="1:7" x14ac:dyDescent="0.25">
      <c r="A2531" s="112"/>
      <c r="B2531" s="21" t="s">
        <v>6712</v>
      </c>
      <c r="C2531" s="21" t="s">
        <v>6713</v>
      </c>
      <c r="D2531" s="21" t="s">
        <v>2002</v>
      </c>
      <c r="E2531" s="50" t="b">
        <v>1</v>
      </c>
      <c r="F2531" s="72" t="str">
        <f>HYPERLINK("http://nsgreg.nga.mil/genc/view?v=294619&amp;end_month=6&amp;end_day=30&amp;end_year=2019","Selangor")</f>
        <v>Selangor</v>
      </c>
      <c r="G2531" s="72" t="str">
        <f>HYPERLINK("http://api.nsgreg.nga.mil/geo-division/GENC/6/3-11/MY-10","as:GENC:6:3-11:MY-10")</f>
        <v>as:GENC:6:3-11:MY-10</v>
      </c>
    </row>
    <row r="2532" spans="1:7" x14ac:dyDescent="0.25">
      <c r="A2532" s="113"/>
      <c r="B2532" s="47" t="s">
        <v>6714</v>
      </c>
      <c r="C2532" s="47" t="s">
        <v>6715</v>
      </c>
      <c r="D2532" s="47" t="s">
        <v>2002</v>
      </c>
      <c r="E2532" s="51" t="b">
        <v>1</v>
      </c>
      <c r="F2532" s="73" t="str">
        <f>HYPERLINK("http://nsgreg.nga.mil/genc/view?v=294620&amp;end_month=6&amp;end_day=30&amp;end_year=2019","Terengganu")</f>
        <v>Terengganu</v>
      </c>
      <c r="G2532" s="73" t="str">
        <f>HYPERLINK("http://api.nsgreg.nga.mil/geo-division/GENC/6/3-11/MY-11","as:GENC:6:3-11:MY-11")</f>
        <v>as:GENC:6:3-11:MY-11</v>
      </c>
    </row>
    <row r="2533" spans="1:7" x14ac:dyDescent="0.25">
      <c r="A2533" s="111" t="str">
        <f>HYPERLINK("[#]Codes_for_GE_Names!A163:I163","MALDIVES")</f>
        <v>MALDIVES</v>
      </c>
      <c r="B2533" s="42" t="s">
        <v>6716</v>
      </c>
      <c r="C2533" s="42" t="s">
        <v>6717</v>
      </c>
      <c r="D2533" s="42" t="s">
        <v>1996</v>
      </c>
      <c r="E2533" s="49" t="b">
        <v>1</v>
      </c>
      <c r="F2533" s="74" t="str">
        <f>HYPERLINK("http://nsgreg.nga.mil/genc/view?v=294527&amp;end_month=6&amp;end_day=30&amp;end_year=2019","Addu")</f>
        <v>Addu</v>
      </c>
      <c r="G2533" s="74" t="str">
        <f>HYPERLINK("http://api.nsgreg.nga.mil/geo-division/GENC/6/3-11/MV-01","as:GENC:6:3-11:MV-01")</f>
        <v>as:GENC:6:3-11:MV-01</v>
      </c>
    </row>
    <row r="2534" spans="1:7" x14ac:dyDescent="0.25">
      <c r="A2534" s="112"/>
      <c r="B2534" s="21" t="s">
        <v>6718</v>
      </c>
      <c r="C2534" s="21" t="s">
        <v>6719</v>
      </c>
      <c r="D2534" s="21" t="s">
        <v>6720</v>
      </c>
      <c r="E2534" s="50" t="b">
        <v>1</v>
      </c>
      <c r="F2534" s="72" t="str">
        <f>HYPERLINK("http://nsgreg.nga.mil/genc/view?v=294526&amp;end_month=6&amp;end_day=30&amp;end_year=2019","Ariatholhu Dhekunuburi")</f>
        <v>Ariatholhu Dhekunuburi</v>
      </c>
      <c r="G2534" s="72" t="str">
        <f>HYPERLINK("http://api.nsgreg.nga.mil/geo-division/GENC/6/3-11/MV-00","as:GENC:6:3-11:MV-00")</f>
        <v>as:GENC:6:3-11:MV-00</v>
      </c>
    </row>
    <row r="2535" spans="1:7" x14ac:dyDescent="0.25">
      <c r="A2535" s="112"/>
      <c r="B2535" s="21" t="s">
        <v>6721</v>
      </c>
      <c r="C2535" s="21" t="s">
        <v>6722</v>
      </c>
      <c r="D2535" s="21" t="s">
        <v>6720</v>
      </c>
      <c r="E2535" s="50" t="b">
        <v>1</v>
      </c>
      <c r="F2535" s="72" t="str">
        <f>HYPERLINK("http://nsgreg.nga.mil/genc/view?v=294528&amp;end_month=6&amp;end_day=30&amp;end_year=2019","Ariatholhu Uthuruburi")</f>
        <v>Ariatholhu Uthuruburi</v>
      </c>
      <c r="G2535" s="72" t="str">
        <f>HYPERLINK("http://api.nsgreg.nga.mil/geo-division/GENC/6/3-11/MV-02","as:GENC:6:3-11:MV-02")</f>
        <v>as:GENC:6:3-11:MV-02</v>
      </c>
    </row>
    <row r="2536" spans="1:7" x14ac:dyDescent="0.25">
      <c r="A2536" s="112"/>
      <c r="B2536" s="21" t="s">
        <v>6723</v>
      </c>
      <c r="C2536" s="21" t="s">
        <v>6724</v>
      </c>
      <c r="D2536" s="21" t="s">
        <v>6720</v>
      </c>
      <c r="E2536" s="50" t="b">
        <v>1</v>
      </c>
      <c r="F2536" s="72" t="str">
        <f>HYPERLINK("http://nsgreg.nga.mil/genc/view?v=294529&amp;end_month=6&amp;end_day=30&amp;end_year=2019","Faadhippolhu")</f>
        <v>Faadhippolhu</v>
      </c>
      <c r="G2536" s="72" t="str">
        <f>HYPERLINK("http://api.nsgreg.nga.mil/geo-division/GENC/6/3-11/MV-03","as:GENC:6:3-11:MV-03")</f>
        <v>as:GENC:6:3-11:MV-03</v>
      </c>
    </row>
    <row r="2537" spans="1:7" x14ac:dyDescent="0.25">
      <c r="A2537" s="112"/>
      <c r="B2537" s="21" t="s">
        <v>6725</v>
      </c>
      <c r="C2537" s="21" t="s">
        <v>6726</v>
      </c>
      <c r="D2537" s="21" t="s">
        <v>6720</v>
      </c>
      <c r="E2537" s="50" t="b">
        <v>1</v>
      </c>
      <c r="F2537" s="72" t="str">
        <f>HYPERLINK("http://nsgreg.nga.mil/genc/view?v=294530&amp;end_month=6&amp;end_day=30&amp;end_year=2019","Felidheatholhu")</f>
        <v>Felidheatholhu</v>
      </c>
      <c r="G2537" s="72" t="str">
        <f>HYPERLINK("http://api.nsgreg.nga.mil/geo-division/GENC/6/3-11/MV-04","as:GENC:6:3-11:MV-04")</f>
        <v>as:GENC:6:3-11:MV-04</v>
      </c>
    </row>
    <row r="2538" spans="1:7" x14ac:dyDescent="0.25">
      <c r="A2538" s="112"/>
      <c r="B2538" s="21" t="s">
        <v>6727</v>
      </c>
      <c r="C2538" s="21" t="s">
        <v>6728</v>
      </c>
      <c r="D2538" s="21" t="s">
        <v>6720</v>
      </c>
      <c r="E2538" s="50" t="b">
        <v>1</v>
      </c>
      <c r="F2538" s="72" t="str">
        <f>HYPERLINK("http://nsgreg.nga.mil/genc/view?v=294545&amp;end_month=6&amp;end_day=30&amp;end_year=2019","Fuvammulah")</f>
        <v>Fuvammulah</v>
      </c>
      <c r="G2538" s="72" t="str">
        <f>HYPERLINK("http://api.nsgreg.nga.mil/geo-division/GENC/6/3-11/MV-29","as:GENC:6:3-11:MV-29")</f>
        <v>as:GENC:6:3-11:MV-29</v>
      </c>
    </row>
    <row r="2539" spans="1:7" x14ac:dyDescent="0.25">
      <c r="A2539" s="112"/>
      <c r="B2539" s="21" t="s">
        <v>6729</v>
      </c>
      <c r="C2539" s="21" t="s">
        <v>6730</v>
      </c>
      <c r="D2539" s="21" t="s">
        <v>6720</v>
      </c>
      <c r="E2539" s="50" t="b">
        <v>1</v>
      </c>
      <c r="F2539" s="72" t="str">
        <f>HYPERLINK("http://nsgreg.nga.mil/genc/view?v=294531&amp;end_month=6&amp;end_day=30&amp;end_year=2019","Hahdhunmathi")</f>
        <v>Hahdhunmathi</v>
      </c>
      <c r="G2539" s="72" t="str">
        <f>HYPERLINK("http://api.nsgreg.nga.mil/geo-division/GENC/6/3-11/MV-05","as:GENC:6:3-11:MV-05")</f>
        <v>as:GENC:6:3-11:MV-05</v>
      </c>
    </row>
    <row r="2540" spans="1:7" x14ac:dyDescent="0.25">
      <c r="A2540" s="112"/>
      <c r="B2540" s="21" t="s">
        <v>6731</v>
      </c>
      <c r="C2540" s="21" t="s">
        <v>6732</v>
      </c>
      <c r="D2540" s="21" t="s">
        <v>6720</v>
      </c>
      <c r="E2540" s="50" t="b">
        <v>1</v>
      </c>
      <c r="F2540" s="72" t="str">
        <f>HYPERLINK("http://nsgreg.nga.mil/genc/view?v=294544&amp;end_month=6&amp;end_day=30&amp;end_year=2019","Huvadhuatholhu Dhekunuburi")</f>
        <v>Huvadhuatholhu Dhekunuburi</v>
      </c>
      <c r="G2540" s="72" t="str">
        <f>HYPERLINK("http://api.nsgreg.nga.mil/geo-division/GENC/6/3-11/MV-28","as:GENC:6:3-11:MV-28")</f>
        <v>as:GENC:6:3-11:MV-28</v>
      </c>
    </row>
    <row r="2541" spans="1:7" x14ac:dyDescent="0.25">
      <c r="A2541" s="112"/>
      <c r="B2541" s="21" t="s">
        <v>6733</v>
      </c>
      <c r="C2541" s="21" t="s">
        <v>6734</v>
      </c>
      <c r="D2541" s="21" t="s">
        <v>6720</v>
      </c>
      <c r="E2541" s="50" t="b">
        <v>1</v>
      </c>
      <c r="F2541" s="72" t="str">
        <f>HYPERLINK("http://nsgreg.nga.mil/genc/view?v=294543&amp;end_month=6&amp;end_day=30&amp;end_year=2019","Huvadhuatholhu Uthuruburi")</f>
        <v>Huvadhuatholhu Uthuruburi</v>
      </c>
      <c r="G2541" s="72" t="str">
        <f>HYPERLINK("http://api.nsgreg.nga.mil/geo-division/GENC/6/3-11/MV-27","as:GENC:6:3-11:MV-27")</f>
        <v>as:GENC:6:3-11:MV-27</v>
      </c>
    </row>
    <row r="2542" spans="1:7" x14ac:dyDescent="0.25">
      <c r="A2542" s="112"/>
      <c r="B2542" s="21" t="s">
        <v>6735</v>
      </c>
      <c r="C2542" s="21" t="s">
        <v>6736</v>
      </c>
      <c r="D2542" s="21" t="s">
        <v>6720</v>
      </c>
      <c r="E2542" s="50" t="b">
        <v>1</v>
      </c>
      <c r="F2542" s="72" t="str">
        <f>HYPERLINK("http://nsgreg.nga.mil/genc/view?v=294533&amp;end_month=6&amp;end_day=30&amp;end_year=2019","Kolhumadulu")</f>
        <v>Kolhumadulu</v>
      </c>
      <c r="G2542" s="72" t="str">
        <f>HYPERLINK("http://api.nsgreg.nga.mil/geo-division/GENC/6/3-11/MV-08","as:GENC:6:3-11:MV-08")</f>
        <v>as:GENC:6:3-11:MV-08</v>
      </c>
    </row>
    <row r="2543" spans="1:7" x14ac:dyDescent="0.25">
      <c r="A2543" s="112"/>
      <c r="B2543" s="21" t="s">
        <v>6737</v>
      </c>
      <c r="C2543" s="21" t="s">
        <v>6738</v>
      </c>
      <c r="D2543" s="21" t="s">
        <v>1996</v>
      </c>
      <c r="E2543" s="50" t="b">
        <v>1</v>
      </c>
      <c r="F2543" s="72" t="str">
        <f>HYPERLINK("http://nsgreg.nga.mil/genc/view?v=294546&amp;end_month=6&amp;end_day=30&amp;end_year=2019","Maale")</f>
        <v>Maale</v>
      </c>
      <c r="G2543" s="72" t="str">
        <f>HYPERLINK("http://api.nsgreg.nga.mil/geo-division/GENC/6/3-11/MV-MLE","as:GENC:6:3-11:MV-MLE")</f>
        <v>as:GENC:6:3-11:MV-MLE</v>
      </c>
    </row>
    <row r="2544" spans="1:7" x14ac:dyDescent="0.25">
      <c r="A2544" s="112"/>
      <c r="B2544" s="21" t="s">
        <v>6739</v>
      </c>
      <c r="C2544" s="21" t="s">
        <v>6740</v>
      </c>
      <c r="D2544" s="21" t="s">
        <v>6720</v>
      </c>
      <c r="E2544" s="50" t="b">
        <v>1</v>
      </c>
      <c r="F2544" s="72" t="str">
        <f>HYPERLINK("http://nsgreg.nga.mil/genc/view?v=294542&amp;end_month=6&amp;end_day=30&amp;end_year=2019","Maaleatholhu")</f>
        <v>Maaleatholhu</v>
      </c>
      <c r="G2544" s="72" t="str">
        <f>HYPERLINK("http://api.nsgreg.nga.mil/geo-division/GENC/6/3-11/MV-26","as:GENC:6:3-11:MV-26")</f>
        <v>as:GENC:6:3-11:MV-26</v>
      </c>
    </row>
    <row r="2545" spans="1:7" x14ac:dyDescent="0.25">
      <c r="A2545" s="112"/>
      <c r="B2545" s="21" t="s">
        <v>6741</v>
      </c>
      <c r="C2545" s="21" t="s">
        <v>6742</v>
      </c>
      <c r="D2545" s="21" t="s">
        <v>6720</v>
      </c>
      <c r="E2545" s="50" t="b">
        <v>1</v>
      </c>
      <c r="F2545" s="72" t="str">
        <f>HYPERLINK("http://nsgreg.nga.mil/genc/view?v=294538&amp;end_month=6&amp;end_day=30&amp;end_year=2019","Maalhosmadulu Dhekunuburi")</f>
        <v>Maalhosmadulu Dhekunuburi</v>
      </c>
      <c r="G2545" s="72" t="str">
        <f>HYPERLINK("http://api.nsgreg.nga.mil/geo-division/GENC/6/3-11/MV-20","as:GENC:6:3-11:MV-20")</f>
        <v>as:GENC:6:3-11:MV-20</v>
      </c>
    </row>
    <row r="2546" spans="1:7" x14ac:dyDescent="0.25">
      <c r="A2546" s="112"/>
      <c r="B2546" s="21" t="s">
        <v>6743</v>
      </c>
      <c r="C2546" s="21" t="s">
        <v>6744</v>
      </c>
      <c r="D2546" s="21" t="s">
        <v>6720</v>
      </c>
      <c r="E2546" s="50" t="b">
        <v>1</v>
      </c>
      <c r="F2546" s="72" t="str">
        <f>HYPERLINK("http://nsgreg.nga.mil/genc/view?v=294535&amp;end_month=6&amp;end_day=30&amp;end_year=2019","Maalhosmadulu Uthuruburi")</f>
        <v>Maalhosmadulu Uthuruburi</v>
      </c>
      <c r="G2546" s="72" t="str">
        <f>HYPERLINK("http://api.nsgreg.nga.mil/geo-division/GENC/6/3-11/MV-13","as:GENC:6:3-11:MV-13")</f>
        <v>as:GENC:6:3-11:MV-13</v>
      </c>
    </row>
    <row r="2547" spans="1:7" x14ac:dyDescent="0.25">
      <c r="A2547" s="112"/>
      <c r="B2547" s="21" t="s">
        <v>6745</v>
      </c>
      <c r="C2547" s="21" t="s">
        <v>6746</v>
      </c>
      <c r="D2547" s="21" t="s">
        <v>6720</v>
      </c>
      <c r="E2547" s="50" t="b">
        <v>1</v>
      </c>
      <c r="F2547" s="72" t="str">
        <f>HYPERLINK("http://nsgreg.nga.mil/genc/view?v=294541&amp;end_month=6&amp;end_day=30&amp;end_year=2019","Miladhunmadulu Dhekunuburi")</f>
        <v>Miladhunmadulu Dhekunuburi</v>
      </c>
      <c r="G2547" s="72" t="str">
        <f>HYPERLINK("http://api.nsgreg.nga.mil/geo-division/GENC/6/3-11/MV-25","as:GENC:6:3-11:MV-25")</f>
        <v>as:GENC:6:3-11:MV-25</v>
      </c>
    </row>
    <row r="2548" spans="1:7" x14ac:dyDescent="0.25">
      <c r="A2548" s="112"/>
      <c r="B2548" s="21" t="s">
        <v>6747</v>
      </c>
      <c r="C2548" s="21" t="s">
        <v>6748</v>
      </c>
      <c r="D2548" s="21" t="s">
        <v>6720</v>
      </c>
      <c r="E2548" s="50" t="b">
        <v>1</v>
      </c>
      <c r="F2548" s="72" t="str">
        <f>HYPERLINK("http://nsgreg.nga.mil/genc/view?v=294540&amp;end_month=6&amp;end_day=30&amp;end_year=2019","Miladhunmadulu Uthuruburi")</f>
        <v>Miladhunmadulu Uthuruburi</v>
      </c>
      <c r="G2548" s="72" t="str">
        <f>HYPERLINK("http://api.nsgreg.nga.mil/geo-division/GENC/6/3-11/MV-24","as:GENC:6:3-11:MV-24")</f>
        <v>as:GENC:6:3-11:MV-24</v>
      </c>
    </row>
    <row r="2549" spans="1:7" x14ac:dyDescent="0.25">
      <c r="A2549" s="112"/>
      <c r="B2549" s="21" t="s">
        <v>6749</v>
      </c>
      <c r="C2549" s="21" t="s">
        <v>6750</v>
      </c>
      <c r="D2549" s="21" t="s">
        <v>6720</v>
      </c>
      <c r="E2549" s="50" t="b">
        <v>1</v>
      </c>
      <c r="F2549" s="72" t="str">
        <f>HYPERLINK("http://nsgreg.nga.mil/genc/view?v=294534&amp;end_month=6&amp;end_day=30&amp;end_year=2019","Mulakatholhu")</f>
        <v>Mulakatholhu</v>
      </c>
      <c r="G2549" s="72" t="str">
        <f>HYPERLINK("http://api.nsgreg.nga.mil/geo-division/GENC/6/3-11/MV-12","as:GENC:6:3-11:MV-12")</f>
        <v>as:GENC:6:3-11:MV-12</v>
      </c>
    </row>
    <row r="2550" spans="1:7" x14ac:dyDescent="0.25">
      <c r="A2550" s="112"/>
      <c r="B2550" s="21" t="s">
        <v>6751</v>
      </c>
      <c r="C2550" s="21" t="s">
        <v>6752</v>
      </c>
      <c r="D2550" s="21" t="s">
        <v>6720</v>
      </c>
      <c r="E2550" s="50" t="b">
        <v>1</v>
      </c>
      <c r="F2550" s="72" t="str">
        <f>HYPERLINK("http://nsgreg.nga.mil/genc/view?v=294537&amp;end_month=6&amp;end_day=30&amp;end_year=2019","Nilandheatholhu Dhekunuburi")</f>
        <v>Nilandheatholhu Dhekunuburi</v>
      </c>
      <c r="G2550" s="72" t="str">
        <f>HYPERLINK("http://api.nsgreg.nga.mil/geo-division/GENC/6/3-11/MV-17","as:GENC:6:3-11:MV-17")</f>
        <v>as:GENC:6:3-11:MV-17</v>
      </c>
    </row>
    <row r="2551" spans="1:7" x14ac:dyDescent="0.25">
      <c r="A2551" s="112"/>
      <c r="B2551" s="21" t="s">
        <v>6753</v>
      </c>
      <c r="C2551" s="21" t="s">
        <v>6754</v>
      </c>
      <c r="D2551" s="21" t="s">
        <v>6720</v>
      </c>
      <c r="E2551" s="50" t="b">
        <v>1</v>
      </c>
      <c r="F2551" s="72" t="str">
        <f>HYPERLINK("http://nsgreg.nga.mil/genc/view?v=294536&amp;end_month=6&amp;end_day=30&amp;end_year=2019","Nilandheatholhu Uthuruburi")</f>
        <v>Nilandheatholhu Uthuruburi</v>
      </c>
      <c r="G2551" s="72" t="str">
        <f>HYPERLINK("http://api.nsgreg.nga.mil/geo-division/GENC/6/3-11/MV-14","as:GENC:6:3-11:MV-14")</f>
        <v>as:GENC:6:3-11:MV-14</v>
      </c>
    </row>
    <row r="2552" spans="1:7" x14ac:dyDescent="0.25">
      <c r="A2552" s="112"/>
      <c r="B2552" s="21" t="s">
        <v>6755</v>
      </c>
      <c r="C2552" s="21" t="s">
        <v>6756</v>
      </c>
      <c r="D2552" s="21" t="s">
        <v>6720</v>
      </c>
      <c r="E2552" s="50" t="b">
        <v>1</v>
      </c>
      <c r="F2552" s="72" t="str">
        <f>HYPERLINK("http://nsgreg.nga.mil/genc/view?v=294539&amp;end_month=6&amp;end_day=30&amp;end_year=2019","Thiladhunmathee Dhekunuburi")</f>
        <v>Thiladhunmathee Dhekunuburi</v>
      </c>
      <c r="G2552" s="72" t="str">
        <f>HYPERLINK("http://api.nsgreg.nga.mil/geo-division/GENC/6/3-11/MV-23","as:GENC:6:3-11:MV-23")</f>
        <v>as:GENC:6:3-11:MV-23</v>
      </c>
    </row>
    <row r="2553" spans="1:7" x14ac:dyDescent="0.25">
      <c r="A2553" s="113"/>
      <c r="B2553" s="47" t="s">
        <v>6757</v>
      </c>
      <c r="C2553" s="47" t="s">
        <v>6758</v>
      </c>
      <c r="D2553" s="47" t="s">
        <v>6720</v>
      </c>
      <c r="E2553" s="51" t="b">
        <v>1</v>
      </c>
      <c r="F2553" s="73" t="str">
        <f>HYPERLINK("http://nsgreg.nga.mil/genc/view?v=294532&amp;end_month=6&amp;end_day=30&amp;end_year=2019","Thiladhunmathee Uthuruburi")</f>
        <v>Thiladhunmathee Uthuruburi</v>
      </c>
      <c r="G2553" s="73" t="str">
        <f>HYPERLINK("http://api.nsgreg.nga.mil/geo-division/GENC/6/3-11/MV-07","as:GENC:6:3-11:MV-07")</f>
        <v>as:GENC:6:3-11:MV-07</v>
      </c>
    </row>
    <row r="2554" spans="1:7" x14ac:dyDescent="0.25">
      <c r="A2554" s="111" t="str">
        <f>HYPERLINK("[#]Codes_for_GE_Names!A164:I164","MALI")</f>
        <v>MALI</v>
      </c>
      <c r="B2554" s="42" t="s">
        <v>6759</v>
      </c>
      <c r="C2554" s="42" t="s">
        <v>6760</v>
      </c>
      <c r="D2554" s="42" t="s">
        <v>2035</v>
      </c>
      <c r="E2554" s="49" t="b">
        <v>1</v>
      </c>
      <c r="F2554" s="74" t="str">
        <f>HYPERLINK("http://nsgreg.nga.mil/genc/view?v=294385&amp;end_month=6&amp;end_day=30&amp;end_year=2019","Bamako")</f>
        <v>Bamako</v>
      </c>
      <c r="G2554" s="74" t="str">
        <f>HYPERLINK("http://api.nsgreg.nga.mil/geo-division/GENC/6/3-11/ML-BKO","as:GENC:6:3-11:ML-BKO")</f>
        <v>as:GENC:6:3-11:ML-BKO</v>
      </c>
    </row>
    <row r="2555" spans="1:7" x14ac:dyDescent="0.25">
      <c r="A2555" s="112"/>
      <c r="B2555" s="21" t="s">
        <v>6761</v>
      </c>
      <c r="C2555" s="21" t="s">
        <v>6762</v>
      </c>
      <c r="D2555" s="21" t="s">
        <v>1975</v>
      </c>
      <c r="E2555" s="50" t="b">
        <v>1</v>
      </c>
      <c r="F2555" s="72" t="str">
        <f>HYPERLINK("http://nsgreg.nga.mil/genc/view?v=294383&amp;end_month=6&amp;end_day=30&amp;end_year=2019","Gao")</f>
        <v>Gao</v>
      </c>
      <c r="G2555" s="72" t="str">
        <f>HYPERLINK("http://api.nsgreg.nga.mil/geo-division/GENC/6/3-11/ML-7","as:GENC:6:3-11:ML-7")</f>
        <v>as:GENC:6:3-11:ML-7</v>
      </c>
    </row>
    <row r="2556" spans="1:7" x14ac:dyDescent="0.25">
      <c r="A2556" s="112"/>
      <c r="B2556" s="21" t="s">
        <v>6763</v>
      </c>
      <c r="C2556" s="21" t="s">
        <v>6764</v>
      </c>
      <c r="D2556" s="21" t="s">
        <v>1975</v>
      </c>
      <c r="E2556" s="50" t="b">
        <v>1</v>
      </c>
      <c r="F2556" s="72" t="str">
        <f>HYPERLINK("http://nsgreg.nga.mil/genc/view?v=294377&amp;end_month=6&amp;end_day=30&amp;end_year=2019","Kayes")</f>
        <v>Kayes</v>
      </c>
      <c r="G2556" s="72" t="str">
        <f>HYPERLINK("http://api.nsgreg.nga.mil/geo-division/GENC/6/3-11/ML-1","as:GENC:6:3-11:ML-1")</f>
        <v>as:GENC:6:3-11:ML-1</v>
      </c>
    </row>
    <row r="2557" spans="1:7" x14ac:dyDescent="0.25">
      <c r="A2557" s="112"/>
      <c r="B2557" s="21" t="s">
        <v>6765</v>
      </c>
      <c r="C2557" s="21" t="s">
        <v>6766</v>
      </c>
      <c r="D2557" s="21" t="s">
        <v>1975</v>
      </c>
      <c r="E2557" s="50" t="b">
        <v>1</v>
      </c>
      <c r="F2557" s="72" t="str">
        <f>HYPERLINK("http://nsgreg.nga.mil/genc/view?v=294384&amp;end_month=6&amp;end_day=30&amp;end_year=2019","Kidal")</f>
        <v>Kidal</v>
      </c>
      <c r="G2557" s="72" t="str">
        <f>HYPERLINK("http://api.nsgreg.nga.mil/geo-division/GENC/6/3-11/ML-8","as:GENC:6:3-11:ML-8")</f>
        <v>as:GENC:6:3-11:ML-8</v>
      </c>
    </row>
    <row r="2558" spans="1:7" x14ac:dyDescent="0.25">
      <c r="A2558" s="112"/>
      <c r="B2558" s="21" t="s">
        <v>6767</v>
      </c>
      <c r="C2558" s="21" t="s">
        <v>6768</v>
      </c>
      <c r="D2558" s="21" t="s">
        <v>1975</v>
      </c>
      <c r="E2558" s="50" t="b">
        <v>1</v>
      </c>
      <c r="F2558" s="72" t="str">
        <f>HYPERLINK("http://nsgreg.nga.mil/genc/view?v=294378&amp;end_month=6&amp;end_day=30&amp;end_year=2019","Koulikoro")</f>
        <v>Koulikoro</v>
      </c>
      <c r="G2558" s="72" t="str">
        <f>HYPERLINK("http://api.nsgreg.nga.mil/geo-division/GENC/6/3-11/ML-2","as:GENC:6:3-11:ML-2")</f>
        <v>as:GENC:6:3-11:ML-2</v>
      </c>
    </row>
    <row r="2559" spans="1:7" x14ac:dyDescent="0.25">
      <c r="A2559" s="112"/>
      <c r="B2559" s="21" t="s">
        <v>6769</v>
      </c>
      <c r="C2559" s="21" t="s">
        <v>6770</v>
      </c>
      <c r="D2559" s="21" t="s">
        <v>1975</v>
      </c>
      <c r="E2559" s="50" t="b">
        <v>1</v>
      </c>
      <c r="F2559" s="72" t="str">
        <f>HYPERLINK("http://nsgreg.nga.mil/genc/view?v=294381&amp;end_month=6&amp;end_day=30&amp;end_year=2019","Mopti")</f>
        <v>Mopti</v>
      </c>
      <c r="G2559" s="72" t="str">
        <f>HYPERLINK("http://api.nsgreg.nga.mil/geo-division/GENC/6/3-11/ML-5","as:GENC:6:3-11:ML-5")</f>
        <v>as:GENC:6:3-11:ML-5</v>
      </c>
    </row>
    <row r="2560" spans="1:7" x14ac:dyDescent="0.25">
      <c r="A2560" s="112"/>
      <c r="B2560" s="21" t="s">
        <v>6771</v>
      </c>
      <c r="C2560" s="21" t="s">
        <v>6772</v>
      </c>
      <c r="D2560" s="21" t="s">
        <v>1975</v>
      </c>
      <c r="E2560" s="50" t="b">
        <v>1</v>
      </c>
      <c r="F2560" s="72" t="str">
        <f>HYPERLINK("http://nsgreg.nga.mil/genc/view?v=294380&amp;end_month=6&amp;end_day=30&amp;end_year=2019","Ségou")</f>
        <v>Ségou</v>
      </c>
      <c r="G2560" s="72" t="str">
        <f>HYPERLINK("http://api.nsgreg.nga.mil/geo-division/GENC/6/3-11/ML-4","as:GENC:6:3-11:ML-4")</f>
        <v>as:GENC:6:3-11:ML-4</v>
      </c>
    </row>
    <row r="2561" spans="1:7" x14ac:dyDescent="0.25">
      <c r="A2561" s="112"/>
      <c r="B2561" s="21" t="s">
        <v>6773</v>
      </c>
      <c r="C2561" s="21" t="s">
        <v>6774</v>
      </c>
      <c r="D2561" s="21" t="s">
        <v>1975</v>
      </c>
      <c r="E2561" s="50" t="b">
        <v>1</v>
      </c>
      <c r="F2561" s="72" t="str">
        <f>HYPERLINK("http://nsgreg.nga.mil/genc/view?v=294379&amp;end_month=6&amp;end_day=30&amp;end_year=2019","Sikasso")</f>
        <v>Sikasso</v>
      </c>
      <c r="G2561" s="72" t="str">
        <f>HYPERLINK("http://api.nsgreg.nga.mil/geo-division/GENC/6/3-11/ML-3","as:GENC:6:3-11:ML-3")</f>
        <v>as:GENC:6:3-11:ML-3</v>
      </c>
    </row>
    <row r="2562" spans="1:7" x14ac:dyDescent="0.25">
      <c r="A2562" s="113"/>
      <c r="B2562" s="47" t="s">
        <v>6775</v>
      </c>
      <c r="C2562" s="47" t="s">
        <v>6776</v>
      </c>
      <c r="D2562" s="47" t="s">
        <v>1975</v>
      </c>
      <c r="E2562" s="51" t="b">
        <v>1</v>
      </c>
      <c r="F2562" s="73" t="str">
        <f>HYPERLINK("http://nsgreg.nga.mil/genc/view?v=294382&amp;end_month=6&amp;end_day=30&amp;end_year=2019","Tombouctou")</f>
        <v>Tombouctou</v>
      </c>
      <c r="G2562" s="73" t="str">
        <f>HYPERLINK("http://api.nsgreg.nga.mil/geo-division/GENC/6/3-11/ML-6","as:GENC:6:3-11:ML-6")</f>
        <v>as:GENC:6:3-11:ML-6</v>
      </c>
    </row>
    <row r="2563" spans="1:7" x14ac:dyDescent="0.25">
      <c r="A2563" s="111" t="str">
        <f>HYPERLINK("[#]Codes_for_GE_Names!A165:I165","MALTA")</f>
        <v>MALTA</v>
      </c>
      <c r="B2563" s="42" t="s">
        <v>6777</v>
      </c>
      <c r="C2563" s="42" t="s">
        <v>6778</v>
      </c>
      <c r="D2563" s="42" t="s">
        <v>6779</v>
      </c>
      <c r="E2563" s="49" t="b">
        <v>1</v>
      </c>
      <c r="F2563" s="74" t="str">
        <f>HYPERLINK("http://nsgreg.nga.mil/genc/view?v=294441&amp;end_month=6&amp;end_day=30&amp;end_year=2019","Attard")</f>
        <v>Attard</v>
      </c>
      <c r="G2563" s="74" t="str">
        <f>HYPERLINK("http://api.nsgreg.nga.mil/geo-division/GENC/6/3-11/MT-01","as:GENC:6:3-11:MT-01")</f>
        <v>as:GENC:6:3-11:MT-01</v>
      </c>
    </row>
    <row r="2564" spans="1:7" x14ac:dyDescent="0.25">
      <c r="A2564" s="112"/>
      <c r="B2564" s="21" t="s">
        <v>6780</v>
      </c>
      <c r="C2564" s="21" t="s">
        <v>6781</v>
      </c>
      <c r="D2564" s="21" t="s">
        <v>6779</v>
      </c>
      <c r="E2564" s="50" t="b">
        <v>1</v>
      </c>
      <c r="F2564" s="72" t="str">
        <f>HYPERLINK("http://nsgreg.nga.mil/genc/view?v=294442&amp;end_month=6&amp;end_day=30&amp;end_year=2019","Balzan")</f>
        <v>Balzan</v>
      </c>
      <c r="G2564" s="72" t="str">
        <f>HYPERLINK("http://api.nsgreg.nga.mil/geo-division/GENC/6/3-11/MT-02","as:GENC:6:3-11:MT-02")</f>
        <v>as:GENC:6:3-11:MT-02</v>
      </c>
    </row>
    <row r="2565" spans="1:7" x14ac:dyDescent="0.25">
      <c r="A2565" s="112"/>
      <c r="B2565" s="21" t="s">
        <v>6782</v>
      </c>
      <c r="C2565" s="21" t="s">
        <v>6783</v>
      </c>
      <c r="D2565" s="21" t="s">
        <v>6779</v>
      </c>
      <c r="E2565" s="50" t="b">
        <v>1</v>
      </c>
      <c r="F2565" s="72" t="str">
        <f>HYPERLINK("http://nsgreg.nga.mil/genc/view?v=294443&amp;end_month=6&amp;end_day=30&amp;end_year=2019","Birgu")</f>
        <v>Birgu</v>
      </c>
      <c r="G2565" s="72" t="str">
        <f>HYPERLINK("http://api.nsgreg.nga.mil/geo-division/GENC/6/3-11/MT-03","as:GENC:6:3-11:MT-03")</f>
        <v>as:GENC:6:3-11:MT-03</v>
      </c>
    </row>
    <row r="2566" spans="1:7" x14ac:dyDescent="0.25">
      <c r="A2566" s="112"/>
      <c r="B2566" s="21" t="s">
        <v>6784</v>
      </c>
      <c r="C2566" s="21" t="s">
        <v>6785</v>
      </c>
      <c r="D2566" s="21" t="s">
        <v>6779</v>
      </c>
      <c r="E2566" s="50" t="b">
        <v>1</v>
      </c>
      <c r="F2566" s="72" t="str">
        <f>HYPERLINK("http://nsgreg.nga.mil/genc/view?v=294444&amp;end_month=6&amp;end_day=30&amp;end_year=2019","Birkirkara")</f>
        <v>Birkirkara</v>
      </c>
      <c r="G2566" s="72" t="str">
        <f>HYPERLINK("http://api.nsgreg.nga.mil/geo-division/GENC/6/3-11/MT-04","as:GENC:6:3-11:MT-04")</f>
        <v>as:GENC:6:3-11:MT-04</v>
      </c>
    </row>
    <row r="2567" spans="1:7" x14ac:dyDescent="0.25">
      <c r="A2567" s="112"/>
      <c r="B2567" s="21" t="s">
        <v>6786</v>
      </c>
      <c r="C2567" s="21" t="s">
        <v>6787</v>
      </c>
      <c r="D2567" s="21" t="s">
        <v>6779</v>
      </c>
      <c r="E2567" s="50" t="b">
        <v>1</v>
      </c>
      <c r="F2567" s="72" t="str">
        <f>HYPERLINK("http://nsgreg.nga.mil/genc/view?v=294445&amp;end_month=6&amp;end_day=30&amp;end_year=2019","Birżebbuġa")</f>
        <v>Birżebbuġa</v>
      </c>
      <c r="G2567" s="72" t="str">
        <f>HYPERLINK("http://api.nsgreg.nga.mil/geo-division/GENC/6/3-11/MT-05","as:GENC:6:3-11:MT-05")</f>
        <v>as:GENC:6:3-11:MT-05</v>
      </c>
    </row>
    <row r="2568" spans="1:7" x14ac:dyDescent="0.25">
      <c r="A2568" s="112"/>
      <c r="B2568" s="21" t="s">
        <v>6788</v>
      </c>
      <c r="C2568" s="21" t="s">
        <v>6789</v>
      </c>
      <c r="D2568" s="21" t="s">
        <v>6779</v>
      </c>
      <c r="E2568" s="50" t="b">
        <v>1</v>
      </c>
      <c r="F2568" s="72" t="str">
        <f>HYPERLINK("http://nsgreg.nga.mil/genc/view?v=294446&amp;end_month=6&amp;end_day=30&amp;end_year=2019","Bormla")</f>
        <v>Bormla</v>
      </c>
      <c r="G2568" s="72" t="str">
        <f>HYPERLINK("http://api.nsgreg.nga.mil/geo-division/GENC/6/3-11/MT-06","as:GENC:6:3-11:MT-06")</f>
        <v>as:GENC:6:3-11:MT-06</v>
      </c>
    </row>
    <row r="2569" spans="1:7" x14ac:dyDescent="0.25">
      <c r="A2569" s="112"/>
      <c r="B2569" s="21" t="s">
        <v>6790</v>
      </c>
      <c r="C2569" s="21" t="s">
        <v>6791</v>
      </c>
      <c r="D2569" s="21" t="s">
        <v>6779</v>
      </c>
      <c r="E2569" s="50" t="b">
        <v>1</v>
      </c>
      <c r="F2569" s="72" t="str">
        <f>HYPERLINK("http://nsgreg.nga.mil/genc/view?v=294447&amp;end_month=6&amp;end_day=30&amp;end_year=2019","Dingli")</f>
        <v>Dingli</v>
      </c>
      <c r="G2569" s="72" t="str">
        <f>HYPERLINK("http://api.nsgreg.nga.mil/geo-division/GENC/6/3-11/MT-07","as:GENC:6:3-11:MT-07")</f>
        <v>as:GENC:6:3-11:MT-07</v>
      </c>
    </row>
    <row r="2570" spans="1:7" x14ac:dyDescent="0.25">
      <c r="A2570" s="112"/>
      <c r="B2570" s="21" t="s">
        <v>6792</v>
      </c>
      <c r="C2570" s="21" t="s">
        <v>6793</v>
      </c>
      <c r="D2570" s="21" t="s">
        <v>6779</v>
      </c>
      <c r="E2570" s="50" t="b">
        <v>1</v>
      </c>
      <c r="F2570" s="72" t="str">
        <f>HYPERLINK("http://nsgreg.nga.mil/genc/view?v=294448&amp;end_month=6&amp;end_day=30&amp;end_year=2019","Fgura")</f>
        <v>Fgura</v>
      </c>
      <c r="G2570" s="72" t="str">
        <f>HYPERLINK("http://api.nsgreg.nga.mil/geo-division/GENC/6/3-11/MT-08","as:GENC:6:3-11:MT-08")</f>
        <v>as:GENC:6:3-11:MT-08</v>
      </c>
    </row>
    <row r="2571" spans="1:7" x14ac:dyDescent="0.25">
      <c r="A2571" s="112"/>
      <c r="B2571" s="21" t="s">
        <v>6794</v>
      </c>
      <c r="C2571" s="21" t="s">
        <v>6795</v>
      </c>
      <c r="D2571" s="21" t="s">
        <v>6779</v>
      </c>
      <c r="E2571" s="50" t="b">
        <v>1</v>
      </c>
      <c r="F2571" s="72" t="str">
        <f>HYPERLINK("http://nsgreg.nga.mil/genc/view?v=294449&amp;end_month=6&amp;end_day=30&amp;end_year=2019","Floriana")</f>
        <v>Floriana</v>
      </c>
      <c r="G2571" s="72" t="str">
        <f>HYPERLINK("http://api.nsgreg.nga.mil/geo-division/GENC/6/3-11/MT-09","as:GENC:6:3-11:MT-09")</f>
        <v>as:GENC:6:3-11:MT-09</v>
      </c>
    </row>
    <row r="2572" spans="1:7" x14ac:dyDescent="0.25">
      <c r="A2572" s="112"/>
      <c r="B2572" s="21" t="s">
        <v>6796</v>
      </c>
      <c r="C2572" s="21" t="s">
        <v>6797</v>
      </c>
      <c r="D2572" s="21" t="s">
        <v>6779</v>
      </c>
      <c r="E2572" s="50" t="b">
        <v>1</v>
      </c>
      <c r="F2572" s="72" t="str">
        <f>HYPERLINK("http://nsgreg.nga.mil/genc/view?v=294450&amp;end_month=6&amp;end_day=30&amp;end_year=2019","Fontana")</f>
        <v>Fontana</v>
      </c>
      <c r="G2572" s="72" t="str">
        <f>HYPERLINK("http://api.nsgreg.nga.mil/geo-division/GENC/6/3-11/MT-10","as:GENC:6:3-11:MT-10")</f>
        <v>as:GENC:6:3-11:MT-10</v>
      </c>
    </row>
    <row r="2573" spans="1:7" x14ac:dyDescent="0.25">
      <c r="A2573" s="112"/>
      <c r="B2573" s="21" t="s">
        <v>6798</v>
      </c>
      <c r="C2573" s="21" t="s">
        <v>6799</v>
      </c>
      <c r="D2573" s="21" t="s">
        <v>6779</v>
      </c>
      <c r="E2573" s="50" t="b">
        <v>1</v>
      </c>
      <c r="F2573" s="72" t="str">
        <f>HYPERLINK("http://nsgreg.nga.mil/genc/view?v=294453&amp;end_month=6&amp;end_day=30&amp;end_year=2019","Għajnsielem")</f>
        <v>Għajnsielem</v>
      </c>
      <c r="G2573" s="72" t="str">
        <f>HYPERLINK("http://api.nsgreg.nga.mil/geo-division/GENC/6/3-11/MT-13","as:GENC:6:3-11:MT-13")</f>
        <v>as:GENC:6:3-11:MT-13</v>
      </c>
    </row>
    <row r="2574" spans="1:7" x14ac:dyDescent="0.25">
      <c r="A2574" s="112"/>
      <c r="B2574" s="21" t="s">
        <v>6800</v>
      </c>
      <c r="C2574" s="21" t="s">
        <v>6801</v>
      </c>
      <c r="D2574" s="21" t="s">
        <v>6779</v>
      </c>
      <c r="E2574" s="50" t="b">
        <v>1</v>
      </c>
      <c r="F2574" s="72" t="str">
        <f>HYPERLINK("http://nsgreg.nga.mil/genc/view?v=294454&amp;end_month=6&amp;end_day=30&amp;end_year=2019","Għarb")</f>
        <v>Għarb</v>
      </c>
      <c r="G2574" s="72" t="str">
        <f>HYPERLINK("http://api.nsgreg.nga.mil/geo-division/GENC/6/3-11/MT-14","as:GENC:6:3-11:MT-14")</f>
        <v>as:GENC:6:3-11:MT-14</v>
      </c>
    </row>
    <row r="2575" spans="1:7" x14ac:dyDescent="0.25">
      <c r="A2575" s="112"/>
      <c r="B2575" s="21" t="s">
        <v>6802</v>
      </c>
      <c r="C2575" s="21" t="s">
        <v>6803</v>
      </c>
      <c r="D2575" s="21" t="s">
        <v>6779</v>
      </c>
      <c r="E2575" s="50" t="b">
        <v>1</v>
      </c>
      <c r="F2575" s="72" t="str">
        <f>HYPERLINK("http://nsgreg.nga.mil/genc/view?v=294455&amp;end_month=6&amp;end_day=30&amp;end_year=2019","Għargħur")</f>
        <v>Għargħur</v>
      </c>
      <c r="G2575" s="72" t="str">
        <f>HYPERLINK("http://api.nsgreg.nga.mil/geo-division/GENC/6/3-11/MT-15","as:GENC:6:3-11:MT-15")</f>
        <v>as:GENC:6:3-11:MT-15</v>
      </c>
    </row>
    <row r="2576" spans="1:7" x14ac:dyDescent="0.25">
      <c r="A2576" s="112"/>
      <c r="B2576" s="21" t="s">
        <v>6804</v>
      </c>
      <c r="C2576" s="21" t="s">
        <v>6805</v>
      </c>
      <c r="D2576" s="21" t="s">
        <v>6779</v>
      </c>
      <c r="E2576" s="50" t="b">
        <v>1</v>
      </c>
      <c r="F2576" s="72" t="str">
        <f>HYPERLINK("http://nsgreg.nga.mil/genc/view?v=294456&amp;end_month=6&amp;end_day=30&amp;end_year=2019","Għasri")</f>
        <v>Għasri</v>
      </c>
      <c r="G2576" s="72" t="str">
        <f>HYPERLINK("http://api.nsgreg.nga.mil/geo-division/GENC/6/3-11/MT-16","as:GENC:6:3-11:MT-16")</f>
        <v>as:GENC:6:3-11:MT-16</v>
      </c>
    </row>
    <row r="2577" spans="1:7" x14ac:dyDescent="0.25">
      <c r="A2577" s="112"/>
      <c r="B2577" s="21" t="s">
        <v>6806</v>
      </c>
      <c r="C2577" s="21" t="s">
        <v>6807</v>
      </c>
      <c r="D2577" s="21" t="s">
        <v>6779</v>
      </c>
      <c r="E2577" s="50" t="b">
        <v>1</v>
      </c>
      <c r="F2577" s="72" t="str">
        <f>HYPERLINK("http://nsgreg.nga.mil/genc/view?v=294457&amp;end_month=6&amp;end_day=30&amp;end_year=2019","Għaxaq")</f>
        <v>Għaxaq</v>
      </c>
      <c r="G2577" s="72" t="str">
        <f>HYPERLINK("http://api.nsgreg.nga.mil/geo-division/GENC/6/3-11/MT-17","as:GENC:6:3-11:MT-17")</f>
        <v>as:GENC:6:3-11:MT-17</v>
      </c>
    </row>
    <row r="2578" spans="1:7" x14ac:dyDescent="0.25">
      <c r="A2578" s="112"/>
      <c r="B2578" s="21" t="s">
        <v>6808</v>
      </c>
      <c r="C2578" s="21" t="s">
        <v>6809</v>
      </c>
      <c r="D2578" s="21" t="s">
        <v>6779</v>
      </c>
      <c r="E2578" s="50" t="b">
        <v>1</v>
      </c>
      <c r="F2578" s="72" t="str">
        <f>HYPERLINK("http://nsgreg.nga.mil/genc/view?v=294451&amp;end_month=6&amp;end_day=30&amp;end_year=2019","Gudja")</f>
        <v>Gudja</v>
      </c>
      <c r="G2578" s="72" t="str">
        <f>HYPERLINK("http://api.nsgreg.nga.mil/geo-division/GENC/6/3-11/MT-11","as:GENC:6:3-11:MT-11")</f>
        <v>as:GENC:6:3-11:MT-11</v>
      </c>
    </row>
    <row r="2579" spans="1:7" x14ac:dyDescent="0.25">
      <c r="A2579" s="112"/>
      <c r="B2579" s="21" t="s">
        <v>6810</v>
      </c>
      <c r="C2579" s="21" t="s">
        <v>6811</v>
      </c>
      <c r="D2579" s="21" t="s">
        <v>6779</v>
      </c>
      <c r="E2579" s="50" t="b">
        <v>1</v>
      </c>
      <c r="F2579" s="72" t="str">
        <f>HYPERLINK("http://nsgreg.nga.mil/genc/view?v=294452&amp;end_month=6&amp;end_day=30&amp;end_year=2019","Gżira")</f>
        <v>Gżira</v>
      </c>
      <c r="G2579" s="72" t="str">
        <f>HYPERLINK("http://api.nsgreg.nga.mil/geo-division/GENC/6/3-11/MT-12","as:GENC:6:3-11:MT-12")</f>
        <v>as:GENC:6:3-11:MT-12</v>
      </c>
    </row>
    <row r="2580" spans="1:7" x14ac:dyDescent="0.25">
      <c r="A2580" s="112"/>
      <c r="B2580" s="21" t="s">
        <v>6812</v>
      </c>
      <c r="C2580" s="21" t="s">
        <v>6813</v>
      </c>
      <c r="D2580" s="21" t="s">
        <v>6779</v>
      </c>
      <c r="E2580" s="50" t="b">
        <v>1</v>
      </c>
      <c r="F2580" s="72" t="str">
        <f>HYPERLINK("http://nsgreg.nga.mil/genc/view?v=294458&amp;end_month=6&amp;end_day=30&amp;end_year=2019","Ħamrun")</f>
        <v>Ħamrun</v>
      </c>
      <c r="G2580" s="72" t="str">
        <f>HYPERLINK("http://api.nsgreg.nga.mil/geo-division/GENC/6/3-11/MT-18","as:GENC:6:3-11:MT-18")</f>
        <v>as:GENC:6:3-11:MT-18</v>
      </c>
    </row>
    <row r="2581" spans="1:7" x14ac:dyDescent="0.25">
      <c r="A2581" s="112"/>
      <c r="B2581" s="21" t="s">
        <v>6814</v>
      </c>
      <c r="C2581" s="21" t="s">
        <v>6815</v>
      </c>
      <c r="D2581" s="21" t="s">
        <v>6779</v>
      </c>
      <c r="E2581" s="50" t="b">
        <v>1</v>
      </c>
      <c r="F2581" s="72" t="str">
        <f>HYPERLINK("http://nsgreg.nga.mil/genc/view?v=294459&amp;end_month=6&amp;end_day=30&amp;end_year=2019","Iklin")</f>
        <v>Iklin</v>
      </c>
      <c r="G2581" s="72" t="str">
        <f>HYPERLINK("http://api.nsgreg.nga.mil/geo-division/GENC/6/3-11/MT-19","as:GENC:6:3-11:MT-19")</f>
        <v>as:GENC:6:3-11:MT-19</v>
      </c>
    </row>
    <row r="2582" spans="1:7" x14ac:dyDescent="0.25">
      <c r="A2582" s="112"/>
      <c r="B2582" s="21" t="s">
        <v>6816</v>
      </c>
      <c r="C2582" s="21" t="s">
        <v>6817</v>
      </c>
      <c r="D2582" s="21" t="s">
        <v>6779</v>
      </c>
      <c r="E2582" s="50" t="b">
        <v>1</v>
      </c>
      <c r="F2582" s="72" t="str">
        <f>HYPERLINK("http://nsgreg.nga.mil/genc/view?v=294469&amp;end_month=6&amp;end_day=30&amp;end_year=2019","Imdina")</f>
        <v>Imdina</v>
      </c>
      <c r="G2582" s="72" t="str">
        <f>HYPERLINK("http://api.nsgreg.nga.mil/geo-division/GENC/6/3-11/MT-29","as:GENC:6:3-11:MT-29")</f>
        <v>as:GENC:6:3-11:MT-29</v>
      </c>
    </row>
    <row r="2583" spans="1:7" x14ac:dyDescent="0.25">
      <c r="A2583" s="112"/>
      <c r="B2583" s="21" t="s">
        <v>6818</v>
      </c>
      <c r="C2583" s="21" t="s">
        <v>6819</v>
      </c>
      <c r="D2583" s="21" t="s">
        <v>6779</v>
      </c>
      <c r="E2583" s="50" t="b">
        <v>1</v>
      </c>
      <c r="F2583" s="72" t="str">
        <f>HYPERLINK("http://nsgreg.nga.mil/genc/view?v=294471&amp;end_month=6&amp;end_day=30&amp;end_year=2019","Imġarr")</f>
        <v>Imġarr</v>
      </c>
      <c r="G2583" s="72" t="str">
        <f>HYPERLINK("http://api.nsgreg.nga.mil/geo-division/GENC/6/3-11/MT-31","as:GENC:6:3-11:MT-31")</f>
        <v>as:GENC:6:3-11:MT-31</v>
      </c>
    </row>
    <row r="2584" spans="1:7" x14ac:dyDescent="0.25">
      <c r="A2584" s="112"/>
      <c r="B2584" s="21" t="s">
        <v>6820</v>
      </c>
      <c r="C2584" s="21" t="s">
        <v>6821</v>
      </c>
      <c r="D2584" s="21" t="s">
        <v>6779</v>
      </c>
      <c r="E2584" s="50" t="b">
        <v>1</v>
      </c>
      <c r="F2584" s="72" t="str">
        <f>HYPERLINK("http://nsgreg.nga.mil/genc/view?v=294473&amp;end_month=6&amp;end_day=30&amp;end_year=2019","Imqabba")</f>
        <v>Imqabba</v>
      </c>
      <c r="G2584" s="72" t="str">
        <f>HYPERLINK("http://api.nsgreg.nga.mil/geo-division/GENC/6/3-11/MT-33","as:GENC:6:3-11:MT-33")</f>
        <v>as:GENC:6:3-11:MT-33</v>
      </c>
    </row>
    <row r="2585" spans="1:7" x14ac:dyDescent="0.25">
      <c r="A2585" s="112"/>
      <c r="B2585" s="21" t="s">
        <v>6822</v>
      </c>
      <c r="C2585" s="21" t="s">
        <v>6823</v>
      </c>
      <c r="D2585" s="21" t="s">
        <v>6779</v>
      </c>
      <c r="E2585" s="50" t="b">
        <v>1</v>
      </c>
      <c r="F2585" s="72" t="str">
        <f>HYPERLINK("http://nsgreg.nga.mil/genc/view?v=294474&amp;end_month=6&amp;end_day=30&amp;end_year=2019","Imsida")</f>
        <v>Imsida</v>
      </c>
      <c r="G2585" s="72" t="str">
        <f>HYPERLINK("http://api.nsgreg.nga.mil/geo-division/GENC/6/3-11/MT-34","as:GENC:6:3-11:MT-34")</f>
        <v>as:GENC:6:3-11:MT-34</v>
      </c>
    </row>
    <row r="2586" spans="1:7" x14ac:dyDescent="0.25">
      <c r="A2586" s="112"/>
      <c r="B2586" s="21" t="s">
        <v>6824</v>
      </c>
      <c r="C2586" s="21" t="s">
        <v>6825</v>
      </c>
      <c r="D2586" s="21" t="s">
        <v>6779</v>
      </c>
      <c r="E2586" s="50" t="b">
        <v>1</v>
      </c>
      <c r="F2586" s="72" t="str">
        <f>HYPERLINK("http://nsgreg.nga.mil/genc/view?v=294475&amp;end_month=6&amp;end_day=30&amp;end_year=2019","Imtarfa")</f>
        <v>Imtarfa</v>
      </c>
      <c r="G2586" s="72" t="str">
        <f>HYPERLINK("http://api.nsgreg.nga.mil/geo-division/GENC/6/3-11/MT-35","as:GENC:6:3-11:MT-35")</f>
        <v>as:GENC:6:3-11:MT-35</v>
      </c>
    </row>
    <row r="2587" spans="1:7" x14ac:dyDescent="0.25">
      <c r="A2587" s="112"/>
      <c r="B2587" s="21" t="s">
        <v>6826</v>
      </c>
      <c r="C2587" s="21" t="s">
        <v>6827</v>
      </c>
      <c r="D2587" s="21" t="s">
        <v>6779</v>
      </c>
      <c r="E2587" s="50" t="b">
        <v>1</v>
      </c>
      <c r="F2587" s="72" t="str">
        <f>HYPERLINK("http://nsgreg.nga.mil/genc/view?v=294460&amp;end_month=6&amp;end_day=30&amp;end_year=2019","Isla")</f>
        <v>Isla</v>
      </c>
      <c r="G2587" s="72" t="str">
        <f>HYPERLINK("http://api.nsgreg.nga.mil/geo-division/GENC/6/3-11/MT-20","as:GENC:6:3-11:MT-20")</f>
        <v>as:GENC:6:3-11:MT-20</v>
      </c>
    </row>
    <row r="2588" spans="1:7" x14ac:dyDescent="0.25">
      <c r="A2588" s="112"/>
      <c r="B2588" s="21" t="s">
        <v>6828</v>
      </c>
      <c r="C2588" s="21" t="s">
        <v>6829</v>
      </c>
      <c r="D2588" s="21" t="s">
        <v>6779</v>
      </c>
      <c r="E2588" s="50" t="b">
        <v>1</v>
      </c>
      <c r="F2588" s="72" t="str">
        <f>HYPERLINK("http://nsgreg.nga.mil/genc/view?v=294461&amp;end_month=6&amp;end_day=30&amp;end_year=2019","Kalkara")</f>
        <v>Kalkara</v>
      </c>
      <c r="G2588" s="72" t="str">
        <f>HYPERLINK("http://api.nsgreg.nga.mil/geo-division/GENC/6/3-11/MT-21","as:GENC:6:3-11:MT-21")</f>
        <v>as:GENC:6:3-11:MT-21</v>
      </c>
    </row>
    <row r="2589" spans="1:7" x14ac:dyDescent="0.25">
      <c r="A2589" s="112"/>
      <c r="B2589" s="21" t="s">
        <v>6830</v>
      </c>
      <c r="C2589" s="21" t="s">
        <v>6831</v>
      </c>
      <c r="D2589" s="21" t="s">
        <v>6779</v>
      </c>
      <c r="E2589" s="50" t="b">
        <v>1</v>
      </c>
      <c r="F2589" s="72" t="str">
        <f>HYPERLINK("http://nsgreg.nga.mil/genc/view?v=294462&amp;end_month=6&amp;end_day=30&amp;end_year=2019","Kerċem")</f>
        <v>Kerċem</v>
      </c>
      <c r="G2589" s="72" t="str">
        <f>HYPERLINK("http://api.nsgreg.nga.mil/geo-division/GENC/6/3-11/MT-22","as:GENC:6:3-11:MT-22")</f>
        <v>as:GENC:6:3-11:MT-22</v>
      </c>
    </row>
    <row r="2590" spans="1:7" x14ac:dyDescent="0.25">
      <c r="A2590" s="112"/>
      <c r="B2590" s="21" t="s">
        <v>6832</v>
      </c>
      <c r="C2590" s="21" t="s">
        <v>6833</v>
      </c>
      <c r="D2590" s="21" t="s">
        <v>6779</v>
      </c>
      <c r="E2590" s="50" t="b">
        <v>1</v>
      </c>
      <c r="F2590" s="72" t="str">
        <f>HYPERLINK("http://nsgreg.nga.mil/genc/view?v=294463&amp;end_month=6&amp;end_day=30&amp;end_year=2019","Kirkop")</f>
        <v>Kirkop</v>
      </c>
      <c r="G2590" s="72" t="str">
        <f>HYPERLINK("http://api.nsgreg.nga.mil/geo-division/GENC/6/3-11/MT-23","as:GENC:6:3-11:MT-23")</f>
        <v>as:GENC:6:3-11:MT-23</v>
      </c>
    </row>
    <row r="2591" spans="1:7" x14ac:dyDescent="0.25">
      <c r="A2591" s="112"/>
      <c r="B2591" s="21" t="s">
        <v>6834</v>
      </c>
      <c r="C2591" s="21" t="s">
        <v>6835</v>
      </c>
      <c r="D2591" s="21" t="s">
        <v>6779</v>
      </c>
      <c r="E2591" s="50" t="b">
        <v>1</v>
      </c>
      <c r="F2591" s="72" t="str">
        <f>HYPERLINK("http://nsgreg.nga.mil/genc/view?v=294464&amp;end_month=6&amp;end_day=30&amp;end_year=2019","Lija")</f>
        <v>Lija</v>
      </c>
      <c r="G2591" s="72" t="str">
        <f>HYPERLINK("http://api.nsgreg.nga.mil/geo-division/GENC/6/3-11/MT-24","as:GENC:6:3-11:MT-24")</f>
        <v>as:GENC:6:3-11:MT-24</v>
      </c>
    </row>
    <row r="2592" spans="1:7" x14ac:dyDescent="0.25">
      <c r="A2592" s="112"/>
      <c r="B2592" s="21" t="s">
        <v>6836</v>
      </c>
      <c r="C2592" s="21" t="s">
        <v>6837</v>
      </c>
      <c r="D2592" s="21" t="s">
        <v>6779</v>
      </c>
      <c r="E2592" s="50" t="b">
        <v>1</v>
      </c>
      <c r="F2592" s="72" t="str">
        <f>HYPERLINK("http://nsgreg.nga.mil/genc/view?v=294465&amp;end_month=6&amp;end_day=30&amp;end_year=2019","Luqa")</f>
        <v>Luqa</v>
      </c>
      <c r="G2592" s="72" t="str">
        <f>HYPERLINK("http://api.nsgreg.nga.mil/geo-division/GENC/6/3-11/MT-25","as:GENC:6:3-11:MT-25")</f>
        <v>as:GENC:6:3-11:MT-25</v>
      </c>
    </row>
    <row r="2593" spans="1:7" x14ac:dyDescent="0.25">
      <c r="A2593" s="112"/>
      <c r="B2593" s="21" t="s">
        <v>6838</v>
      </c>
      <c r="C2593" s="21" t="s">
        <v>6839</v>
      </c>
      <c r="D2593" s="21" t="s">
        <v>6779</v>
      </c>
      <c r="E2593" s="50" t="b">
        <v>1</v>
      </c>
      <c r="F2593" s="72" t="str">
        <f>HYPERLINK("http://nsgreg.nga.mil/genc/view?v=294466&amp;end_month=6&amp;end_day=30&amp;end_year=2019","Marsa")</f>
        <v>Marsa</v>
      </c>
      <c r="G2593" s="72" t="str">
        <f>HYPERLINK("http://api.nsgreg.nga.mil/geo-division/GENC/6/3-11/MT-26","as:GENC:6:3-11:MT-26")</f>
        <v>as:GENC:6:3-11:MT-26</v>
      </c>
    </row>
    <row r="2594" spans="1:7" x14ac:dyDescent="0.25">
      <c r="A2594" s="112"/>
      <c r="B2594" s="21" t="s">
        <v>6840</v>
      </c>
      <c r="C2594" s="21" t="s">
        <v>6841</v>
      </c>
      <c r="D2594" s="21" t="s">
        <v>6779</v>
      </c>
      <c r="E2594" s="50" t="b">
        <v>1</v>
      </c>
      <c r="F2594" s="72" t="str">
        <f>HYPERLINK("http://nsgreg.nga.mil/genc/view?v=294467&amp;end_month=6&amp;end_day=30&amp;end_year=2019","Marsaskala")</f>
        <v>Marsaskala</v>
      </c>
      <c r="G2594" s="72" t="str">
        <f>HYPERLINK("http://api.nsgreg.nga.mil/geo-division/GENC/6/3-11/MT-27","as:GENC:6:3-11:MT-27")</f>
        <v>as:GENC:6:3-11:MT-27</v>
      </c>
    </row>
    <row r="2595" spans="1:7" x14ac:dyDescent="0.25">
      <c r="A2595" s="112"/>
      <c r="B2595" s="21" t="s">
        <v>6842</v>
      </c>
      <c r="C2595" s="21" t="s">
        <v>6843</v>
      </c>
      <c r="D2595" s="21" t="s">
        <v>6779</v>
      </c>
      <c r="E2595" s="50" t="b">
        <v>1</v>
      </c>
      <c r="F2595" s="72" t="str">
        <f>HYPERLINK("http://nsgreg.nga.mil/genc/view?v=294468&amp;end_month=6&amp;end_day=30&amp;end_year=2019","Marsaxlokk")</f>
        <v>Marsaxlokk</v>
      </c>
      <c r="G2595" s="72" t="str">
        <f>HYPERLINK("http://api.nsgreg.nga.mil/geo-division/GENC/6/3-11/MT-28","as:GENC:6:3-11:MT-28")</f>
        <v>as:GENC:6:3-11:MT-28</v>
      </c>
    </row>
    <row r="2596" spans="1:7" x14ac:dyDescent="0.25">
      <c r="A2596" s="112"/>
      <c r="B2596" s="21" t="s">
        <v>6844</v>
      </c>
      <c r="C2596" s="21" t="s">
        <v>6845</v>
      </c>
      <c r="D2596" s="21" t="s">
        <v>6779</v>
      </c>
      <c r="E2596" s="50" t="b">
        <v>1</v>
      </c>
      <c r="F2596" s="72" t="str">
        <f>HYPERLINK("http://nsgreg.nga.mil/genc/view?v=294470&amp;end_month=6&amp;end_day=30&amp;end_year=2019","Mellieħa")</f>
        <v>Mellieħa</v>
      </c>
      <c r="G2596" s="72" t="str">
        <f>HYPERLINK("http://api.nsgreg.nga.mil/geo-division/GENC/6/3-11/MT-30","as:GENC:6:3-11:MT-30")</f>
        <v>as:GENC:6:3-11:MT-30</v>
      </c>
    </row>
    <row r="2597" spans="1:7" x14ac:dyDescent="0.25">
      <c r="A2597" s="112"/>
      <c r="B2597" s="21" t="s">
        <v>6846</v>
      </c>
      <c r="C2597" s="21" t="s">
        <v>6847</v>
      </c>
      <c r="D2597" s="21" t="s">
        <v>6779</v>
      </c>
      <c r="E2597" s="50" t="b">
        <v>1</v>
      </c>
      <c r="F2597" s="72" t="str">
        <f>HYPERLINK("http://nsgreg.nga.mil/genc/view?v=294472&amp;end_month=6&amp;end_day=30&amp;end_year=2019","Mosta")</f>
        <v>Mosta</v>
      </c>
      <c r="G2597" s="72" t="str">
        <f>HYPERLINK("http://api.nsgreg.nga.mil/geo-division/GENC/6/3-11/MT-32","as:GENC:6:3-11:MT-32")</f>
        <v>as:GENC:6:3-11:MT-32</v>
      </c>
    </row>
    <row r="2598" spans="1:7" x14ac:dyDescent="0.25">
      <c r="A2598" s="112"/>
      <c r="B2598" s="21" t="s">
        <v>6848</v>
      </c>
      <c r="C2598" s="21" t="s">
        <v>6849</v>
      </c>
      <c r="D2598" s="21" t="s">
        <v>6779</v>
      </c>
      <c r="E2598" s="50" t="b">
        <v>1</v>
      </c>
      <c r="F2598" s="72" t="str">
        <f>HYPERLINK("http://nsgreg.nga.mil/genc/view?v=294476&amp;end_month=6&amp;end_day=30&amp;end_year=2019","Munxar")</f>
        <v>Munxar</v>
      </c>
      <c r="G2598" s="72" t="str">
        <f>HYPERLINK("http://api.nsgreg.nga.mil/geo-division/GENC/6/3-11/MT-36","as:GENC:6:3-11:MT-36")</f>
        <v>as:GENC:6:3-11:MT-36</v>
      </c>
    </row>
    <row r="2599" spans="1:7" x14ac:dyDescent="0.25">
      <c r="A2599" s="112"/>
      <c r="B2599" s="21" t="s">
        <v>6850</v>
      </c>
      <c r="C2599" s="21" t="s">
        <v>6851</v>
      </c>
      <c r="D2599" s="21" t="s">
        <v>6779</v>
      </c>
      <c r="E2599" s="50" t="b">
        <v>1</v>
      </c>
      <c r="F2599" s="72" t="str">
        <f>HYPERLINK("http://nsgreg.nga.mil/genc/view?v=294477&amp;end_month=6&amp;end_day=30&amp;end_year=2019","Nadur")</f>
        <v>Nadur</v>
      </c>
      <c r="G2599" s="72" t="str">
        <f>HYPERLINK("http://api.nsgreg.nga.mil/geo-division/GENC/6/3-11/MT-37","as:GENC:6:3-11:MT-37")</f>
        <v>as:GENC:6:3-11:MT-37</v>
      </c>
    </row>
    <row r="2600" spans="1:7" x14ac:dyDescent="0.25">
      <c r="A2600" s="112"/>
      <c r="B2600" s="21" t="s">
        <v>6852</v>
      </c>
      <c r="C2600" s="21" t="s">
        <v>6853</v>
      </c>
      <c r="D2600" s="21" t="s">
        <v>6779</v>
      </c>
      <c r="E2600" s="50" t="b">
        <v>1</v>
      </c>
      <c r="F2600" s="72" t="str">
        <f>HYPERLINK("http://nsgreg.nga.mil/genc/view?v=294478&amp;end_month=6&amp;end_day=30&amp;end_year=2019","Naxxar")</f>
        <v>Naxxar</v>
      </c>
      <c r="G2600" s="72" t="str">
        <f>HYPERLINK("http://api.nsgreg.nga.mil/geo-division/GENC/6/3-11/MT-38","as:GENC:6:3-11:MT-38")</f>
        <v>as:GENC:6:3-11:MT-38</v>
      </c>
    </row>
    <row r="2601" spans="1:7" x14ac:dyDescent="0.25">
      <c r="A2601" s="112"/>
      <c r="B2601" s="21" t="s">
        <v>6854</v>
      </c>
      <c r="C2601" s="21" t="s">
        <v>6855</v>
      </c>
      <c r="D2601" s="21" t="s">
        <v>6779</v>
      </c>
      <c r="E2601" s="50" t="b">
        <v>1</v>
      </c>
      <c r="F2601" s="72" t="str">
        <f>HYPERLINK("http://nsgreg.nga.mil/genc/view?v=294479&amp;end_month=6&amp;end_day=30&amp;end_year=2019","Paola")</f>
        <v>Paola</v>
      </c>
      <c r="G2601" s="72" t="str">
        <f>HYPERLINK("http://api.nsgreg.nga.mil/geo-division/GENC/6/3-11/MT-39","as:GENC:6:3-11:MT-39")</f>
        <v>as:GENC:6:3-11:MT-39</v>
      </c>
    </row>
    <row r="2602" spans="1:7" x14ac:dyDescent="0.25">
      <c r="A2602" s="112"/>
      <c r="B2602" s="21" t="s">
        <v>6856</v>
      </c>
      <c r="C2602" s="21" t="s">
        <v>2510</v>
      </c>
      <c r="D2602" s="21" t="s">
        <v>6779</v>
      </c>
      <c r="E2602" s="50" t="b">
        <v>1</v>
      </c>
      <c r="F2602" s="72" t="str">
        <f>HYPERLINK("http://nsgreg.nga.mil/genc/view?v=294480&amp;end_month=6&amp;end_day=30&amp;end_year=2019","Pembroke")</f>
        <v>Pembroke</v>
      </c>
      <c r="G2602" s="72" t="str">
        <f>HYPERLINK("http://api.nsgreg.nga.mil/geo-division/GENC/6/3-11/MT-40","as:GENC:6:3-11:MT-40")</f>
        <v>as:GENC:6:3-11:MT-40</v>
      </c>
    </row>
    <row r="2603" spans="1:7" x14ac:dyDescent="0.25">
      <c r="A2603" s="112"/>
      <c r="B2603" s="21" t="s">
        <v>6857</v>
      </c>
      <c r="C2603" s="21" t="s">
        <v>6858</v>
      </c>
      <c r="D2603" s="21" t="s">
        <v>6779</v>
      </c>
      <c r="E2603" s="50" t="b">
        <v>1</v>
      </c>
      <c r="F2603" s="72" t="str">
        <f>HYPERLINK("http://nsgreg.nga.mil/genc/view?v=294481&amp;end_month=6&amp;end_day=30&amp;end_year=2019","Pietà")</f>
        <v>Pietà</v>
      </c>
      <c r="G2603" s="72" t="str">
        <f>HYPERLINK("http://api.nsgreg.nga.mil/geo-division/GENC/6/3-11/MT-41","as:GENC:6:3-11:MT-41")</f>
        <v>as:GENC:6:3-11:MT-41</v>
      </c>
    </row>
    <row r="2604" spans="1:7" x14ac:dyDescent="0.25">
      <c r="A2604" s="112"/>
      <c r="B2604" s="21" t="s">
        <v>6859</v>
      </c>
      <c r="C2604" s="21" t="s">
        <v>6860</v>
      </c>
      <c r="D2604" s="21" t="s">
        <v>6779</v>
      </c>
      <c r="E2604" s="50" t="b">
        <v>1</v>
      </c>
      <c r="F2604" s="72" t="str">
        <f>HYPERLINK("http://nsgreg.nga.mil/genc/view?v=294482&amp;end_month=6&amp;end_day=30&amp;end_year=2019","Qala")</f>
        <v>Qala</v>
      </c>
      <c r="G2604" s="72" t="str">
        <f>HYPERLINK("http://api.nsgreg.nga.mil/geo-division/GENC/6/3-11/MT-42","as:GENC:6:3-11:MT-42")</f>
        <v>as:GENC:6:3-11:MT-42</v>
      </c>
    </row>
    <row r="2605" spans="1:7" x14ac:dyDescent="0.25">
      <c r="A2605" s="112"/>
      <c r="B2605" s="21" t="s">
        <v>6861</v>
      </c>
      <c r="C2605" s="21" t="s">
        <v>6862</v>
      </c>
      <c r="D2605" s="21" t="s">
        <v>6779</v>
      </c>
      <c r="E2605" s="50" t="b">
        <v>1</v>
      </c>
      <c r="F2605" s="72" t="str">
        <f>HYPERLINK("http://nsgreg.nga.mil/genc/view?v=294483&amp;end_month=6&amp;end_day=30&amp;end_year=2019","Qormi")</f>
        <v>Qormi</v>
      </c>
      <c r="G2605" s="72" t="str">
        <f>HYPERLINK("http://api.nsgreg.nga.mil/geo-division/GENC/6/3-11/MT-43","as:GENC:6:3-11:MT-43")</f>
        <v>as:GENC:6:3-11:MT-43</v>
      </c>
    </row>
    <row r="2606" spans="1:7" x14ac:dyDescent="0.25">
      <c r="A2606" s="112"/>
      <c r="B2606" s="21" t="s">
        <v>6863</v>
      </c>
      <c r="C2606" s="21" t="s">
        <v>6864</v>
      </c>
      <c r="D2606" s="21" t="s">
        <v>6779</v>
      </c>
      <c r="E2606" s="50" t="b">
        <v>1</v>
      </c>
      <c r="F2606" s="72" t="str">
        <f>HYPERLINK("http://nsgreg.nga.mil/genc/view?v=294484&amp;end_month=6&amp;end_day=30&amp;end_year=2019","Qrendi")</f>
        <v>Qrendi</v>
      </c>
      <c r="G2606" s="72" t="str">
        <f>HYPERLINK("http://api.nsgreg.nga.mil/geo-division/GENC/6/3-11/MT-44","as:GENC:6:3-11:MT-44")</f>
        <v>as:GENC:6:3-11:MT-44</v>
      </c>
    </row>
    <row r="2607" spans="1:7" x14ac:dyDescent="0.25">
      <c r="A2607" s="112"/>
      <c r="B2607" s="21" t="s">
        <v>6865</v>
      </c>
      <c r="C2607" s="21" t="s">
        <v>6866</v>
      </c>
      <c r="D2607" s="21" t="s">
        <v>6779</v>
      </c>
      <c r="E2607" s="50" t="b">
        <v>1</v>
      </c>
      <c r="F2607" s="72" t="str">
        <f>HYPERLINK("http://nsgreg.nga.mil/genc/view?v=294486&amp;end_month=6&amp;end_day=30&amp;end_year=2019","Rabat")</f>
        <v>Rabat</v>
      </c>
      <c r="G2607" s="72" t="str">
        <f>HYPERLINK("http://api.nsgreg.nga.mil/geo-division/GENC/6/3-11/MT-46","as:GENC:6:3-11:MT-46")</f>
        <v>as:GENC:6:3-11:MT-46</v>
      </c>
    </row>
    <row r="2608" spans="1:7" x14ac:dyDescent="0.25">
      <c r="A2608" s="112"/>
      <c r="B2608" s="21" t="s">
        <v>6867</v>
      </c>
      <c r="C2608" s="21" t="s">
        <v>6868</v>
      </c>
      <c r="D2608" s="21" t="s">
        <v>6779</v>
      </c>
      <c r="E2608" s="50" t="b">
        <v>1</v>
      </c>
      <c r="F2608" s="72" t="str">
        <f>HYPERLINK("http://nsgreg.nga.mil/genc/view?v=294485&amp;end_month=6&amp;end_day=30&amp;end_year=2019","Rabat (Ghawdex)")</f>
        <v>Rabat (Ghawdex)</v>
      </c>
      <c r="G2608" s="72" t="str">
        <f>HYPERLINK("http://api.nsgreg.nga.mil/geo-division/GENC/6/3-11/MT-45","as:GENC:6:3-11:MT-45")</f>
        <v>as:GENC:6:3-11:MT-45</v>
      </c>
    </row>
    <row r="2609" spans="1:7" x14ac:dyDescent="0.25">
      <c r="A2609" s="112"/>
      <c r="B2609" s="21" t="s">
        <v>6869</v>
      </c>
      <c r="C2609" s="21" t="s">
        <v>6870</v>
      </c>
      <c r="D2609" s="21" t="s">
        <v>6779</v>
      </c>
      <c r="E2609" s="50" t="b">
        <v>1</v>
      </c>
      <c r="F2609" s="72" t="str">
        <f>HYPERLINK("http://nsgreg.nga.mil/genc/view?v=294487&amp;end_month=6&amp;end_day=30&amp;end_year=2019","Safi")</f>
        <v>Safi</v>
      </c>
      <c r="G2609" s="72" t="str">
        <f>HYPERLINK("http://api.nsgreg.nga.mil/geo-division/GENC/6/3-11/MT-47","as:GENC:6:3-11:MT-47")</f>
        <v>as:GENC:6:3-11:MT-47</v>
      </c>
    </row>
    <row r="2610" spans="1:7" x14ac:dyDescent="0.25">
      <c r="A2610" s="112"/>
      <c r="B2610" s="21" t="s">
        <v>6871</v>
      </c>
      <c r="C2610" s="21" t="s">
        <v>6872</v>
      </c>
      <c r="D2610" s="21" t="s">
        <v>6779</v>
      </c>
      <c r="E2610" s="50" t="b">
        <v>1</v>
      </c>
      <c r="F2610" s="72" t="str">
        <f>HYPERLINK("http://nsgreg.nga.mil/genc/view?v=294488&amp;end_month=6&amp;end_day=30&amp;end_year=2019","San Ġiljan")</f>
        <v>San Ġiljan</v>
      </c>
      <c r="G2610" s="72" t="str">
        <f>HYPERLINK("http://api.nsgreg.nga.mil/geo-division/GENC/6/3-11/MT-48","as:GENC:6:3-11:MT-48")</f>
        <v>as:GENC:6:3-11:MT-48</v>
      </c>
    </row>
    <row r="2611" spans="1:7" x14ac:dyDescent="0.25">
      <c r="A2611" s="112"/>
      <c r="B2611" s="21" t="s">
        <v>6873</v>
      </c>
      <c r="C2611" s="21" t="s">
        <v>6874</v>
      </c>
      <c r="D2611" s="21" t="s">
        <v>6779</v>
      </c>
      <c r="E2611" s="50" t="b">
        <v>1</v>
      </c>
      <c r="F2611" s="72" t="str">
        <f>HYPERLINK("http://nsgreg.nga.mil/genc/view?v=294489&amp;end_month=6&amp;end_day=30&amp;end_year=2019","San Ġwann")</f>
        <v>San Ġwann</v>
      </c>
      <c r="G2611" s="72" t="str">
        <f>HYPERLINK("http://api.nsgreg.nga.mil/geo-division/GENC/6/3-11/MT-49","as:GENC:6:3-11:MT-49")</f>
        <v>as:GENC:6:3-11:MT-49</v>
      </c>
    </row>
    <row r="2612" spans="1:7" x14ac:dyDescent="0.25">
      <c r="A2612" s="112"/>
      <c r="B2612" s="21" t="s">
        <v>6875</v>
      </c>
      <c r="C2612" s="21" t="s">
        <v>6876</v>
      </c>
      <c r="D2612" s="21" t="s">
        <v>6779</v>
      </c>
      <c r="E2612" s="50" t="b">
        <v>1</v>
      </c>
      <c r="F2612" s="72" t="str">
        <f>HYPERLINK("http://nsgreg.nga.mil/genc/view?v=294490&amp;end_month=6&amp;end_day=30&amp;end_year=2019","San Lawrenz")</f>
        <v>San Lawrenz</v>
      </c>
      <c r="G2612" s="72" t="str">
        <f>HYPERLINK("http://api.nsgreg.nga.mil/geo-division/GENC/6/3-11/MT-50","as:GENC:6:3-11:MT-50")</f>
        <v>as:GENC:6:3-11:MT-50</v>
      </c>
    </row>
    <row r="2613" spans="1:7" x14ac:dyDescent="0.25">
      <c r="A2613" s="112"/>
      <c r="B2613" s="21" t="s">
        <v>6877</v>
      </c>
      <c r="C2613" s="21" t="s">
        <v>6878</v>
      </c>
      <c r="D2613" s="21" t="s">
        <v>6779</v>
      </c>
      <c r="E2613" s="50" t="b">
        <v>1</v>
      </c>
      <c r="F2613" s="72" t="str">
        <f>HYPERLINK("http://nsgreg.nga.mil/genc/view?v=294492&amp;end_month=6&amp;end_day=30&amp;end_year=2019","Sannat")</f>
        <v>Sannat</v>
      </c>
      <c r="G2613" s="72" t="str">
        <f>HYPERLINK("http://api.nsgreg.nga.mil/geo-division/GENC/6/3-11/MT-52","as:GENC:6:3-11:MT-52")</f>
        <v>as:GENC:6:3-11:MT-52</v>
      </c>
    </row>
    <row r="2614" spans="1:7" x14ac:dyDescent="0.25">
      <c r="A2614" s="112"/>
      <c r="B2614" s="21" t="s">
        <v>6879</v>
      </c>
      <c r="C2614" s="21" t="s">
        <v>6880</v>
      </c>
      <c r="D2614" s="21" t="s">
        <v>6779</v>
      </c>
      <c r="E2614" s="50" t="b">
        <v>1</v>
      </c>
      <c r="F2614" s="72" t="str">
        <f>HYPERLINK("http://nsgreg.nga.mil/genc/view?v=294491&amp;end_month=6&amp;end_day=30&amp;end_year=2019","San Pawl il-Baħar")</f>
        <v>San Pawl il-Baħar</v>
      </c>
      <c r="G2614" s="72" t="str">
        <f>HYPERLINK("http://api.nsgreg.nga.mil/geo-division/GENC/6/3-11/MT-51","as:GENC:6:3-11:MT-51")</f>
        <v>as:GENC:6:3-11:MT-51</v>
      </c>
    </row>
    <row r="2615" spans="1:7" x14ac:dyDescent="0.25">
      <c r="A2615" s="112"/>
      <c r="B2615" s="21" t="s">
        <v>6881</v>
      </c>
      <c r="C2615" s="21" t="s">
        <v>6882</v>
      </c>
      <c r="D2615" s="21" t="s">
        <v>6779</v>
      </c>
      <c r="E2615" s="50" t="b">
        <v>1</v>
      </c>
      <c r="F2615" s="72" t="str">
        <f>HYPERLINK("http://nsgreg.nga.mil/genc/view?v=294493&amp;end_month=6&amp;end_day=30&amp;end_year=2019","Santa Luċija")</f>
        <v>Santa Luċija</v>
      </c>
      <c r="G2615" s="72" t="str">
        <f>HYPERLINK("http://api.nsgreg.nga.mil/geo-division/GENC/6/3-11/MT-53","as:GENC:6:3-11:MT-53")</f>
        <v>as:GENC:6:3-11:MT-53</v>
      </c>
    </row>
    <row r="2616" spans="1:7" x14ac:dyDescent="0.25">
      <c r="A2616" s="112"/>
      <c r="B2616" s="21" t="s">
        <v>6883</v>
      </c>
      <c r="C2616" s="21" t="s">
        <v>6884</v>
      </c>
      <c r="D2616" s="21" t="s">
        <v>6779</v>
      </c>
      <c r="E2616" s="50" t="b">
        <v>1</v>
      </c>
      <c r="F2616" s="72" t="str">
        <f>HYPERLINK("http://nsgreg.nga.mil/genc/view?v=294494&amp;end_month=6&amp;end_day=30&amp;end_year=2019","Santa Venera")</f>
        <v>Santa Venera</v>
      </c>
      <c r="G2616" s="72" t="str">
        <f>HYPERLINK("http://api.nsgreg.nga.mil/geo-division/GENC/6/3-11/MT-54","as:GENC:6:3-11:MT-54")</f>
        <v>as:GENC:6:3-11:MT-54</v>
      </c>
    </row>
    <row r="2617" spans="1:7" x14ac:dyDescent="0.25">
      <c r="A2617" s="112"/>
      <c r="B2617" s="21" t="s">
        <v>6885</v>
      </c>
      <c r="C2617" s="21" t="s">
        <v>6886</v>
      </c>
      <c r="D2617" s="21" t="s">
        <v>6779</v>
      </c>
      <c r="E2617" s="50" t="b">
        <v>1</v>
      </c>
      <c r="F2617" s="72" t="str">
        <f>HYPERLINK("http://nsgreg.nga.mil/genc/view?v=294495&amp;end_month=6&amp;end_day=30&amp;end_year=2019","Siġġiewi")</f>
        <v>Siġġiewi</v>
      </c>
      <c r="G2617" s="72" t="str">
        <f>HYPERLINK("http://api.nsgreg.nga.mil/geo-division/GENC/6/3-11/MT-55","as:GENC:6:3-11:MT-55")</f>
        <v>as:GENC:6:3-11:MT-55</v>
      </c>
    </row>
    <row r="2618" spans="1:7" x14ac:dyDescent="0.25">
      <c r="A2618" s="112"/>
      <c r="B2618" s="21" t="s">
        <v>6887</v>
      </c>
      <c r="C2618" s="21" t="s">
        <v>6888</v>
      </c>
      <c r="D2618" s="21" t="s">
        <v>6779</v>
      </c>
      <c r="E2618" s="50" t="b">
        <v>1</v>
      </c>
      <c r="F2618" s="72" t="str">
        <f>HYPERLINK("http://nsgreg.nga.mil/genc/view?v=294496&amp;end_month=6&amp;end_day=30&amp;end_year=2019","Sliema")</f>
        <v>Sliema</v>
      </c>
      <c r="G2618" s="72" t="str">
        <f>HYPERLINK("http://api.nsgreg.nga.mil/geo-division/GENC/6/3-11/MT-56","as:GENC:6:3-11:MT-56")</f>
        <v>as:GENC:6:3-11:MT-56</v>
      </c>
    </row>
    <row r="2619" spans="1:7" x14ac:dyDescent="0.25">
      <c r="A2619" s="112"/>
      <c r="B2619" s="21" t="s">
        <v>6889</v>
      </c>
      <c r="C2619" s="21" t="s">
        <v>6890</v>
      </c>
      <c r="D2619" s="21" t="s">
        <v>6779</v>
      </c>
      <c r="E2619" s="50" t="b">
        <v>1</v>
      </c>
      <c r="F2619" s="72" t="str">
        <f>HYPERLINK("http://nsgreg.nga.mil/genc/view?v=294497&amp;end_month=6&amp;end_day=30&amp;end_year=2019","Swieqi")</f>
        <v>Swieqi</v>
      </c>
      <c r="G2619" s="72" t="str">
        <f>HYPERLINK("http://api.nsgreg.nga.mil/geo-division/GENC/6/3-11/MT-57","as:GENC:6:3-11:MT-57")</f>
        <v>as:GENC:6:3-11:MT-57</v>
      </c>
    </row>
    <row r="2620" spans="1:7" x14ac:dyDescent="0.25">
      <c r="A2620" s="112"/>
      <c r="B2620" s="21" t="s">
        <v>6891</v>
      </c>
      <c r="C2620" s="21" t="s">
        <v>6892</v>
      </c>
      <c r="D2620" s="21" t="s">
        <v>6779</v>
      </c>
      <c r="E2620" s="50" t="b">
        <v>1</v>
      </c>
      <c r="F2620" s="72" t="str">
        <f>HYPERLINK("http://nsgreg.nga.mil/genc/view?v=294499&amp;end_month=6&amp;end_day=30&amp;end_year=2019","Tarxien")</f>
        <v>Tarxien</v>
      </c>
      <c r="G2620" s="72" t="str">
        <f>HYPERLINK("http://api.nsgreg.nga.mil/geo-division/GENC/6/3-11/MT-59","as:GENC:6:3-11:MT-59")</f>
        <v>as:GENC:6:3-11:MT-59</v>
      </c>
    </row>
    <row r="2621" spans="1:7" x14ac:dyDescent="0.25">
      <c r="A2621" s="112"/>
      <c r="B2621" s="21" t="s">
        <v>6893</v>
      </c>
      <c r="C2621" s="21" t="s">
        <v>6894</v>
      </c>
      <c r="D2621" s="21" t="s">
        <v>6779</v>
      </c>
      <c r="E2621" s="50" t="b">
        <v>1</v>
      </c>
      <c r="F2621" s="72" t="str">
        <f>HYPERLINK("http://nsgreg.nga.mil/genc/view?v=294498&amp;end_month=6&amp;end_day=30&amp;end_year=2019","Ta’ Xbiex")</f>
        <v>Ta’ Xbiex</v>
      </c>
      <c r="G2621" s="72" t="str">
        <f>HYPERLINK("http://api.nsgreg.nga.mil/geo-division/GENC/6/3-11/MT-58","as:GENC:6:3-11:MT-58")</f>
        <v>as:GENC:6:3-11:MT-58</v>
      </c>
    </row>
    <row r="2622" spans="1:7" x14ac:dyDescent="0.25">
      <c r="A2622" s="112"/>
      <c r="B2622" s="21" t="s">
        <v>6895</v>
      </c>
      <c r="C2622" s="21" t="s">
        <v>6896</v>
      </c>
      <c r="D2622" s="21" t="s">
        <v>6779</v>
      </c>
      <c r="E2622" s="50" t="b">
        <v>1</v>
      </c>
      <c r="F2622" s="72" t="str">
        <f>HYPERLINK("http://nsgreg.nga.mil/genc/view?v=294500&amp;end_month=6&amp;end_day=30&amp;end_year=2019","Valletta")</f>
        <v>Valletta</v>
      </c>
      <c r="G2622" s="72" t="str">
        <f>HYPERLINK("http://api.nsgreg.nga.mil/geo-division/GENC/6/3-11/MT-60","as:GENC:6:3-11:MT-60")</f>
        <v>as:GENC:6:3-11:MT-60</v>
      </c>
    </row>
    <row r="2623" spans="1:7" x14ac:dyDescent="0.25">
      <c r="A2623" s="112"/>
      <c r="B2623" s="21" t="s">
        <v>6897</v>
      </c>
      <c r="C2623" s="21" t="s">
        <v>6898</v>
      </c>
      <c r="D2623" s="21" t="s">
        <v>6779</v>
      </c>
      <c r="E2623" s="50" t="b">
        <v>1</v>
      </c>
      <c r="F2623" s="72" t="str">
        <f>HYPERLINK("http://nsgreg.nga.mil/genc/view?v=294501&amp;end_month=6&amp;end_day=30&amp;end_year=2019","Xagħra")</f>
        <v>Xagħra</v>
      </c>
      <c r="G2623" s="72" t="str">
        <f>HYPERLINK("http://api.nsgreg.nga.mil/geo-division/GENC/6/3-11/MT-61","as:GENC:6:3-11:MT-61")</f>
        <v>as:GENC:6:3-11:MT-61</v>
      </c>
    </row>
    <row r="2624" spans="1:7" x14ac:dyDescent="0.25">
      <c r="A2624" s="112"/>
      <c r="B2624" s="21" t="s">
        <v>6899</v>
      </c>
      <c r="C2624" s="21" t="s">
        <v>6900</v>
      </c>
      <c r="D2624" s="21" t="s">
        <v>6779</v>
      </c>
      <c r="E2624" s="50" t="b">
        <v>1</v>
      </c>
      <c r="F2624" s="72" t="str">
        <f>HYPERLINK("http://nsgreg.nga.mil/genc/view?v=294502&amp;end_month=6&amp;end_day=30&amp;end_year=2019","Xewkija")</f>
        <v>Xewkija</v>
      </c>
      <c r="G2624" s="72" t="str">
        <f>HYPERLINK("http://api.nsgreg.nga.mil/geo-division/GENC/6/3-11/MT-62","as:GENC:6:3-11:MT-62")</f>
        <v>as:GENC:6:3-11:MT-62</v>
      </c>
    </row>
    <row r="2625" spans="1:7" x14ac:dyDescent="0.25">
      <c r="A2625" s="112"/>
      <c r="B2625" s="21" t="s">
        <v>6901</v>
      </c>
      <c r="C2625" s="21" t="s">
        <v>6902</v>
      </c>
      <c r="D2625" s="21" t="s">
        <v>6779</v>
      </c>
      <c r="E2625" s="50" t="b">
        <v>1</v>
      </c>
      <c r="F2625" s="72" t="str">
        <f>HYPERLINK("http://nsgreg.nga.mil/genc/view?v=294503&amp;end_month=6&amp;end_day=30&amp;end_year=2019","Xgħajra")</f>
        <v>Xgħajra</v>
      </c>
      <c r="G2625" s="72" t="str">
        <f>HYPERLINK("http://api.nsgreg.nga.mil/geo-division/GENC/6/3-11/MT-63","as:GENC:6:3-11:MT-63")</f>
        <v>as:GENC:6:3-11:MT-63</v>
      </c>
    </row>
    <row r="2626" spans="1:7" x14ac:dyDescent="0.25">
      <c r="A2626" s="112"/>
      <c r="B2626" s="21" t="s">
        <v>6903</v>
      </c>
      <c r="C2626" s="21" t="s">
        <v>6904</v>
      </c>
      <c r="D2626" s="21" t="s">
        <v>6779</v>
      </c>
      <c r="E2626" s="50" t="b">
        <v>1</v>
      </c>
      <c r="F2626" s="72" t="str">
        <f>HYPERLINK("http://nsgreg.nga.mil/genc/view?v=294504&amp;end_month=6&amp;end_day=30&amp;end_year=2019","Żabbar")</f>
        <v>Żabbar</v>
      </c>
      <c r="G2626" s="72" t="str">
        <f>HYPERLINK("http://api.nsgreg.nga.mil/geo-division/GENC/6/3-11/MT-64","as:GENC:6:3-11:MT-64")</f>
        <v>as:GENC:6:3-11:MT-64</v>
      </c>
    </row>
    <row r="2627" spans="1:7" x14ac:dyDescent="0.25">
      <c r="A2627" s="112"/>
      <c r="B2627" s="21" t="s">
        <v>6905</v>
      </c>
      <c r="C2627" s="21" t="s">
        <v>6906</v>
      </c>
      <c r="D2627" s="21" t="s">
        <v>6779</v>
      </c>
      <c r="E2627" s="50" t="b">
        <v>1</v>
      </c>
      <c r="F2627" s="72" t="str">
        <f>HYPERLINK("http://nsgreg.nga.mil/genc/view?v=294506&amp;end_month=6&amp;end_day=30&amp;end_year=2019","Żebbuġ")</f>
        <v>Żebbuġ</v>
      </c>
      <c r="G2627" s="72" t="str">
        <f>HYPERLINK("http://api.nsgreg.nga.mil/geo-division/GENC/6/3-11/MT-66","as:GENC:6:3-11:MT-66")</f>
        <v>as:GENC:6:3-11:MT-66</v>
      </c>
    </row>
    <row r="2628" spans="1:7" x14ac:dyDescent="0.25">
      <c r="A2628" s="112"/>
      <c r="B2628" s="21" t="s">
        <v>6907</v>
      </c>
      <c r="C2628" s="21" t="s">
        <v>6908</v>
      </c>
      <c r="D2628" s="21" t="s">
        <v>6779</v>
      </c>
      <c r="E2628" s="50" t="b">
        <v>1</v>
      </c>
      <c r="F2628" s="72" t="str">
        <f>HYPERLINK("http://nsgreg.nga.mil/genc/view?v=294505&amp;end_month=6&amp;end_day=30&amp;end_year=2019","Żebbuġ (Ghawdex)")</f>
        <v>Żebbuġ (Ghawdex)</v>
      </c>
      <c r="G2628" s="72" t="str">
        <f>HYPERLINK("http://api.nsgreg.nga.mil/geo-division/GENC/6/3-11/MT-65","as:GENC:6:3-11:MT-65")</f>
        <v>as:GENC:6:3-11:MT-65</v>
      </c>
    </row>
    <row r="2629" spans="1:7" x14ac:dyDescent="0.25">
      <c r="A2629" s="112"/>
      <c r="B2629" s="21" t="s">
        <v>6909</v>
      </c>
      <c r="C2629" s="21" t="s">
        <v>6910</v>
      </c>
      <c r="D2629" s="21" t="s">
        <v>6779</v>
      </c>
      <c r="E2629" s="50" t="b">
        <v>1</v>
      </c>
      <c r="F2629" s="72" t="str">
        <f>HYPERLINK("http://nsgreg.nga.mil/genc/view?v=294507&amp;end_month=6&amp;end_day=30&amp;end_year=2019","Żejtun")</f>
        <v>Żejtun</v>
      </c>
      <c r="G2629" s="72" t="str">
        <f>HYPERLINK("http://api.nsgreg.nga.mil/geo-division/GENC/6/3-11/MT-67","as:GENC:6:3-11:MT-67")</f>
        <v>as:GENC:6:3-11:MT-67</v>
      </c>
    </row>
    <row r="2630" spans="1:7" x14ac:dyDescent="0.25">
      <c r="A2630" s="113"/>
      <c r="B2630" s="47" t="s">
        <v>6911</v>
      </c>
      <c r="C2630" s="47" t="s">
        <v>6912</v>
      </c>
      <c r="D2630" s="47" t="s">
        <v>6779</v>
      </c>
      <c r="E2630" s="51" t="b">
        <v>1</v>
      </c>
      <c r="F2630" s="73" t="str">
        <f>HYPERLINK("http://nsgreg.nga.mil/genc/view?v=294508&amp;end_month=6&amp;end_day=30&amp;end_year=2019","Żurrieq")</f>
        <v>Żurrieq</v>
      </c>
      <c r="G2630" s="73" t="str">
        <f>HYPERLINK("http://api.nsgreg.nga.mil/geo-division/GENC/6/3-11/MT-68","as:GENC:6:3-11:MT-68")</f>
        <v>as:GENC:6:3-11:MT-68</v>
      </c>
    </row>
    <row r="2631" spans="1:7" x14ac:dyDescent="0.25">
      <c r="A2631" s="111" t="str">
        <f>HYPERLINK("[#]Codes_for_GE_Names!A166:I166","MARSHALL ISLANDS")</f>
        <v>MARSHALL ISLANDS</v>
      </c>
      <c r="B2631" s="42" t="s">
        <v>6913</v>
      </c>
      <c r="C2631" s="42" t="s">
        <v>6914</v>
      </c>
      <c r="D2631" s="80" t="s">
        <v>6915</v>
      </c>
      <c r="E2631" s="81" t="b">
        <v>0</v>
      </c>
      <c r="F2631" s="74" t="str">
        <f>HYPERLINK("http://nsgreg.nga.mil/genc/view?v=294290&amp;end_month=6&amp;end_day=30&amp;end_year=2019","Ralik Chain")</f>
        <v>Ralik Chain</v>
      </c>
      <c r="G2631" s="74" t="str">
        <f>HYPERLINK("http://api.nsgreg.nga.mil/geo-division/GENC/6/3-11/MH-L","as:GENC:6:3-11:MH-L")</f>
        <v>as:GENC:6:3-11:MH-L</v>
      </c>
    </row>
    <row r="2632" spans="1:7" x14ac:dyDescent="0.25">
      <c r="A2632" s="112"/>
      <c r="B2632" s="21" t="s">
        <v>6916</v>
      </c>
      <c r="C2632" s="21" t="s">
        <v>6917</v>
      </c>
      <c r="D2632" s="21" t="s">
        <v>2505</v>
      </c>
      <c r="E2632" s="50" t="b">
        <v>1</v>
      </c>
      <c r="F2632" s="72" t="str">
        <f>HYPERLINK("http://nsgreg.nga.mil/genc/view?v=294281&amp;end_month=6&amp;end_day=30&amp;end_year=2019","Ailinglaplap")</f>
        <v>Ailinglaplap</v>
      </c>
      <c r="G2632" s="72" t="str">
        <f>HYPERLINK("http://api.nsgreg.nga.mil/geo-division/GENC/6/3-11/MH-ALL","as:GENC:6:3-11:MH-ALL")</f>
        <v>as:GENC:6:3-11:MH-ALL</v>
      </c>
    </row>
    <row r="2633" spans="1:7" x14ac:dyDescent="0.25">
      <c r="A2633" s="112"/>
      <c r="B2633" s="21" t="s">
        <v>6918</v>
      </c>
      <c r="C2633" s="21" t="s">
        <v>6919</v>
      </c>
      <c r="D2633" s="21" t="s">
        <v>2505</v>
      </c>
      <c r="E2633" s="50" t="b">
        <v>1</v>
      </c>
      <c r="F2633" s="72" t="str">
        <f>HYPERLINK("http://nsgreg.nga.mil/genc/view?v=294284&amp;end_month=6&amp;end_day=30&amp;end_year=2019","Ebon")</f>
        <v>Ebon</v>
      </c>
      <c r="G2633" s="72" t="str">
        <f>HYPERLINK("http://api.nsgreg.nga.mil/geo-division/GENC/6/3-11/MH-EBO","as:GENC:6:3-11:MH-EBO")</f>
        <v>as:GENC:6:3-11:MH-EBO</v>
      </c>
    </row>
    <row r="2634" spans="1:7" x14ac:dyDescent="0.25">
      <c r="A2634" s="112"/>
      <c r="B2634" s="21" t="s">
        <v>6920</v>
      </c>
      <c r="C2634" s="21" t="s">
        <v>6921</v>
      </c>
      <c r="D2634" s="21" t="s">
        <v>2505</v>
      </c>
      <c r="E2634" s="50" t="b">
        <v>1</v>
      </c>
      <c r="F2634" s="72" t="str">
        <f>HYPERLINK("http://nsgreg.nga.mil/genc/view?v=294285&amp;end_month=6&amp;end_day=30&amp;end_year=2019","Enewetak")</f>
        <v>Enewetak</v>
      </c>
      <c r="G2634" s="72" t="str">
        <f>HYPERLINK("http://api.nsgreg.nga.mil/geo-division/GENC/6/3-11/MH-ENI","as:GENC:6:3-11:MH-ENI")</f>
        <v>as:GENC:6:3-11:MH-ENI</v>
      </c>
    </row>
    <row r="2635" spans="1:7" x14ac:dyDescent="0.25">
      <c r="A2635" s="112"/>
      <c r="B2635" s="21" t="s">
        <v>6922</v>
      </c>
      <c r="C2635" s="21" t="s">
        <v>6923</v>
      </c>
      <c r="D2635" s="21" t="s">
        <v>2505</v>
      </c>
      <c r="E2635" s="50" t="b">
        <v>1</v>
      </c>
      <c r="F2635" s="72" t="str">
        <f>HYPERLINK("http://nsgreg.nga.mil/genc/view?v=294286&amp;end_month=6&amp;end_day=30&amp;end_year=2019","Jabat")</f>
        <v>Jabat</v>
      </c>
      <c r="G2635" s="72" t="str">
        <f>HYPERLINK("http://api.nsgreg.nga.mil/geo-division/GENC/6/3-11/MH-JAB","as:GENC:6:3-11:MH-JAB")</f>
        <v>as:GENC:6:3-11:MH-JAB</v>
      </c>
    </row>
    <row r="2636" spans="1:7" x14ac:dyDescent="0.25">
      <c r="A2636" s="112"/>
      <c r="B2636" s="21" t="s">
        <v>6924</v>
      </c>
      <c r="C2636" s="21" t="s">
        <v>6925</v>
      </c>
      <c r="D2636" s="21" t="s">
        <v>2505</v>
      </c>
      <c r="E2636" s="50" t="b">
        <v>1</v>
      </c>
      <c r="F2636" s="72" t="str">
        <f>HYPERLINK("http://nsgreg.nga.mil/genc/view?v=294287&amp;end_month=6&amp;end_day=30&amp;end_year=2019","Jaluit")</f>
        <v>Jaluit</v>
      </c>
      <c r="G2636" s="72" t="str">
        <f>HYPERLINK("http://api.nsgreg.nga.mil/geo-division/GENC/6/3-11/MH-JAL","as:GENC:6:3-11:MH-JAL")</f>
        <v>as:GENC:6:3-11:MH-JAL</v>
      </c>
    </row>
    <row r="2637" spans="1:7" x14ac:dyDescent="0.25">
      <c r="A2637" s="112"/>
      <c r="B2637" s="21" t="s">
        <v>6926</v>
      </c>
      <c r="C2637" s="21" t="s">
        <v>6927</v>
      </c>
      <c r="D2637" s="21" t="s">
        <v>2505</v>
      </c>
      <c r="E2637" s="50" t="b">
        <v>1</v>
      </c>
      <c r="F2637" s="72" t="str">
        <f>HYPERLINK("http://nsgreg.nga.mil/genc/view?v=294288&amp;end_month=6&amp;end_day=30&amp;end_year=2019","Kili")</f>
        <v>Kili</v>
      </c>
      <c r="G2637" s="72" t="str">
        <f>HYPERLINK("http://api.nsgreg.nga.mil/geo-division/GENC/6/3-11/MH-KIL","as:GENC:6:3-11:MH-KIL")</f>
        <v>as:GENC:6:3-11:MH-KIL</v>
      </c>
    </row>
    <row r="2638" spans="1:7" x14ac:dyDescent="0.25">
      <c r="A2638" s="112"/>
      <c r="B2638" s="21" t="s">
        <v>6928</v>
      </c>
      <c r="C2638" s="21" t="s">
        <v>6929</v>
      </c>
      <c r="D2638" s="21" t="s">
        <v>2505</v>
      </c>
      <c r="E2638" s="50" t="b">
        <v>1</v>
      </c>
      <c r="F2638" s="72" t="str">
        <f>HYPERLINK("http://nsgreg.nga.mil/genc/view?v=294289&amp;end_month=6&amp;end_day=30&amp;end_year=2019","Kwajalein")</f>
        <v>Kwajalein</v>
      </c>
      <c r="G2638" s="72" t="str">
        <f>HYPERLINK("http://api.nsgreg.nga.mil/geo-division/GENC/6/3-11/MH-KWA","as:GENC:6:3-11:MH-KWA")</f>
        <v>as:GENC:6:3-11:MH-KWA</v>
      </c>
    </row>
    <row r="2639" spans="1:7" x14ac:dyDescent="0.25">
      <c r="A2639" s="112"/>
      <c r="B2639" s="21" t="s">
        <v>6930</v>
      </c>
      <c r="C2639" s="21" t="s">
        <v>6931</v>
      </c>
      <c r="D2639" s="21" t="s">
        <v>2505</v>
      </c>
      <c r="E2639" s="50" t="b">
        <v>1</v>
      </c>
      <c r="F2639" s="72" t="str">
        <f>HYPERLINK("http://nsgreg.nga.mil/genc/view?v=294291&amp;end_month=6&amp;end_day=30&amp;end_year=2019","Lae")</f>
        <v>Lae</v>
      </c>
      <c r="G2639" s="72" t="str">
        <f>HYPERLINK("http://api.nsgreg.nga.mil/geo-division/GENC/6/3-11/MH-LAE","as:GENC:6:3-11:MH-LAE")</f>
        <v>as:GENC:6:3-11:MH-LAE</v>
      </c>
    </row>
    <row r="2640" spans="1:7" x14ac:dyDescent="0.25">
      <c r="A2640" s="112"/>
      <c r="B2640" s="21" t="s">
        <v>6932</v>
      </c>
      <c r="C2640" s="21" t="s">
        <v>6933</v>
      </c>
      <c r="D2640" s="21" t="s">
        <v>2505</v>
      </c>
      <c r="E2640" s="50" t="b">
        <v>1</v>
      </c>
      <c r="F2640" s="72" t="str">
        <f>HYPERLINK("http://nsgreg.nga.mil/genc/view?v=294292&amp;end_month=6&amp;end_day=30&amp;end_year=2019","Lib")</f>
        <v>Lib</v>
      </c>
      <c r="G2640" s="72" t="str">
        <f>HYPERLINK("http://api.nsgreg.nga.mil/geo-division/GENC/6/3-11/MH-LIB","as:GENC:6:3-11:MH-LIB")</f>
        <v>as:GENC:6:3-11:MH-LIB</v>
      </c>
    </row>
    <row r="2641" spans="1:7" x14ac:dyDescent="0.25">
      <c r="A2641" s="112"/>
      <c r="B2641" s="21" t="s">
        <v>6934</v>
      </c>
      <c r="C2641" s="21" t="s">
        <v>6935</v>
      </c>
      <c r="D2641" s="21" t="s">
        <v>2505</v>
      </c>
      <c r="E2641" s="50" t="b">
        <v>1</v>
      </c>
      <c r="F2641" s="72" t="str">
        <f>HYPERLINK("http://nsgreg.nga.mil/genc/view?v=294298&amp;end_month=6&amp;end_day=30&amp;end_year=2019","Namdrik")</f>
        <v>Namdrik</v>
      </c>
      <c r="G2641" s="72" t="str">
        <f>HYPERLINK("http://api.nsgreg.nga.mil/geo-division/GENC/6/3-11/MH-NMK","as:GENC:6:3-11:MH-NMK")</f>
        <v>as:GENC:6:3-11:MH-NMK</v>
      </c>
    </row>
    <row r="2642" spans="1:7" x14ac:dyDescent="0.25">
      <c r="A2642" s="112"/>
      <c r="B2642" s="21" t="s">
        <v>6936</v>
      </c>
      <c r="C2642" s="21" t="s">
        <v>6937</v>
      </c>
      <c r="D2642" s="21" t="s">
        <v>2505</v>
      </c>
      <c r="E2642" s="50" t="b">
        <v>1</v>
      </c>
      <c r="F2642" s="72" t="str">
        <f>HYPERLINK("http://nsgreg.nga.mil/genc/view?v=294299&amp;end_month=6&amp;end_day=30&amp;end_year=2019","Namu")</f>
        <v>Namu</v>
      </c>
      <c r="G2642" s="72" t="str">
        <f>HYPERLINK("http://api.nsgreg.nga.mil/geo-division/GENC/6/3-11/MH-NMU","as:GENC:6:3-11:MH-NMU")</f>
        <v>as:GENC:6:3-11:MH-NMU</v>
      </c>
    </row>
    <row r="2643" spans="1:7" x14ac:dyDescent="0.25">
      <c r="A2643" s="112"/>
      <c r="B2643" s="21" t="s">
        <v>6938</v>
      </c>
      <c r="C2643" s="21" t="s">
        <v>6939</v>
      </c>
      <c r="D2643" s="21" t="s">
        <v>2505</v>
      </c>
      <c r="E2643" s="50" t="b">
        <v>1</v>
      </c>
      <c r="F2643" s="72" t="str">
        <f>HYPERLINK("http://nsgreg.nga.mil/genc/view?v=294300&amp;end_month=6&amp;end_day=30&amp;end_year=2019","Rongelap")</f>
        <v>Rongelap</v>
      </c>
      <c r="G2643" s="72" t="str">
        <f>HYPERLINK("http://api.nsgreg.nga.mil/geo-division/GENC/6/3-11/MH-RON","as:GENC:6:3-11:MH-RON")</f>
        <v>as:GENC:6:3-11:MH-RON</v>
      </c>
    </row>
    <row r="2644" spans="1:7" x14ac:dyDescent="0.25">
      <c r="A2644" s="112"/>
      <c r="B2644" s="21" t="s">
        <v>6940</v>
      </c>
      <c r="C2644" s="21" t="s">
        <v>6941</v>
      </c>
      <c r="D2644" s="21" t="s">
        <v>2505</v>
      </c>
      <c r="E2644" s="50" t="b">
        <v>1</v>
      </c>
      <c r="F2644" s="72" t="str">
        <f>HYPERLINK("http://nsgreg.nga.mil/genc/view?v=294302&amp;end_month=6&amp;end_day=30&amp;end_year=2019","Ujae")</f>
        <v>Ujae</v>
      </c>
      <c r="G2644" s="72" t="str">
        <f>HYPERLINK("http://api.nsgreg.nga.mil/geo-division/GENC/6/3-11/MH-UJA","as:GENC:6:3-11:MH-UJA")</f>
        <v>as:GENC:6:3-11:MH-UJA</v>
      </c>
    </row>
    <row r="2645" spans="1:7" x14ac:dyDescent="0.25">
      <c r="A2645" s="112"/>
      <c r="B2645" s="21" t="s">
        <v>6942</v>
      </c>
      <c r="C2645" s="21" t="s">
        <v>6943</v>
      </c>
      <c r="D2645" s="21" t="s">
        <v>2505</v>
      </c>
      <c r="E2645" s="50" t="b">
        <v>1</v>
      </c>
      <c r="F2645" s="72" t="str">
        <f>HYPERLINK("http://nsgreg.nga.mil/genc/view?v=294304&amp;end_month=6&amp;end_day=30&amp;end_year=2019","Wotho")</f>
        <v>Wotho</v>
      </c>
      <c r="G2645" s="72" t="str">
        <f>HYPERLINK("http://api.nsgreg.nga.mil/geo-division/GENC/6/3-11/MH-WTH","as:GENC:6:3-11:MH-WTH")</f>
        <v>as:GENC:6:3-11:MH-WTH</v>
      </c>
    </row>
    <row r="2646" spans="1:7" x14ac:dyDescent="0.25">
      <c r="A2646" s="112"/>
      <c r="B2646" s="21" t="s">
        <v>6944</v>
      </c>
      <c r="C2646" s="21" t="s">
        <v>6945</v>
      </c>
      <c r="D2646" s="76" t="s">
        <v>6915</v>
      </c>
      <c r="E2646" s="77" t="b">
        <v>0</v>
      </c>
      <c r="F2646" s="72" t="str">
        <f>HYPERLINK("http://nsgreg.nga.mil/genc/view?v=294301&amp;end_month=6&amp;end_day=30&amp;end_year=2019","Ratak Chain")</f>
        <v>Ratak Chain</v>
      </c>
      <c r="G2646" s="72" t="str">
        <f>HYPERLINK("http://api.nsgreg.nga.mil/geo-division/GENC/6/3-11/MH-T","as:GENC:6:3-11:MH-T")</f>
        <v>as:GENC:6:3-11:MH-T</v>
      </c>
    </row>
    <row r="2647" spans="1:7" x14ac:dyDescent="0.25">
      <c r="A2647" s="112"/>
      <c r="B2647" s="21" t="s">
        <v>6946</v>
      </c>
      <c r="C2647" s="21" t="s">
        <v>6947</v>
      </c>
      <c r="D2647" s="21" t="s">
        <v>2505</v>
      </c>
      <c r="E2647" s="50" t="b">
        <v>1</v>
      </c>
      <c r="F2647" s="72" t="str">
        <f>HYPERLINK("http://nsgreg.nga.mil/genc/view?v=294280&amp;end_month=6&amp;end_day=30&amp;end_year=2019","Ailuk")</f>
        <v>Ailuk</v>
      </c>
      <c r="G2647" s="72" t="str">
        <f>HYPERLINK("http://api.nsgreg.nga.mil/geo-division/GENC/6/3-11/MH-ALK","as:GENC:6:3-11:MH-ALK")</f>
        <v>as:GENC:6:3-11:MH-ALK</v>
      </c>
    </row>
    <row r="2648" spans="1:7" x14ac:dyDescent="0.25">
      <c r="A2648" s="112"/>
      <c r="B2648" s="21" t="s">
        <v>6948</v>
      </c>
      <c r="C2648" s="21" t="s">
        <v>6949</v>
      </c>
      <c r="D2648" s="21" t="s">
        <v>2505</v>
      </c>
      <c r="E2648" s="50" t="b">
        <v>1</v>
      </c>
      <c r="F2648" s="72" t="str">
        <f>HYPERLINK("http://nsgreg.nga.mil/genc/view?v=294282&amp;end_month=6&amp;end_day=30&amp;end_year=2019","Arno")</f>
        <v>Arno</v>
      </c>
      <c r="G2648" s="72" t="str">
        <f>HYPERLINK("http://api.nsgreg.nga.mil/geo-division/GENC/6/3-11/MH-ARN","as:GENC:6:3-11:MH-ARN")</f>
        <v>as:GENC:6:3-11:MH-ARN</v>
      </c>
    </row>
    <row r="2649" spans="1:7" x14ac:dyDescent="0.25">
      <c r="A2649" s="112"/>
      <c r="B2649" s="21" t="s">
        <v>6950</v>
      </c>
      <c r="C2649" s="21" t="s">
        <v>6951</v>
      </c>
      <c r="D2649" s="21" t="s">
        <v>2505</v>
      </c>
      <c r="E2649" s="50" t="b">
        <v>1</v>
      </c>
      <c r="F2649" s="72" t="str">
        <f>HYPERLINK("http://nsgreg.nga.mil/genc/view?v=294283&amp;end_month=6&amp;end_day=30&amp;end_year=2019","Aur")</f>
        <v>Aur</v>
      </c>
      <c r="G2649" s="72" t="str">
        <f>HYPERLINK("http://api.nsgreg.nga.mil/geo-division/GENC/6/3-11/MH-AUR","as:GENC:6:3-11:MH-AUR")</f>
        <v>as:GENC:6:3-11:MH-AUR</v>
      </c>
    </row>
    <row r="2650" spans="1:7" x14ac:dyDescent="0.25">
      <c r="A2650" s="112"/>
      <c r="B2650" s="21" t="s">
        <v>6952</v>
      </c>
      <c r="C2650" s="21" t="s">
        <v>6953</v>
      </c>
      <c r="D2650" s="21" t="s">
        <v>2505</v>
      </c>
      <c r="E2650" s="50" t="b">
        <v>1</v>
      </c>
      <c r="F2650" s="72" t="str">
        <f>HYPERLINK("http://nsgreg.nga.mil/genc/view?v=294293&amp;end_month=6&amp;end_day=30&amp;end_year=2019","Likiep")</f>
        <v>Likiep</v>
      </c>
      <c r="G2650" s="72" t="str">
        <f>HYPERLINK("http://api.nsgreg.nga.mil/geo-division/GENC/6/3-11/MH-LIK","as:GENC:6:3-11:MH-LIK")</f>
        <v>as:GENC:6:3-11:MH-LIK</v>
      </c>
    </row>
    <row r="2651" spans="1:7" x14ac:dyDescent="0.25">
      <c r="A2651" s="112"/>
      <c r="B2651" s="21" t="s">
        <v>6954</v>
      </c>
      <c r="C2651" s="21" t="s">
        <v>6955</v>
      </c>
      <c r="D2651" s="21" t="s">
        <v>2505</v>
      </c>
      <c r="E2651" s="50" t="b">
        <v>1</v>
      </c>
      <c r="F2651" s="72" t="str">
        <f>HYPERLINK("http://nsgreg.nga.mil/genc/view?v=294294&amp;end_month=6&amp;end_day=30&amp;end_year=2019","Majuro")</f>
        <v>Majuro</v>
      </c>
      <c r="G2651" s="72" t="str">
        <f>HYPERLINK("http://api.nsgreg.nga.mil/geo-division/GENC/6/3-11/MH-MAJ","as:GENC:6:3-11:MH-MAJ")</f>
        <v>as:GENC:6:3-11:MH-MAJ</v>
      </c>
    </row>
    <row r="2652" spans="1:7" x14ac:dyDescent="0.25">
      <c r="A2652" s="112"/>
      <c r="B2652" s="21" t="s">
        <v>6956</v>
      </c>
      <c r="C2652" s="21" t="s">
        <v>6957</v>
      </c>
      <c r="D2652" s="21" t="s">
        <v>2505</v>
      </c>
      <c r="E2652" s="50" t="b">
        <v>1</v>
      </c>
      <c r="F2652" s="72" t="str">
        <f>HYPERLINK("http://nsgreg.nga.mil/genc/view?v=294295&amp;end_month=6&amp;end_day=30&amp;end_year=2019","Maloelap")</f>
        <v>Maloelap</v>
      </c>
      <c r="G2652" s="72" t="str">
        <f>HYPERLINK("http://api.nsgreg.nga.mil/geo-division/GENC/6/3-11/MH-MAL","as:GENC:6:3-11:MH-MAL")</f>
        <v>as:GENC:6:3-11:MH-MAL</v>
      </c>
    </row>
    <row r="2653" spans="1:7" x14ac:dyDescent="0.25">
      <c r="A2653" s="112"/>
      <c r="B2653" s="21" t="s">
        <v>6958</v>
      </c>
      <c r="C2653" s="21" t="s">
        <v>6959</v>
      </c>
      <c r="D2653" s="21" t="s">
        <v>2505</v>
      </c>
      <c r="E2653" s="50" t="b">
        <v>1</v>
      </c>
      <c r="F2653" s="72" t="str">
        <f>HYPERLINK("http://nsgreg.nga.mil/genc/view?v=294296&amp;end_month=6&amp;end_day=30&amp;end_year=2019","Mejit")</f>
        <v>Mejit</v>
      </c>
      <c r="G2653" s="72" t="str">
        <f>HYPERLINK("http://api.nsgreg.nga.mil/geo-division/GENC/6/3-11/MH-MEJ","as:GENC:6:3-11:MH-MEJ")</f>
        <v>as:GENC:6:3-11:MH-MEJ</v>
      </c>
    </row>
    <row r="2654" spans="1:7" x14ac:dyDescent="0.25">
      <c r="A2654" s="112"/>
      <c r="B2654" s="21" t="s">
        <v>6960</v>
      </c>
      <c r="C2654" s="21" t="s">
        <v>6961</v>
      </c>
      <c r="D2654" s="21" t="s">
        <v>2505</v>
      </c>
      <c r="E2654" s="50" t="b">
        <v>1</v>
      </c>
      <c r="F2654" s="72" t="str">
        <f>HYPERLINK("http://nsgreg.nga.mil/genc/view?v=294297&amp;end_month=6&amp;end_day=30&amp;end_year=2019","Mili")</f>
        <v>Mili</v>
      </c>
      <c r="G2654" s="72" t="str">
        <f>HYPERLINK("http://api.nsgreg.nga.mil/geo-division/GENC/6/3-11/MH-MIL","as:GENC:6:3-11:MH-MIL")</f>
        <v>as:GENC:6:3-11:MH-MIL</v>
      </c>
    </row>
    <row r="2655" spans="1:7" x14ac:dyDescent="0.25">
      <c r="A2655" s="112"/>
      <c r="B2655" s="21" t="s">
        <v>6962</v>
      </c>
      <c r="C2655" s="21" t="s">
        <v>6963</v>
      </c>
      <c r="D2655" s="21" t="s">
        <v>2505</v>
      </c>
      <c r="E2655" s="50" t="b">
        <v>1</v>
      </c>
      <c r="F2655" s="72" t="str">
        <f>HYPERLINK("http://nsgreg.nga.mil/genc/view?v=294303&amp;end_month=6&amp;end_day=30&amp;end_year=2019","Utrik")</f>
        <v>Utrik</v>
      </c>
      <c r="G2655" s="72" t="str">
        <f>HYPERLINK("http://api.nsgreg.nga.mil/geo-division/GENC/6/3-11/MH-UTI","as:GENC:6:3-11:MH-UTI")</f>
        <v>as:GENC:6:3-11:MH-UTI</v>
      </c>
    </row>
    <row r="2656" spans="1:7" x14ac:dyDescent="0.25">
      <c r="A2656" s="113"/>
      <c r="B2656" s="47" t="s">
        <v>6964</v>
      </c>
      <c r="C2656" s="47" t="s">
        <v>6965</v>
      </c>
      <c r="D2656" s="47" t="s">
        <v>2505</v>
      </c>
      <c r="E2656" s="51" t="b">
        <v>1</v>
      </c>
      <c r="F2656" s="73" t="str">
        <f>HYPERLINK("http://nsgreg.nga.mil/genc/view?v=294305&amp;end_month=6&amp;end_day=30&amp;end_year=2019","Wotje")</f>
        <v>Wotje</v>
      </c>
      <c r="G2656" s="73" t="str">
        <f>HYPERLINK("http://api.nsgreg.nga.mil/geo-division/GENC/6/3-11/MH-WTJ","as:GENC:6:3-11:MH-WTJ")</f>
        <v>as:GENC:6:3-11:MH-WTJ</v>
      </c>
    </row>
    <row r="2657" spans="1:7" x14ac:dyDescent="0.25">
      <c r="A2657" s="111" t="str">
        <f>HYPERLINK("[#]Codes_for_GE_Names!A168:I168","MAURITANIA")</f>
        <v>MAURITANIA</v>
      </c>
      <c r="B2657" s="42" t="s">
        <v>6966</v>
      </c>
      <c r="C2657" s="42" t="s">
        <v>1761</v>
      </c>
      <c r="D2657" s="42" t="s">
        <v>1975</v>
      </c>
      <c r="E2657" s="49" t="b">
        <v>1</v>
      </c>
      <c r="F2657" s="74" t="str">
        <f>HYPERLINK("http://nsgreg.nga.mil/genc/view?v=294429&amp;end_month=6&amp;end_day=30&amp;end_year=2019","Adrar")</f>
        <v>Adrar</v>
      </c>
      <c r="G2657" s="74" t="str">
        <f>HYPERLINK("http://api.nsgreg.nga.mil/geo-division/GENC/6/3-11/MR-07","as:GENC:6:3-11:MR-07")</f>
        <v>as:GENC:6:3-11:MR-07</v>
      </c>
    </row>
    <row r="2658" spans="1:7" x14ac:dyDescent="0.25">
      <c r="A2658" s="112"/>
      <c r="B2658" s="21" t="s">
        <v>6967</v>
      </c>
      <c r="C2658" s="21" t="s">
        <v>6968</v>
      </c>
      <c r="D2658" s="21" t="s">
        <v>1975</v>
      </c>
      <c r="E2658" s="50" t="b">
        <v>1</v>
      </c>
      <c r="F2658" s="72" t="str">
        <f>HYPERLINK("http://nsgreg.nga.mil/genc/view?v=294425&amp;end_month=6&amp;end_day=30&amp;end_year=2019","Assaba")</f>
        <v>Assaba</v>
      </c>
      <c r="G2658" s="72" t="str">
        <f>HYPERLINK("http://api.nsgreg.nga.mil/geo-division/GENC/6/3-11/MR-03","as:GENC:6:3-11:MR-03")</f>
        <v>as:GENC:6:3-11:MR-03</v>
      </c>
    </row>
    <row r="2659" spans="1:7" x14ac:dyDescent="0.25">
      <c r="A2659" s="112"/>
      <c r="B2659" s="21" t="s">
        <v>6969</v>
      </c>
      <c r="C2659" s="21" t="s">
        <v>6970</v>
      </c>
      <c r="D2659" s="21" t="s">
        <v>1975</v>
      </c>
      <c r="E2659" s="50" t="b">
        <v>1</v>
      </c>
      <c r="F2659" s="72" t="str">
        <f>HYPERLINK("http://nsgreg.nga.mil/genc/view?v=294427&amp;end_month=6&amp;end_day=30&amp;end_year=2019","Brakna")</f>
        <v>Brakna</v>
      </c>
      <c r="G2659" s="72" t="str">
        <f>HYPERLINK("http://api.nsgreg.nga.mil/geo-division/GENC/6/3-11/MR-05","as:GENC:6:3-11:MR-05")</f>
        <v>as:GENC:6:3-11:MR-05</v>
      </c>
    </row>
    <row r="2660" spans="1:7" x14ac:dyDescent="0.25">
      <c r="A2660" s="112"/>
      <c r="B2660" s="21" t="s">
        <v>6971</v>
      </c>
      <c r="C2660" s="21" t="s">
        <v>6972</v>
      </c>
      <c r="D2660" s="21" t="s">
        <v>1975</v>
      </c>
      <c r="E2660" s="50" t="b">
        <v>1</v>
      </c>
      <c r="F2660" s="72" t="str">
        <f>HYPERLINK("http://nsgreg.nga.mil/genc/view?v=294430&amp;end_month=6&amp;end_day=30&amp;end_year=2019","Dakhlet Nouadhibou")</f>
        <v>Dakhlet Nouadhibou</v>
      </c>
      <c r="G2660" s="72" t="str">
        <f>HYPERLINK("http://api.nsgreg.nga.mil/geo-division/GENC/6/3-11/MR-08","as:GENC:6:3-11:MR-08")</f>
        <v>as:GENC:6:3-11:MR-08</v>
      </c>
    </row>
    <row r="2661" spans="1:7" x14ac:dyDescent="0.25">
      <c r="A2661" s="112"/>
      <c r="B2661" s="21" t="s">
        <v>6973</v>
      </c>
      <c r="C2661" s="21" t="s">
        <v>6974</v>
      </c>
      <c r="D2661" s="21" t="s">
        <v>1975</v>
      </c>
      <c r="E2661" s="50" t="b">
        <v>1</v>
      </c>
      <c r="F2661" s="72" t="str">
        <f>HYPERLINK("http://nsgreg.nga.mil/genc/view?v=294426&amp;end_month=6&amp;end_day=30&amp;end_year=2019","Gorgol")</f>
        <v>Gorgol</v>
      </c>
      <c r="G2661" s="72" t="str">
        <f>HYPERLINK("http://api.nsgreg.nga.mil/geo-division/GENC/6/3-11/MR-04","as:GENC:6:3-11:MR-04")</f>
        <v>as:GENC:6:3-11:MR-04</v>
      </c>
    </row>
    <row r="2662" spans="1:7" x14ac:dyDescent="0.25">
      <c r="A2662" s="112"/>
      <c r="B2662" s="21" t="s">
        <v>6975</v>
      </c>
      <c r="C2662" s="21" t="s">
        <v>6976</v>
      </c>
      <c r="D2662" s="21" t="s">
        <v>1975</v>
      </c>
      <c r="E2662" s="50" t="b">
        <v>1</v>
      </c>
      <c r="F2662" s="72" t="str">
        <f>HYPERLINK("http://nsgreg.nga.mil/genc/view?v=294432&amp;end_month=6&amp;end_day=30&amp;end_year=2019","Guidimaka")</f>
        <v>Guidimaka</v>
      </c>
      <c r="G2662" s="72" t="str">
        <f>HYPERLINK("http://api.nsgreg.nga.mil/geo-division/GENC/6/3-11/MR-10","as:GENC:6:3-11:MR-10")</f>
        <v>as:GENC:6:3-11:MR-10</v>
      </c>
    </row>
    <row r="2663" spans="1:7" x14ac:dyDescent="0.25">
      <c r="A2663" s="112"/>
      <c r="B2663" s="21" t="s">
        <v>6977</v>
      </c>
      <c r="C2663" s="21" t="s">
        <v>6978</v>
      </c>
      <c r="D2663" s="21" t="s">
        <v>1975</v>
      </c>
      <c r="E2663" s="50" t="b">
        <v>1</v>
      </c>
      <c r="F2663" s="72" t="str">
        <f>HYPERLINK("http://nsgreg.nga.mil/genc/view?v=294423&amp;end_month=6&amp;end_day=30&amp;end_year=2019","Hodh ech Chargui")</f>
        <v>Hodh ech Chargui</v>
      </c>
      <c r="G2663" s="72" t="str">
        <f>HYPERLINK("http://api.nsgreg.nga.mil/geo-division/GENC/6/3-11/MR-01","as:GENC:6:3-11:MR-01")</f>
        <v>as:GENC:6:3-11:MR-01</v>
      </c>
    </row>
    <row r="2664" spans="1:7" x14ac:dyDescent="0.25">
      <c r="A2664" s="112"/>
      <c r="B2664" s="21" t="s">
        <v>6979</v>
      </c>
      <c r="C2664" s="21" t="s">
        <v>6980</v>
      </c>
      <c r="D2664" s="21" t="s">
        <v>1975</v>
      </c>
      <c r="E2664" s="50" t="b">
        <v>1</v>
      </c>
      <c r="F2664" s="72" t="str">
        <f>HYPERLINK("http://nsgreg.nga.mil/genc/view?v=294424&amp;end_month=6&amp;end_day=30&amp;end_year=2019","Hodh el Gharbi")</f>
        <v>Hodh el Gharbi</v>
      </c>
      <c r="G2664" s="72" t="str">
        <f>HYPERLINK("http://api.nsgreg.nga.mil/geo-division/GENC/6/3-11/MR-02","as:GENC:6:3-11:MR-02")</f>
        <v>as:GENC:6:3-11:MR-02</v>
      </c>
    </row>
    <row r="2665" spans="1:7" x14ac:dyDescent="0.25">
      <c r="A2665" s="112"/>
      <c r="B2665" s="21" t="s">
        <v>6981</v>
      </c>
      <c r="C2665" s="21" t="s">
        <v>6982</v>
      </c>
      <c r="D2665" s="21" t="s">
        <v>1975</v>
      </c>
      <c r="E2665" s="50" t="b">
        <v>1</v>
      </c>
      <c r="F2665" s="72" t="str">
        <f>HYPERLINK("http://nsgreg.nga.mil/genc/view?v=294434&amp;end_month=6&amp;end_day=30&amp;end_year=2019","Inchiri")</f>
        <v>Inchiri</v>
      </c>
      <c r="G2665" s="72" t="str">
        <f>HYPERLINK("http://api.nsgreg.nga.mil/geo-division/GENC/6/3-11/MR-12","as:GENC:6:3-11:MR-12")</f>
        <v>as:GENC:6:3-11:MR-12</v>
      </c>
    </row>
    <row r="2666" spans="1:7" x14ac:dyDescent="0.25">
      <c r="A2666" s="112"/>
      <c r="B2666" s="21" t="s">
        <v>6983</v>
      </c>
      <c r="C2666" s="21" t="s">
        <v>6984</v>
      </c>
      <c r="D2666" s="21" t="s">
        <v>1975</v>
      </c>
      <c r="E2666" s="50" t="b">
        <v>1</v>
      </c>
      <c r="F2666" s="72" t="str">
        <f>HYPERLINK("http://nsgreg.nga.mil/genc/view?v=294436&amp;end_month=6&amp;end_day=30&amp;end_year=2019","Nouakchott Nord")</f>
        <v>Nouakchott Nord</v>
      </c>
      <c r="G2666" s="72" t="str">
        <f>HYPERLINK("http://api.nsgreg.nga.mil/geo-division/GENC/6/3-11/MR-14","as:GENC:6:3-11:MR-14")</f>
        <v>as:GENC:6:3-11:MR-14</v>
      </c>
    </row>
    <row r="2667" spans="1:7" x14ac:dyDescent="0.25">
      <c r="A2667" s="112"/>
      <c r="B2667" s="21" t="s">
        <v>6985</v>
      </c>
      <c r="C2667" s="21" t="s">
        <v>6986</v>
      </c>
      <c r="D2667" s="21" t="s">
        <v>1975</v>
      </c>
      <c r="E2667" s="50" t="b">
        <v>1</v>
      </c>
      <c r="F2667" s="72" t="str">
        <f>HYPERLINK("http://nsgreg.nga.mil/genc/view?v=294435&amp;end_month=6&amp;end_day=30&amp;end_year=2019","Nouakchott Ouest")</f>
        <v>Nouakchott Ouest</v>
      </c>
      <c r="G2667" s="72" t="str">
        <f>HYPERLINK("http://api.nsgreg.nga.mil/geo-division/GENC/6/3-11/MR-13","as:GENC:6:3-11:MR-13")</f>
        <v>as:GENC:6:3-11:MR-13</v>
      </c>
    </row>
    <row r="2668" spans="1:7" x14ac:dyDescent="0.25">
      <c r="A2668" s="112"/>
      <c r="B2668" s="21" t="s">
        <v>6987</v>
      </c>
      <c r="C2668" s="21" t="s">
        <v>6988</v>
      </c>
      <c r="D2668" s="21" t="s">
        <v>1975</v>
      </c>
      <c r="E2668" s="50" t="b">
        <v>1</v>
      </c>
      <c r="F2668" s="72" t="str">
        <f>HYPERLINK("http://nsgreg.nga.mil/genc/view?v=294437&amp;end_month=6&amp;end_day=30&amp;end_year=2019","Nouakchott Sud")</f>
        <v>Nouakchott Sud</v>
      </c>
      <c r="G2668" s="72" t="str">
        <f>HYPERLINK("http://api.nsgreg.nga.mil/geo-division/GENC/6/3-11/MR-15","as:GENC:6:3-11:MR-15")</f>
        <v>as:GENC:6:3-11:MR-15</v>
      </c>
    </row>
    <row r="2669" spans="1:7" x14ac:dyDescent="0.25">
      <c r="A2669" s="112"/>
      <c r="B2669" s="21" t="s">
        <v>6989</v>
      </c>
      <c r="C2669" s="21" t="s">
        <v>6990</v>
      </c>
      <c r="D2669" s="21" t="s">
        <v>1975</v>
      </c>
      <c r="E2669" s="50" t="b">
        <v>1</v>
      </c>
      <c r="F2669" s="72" t="str">
        <f>HYPERLINK("http://nsgreg.nga.mil/genc/view?v=294431&amp;end_month=6&amp;end_day=30&amp;end_year=2019","Tagant")</f>
        <v>Tagant</v>
      </c>
      <c r="G2669" s="72" t="str">
        <f>HYPERLINK("http://api.nsgreg.nga.mil/geo-division/GENC/6/3-11/MR-09","as:GENC:6:3-11:MR-09")</f>
        <v>as:GENC:6:3-11:MR-09</v>
      </c>
    </row>
    <row r="2670" spans="1:7" x14ac:dyDescent="0.25">
      <c r="A2670" s="112"/>
      <c r="B2670" s="21" t="s">
        <v>6991</v>
      </c>
      <c r="C2670" s="21" t="s">
        <v>6992</v>
      </c>
      <c r="D2670" s="21" t="s">
        <v>1975</v>
      </c>
      <c r="E2670" s="50" t="b">
        <v>1</v>
      </c>
      <c r="F2670" s="72" t="str">
        <f>HYPERLINK("http://nsgreg.nga.mil/genc/view?v=294433&amp;end_month=6&amp;end_day=30&amp;end_year=2019","Tiris Zemmour")</f>
        <v>Tiris Zemmour</v>
      </c>
      <c r="G2670" s="72" t="str">
        <f>HYPERLINK("http://api.nsgreg.nga.mil/geo-division/GENC/6/3-11/MR-11","as:GENC:6:3-11:MR-11")</f>
        <v>as:GENC:6:3-11:MR-11</v>
      </c>
    </row>
    <row r="2671" spans="1:7" x14ac:dyDescent="0.25">
      <c r="A2671" s="113"/>
      <c r="B2671" s="47" t="s">
        <v>6993</v>
      </c>
      <c r="C2671" s="47" t="s">
        <v>6994</v>
      </c>
      <c r="D2671" s="47" t="s">
        <v>1975</v>
      </c>
      <c r="E2671" s="51" t="b">
        <v>1</v>
      </c>
      <c r="F2671" s="73" t="str">
        <f>HYPERLINK("http://nsgreg.nga.mil/genc/view?v=294428&amp;end_month=6&amp;end_day=30&amp;end_year=2019","Trarza")</f>
        <v>Trarza</v>
      </c>
      <c r="G2671" s="73" t="str">
        <f>HYPERLINK("http://api.nsgreg.nga.mil/geo-division/GENC/6/3-11/MR-06","as:GENC:6:3-11:MR-06")</f>
        <v>as:GENC:6:3-11:MR-06</v>
      </c>
    </row>
    <row r="2672" spans="1:7" x14ac:dyDescent="0.25">
      <c r="A2672" s="111" t="str">
        <f>HYPERLINK("[#]Codes_for_GE_Names!A169:I169","MAURITIUS")</f>
        <v>MAURITIUS</v>
      </c>
      <c r="B2672" s="42" t="s">
        <v>6995</v>
      </c>
      <c r="C2672" s="42" t="s">
        <v>6996</v>
      </c>
      <c r="D2672" s="42" t="s">
        <v>1909</v>
      </c>
      <c r="E2672" s="49" t="b">
        <v>1</v>
      </c>
      <c r="F2672" s="74" t="str">
        <f>HYPERLINK("http://nsgreg.nga.mil/genc/view?v=294509&amp;end_month=6&amp;end_day=30&amp;end_year=2019","Agalega Islands")</f>
        <v>Agalega Islands</v>
      </c>
      <c r="G2672" s="74" t="str">
        <f>HYPERLINK("http://api.nsgreg.nga.mil/geo-division/GENC/6/3-11/MU-AG","as:GENC:6:3-11:MU-AG")</f>
        <v>as:GENC:6:3-11:MU-AG</v>
      </c>
    </row>
    <row r="2673" spans="1:7" x14ac:dyDescent="0.25">
      <c r="A2673" s="112"/>
      <c r="B2673" s="21" t="s">
        <v>6997</v>
      </c>
      <c r="C2673" s="21" t="s">
        <v>6998</v>
      </c>
      <c r="D2673" s="76" t="s">
        <v>1996</v>
      </c>
      <c r="E2673" s="77" t="b">
        <v>0</v>
      </c>
      <c r="F2673" s="72" t="str">
        <f>HYPERLINK("http://nsgreg.nga.mil/genc/view?v=294511&amp;end_month=6&amp;end_day=30&amp;end_year=2019","Beau Bassin-Rose Hill")</f>
        <v>Beau Bassin-Rose Hill</v>
      </c>
      <c r="G2673" s="72" t="str">
        <f>HYPERLINK("http://api.nsgreg.nga.mil/geo-division/GENC/6/3-11/MU-BR","as:GENC:6:3-11:MU-BR")</f>
        <v>as:GENC:6:3-11:MU-BR</v>
      </c>
    </row>
    <row r="2674" spans="1:7" x14ac:dyDescent="0.25">
      <c r="A2674" s="112"/>
      <c r="B2674" s="21" t="s">
        <v>6999</v>
      </c>
      <c r="C2674" s="21" t="s">
        <v>7000</v>
      </c>
      <c r="D2674" s="21" t="s">
        <v>2035</v>
      </c>
      <c r="E2674" s="50" t="b">
        <v>1</v>
      </c>
      <c r="F2674" s="72" t="str">
        <f>HYPERLINK("http://nsgreg.nga.mil/genc/view?v=294510&amp;end_month=6&amp;end_day=30&amp;end_year=2019","Black River")</f>
        <v>Black River</v>
      </c>
      <c r="G2674" s="72" t="str">
        <f>HYPERLINK("http://api.nsgreg.nga.mil/geo-division/GENC/6/3-11/MU-BL","as:GENC:6:3-11:MU-BL")</f>
        <v>as:GENC:6:3-11:MU-BL</v>
      </c>
    </row>
    <row r="2675" spans="1:7" x14ac:dyDescent="0.25">
      <c r="A2675" s="112"/>
      <c r="B2675" s="21" t="s">
        <v>7001</v>
      </c>
      <c r="C2675" s="21" t="s">
        <v>7002</v>
      </c>
      <c r="D2675" s="21" t="s">
        <v>1909</v>
      </c>
      <c r="E2675" s="50" t="b">
        <v>1</v>
      </c>
      <c r="F2675" s="72" t="str">
        <f>HYPERLINK("http://nsgreg.nga.mil/genc/view?v=294512&amp;end_month=6&amp;end_day=30&amp;end_year=2019","Cargados Carajos")</f>
        <v>Cargados Carajos</v>
      </c>
      <c r="G2675" s="72" t="str">
        <f>HYPERLINK("http://api.nsgreg.nga.mil/geo-division/GENC/6/3-11/MU-CC","as:GENC:6:3-11:MU-CC")</f>
        <v>as:GENC:6:3-11:MU-CC</v>
      </c>
    </row>
    <row r="2676" spans="1:7" x14ac:dyDescent="0.25">
      <c r="A2676" s="112"/>
      <c r="B2676" s="21" t="s">
        <v>7003</v>
      </c>
      <c r="C2676" s="21" t="s">
        <v>7004</v>
      </c>
      <c r="D2676" s="76" t="s">
        <v>1996</v>
      </c>
      <c r="E2676" s="77" t="b">
        <v>0</v>
      </c>
      <c r="F2676" s="72" t="str">
        <f>HYPERLINK("http://nsgreg.nga.mil/genc/view?v=294513&amp;end_month=6&amp;end_day=30&amp;end_year=2019","Curepipe")</f>
        <v>Curepipe</v>
      </c>
      <c r="G2676" s="72" t="str">
        <f>HYPERLINK("http://api.nsgreg.nga.mil/geo-division/GENC/6/3-11/MU-CU","as:GENC:6:3-11:MU-CU")</f>
        <v>as:GENC:6:3-11:MU-CU</v>
      </c>
    </row>
    <row r="2677" spans="1:7" x14ac:dyDescent="0.25">
      <c r="A2677" s="112"/>
      <c r="B2677" s="21" t="s">
        <v>7005</v>
      </c>
      <c r="C2677" s="21" t="s">
        <v>7006</v>
      </c>
      <c r="D2677" s="21" t="s">
        <v>2035</v>
      </c>
      <c r="E2677" s="50" t="b">
        <v>1</v>
      </c>
      <c r="F2677" s="72" t="str">
        <f>HYPERLINK("http://nsgreg.nga.mil/genc/view?v=294514&amp;end_month=6&amp;end_day=30&amp;end_year=2019","Flacq")</f>
        <v>Flacq</v>
      </c>
      <c r="G2677" s="72" t="str">
        <f>HYPERLINK("http://api.nsgreg.nga.mil/geo-division/GENC/6/3-11/MU-FL","as:GENC:6:3-11:MU-FL")</f>
        <v>as:GENC:6:3-11:MU-FL</v>
      </c>
    </row>
    <row r="2678" spans="1:7" x14ac:dyDescent="0.25">
      <c r="A2678" s="112"/>
      <c r="B2678" s="21" t="s">
        <v>7007</v>
      </c>
      <c r="C2678" s="21" t="s">
        <v>7008</v>
      </c>
      <c r="D2678" s="21" t="s">
        <v>2035</v>
      </c>
      <c r="E2678" s="50" t="b">
        <v>1</v>
      </c>
      <c r="F2678" s="72" t="str">
        <f>HYPERLINK("http://nsgreg.nga.mil/genc/view?v=294515&amp;end_month=6&amp;end_day=30&amp;end_year=2019","Grand Port")</f>
        <v>Grand Port</v>
      </c>
      <c r="G2678" s="72" t="str">
        <f>HYPERLINK("http://api.nsgreg.nga.mil/geo-division/GENC/6/3-11/MU-GP","as:GENC:6:3-11:MU-GP")</f>
        <v>as:GENC:6:3-11:MU-GP</v>
      </c>
    </row>
    <row r="2679" spans="1:7" x14ac:dyDescent="0.25">
      <c r="A2679" s="112"/>
      <c r="B2679" s="21" t="s">
        <v>7009</v>
      </c>
      <c r="C2679" s="21" t="s">
        <v>7010</v>
      </c>
      <c r="D2679" s="21" t="s">
        <v>2035</v>
      </c>
      <c r="E2679" s="50" t="b">
        <v>1</v>
      </c>
      <c r="F2679" s="72" t="str">
        <f>HYPERLINK("http://nsgreg.nga.mil/genc/view?v=294516&amp;end_month=6&amp;end_day=30&amp;end_year=2019","Moka")</f>
        <v>Moka</v>
      </c>
      <c r="G2679" s="72" t="str">
        <f>HYPERLINK("http://api.nsgreg.nga.mil/geo-division/GENC/6/3-11/MU-MO","as:GENC:6:3-11:MU-MO")</f>
        <v>as:GENC:6:3-11:MU-MO</v>
      </c>
    </row>
    <row r="2680" spans="1:7" x14ac:dyDescent="0.25">
      <c r="A2680" s="112"/>
      <c r="B2680" s="21" t="s">
        <v>7011</v>
      </c>
      <c r="C2680" s="21" t="s">
        <v>7012</v>
      </c>
      <c r="D2680" s="21" t="s">
        <v>2035</v>
      </c>
      <c r="E2680" s="50" t="b">
        <v>1</v>
      </c>
      <c r="F2680" s="72" t="str">
        <f>HYPERLINK("http://nsgreg.nga.mil/genc/view?v=294517&amp;end_month=6&amp;end_day=30&amp;end_year=2019","Pamplemousses")</f>
        <v>Pamplemousses</v>
      </c>
      <c r="G2680" s="72" t="str">
        <f>HYPERLINK("http://api.nsgreg.nga.mil/geo-division/GENC/6/3-11/MU-PA","as:GENC:6:3-11:MU-PA")</f>
        <v>as:GENC:6:3-11:MU-PA</v>
      </c>
    </row>
    <row r="2681" spans="1:7" x14ac:dyDescent="0.25">
      <c r="A2681" s="112"/>
      <c r="B2681" s="21" t="s">
        <v>7013</v>
      </c>
      <c r="C2681" s="21" t="s">
        <v>7014</v>
      </c>
      <c r="D2681" s="21" t="s">
        <v>2035</v>
      </c>
      <c r="E2681" s="50" t="b">
        <v>1</v>
      </c>
      <c r="F2681" s="72" t="str">
        <f>HYPERLINK("http://nsgreg.nga.mil/genc/view?v=294520&amp;end_month=6&amp;end_day=30&amp;end_year=2019","Plaines Wilhems")</f>
        <v>Plaines Wilhems</v>
      </c>
      <c r="G2681" s="72" t="str">
        <f>HYPERLINK("http://api.nsgreg.nga.mil/geo-division/GENC/6/3-11/MU-PW","as:GENC:6:3-11:MU-PW")</f>
        <v>as:GENC:6:3-11:MU-PW</v>
      </c>
    </row>
    <row r="2682" spans="1:7" x14ac:dyDescent="0.25">
      <c r="A2682" s="112"/>
      <c r="B2682" s="21" t="s">
        <v>7015</v>
      </c>
      <c r="C2682" s="21" t="s">
        <v>7016</v>
      </c>
      <c r="D2682" s="76" t="s">
        <v>1996</v>
      </c>
      <c r="E2682" s="77" t="b">
        <v>0</v>
      </c>
      <c r="F2682" s="72" t="str">
        <f>HYPERLINK("http://nsgreg.nga.mil/genc/view?v=294519&amp;end_month=6&amp;end_day=30&amp;end_year=2019","Port Louis")</f>
        <v>Port Louis</v>
      </c>
      <c r="G2682" s="72" t="str">
        <f>HYPERLINK("http://api.nsgreg.nga.mil/geo-division/GENC/6/3-11/MU-PU","as:GENC:6:3-11:MU-PU")</f>
        <v>as:GENC:6:3-11:MU-PU</v>
      </c>
    </row>
    <row r="2683" spans="1:7" x14ac:dyDescent="0.25">
      <c r="A2683" s="112"/>
      <c r="B2683" s="21" t="s">
        <v>7017</v>
      </c>
      <c r="C2683" s="21" t="s">
        <v>7016</v>
      </c>
      <c r="D2683" s="21" t="s">
        <v>2035</v>
      </c>
      <c r="E2683" s="50" t="b">
        <v>1</v>
      </c>
      <c r="F2683" s="72" t="str">
        <f>HYPERLINK("http://nsgreg.nga.mil/genc/view?v=294518&amp;end_month=6&amp;end_day=30&amp;end_year=2019","Port Louis")</f>
        <v>Port Louis</v>
      </c>
      <c r="G2683" s="72" t="str">
        <f>HYPERLINK("http://api.nsgreg.nga.mil/geo-division/GENC/6/3-11/MU-PL","as:GENC:6:3-11:MU-PL")</f>
        <v>as:GENC:6:3-11:MU-PL</v>
      </c>
    </row>
    <row r="2684" spans="1:7" x14ac:dyDescent="0.25">
      <c r="A2684" s="112"/>
      <c r="B2684" s="21" t="s">
        <v>7018</v>
      </c>
      <c r="C2684" s="21" t="s">
        <v>7019</v>
      </c>
      <c r="D2684" s="76" t="s">
        <v>1996</v>
      </c>
      <c r="E2684" s="77" t="b">
        <v>0</v>
      </c>
      <c r="F2684" s="72" t="str">
        <f>HYPERLINK("http://nsgreg.nga.mil/genc/view?v=294521&amp;end_month=6&amp;end_day=30&amp;end_year=2019","Quatre Bornes")</f>
        <v>Quatre Bornes</v>
      </c>
      <c r="G2684" s="72" t="str">
        <f>HYPERLINK("http://api.nsgreg.nga.mil/geo-division/GENC/6/3-11/MU-QB","as:GENC:6:3-11:MU-QB")</f>
        <v>as:GENC:6:3-11:MU-QB</v>
      </c>
    </row>
    <row r="2685" spans="1:7" x14ac:dyDescent="0.25">
      <c r="A2685" s="112"/>
      <c r="B2685" s="21" t="s">
        <v>7020</v>
      </c>
      <c r="C2685" s="21" t="s">
        <v>7021</v>
      </c>
      <c r="D2685" s="21" t="s">
        <v>2035</v>
      </c>
      <c r="E2685" s="50" t="b">
        <v>1</v>
      </c>
      <c r="F2685" s="72" t="str">
        <f>HYPERLINK("http://nsgreg.nga.mil/genc/view?v=294523&amp;end_month=6&amp;end_day=30&amp;end_year=2019","Rivière du Rempart")</f>
        <v>Rivière du Rempart</v>
      </c>
      <c r="G2685" s="72" t="str">
        <f>HYPERLINK("http://api.nsgreg.nga.mil/geo-division/GENC/6/3-11/MU-RR","as:GENC:6:3-11:MU-RR")</f>
        <v>as:GENC:6:3-11:MU-RR</v>
      </c>
    </row>
    <row r="2686" spans="1:7" x14ac:dyDescent="0.25">
      <c r="A2686" s="112"/>
      <c r="B2686" s="21" t="s">
        <v>7022</v>
      </c>
      <c r="C2686" s="21" t="s">
        <v>7023</v>
      </c>
      <c r="D2686" s="21" t="s">
        <v>1909</v>
      </c>
      <c r="E2686" s="50" t="b">
        <v>1</v>
      </c>
      <c r="F2686" s="72" t="str">
        <f>HYPERLINK("http://nsgreg.nga.mil/genc/view?v=294522&amp;end_month=6&amp;end_day=30&amp;end_year=2019","Rodrigues")</f>
        <v>Rodrigues</v>
      </c>
      <c r="G2686" s="72" t="str">
        <f>HYPERLINK("http://api.nsgreg.nga.mil/geo-division/GENC/6/3-11/MU-RO","as:GENC:6:3-11:MU-RO")</f>
        <v>as:GENC:6:3-11:MU-RO</v>
      </c>
    </row>
    <row r="2687" spans="1:7" x14ac:dyDescent="0.25">
      <c r="A2687" s="112"/>
      <c r="B2687" s="21" t="s">
        <v>7024</v>
      </c>
      <c r="C2687" s="21" t="s">
        <v>7025</v>
      </c>
      <c r="D2687" s="21" t="s">
        <v>2035</v>
      </c>
      <c r="E2687" s="50" t="b">
        <v>1</v>
      </c>
      <c r="F2687" s="72" t="str">
        <f>HYPERLINK("http://nsgreg.nga.mil/genc/view?v=294524&amp;end_month=6&amp;end_day=30&amp;end_year=2019","Savanne")</f>
        <v>Savanne</v>
      </c>
      <c r="G2687" s="72" t="str">
        <f>HYPERLINK("http://api.nsgreg.nga.mil/geo-division/GENC/6/3-11/MU-SA","as:GENC:6:3-11:MU-SA")</f>
        <v>as:GENC:6:3-11:MU-SA</v>
      </c>
    </row>
    <row r="2688" spans="1:7" x14ac:dyDescent="0.25">
      <c r="A2688" s="113"/>
      <c r="B2688" s="47" t="s">
        <v>7026</v>
      </c>
      <c r="C2688" s="47" t="s">
        <v>7027</v>
      </c>
      <c r="D2688" s="78" t="s">
        <v>1996</v>
      </c>
      <c r="E2688" s="79" t="b">
        <v>0</v>
      </c>
      <c r="F2688" s="73" t="str">
        <f>HYPERLINK("http://nsgreg.nga.mil/genc/view?v=294525&amp;end_month=6&amp;end_day=30&amp;end_year=2019","Vacoas-Phoenix")</f>
        <v>Vacoas-Phoenix</v>
      </c>
      <c r="G2688" s="73" t="str">
        <f>HYPERLINK("http://api.nsgreg.nga.mil/geo-division/GENC/6/3-11/MU-VP","as:GENC:6:3-11:MU-VP")</f>
        <v>as:GENC:6:3-11:MU-VP</v>
      </c>
    </row>
    <row r="2689" spans="1:7" x14ac:dyDescent="0.25">
      <c r="A2689" s="111" t="str">
        <f>HYPERLINK("[#]Codes_for_GE_Names!A171:I171","MEXICO")</f>
        <v>MEXICO</v>
      </c>
      <c r="B2689" s="42" t="s">
        <v>7028</v>
      </c>
      <c r="C2689" s="42" t="s">
        <v>7029</v>
      </c>
      <c r="D2689" s="42" t="s">
        <v>2002</v>
      </c>
      <c r="E2689" s="49" t="b">
        <v>1</v>
      </c>
      <c r="F2689" s="74" t="str">
        <f>HYPERLINK("http://nsgreg.nga.mil/genc/view?v=294578&amp;end_month=6&amp;end_day=30&amp;end_year=2019","Aguascalientes")</f>
        <v>Aguascalientes</v>
      </c>
      <c r="G2689" s="74" t="str">
        <f>HYPERLINK("http://api.nsgreg.nga.mil/geo-division/GENC/6/3-11/MX-AGU","as:GENC:6:3-11:MX-AGU")</f>
        <v>as:GENC:6:3-11:MX-AGU</v>
      </c>
    </row>
    <row r="2690" spans="1:7" x14ac:dyDescent="0.25">
      <c r="A2690" s="112"/>
      <c r="B2690" s="21" t="s">
        <v>7030</v>
      </c>
      <c r="C2690" s="21" t="s">
        <v>7031</v>
      </c>
      <c r="D2690" s="21" t="s">
        <v>2002</v>
      </c>
      <c r="E2690" s="50" t="b">
        <v>1</v>
      </c>
      <c r="F2690" s="72" t="str">
        <f>HYPERLINK("http://nsgreg.nga.mil/genc/view?v=294579&amp;end_month=6&amp;end_day=30&amp;end_year=2019","Baja California")</f>
        <v>Baja California</v>
      </c>
      <c r="G2690" s="72" t="str">
        <f>HYPERLINK("http://api.nsgreg.nga.mil/geo-division/GENC/6/3-11/MX-BCN","as:GENC:6:3-11:MX-BCN")</f>
        <v>as:GENC:6:3-11:MX-BCN</v>
      </c>
    </row>
    <row r="2691" spans="1:7" x14ac:dyDescent="0.25">
      <c r="A2691" s="112"/>
      <c r="B2691" s="21" t="s">
        <v>7032</v>
      </c>
      <c r="C2691" s="21" t="s">
        <v>7033</v>
      </c>
      <c r="D2691" s="21" t="s">
        <v>2002</v>
      </c>
      <c r="E2691" s="50" t="b">
        <v>1</v>
      </c>
      <c r="F2691" s="72" t="str">
        <f>HYPERLINK("http://nsgreg.nga.mil/genc/view?v=294580&amp;end_month=6&amp;end_day=30&amp;end_year=2019","Baja California Sur")</f>
        <v>Baja California Sur</v>
      </c>
      <c r="G2691" s="72" t="str">
        <f>HYPERLINK("http://api.nsgreg.nga.mil/geo-division/GENC/6/3-11/MX-BCS","as:GENC:6:3-11:MX-BCS")</f>
        <v>as:GENC:6:3-11:MX-BCS</v>
      </c>
    </row>
    <row r="2692" spans="1:7" x14ac:dyDescent="0.25">
      <c r="A2692" s="112"/>
      <c r="B2692" s="21" t="s">
        <v>7034</v>
      </c>
      <c r="C2692" s="21" t="s">
        <v>7035</v>
      </c>
      <c r="D2692" s="21" t="s">
        <v>2002</v>
      </c>
      <c r="E2692" s="50" t="b">
        <v>1</v>
      </c>
      <c r="F2692" s="72" t="str">
        <f>HYPERLINK("http://nsgreg.nga.mil/genc/view?v=294581&amp;end_month=6&amp;end_day=30&amp;end_year=2019","Campeche")</f>
        <v>Campeche</v>
      </c>
      <c r="G2692" s="72" t="str">
        <f>HYPERLINK("http://api.nsgreg.nga.mil/geo-division/GENC/6/3-11/MX-CAM","as:GENC:6:3-11:MX-CAM")</f>
        <v>as:GENC:6:3-11:MX-CAM</v>
      </c>
    </row>
    <row r="2693" spans="1:7" x14ac:dyDescent="0.25">
      <c r="A2693" s="112"/>
      <c r="B2693" s="21" t="s">
        <v>7036</v>
      </c>
      <c r="C2693" s="21" t="s">
        <v>7037</v>
      </c>
      <c r="D2693" s="21" t="s">
        <v>2002</v>
      </c>
      <c r="E2693" s="50" t="b">
        <v>1</v>
      </c>
      <c r="F2693" s="72" t="str">
        <f>HYPERLINK("http://nsgreg.nga.mil/genc/view?v=294583&amp;end_month=6&amp;end_day=30&amp;end_year=2019","Chiapas")</f>
        <v>Chiapas</v>
      </c>
      <c r="G2693" s="72" t="str">
        <f>HYPERLINK("http://api.nsgreg.nga.mil/geo-division/GENC/6/3-11/MX-CHP","as:GENC:6:3-11:MX-CHP")</f>
        <v>as:GENC:6:3-11:MX-CHP</v>
      </c>
    </row>
    <row r="2694" spans="1:7" x14ac:dyDescent="0.25">
      <c r="A2694" s="112"/>
      <c r="B2694" s="21" t="s">
        <v>7038</v>
      </c>
      <c r="C2694" s="21" t="s">
        <v>7039</v>
      </c>
      <c r="D2694" s="21" t="s">
        <v>2002</v>
      </c>
      <c r="E2694" s="50" t="b">
        <v>1</v>
      </c>
      <c r="F2694" s="72" t="str">
        <f>HYPERLINK("http://nsgreg.nga.mil/genc/view?v=294582&amp;end_month=6&amp;end_day=30&amp;end_year=2019","Chihuahua")</f>
        <v>Chihuahua</v>
      </c>
      <c r="G2694" s="72" t="str">
        <f>HYPERLINK("http://api.nsgreg.nga.mil/geo-division/GENC/6/3-11/MX-CHH","as:GENC:6:3-11:MX-CHH")</f>
        <v>as:GENC:6:3-11:MX-CHH</v>
      </c>
    </row>
    <row r="2695" spans="1:7" x14ac:dyDescent="0.25">
      <c r="A2695" s="112"/>
      <c r="B2695" s="21" t="s">
        <v>7040</v>
      </c>
      <c r="C2695" s="21" t="s">
        <v>7041</v>
      </c>
      <c r="D2695" s="21" t="s">
        <v>1996</v>
      </c>
      <c r="E2695" s="50" t="b">
        <v>1</v>
      </c>
      <c r="F2695" s="72" t="str">
        <f>HYPERLINK("http://nsgreg.nga.mil/genc/view?v=294584&amp;end_month=6&amp;end_day=30&amp;end_year=2019","Ciudad de México")</f>
        <v>Ciudad de México</v>
      </c>
      <c r="G2695" s="72" t="str">
        <f>HYPERLINK("http://api.nsgreg.nga.mil/geo-division/GENC/6/3-11/MX-CMX","as:GENC:6:3-11:MX-CMX")</f>
        <v>as:GENC:6:3-11:MX-CMX</v>
      </c>
    </row>
    <row r="2696" spans="1:7" x14ac:dyDescent="0.25">
      <c r="A2696" s="112"/>
      <c r="B2696" s="21" t="s">
        <v>7042</v>
      </c>
      <c r="C2696" s="21" t="s">
        <v>7043</v>
      </c>
      <c r="D2696" s="21" t="s">
        <v>2002</v>
      </c>
      <c r="E2696" s="50" t="b">
        <v>1</v>
      </c>
      <c r="F2696" s="72" t="str">
        <f>HYPERLINK("http://nsgreg.nga.mil/genc/view?v=294585&amp;end_month=6&amp;end_day=30&amp;end_year=2019","Coahuila")</f>
        <v>Coahuila</v>
      </c>
      <c r="G2696" s="72" t="str">
        <f>HYPERLINK("http://api.nsgreg.nga.mil/geo-division/GENC/6/3-11/MX-COA","as:GENC:6:3-11:MX-COA")</f>
        <v>as:GENC:6:3-11:MX-COA</v>
      </c>
    </row>
    <row r="2697" spans="1:7" x14ac:dyDescent="0.25">
      <c r="A2697" s="112"/>
      <c r="B2697" s="21" t="s">
        <v>7044</v>
      </c>
      <c r="C2697" s="21" t="s">
        <v>7045</v>
      </c>
      <c r="D2697" s="21" t="s">
        <v>2002</v>
      </c>
      <c r="E2697" s="50" t="b">
        <v>1</v>
      </c>
      <c r="F2697" s="72" t="str">
        <f>HYPERLINK("http://nsgreg.nga.mil/genc/view?v=294586&amp;end_month=6&amp;end_day=30&amp;end_year=2019","Colima")</f>
        <v>Colima</v>
      </c>
      <c r="G2697" s="72" t="str">
        <f>HYPERLINK("http://api.nsgreg.nga.mil/geo-division/GENC/6/3-11/MX-COL","as:GENC:6:3-11:MX-COL")</f>
        <v>as:GENC:6:3-11:MX-COL</v>
      </c>
    </row>
    <row r="2698" spans="1:7" x14ac:dyDescent="0.25">
      <c r="A2698" s="112"/>
      <c r="B2698" s="21" t="s">
        <v>7046</v>
      </c>
      <c r="C2698" s="21" t="s">
        <v>7047</v>
      </c>
      <c r="D2698" s="21" t="s">
        <v>2002</v>
      </c>
      <c r="E2698" s="50" t="b">
        <v>1</v>
      </c>
      <c r="F2698" s="72" t="str">
        <f>HYPERLINK("http://nsgreg.nga.mil/genc/view?v=294587&amp;end_month=6&amp;end_day=30&amp;end_year=2019","Durango")</f>
        <v>Durango</v>
      </c>
      <c r="G2698" s="72" t="str">
        <f>HYPERLINK("http://api.nsgreg.nga.mil/geo-division/GENC/6/3-11/MX-DUR","as:GENC:6:3-11:MX-DUR")</f>
        <v>as:GENC:6:3-11:MX-DUR</v>
      </c>
    </row>
    <row r="2699" spans="1:7" x14ac:dyDescent="0.25">
      <c r="A2699" s="112"/>
      <c r="B2699" s="21" t="s">
        <v>7048</v>
      </c>
      <c r="C2699" s="21" t="s">
        <v>7049</v>
      </c>
      <c r="D2699" s="21" t="s">
        <v>2002</v>
      </c>
      <c r="E2699" s="50" t="b">
        <v>1</v>
      </c>
      <c r="F2699" s="72" t="str">
        <f>HYPERLINK("http://nsgreg.nga.mil/genc/view?v=294589&amp;end_month=6&amp;end_day=30&amp;end_year=2019","Guanajuato")</f>
        <v>Guanajuato</v>
      </c>
      <c r="G2699" s="72" t="str">
        <f>HYPERLINK("http://api.nsgreg.nga.mil/geo-division/GENC/6/3-11/MX-GUA","as:GENC:6:3-11:MX-GUA")</f>
        <v>as:GENC:6:3-11:MX-GUA</v>
      </c>
    </row>
    <row r="2700" spans="1:7" x14ac:dyDescent="0.25">
      <c r="A2700" s="112"/>
      <c r="B2700" s="21" t="s">
        <v>7050</v>
      </c>
      <c r="C2700" s="21" t="s">
        <v>7051</v>
      </c>
      <c r="D2700" s="21" t="s">
        <v>2002</v>
      </c>
      <c r="E2700" s="50" t="b">
        <v>1</v>
      </c>
      <c r="F2700" s="72" t="str">
        <f>HYPERLINK("http://nsgreg.nga.mil/genc/view?v=294588&amp;end_month=6&amp;end_day=30&amp;end_year=2019","Guerrero")</f>
        <v>Guerrero</v>
      </c>
      <c r="G2700" s="72" t="str">
        <f>HYPERLINK("http://api.nsgreg.nga.mil/geo-division/GENC/6/3-11/MX-GRO","as:GENC:6:3-11:MX-GRO")</f>
        <v>as:GENC:6:3-11:MX-GRO</v>
      </c>
    </row>
    <row r="2701" spans="1:7" x14ac:dyDescent="0.25">
      <c r="A2701" s="112"/>
      <c r="B2701" s="21" t="s">
        <v>7052</v>
      </c>
      <c r="C2701" s="21" t="s">
        <v>7053</v>
      </c>
      <c r="D2701" s="21" t="s">
        <v>2002</v>
      </c>
      <c r="E2701" s="50" t="b">
        <v>1</v>
      </c>
      <c r="F2701" s="72" t="str">
        <f>HYPERLINK("http://nsgreg.nga.mil/genc/view?v=294590&amp;end_month=6&amp;end_day=30&amp;end_year=2019","Hidalgo")</f>
        <v>Hidalgo</v>
      </c>
      <c r="G2701" s="72" t="str">
        <f>HYPERLINK("http://api.nsgreg.nga.mil/geo-division/GENC/6/3-11/MX-HID","as:GENC:6:3-11:MX-HID")</f>
        <v>as:GENC:6:3-11:MX-HID</v>
      </c>
    </row>
    <row r="2702" spans="1:7" x14ac:dyDescent="0.25">
      <c r="A2702" s="112"/>
      <c r="B2702" s="21" t="s">
        <v>7054</v>
      </c>
      <c r="C2702" s="21" t="s">
        <v>7055</v>
      </c>
      <c r="D2702" s="21" t="s">
        <v>2002</v>
      </c>
      <c r="E2702" s="50" t="b">
        <v>1</v>
      </c>
      <c r="F2702" s="72" t="str">
        <f>HYPERLINK("http://nsgreg.nga.mil/genc/view?v=294591&amp;end_month=6&amp;end_day=30&amp;end_year=2019","Jalisco")</f>
        <v>Jalisco</v>
      </c>
      <c r="G2702" s="72" t="str">
        <f>HYPERLINK("http://api.nsgreg.nga.mil/geo-division/GENC/6/3-11/MX-JAL","as:GENC:6:3-11:MX-JAL")</f>
        <v>as:GENC:6:3-11:MX-JAL</v>
      </c>
    </row>
    <row r="2703" spans="1:7" x14ac:dyDescent="0.25">
      <c r="A2703" s="112"/>
      <c r="B2703" s="21" t="s">
        <v>7056</v>
      </c>
      <c r="C2703" s="21" t="s">
        <v>7057</v>
      </c>
      <c r="D2703" s="21" t="s">
        <v>2002</v>
      </c>
      <c r="E2703" s="50" t="b">
        <v>1</v>
      </c>
      <c r="F2703" s="72" t="str">
        <f>HYPERLINK("http://nsgreg.nga.mil/genc/view?v=294592&amp;end_month=6&amp;end_day=30&amp;end_year=2019","México")</f>
        <v>México</v>
      </c>
      <c r="G2703" s="72" t="str">
        <f>HYPERLINK("http://api.nsgreg.nga.mil/geo-division/GENC/6/3-11/MX-MEX","as:GENC:6:3-11:MX-MEX")</f>
        <v>as:GENC:6:3-11:MX-MEX</v>
      </c>
    </row>
    <row r="2704" spans="1:7" x14ac:dyDescent="0.25">
      <c r="A2704" s="112"/>
      <c r="B2704" s="21" t="s">
        <v>7058</v>
      </c>
      <c r="C2704" s="21" t="s">
        <v>7059</v>
      </c>
      <c r="D2704" s="21" t="s">
        <v>2002</v>
      </c>
      <c r="E2704" s="50" t="b">
        <v>1</v>
      </c>
      <c r="F2704" s="72" t="str">
        <f>HYPERLINK("http://nsgreg.nga.mil/genc/view?v=294593&amp;end_month=6&amp;end_day=30&amp;end_year=2019","Michoacán")</f>
        <v>Michoacán</v>
      </c>
      <c r="G2704" s="72" t="str">
        <f>HYPERLINK("http://api.nsgreg.nga.mil/geo-division/GENC/6/3-11/MX-MIC","as:GENC:6:3-11:MX-MIC")</f>
        <v>as:GENC:6:3-11:MX-MIC</v>
      </c>
    </row>
    <row r="2705" spans="1:7" x14ac:dyDescent="0.25">
      <c r="A2705" s="112"/>
      <c r="B2705" s="21" t="s">
        <v>7060</v>
      </c>
      <c r="C2705" s="21" t="s">
        <v>7061</v>
      </c>
      <c r="D2705" s="21" t="s">
        <v>2002</v>
      </c>
      <c r="E2705" s="50" t="b">
        <v>1</v>
      </c>
      <c r="F2705" s="72" t="str">
        <f>HYPERLINK("http://nsgreg.nga.mil/genc/view?v=294594&amp;end_month=6&amp;end_day=30&amp;end_year=2019","Morelos")</f>
        <v>Morelos</v>
      </c>
      <c r="G2705" s="72" t="str">
        <f>HYPERLINK("http://api.nsgreg.nga.mil/geo-division/GENC/6/3-11/MX-MOR","as:GENC:6:3-11:MX-MOR")</f>
        <v>as:GENC:6:3-11:MX-MOR</v>
      </c>
    </row>
    <row r="2706" spans="1:7" x14ac:dyDescent="0.25">
      <c r="A2706" s="112"/>
      <c r="B2706" s="21" t="s">
        <v>7062</v>
      </c>
      <c r="C2706" s="21" t="s">
        <v>7063</v>
      </c>
      <c r="D2706" s="21" t="s">
        <v>2002</v>
      </c>
      <c r="E2706" s="50" t="b">
        <v>1</v>
      </c>
      <c r="F2706" s="72" t="str">
        <f>HYPERLINK("http://nsgreg.nga.mil/genc/view?v=294595&amp;end_month=6&amp;end_day=30&amp;end_year=2019","Nayarit")</f>
        <v>Nayarit</v>
      </c>
      <c r="G2706" s="72" t="str">
        <f>HYPERLINK("http://api.nsgreg.nga.mil/geo-division/GENC/6/3-11/MX-NAY","as:GENC:6:3-11:MX-NAY")</f>
        <v>as:GENC:6:3-11:MX-NAY</v>
      </c>
    </row>
    <row r="2707" spans="1:7" x14ac:dyDescent="0.25">
      <c r="A2707" s="112"/>
      <c r="B2707" s="21" t="s">
        <v>7064</v>
      </c>
      <c r="C2707" s="21" t="s">
        <v>7065</v>
      </c>
      <c r="D2707" s="21" t="s">
        <v>2002</v>
      </c>
      <c r="E2707" s="50" t="b">
        <v>1</v>
      </c>
      <c r="F2707" s="72" t="str">
        <f>HYPERLINK("http://nsgreg.nga.mil/genc/view?v=294596&amp;end_month=6&amp;end_day=30&amp;end_year=2019","Nuevo León")</f>
        <v>Nuevo León</v>
      </c>
      <c r="G2707" s="72" t="str">
        <f>HYPERLINK("http://api.nsgreg.nga.mil/geo-division/GENC/6/3-11/MX-NLE","as:GENC:6:3-11:MX-NLE")</f>
        <v>as:GENC:6:3-11:MX-NLE</v>
      </c>
    </row>
    <row r="2708" spans="1:7" x14ac:dyDescent="0.25">
      <c r="A2708" s="112"/>
      <c r="B2708" s="21" t="s">
        <v>7066</v>
      </c>
      <c r="C2708" s="21" t="s">
        <v>7067</v>
      </c>
      <c r="D2708" s="21" t="s">
        <v>2002</v>
      </c>
      <c r="E2708" s="50" t="b">
        <v>1</v>
      </c>
      <c r="F2708" s="72" t="str">
        <f>HYPERLINK("http://nsgreg.nga.mil/genc/view?v=294597&amp;end_month=6&amp;end_day=30&amp;end_year=2019","Oaxaca")</f>
        <v>Oaxaca</v>
      </c>
      <c r="G2708" s="72" t="str">
        <f>HYPERLINK("http://api.nsgreg.nga.mil/geo-division/GENC/6/3-11/MX-OAX","as:GENC:6:3-11:MX-OAX")</f>
        <v>as:GENC:6:3-11:MX-OAX</v>
      </c>
    </row>
    <row r="2709" spans="1:7" x14ac:dyDescent="0.25">
      <c r="A2709" s="112"/>
      <c r="B2709" s="21" t="s">
        <v>7068</v>
      </c>
      <c r="C2709" s="21" t="s">
        <v>7069</v>
      </c>
      <c r="D2709" s="21" t="s">
        <v>2002</v>
      </c>
      <c r="E2709" s="50" t="b">
        <v>1</v>
      </c>
      <c r="F2709" s="72" t="str">
        <f>HYPERLINK("http://nsgreg.nga.mil/genc/view?v=294598&amp;end_month=6&amp;end_day=30&amp;end_year=2019","Puebla")</f>
        <v>Puebla</v>
      </c>
      <c r="G2709" s="72" t="str">
        <f>HYPERLINK("http://api.nsgreg.nga.mil/geo-division/GENC/6/3-11/MX-PUE","as:GENC:6:3-11:MX-PUE")</f>
        <v>as:GENC:6:3-11:MX-PUE</v>
      </c>
    </row>
    <row r="2710" spans="1:7" x14ac:dyDescent="0.25">
      <c r="A2710" s="112"/>
      <c r="B2710" s="21" t="s">
        <v>7070</v>
      </c>
      <c r="C2710" s="21" t="s">
        <v>7071</v>
      </c>
      <c r="D2710" s="21" t="s">
        <v>2002</v>
      </c>
      <c r="E2710" s="50" t="b">
        <v>1</v>
      </c>
      <c r="F2710" s="72" t="str">
        <f>HYPERLINK("http://nsgreg.nga.mil/genc/view?v=294599&amp;end_month=6&amp;end_day=30&amp;end_year=2019","Querétaro")</f>
        <v>Querétaro</v>
      </c>
      <c r="G2710" s="72" t="str">
        <f>HYPERLINK("http://api.nsgreg.nga.mil/geo-division/GENC/6/3-11/MX-QUE","as:GENC:6:3-11:MX-QUE")</f>
        <v>as:GENC:6:3-11:MX-QUE</v>
      </c>
    </row>
    <row r="2711" spans="1:7" x14ac:dyDescent="0.25">
      <c r="A2711" s="112"/>
      <c r="B2711" s="21" t="s">
        <v>7072</v>
      </c>
      <c r="C2711" s="21" t="s">
        <v>7073</v>
      </c>
      <c r="D2711" s="21" t="s">
        <v>2002</v>
      </c>
      <c r="E2711" s="50" t="b">
        <v>1</v>
      </c>
      <c r="F2711" s="72" t="str">
        <f>HYPERLINK("http://nsgreg.nga.mil/genc/view?v=294600&amp;end_month=6&amp;end_day=30&amp;end_year=2019","Quintana Roo")</f>
        <v>Quintana Roo</v>
      </c>
      <c r="G2711" s="72" t="str">
        <f>HYPERLINK("http://api.nsgreg.nga.mil/geo-division/GENC/6/3-11/MX-ROO","as:GENC:6:3-11:MX-ROO")</f>
        <v>as:GENC:6:3-11:MX-ROO</v>
      </c>
    </row>
    <row r="2712" spans="1:7" x14ac:dyDescent="0.25">
      <c r="A2712" s="112"/>
      <c r="B2712" s="21" t="s">
        <v>7074</v>
      </c>
      <c r="C2712" s="21" t="s">
        <v>7075</v>
      </c>
      <c r="D2712" s="21" t="s">
        <v>2002</v>
      </c>
      <c r="E2712" s="50" t="b">
        <v>1</v>
      </c>
      <c r="F2712" s="72" t="str">
        <f>HYPERLINK("http://nsgreg.nga.mil/genc/view?v=294602&amp;end_month=6&amp;end_day=30&amp;end_year=2019","San Luis Potosí")</f>
        <v>San Luis Potosí</v>
      </c>
      <c r="G2712" s="72" t="str">
        <f>HYPERLINK("http://api.nsgreg.nga.mil/geo-division/GENC/6/3-11/MX-SLP","as:GENC:6:3-11:MX-SLP")</f>
        <v>as:GENC:6:3-11:MX-SLP</v>
      </c>
    </row>
    <row r="2713" spans="1:7" x14ac:dyDescent="0.25">
      <c r="A2713" s="112"/>
      <c r="B2713" s="21" t="s">
        <v>7076</v>
      </c>
      <c r="C2713" s="21" t="s">
        <v>7077</v>
      </c>
      <c r="D2713" s="21" t="s">
        <v>2002</v>
      </c>
      <c r="E2713" s="50" t="b">
        <v>1</v>
      </c>
      <c r="F2713" s="72" t="str">
        <f>HYPERLINK("http://nsgreg.nga.mil/genc/view?v=294601&amp;end_month=6&amp;end_day=30&amp;end_year=2019","Sinaloa")</f>
        <v>Sinaloa</v>
      </c>
      <c r="G2713" s="72" t="str">
        <f>HYPERLINK("http://api.nsgreg.nga.mil/geo-division/GENC/6/3-11/MX-SIN","as:GENC:6:3-11:MX-SIN")</f>
        <v>as:GENC:6:3-11:MX-SIN</v>
      </c>
    </row>
    <row r="2714" spans="1:7" x14ac:dyDescent="0.25">
      <c r="A2714" s="112"/>
      <c r="B2714" s="21" t="s">
        <v>7078</v>
      </c>
      <c r="C2714" s="21" t="s">
        <v>7079</v>
      </c>
      <c r="D2714" s="21" t="s">
        <v>2002</v>
      </c>
      <c r="E2714" s="50" t="b">
        <v>1</v>
      </c>
      <c r="F2714" s="72" t="str">
        <f>HYPERLINK("http://nsgreg.nga.mil/genc/view?v=294603&amp;end_month=6&amp;end_day=30&amp;end_year=2019","Sonora")</f>
        <v>Sonora</v>
      </c>
      <c r="G2714" s="72" t="str">
        <f>HYPERLINK("http://api.nsgreg.nga.mil/geo-division/GENC/6/3-11/MX-SON","as:GENC:6:3-11:MX-SON")</f>
        <v>as:GENC:6:3-11:MX-SON</v>
      </c>
    </row>
    <row r="2715" spans="1:7" x14ac:dyDescent="0.25">
      <c r="A2715" s="112"/>
      <c r="B2715" s="21" t="s">
        <v>7080</v>
      </c>
      <c r="C2715" s="21" t="s">
        <v>7081</v>
      </c>
      <c r="D2715" s="21" t="s">
        <v>2002</v>
      </c>
      <c r="E2715" s="50" t="b">
        <v>1</v>
      </c>
      <c r="F2715" s="72" t="str">
        <f>HYPERLINK("http://nsgreg.nga.mil/genc/view?v=294604&amp;end_month=6&amp;end_day=30&amp;end_year=2019","Tabasco")</f>
        <v>Tabasco</v>
      </c>
      <c r="G2715" s="72" t="str">
        <f>HYPERLINK("http://api.nsgreg.nga.mil/geo-division/GENC/6/3-11/MX-TAB","as:GENC:6:3-11:MX-TAB")</f>
        <v>as:GENC:6:3-11:MX-TAB</v>
      </c>
    </row>
    <row r="2716" spans="1:7" x14ac:dyDescent="0.25">
      <c r="A2716" s="112"/>
      <c r="B2716" s="21" t="s">
        <v>7082</v>
      </c>
      <c r="C2716" s="21" t="s">
        <v>7083</v>
      </c>
      <c r="D2716" s="21" t="s">
        <v>2002</v>
      </c>
      <c r="E2716" s="50" t="b">
        <v>1</v>
      </c>
      <c r="F2716" s="72" t="str">
        <f>HYPERLINK("http://nsgreg.nga.mil/genc/view?v=294605&amp;end_month=6&amp;end_day=30&amp;end_year=2019","Tamaulipas")</f>
        <v>Tamaulipas</v>
      </c>
      <c r="G2716" s="72" t="str">
        <f>HYPERLINK("http://api.nsgreg.nga.mil/geo-division/GENC/6/3-11/MX-TAM","as:GENC:6:3-11:MX-TAM")</f>
        <v>as:GENC:6:3-11:MX-TAM</v>
      </c>
    </row>
    <row r="2717" spans="1:7" x14ac:dyDescent="0.25">
      <c r="A2717" s="112"/>
      <c r="B2717" s="21" t="s">
        <v>7084</v>
      </c>
      <c r="C2717" s="21" t="s">
        <v>7085</v>
      </c>
      <c r="D2717" s="21" t="s">
        <v>2002</v>
      </c>
      <c r="E2717" s="50" t="b">
        <v>1</v>
      </c>
      <c r="F2717" s="72" t="str">
        <f>HYPERLINK("http://nsgreg.nga.mil/genc/view?v=294606&amp;end_month=6&amp;end_day=30&amp;end_year=2019","Tlaxcala")</f>
        <v>Tlaxcala</v>
      </c>
      <c r="G2717" s="72" t="str">
        <f>HYPERLINK("http://api.nsgreg.nga.mil/geo-division/GENC/6/3-11/MX-TLA","as:GENC:6:3-11:MX-TLA")</f>
        <v>as:GENC:6:3-11:MX-TLA</v>
      </c>
    </row>
    <row r="2718" spans="1:7" x14ac:dyDescent="0.25">
      <c r="A2718" s="112"/>
      <c r="B2718" s="21" t="s">
        <v>7086</v>
      </c>
      <c r="C2718" s="21" t="s">
        <v>7087</v>
      </c>
      <c r="D2718" s="21" t="s">
        <v>2002</v>
      </c>
      <c r="E2718" s="50" t="b">
        <v>1</v>
      </c>
      <c r="F2718" s="72" t="str">
        <f>HYPERLINK("http://nsgreg.nga.mil/genc/view?v=294607&amp;end_month=6&amp;end_day=30&amp;end_year=2019","Veracruz")</f>
        <v>Veracruz</v>
      </c>
      <c r="G2718" s="72" t="str">
        <f>HYPERLINK("http://api.nsgreg.nga.mil/geo-division/GENC/6/3-11/MX-VER","as:GENC:6:3-11:MX-VER")</f>
        <v>as:GENC:6:3-11:MX-VER</v>
      </c>
    </row>
    <row r="2719" spans="1:7" x14ac:dyDescent="0.25">
      <c r="A2719" s="112"/>
      <c r="B2719" s="21" t="s">
        <v>7088</v>
      </c>
      <c r="C2719" s="21" t="s">
        <v>7089</v>
      </c>
      <c r="D2719" s="21" t="s">
        <v>2002</v>
      </c>
      <c r="E2719" s="50" t="b">
        <v>1</v>
      </c>
      <c r="F2719" s="72" t="str">
        <f>HYPERLINK("http://nsgreg.nga.mil/genc/view?v=294608&amp;end_month=6&amp;end_day=30&amp;end_year=2019","Yucatán")</f>
        <v>Yucatán</v>
      </c>
      <c r="G2719" s="72" t="str">
        <f>HYPERLINK("http://api.nsgreg.nga.mil/geo-division/GENC/6/3-11/MX-YUC","as:GENC:6:3-11:MX-YUC")</f>
        <v>as:GENC:6:3-11:MX-YUC</v>
      </c>
    </row>
    <row r="2720" spans="1:7" x14ac:dyDescent="0.25">
      <c r="A2720" s="113"/>
      <c r="B2720" s="47" t="s">
        <v>7090</v>
      </c>
      <c r="C2720" s="47" t="s">
        <v>7091</v>
      </c>
      <c r="D2720" s="47" t="s">
        <v>2002</v>
      </c>
      <c r="E2720" s="51" t="b">
        <v>1</v>
      </c>
      <c r="F2720" s="73" t="str">
        <f>HYPERLINK("http://nsgreg.nga.mil/genc/view?v=294609&amp;end_month=6&amp;end_day=30&amp;end_year=2019","Zacatecas")</f>
        <v>Zacatecas</v>
      </c>
      <c r="G2720" s="73" t="str">
        <f>HYPERLINK("http://api.nsgreg.nga.mil/geo-division/GENC/6/3-11/MX-ZAC","as:GENC:6:3-11:MX-ZAC")</f>
        <v>as:GENC:6:3-11:MX-ZAC</v>
      </c>
    </row>
    <row r="2721" spans="1:7" x14ac:dyDescent="0.25">
      <c r="A2721" s="111" t="str">
        <f>HYPERLINK("[#]Codes_for_GE_Names!A172:I172","MICRONESIA, FEDERATED STATES OF")</f>
        <v>MICRONESIA, FEDERATED STATES OF</v>
      </c>
      <c r="B2721" s="42" t="s">
        <v>7092</v>
      </c>
      <c r="C2721" s="42" t="s">
        <v>7093</v>
      </c>
      <c r="D2721" s="42" t="s">
        <v>2002</v>
      </c>
      <c r="E2721" s="49" t="b">
        <v>1</v>
      </c>
      <c r="F2721" s="74" t="str">
        <f>HYPERLINK("http://nsgreg.nga.mil/genc/view?v=292532&amp;end_month=6&amp;end_day=30&amp;end_year=2019","Chuuk")</f>
        <v>Chuuk</v>
      </c>
      <c r="G2721" s="74" t="str">
        <f>HYPERLINK("http://api.nsgreg.nga.mil/geo-division/GENC/6/3-11/FM-TRK","as:GENC:6:3-11:FM-TRK")</f>
        <v>as:GENC:6:3-11:FM-TRK</v>
      </c>
    </row>
    <row r="2722" spans="1:7" x14ac:dyDescent="0.25">
      <c r="A2722" s="112"/>
      <c r="B2722" s="21" t="s">
        <v>7094</v>
      </c>
      <c r="C2722" s="21" t="s">
        <v>7095</v>
      </c>
      <c r="D2722" s="21" t="s">
        <v>2002</v>
      </c>
      <c r="E2722" s="50" t="b">
        <v>1</v>
      </c>
      <c r="F2722" s="72" t="str">
        <f>HYPERLINK("http://nsgreg.nga.mil/genc/view?v=292530&amp;end_month=6&amp;end_day=30&amp;end_year=2019","Kosrae")</f>
        <v>Kosrae</v>
      </c>
      <c r="G2722" s="72" t="str">
        <f>HYPERLINK("http://api.nsgreg.nga.mil/geo-division/GENC/6/3-11/FM-KSA","as:GENC:6:3-11:FM-KSA")</f>
        <v>as:GENC:6:3-11:FM-KSA</v>
      </c>
    </row>
    <row r="2723" spans="1:7" x14ac:dyDescent="0.25">
      <c r="A2723" s="112"/>
      <c r="B2723" s="21" t="s">
        <v>7096</v>
      </c>
      <c r="C2723" s="21" t="s">
        <v>7097</v>
      </c>
      <c r="D2723" s="21" t="s">
        <v>2002</v>
      </c>
      <c r="E2723" s="50" t="b">
        <v>1</v>
      </c>
      <c r="F2723" s="72" t="str">
        <f>HYPERLINK("http://nsgreg.nga.mil/genc/view?v=292531&amp;end_month=6&amp;end_day=30&amp;end_year=2019","Pohnpei")</f>
        <v>Pohnpei</v>
      </c>
      <c r="G2723" s="72" t="str">
        <f>HYPERLINK("http://api.nsgreg.nga.mil/geo-division/GENC/6/3-11/FM-PNI","as:GENC:6:3-11:FM-PNI")</f>
        <v>as:GENC:6:3-11:FM-PNI</v>
      </c>
    </row>
    <row r="2724" spans="1:7" x14ac:dyDescent="0.25">
      <c r="A2724" s="113"/>
      <c r="B2724" s="47" t="s">
        <v>7098</v>
      </c>
      <c r="C2724" s="47" t="s">
        <v>7099</v>
      </c>
      <c r="D2724" s="47" t="s">
        <v>2002</v>
      </c>
      <c r="E2724" s="51" t="b">
        <v>1</v>
      </c>
      <c r="F2724" s="73" t="str">
        <f>HYPERLINK("http://nsgreg.nga.mil/genc/view?v=292533&amp;end_month=6&amp;end_day=30&amp;end_year=2019","Yap")</f>
        <v>Yap</v>
      </c>
      <c r="G2724" s="73" t="str">
        <f>HYPERLINK("http://api.nsgreg.nga.mil/geo-division/GENC/6/3-11/FM-YAP","as:GENC:6:3-11:FM-YAP")</f>
        <v>as:GENC:6:3-11:FM-YAP</v>
      </c>
    </row>
    <row r="2725" spans="1:7" x14ac:dyDescent="0.25">
      <c r="A2725" s="111" t="str">
        <f>HYPERLINK("[#]Codes_for_GE_Names!A174:I174","MOLDOVA")</f>
        <v>MOLDOVA</v>
      </c>
      <c r="B2725" s="42" t="s">
        <v>7100</v>
      </c>
      <c r="C2725" s="42" t="s">
        <v>7101</v>
      </c>
      <c r="D2725" s="42" t="s">
        <v>2035</v>
      </c>
      <c r="E2725" s="49" t="b">
        <v>1</v>
      </c>
      <c r="F2725" s="74" t="str">
        <f>HYPERLINK("http://nsgreg.nga.mil/genc/view?v=294213&amp;end_month=6&amp;end_day=30&amp;end_year=2019","Anenii Noi")</f>
        <v>Anenii Noi</v>
      </c>
      <c r="G2725" s="74" t="str">
        <f>HYPERLINK("http://api.nsgreg.nga.mil/geo-division/GENC/6/3-11/MD-AN","as:GENC:6:3-11:MD-AN")</f>
        <v>as:GENC:6:3-11:MD-AN</v>
      </c>
    </row>
    <row r="2726" spans="1:7" x14ac:dyDescent="0.25">
      <c r="A2726" s="112"/>
      <c r="B2726" s="21" t="s">
        <v>7102</v>
      </c>
      <c r="C2726" s="21" t="s">
        <v>7103</v>
      </c>
      <c r="D2726" s="21" t="s">
        <v>2505</v>
      </c>
      <c r="E2726" s="50" t="b">
        <v>1</v>
      </c>
      <c r="F2726" s="72" t="str">
        <f>HYPERLINK("http://nsgreg.nga.mil/genc/view?v=294214&amp;end_month=6&amp;end_day=30&amp;end_year=2019","Bălţi")</f>
        <v>Bălţi</v>
      </c>
      <c r="G2726" s="72" t="str">
        <f>HYPERLINK("http://api.nsgreg.nga.mil/geo-division/GENC/6/3-11/MD-BA","as:GENC:6:3-11:MD-BA")</f>
        <v>as:GENC:6:3-11:MD-BA</v>
      </c>
    </row>
    <row r="2727" spans="1:7" x14ac:dyDescent="0.25">
      <c r="A2727" s="112"/>
      <c r="B2727" s="21" t="s">
        <v>7104</v>
      </c>
      <c r="C2727" s="21" t="s">
        <v>7105</v>
      </c>
      <c r="D2727" s="21" t="s">
        <v>2035</v>
      </c>
      <c r="E2727" s="50" t="b">
        <v>1</v>
      </c>
      <c r="F2727" s="72" t="str">
        <f>HYPERLINK("http://nsgreg.nga.mil/genc/view?v=294217&amp;end_month=6&amp;end_day=30&amp;end_year=2019","Basarabeasca")</f>
        <v>Basarabeasca</v>
      </c>
      <c r="G2727" s="72" t="str">
        <f>HYPERLINK("http://api.nsgreg.nga.mil/geo-division/GENC/6/3-11/MD-BS","as:GENC:6:3-11:MD-BS")</f>
        <v>as:GENC:6:3-11:MD-BS</v>
      </c>
    </row>
    <row r="2728" spans="1:7" x14ac:dyDescent="0.25">
      <c r="A2728" s="112"/>
      <c r="B2728" s="21" t="s">
        <v>7106</v>
      </c>
      <c r="C2728" s="21" t="s">
        <v>7107</v>
      </c>
      <c r="D2728" s="21" t="s">
        <v>2505</v>
      </c>
      <c r="E2728" s="50" t="b">
        <v>1</v>
      </c>
      <c r="F2728" s="72" t="str">
        <f>HYPERLINK("http://nsgreg.nga.mil/genc/view?v=294215&amp;end_month=6&amp;end_day=30&amp;end_year=2019","Bender")</f>
        <v>Bender</v>
      </c>
      <c r="G2728" s="72" t="str">
        <f>HYPERLINK("http://api.nsgreg.nga.mil/geo-division/GENC/6/3-11/MD-BD","as:GENC:6:3-11:MD-BD")</f>
        <v>as:GENC:6:3-11:MD-BD</v>
      </c>
    </row>
    <row r="2729" spans="1:7" x14ac:dyDescent="0.25">
      <c r="A2729" s="112"/>
      <c r="B2729" s="21" t="s">
        <v>7108</v>
      </c>
      <c r="C2729" s="21" t="s">
        <v>7109</v>
      </c>
      <c r="D2729" s="21" t="s">
        <v>2035</v>
      </c>
      <c r="E2729" s="50" t="b">
        <v>1</v>
      </c>
      <c r="F2729" s="72" t="str">
        <f>HYPERLINK("http://nsgreg.nga.mil/genc/view?v=294216&amp;end_month=6&amp;end_day=30&amp;end_year=2019","Briceni")</f>
        <v>Briceni</v>
      </c>
      <c r="G2729" s="72" t="str">
        <f>HYPERLINK("http://api.nsgreg.nga.mil/geo-division/GENC/6/3-11/MD-BR","as:GENC:6:3-11:MD-BR")</f>
        <v>as:GENC:6:3-11:MD-BR</v>
      </c>
    </row>
    <row r="2730" spans="1:7" x14ac:dyDescent="0.25">
      <c r="A2730" s="112"/>
      <c r="B2730" s="21" t="s">
        <v>7110</v>
      </c>
      <c r="C2730" s="21" t="s">
        <v>7111</v>
      </c>
      <c r="D2730" s="21" t="s">
        <v>2035</v>
      </c>
      <c r="E2730" s="50" t="b">
        <v>1</v>
      </c>
      <c r="F2730" s="72" t="str">
        <f>HYPERLINK("http://nsgreg.nga.mil/genc/view?v=294218&amp;end_month=6&amp;end_day=30&amp;end_year=2019","Cahul")</f>
        <v>Cahul</v>
      </c>
      <c r="G2730" s="72" t="str">
        <f>HYPERLINK("http://api.nsgreg.nga.mil/geo-division/GENC/6/3-11/MD-CA","as:GENC:6:3-11:MD-CA")</f>
        <v>as:GENC:6:3-11:MD-CA</v>
      </c>
    </row>
    <row r="2731" spans="1:7" x14ac:dyDescent="0.25">
      <c r="A2731" s="112"/>
      <c r="B2731" s="21" t="s">
        <v>7112</v>
      </c>
      <c r="C2731" s="21" t="s">
        <v>7113</v>
      </c>
      <c r="D2731" s="21" t="s">
        <v>2035</v>
      </c>
      <c r="E2731" s="50" t="b">
        <v>1</v>
      </c>
      <c r="F2731" s="72" t="str">
        <f>HYPERLINK("http://nsgreg.nga.mil/genc/view?v=294219&amp;end_month=6&amp;end_day=30&amp;end_year=2019","Călăraşi")</f>
        <v>Călăraşi</v>
      </c>
      <c r="G2731" s="72" t="str">
        <f>HYPERLINK("http://api.nsgreg.nga.mil/geo-division/GENC/6/3-11/MD-CL","as:GENC:6:3-11:MD-CL")</f>
        <v>as:GENC:6:3-11:MD-CL</v>
      </c>
    </row>
    <row r="2732" spans="1:7" x14ac:dyDescent="0.25">
      <c r="A2732" s="112"/>
      <c r="B2732" s="21" t="s">
        <v>7114</v>
      </c>
      <c r="C2732" s="21" t="s">
        <v>7115</v>
      </c>
      <c r="D2732" s="21" t="s">
        <v>2035</v>
      </c>
      <c r="E2732" s="50" t="b">
        <v>1</v>
      </c>
      <c r="F2732" s="72" t="str">
        <f>HYPERLINK("http://nsgreg.nga.mil/genc/view?v=294223&amp;end_month=6&amp;end_day=30&amp;end_year=2019","Cantemir")</f>
        <v>Cantemir</v>
      </c>
      <c r="G2732" s="72" t="str">
        <f>HYPERLINK("http://api.nsgreg.nga.mil/geo-division/GENC/6/3-11/MD-CT","as:GENC:6:3-11:MD-CT")</f>
        <v>as:GENC:6:3-11:MD-CT</v>
      </c>
    </row>
    <row r="2733" spans="1:7" x14ac:dyDescent="0.25">
      <c r="A2733" s="112"/>
      <c r="B2733" s="21" t="s">
        <v>7116</v>
      </c>
      <c r="C2733" s="21" t="s">
        <v>7117</v>
      </c>
      <c r="D2733" s="21" t="s">
        <v>2035</v>
      </c>
      <c r="E2733" s="50" t="b">
        <v>1</v>
      </c>
      <c r="F2733" s="72" t="str">
        <f>HYPERLINK("http://nsgreg.nga.mil/genc/view?v=294222&amp;end_month=6&amp;end_day=30&amp;end_year=2019","Căuşeni")</f>
        <v>Căuşeni</v>
      </c>
      <c r="G2733" s="72" t="str">
        <f>HYPERLINK("http://api.nsgreg.nga.mil/geo-division/GENC/6/3-11/MD-CS","as:GENC:6:3-11:MD-CS")</f>
        <v>as:GENC:6:3-11:MD-CS</v>
      </c>
    </row>
    <row r="2734" spans="1:7" x14ac:dyDescent="0.25">
      <c r="A2734" s="112"/>
      <c r="B2734" s="21" t="s">
        <v>7118</v>
      </c>
      <c r="C2734" s="21" t="s">
        <v>7119</v>
      </c>
      <c r="D2734" s="21" t="s">
        <v>2505</v>
      </c>
      <c r="E2734" s="50" t="b">
        <v>1</v>
      </c>
      <c r="F2734" s="72" t="str">
        <f>HYPERLINK("http://nsgreg.nga.mil/genc/view?v=294224&amp;end_month=6&amp;end_day=30&amp;end_year=2019","Chişinău")</f>
        <v>Chişinău</v>
      </c>
      <c r="G2734" s="72" t="str">
        <f>HYPERLINK("http://api.nsgreg.nga.mil/geo-division/GENC/6/3-11/MD-CU","as:GENC:6:3-11:MD-CU")</f>
        <v>as:GENC:6:3-11:MD-CU</v>
      </c>
    </row>
    <row r="2735" spans="1:7" x14ac:dyDescent="0.25">
      <c r="A2735" s="112"/>
      <c r="B2735" s="21" t="s">
        <v>7120</v>
      </c>
      <c r="C2735" s="21" t="s">
        <v>7121</v>
      </c>
      <c r="D2735" s="21" t="s">
        <v>2035</v>
      </c>
      <c r="E2735" s="50" t="b">
        <v>1</v>
      </c>
      <c r="F2735" s="72" t="str">
        <f>HYPERLINK("http://nsgreg.nga.mil/genc/view?v=294220&amp;end_month=6&amp;end_day=30&amp;end_year=2019","Cimişlia")</f>
        <v>Cimişlia</v>
      </c>
      <c r="G2735" s="72" t="str">
        <f>HYPERLINK("http://api.nsgreg.nga.mil/geo-division/GENC/6/3-11/MD-CM","as:GENC:6:3-11:MD-CM")</f>
        <v>as:GENC:6:3-11:MD-CM</v>
      </c>
    </row>
    <row r="2736" spans="1:7" x14ac:dyDescent="0.25">
      <c r="A2736" s="112"/>
      <c r="B2736" s="21" t="s">
        <v>7122</v>
      </c>
      <c r="C2736" s="21" t="s">
        <v>7123</v>
      </c>
      <c r="D2736" s="21" t="s">
        <v>2035</v>
      </c>
      <c r="E2736" s="50" t="b">
        <v>1</v>
      </c>
      <c r="F2736" s="72" t="str">
        <f>HYPERLINK("http://nsgreg.nga.mil/genc/view?v=294221&amp;end_month=6&amp;end_day=30&amp;end_year=2019","Criuleni")</f>
        <v>Criuleni</v>
      </c>
      <c r="G2736" s="72" t="str">
        <f>HYPERLINK("http://api.nsgreg.nga.mil/geo-division/GENC/6/3-11/MD-CR","as:GENC:6:3-11:MD-CR")</f>
        <v>as:GENC:6:3-11:MD-CR</v>
      </c>
    </row>
    <row r="2737" spans="1:7" x14ac:dyDescent="0.25">
      <c r="A2737" s="112"/>
      <c r="B2737" s="21" t="s">
        <v>7124</v>
      </c>
      <c r="C2737" s="21" t="s">
        <v>7125</v>
      </c>
      <c r="D2737" s="21" t="s">
        <v>2035</v>
      </c>
      <c r="E2737" s="50" t="b">
        <v>1</v>
      </c>
      <c r="F2737" s="72" t="str">
        <f>HYPERLINK("http://nsgreg.nga.mil/genc/view?v=294225&amp;end_month=6&amp;end_day=30&amp;end_year=2019","Donduşeni")</f>
        <v>Donduşeni</v>
      </c>
      <c r="G2737" s="72" t="str">
        <f>HYPERLINK("http://api.nsgreg.nga.mil/geo-division/GENC/6/3-11/MD-DO","as:GENC:6:3-11:MD-DO")</f>
        <v>as:GENC:6:3-11:MD-DO</v>
      </c>
    </row>
    <row r="2738" spans="1:7" x14ac:dyDescent="0.25">
      <c r="A2738" s="112"/>
      <c r="B2738" s="21" t="s">
        <v>7126</v>
      </c>
      <c r="C2738" s="21" t="s">
        <v>7127</v>
      </c>
      <c r="D2738" s="21" t="s">
        <v>2035</v>
      </c>
      <c r="E2738" s="50" t="b">
        <v>1</v>
      </c>
      <c r="F2738" s="72" t="str">
        <f>HYPERLINK("http://nsgreg.nga.mil/genc/view?v=294226&amp;end_month=6&amp;end_day=30&amp;end_year=2019","Drochia")</f>
        <v>Drochia</v>
      </c>
      <c r="G2738" s="72" t="str">
        <f>HYPERLINK("http://api.nsgreg.nga.mil/geo-division/GENC/6/3-11/MD-DR","as:GENC:6:3-11:MD-DR")</f>
        <v>as:GENC:6:3-11:MD-DR</v>
      </c>
    </row>
    <row r="2739" spans="1:7" x14ac:dyDescent="0.25">
      <c r="A2739" s="112"/>
      <c r="B2739" s="21" t="s">
        <v>7128</v>
      </c>
      <c r="C2739" s="21" t="s">
        <v>7129</v>
      </c>
      <c r="D2739" s="21" t="s">
        <v>2035</v>
      </c>
      <c r="E2739" s="50" t="b">
        <v>1</v>
      </c>
      <c r="F2739" s="72" t="str">
        <f>HYPERLINK("http://nsgreg.nga.mil/genc/view?v=294227&amp;end_month=6&amp;end_day=30&amp;end_year=2019","Dubăsari")</f>
        <v>Dubăsari</v>
      </c>
      <c r="G2739" s="72" t="str">
        <f>HYPERLINK("http://api.nsgreg.nga.mil/geo-division/GENC/6/3-11/MD-DU","as:GENC:6:3-11:MD-DU")</f>
        <v>as:GENC:6:3-11:MD-DU</v>
      </c>
    </row>
    <row r="2740" spans="1:7" x14ac:dyDescent="0.25">
      <c r="A2740" s="112"/>
      <c r="B2740" s="21" t="s">
        <v>7130</v>
      </c>
      <c r="C2740" s="21" t="s">
        <v>7131</v>
      </c>
      <c r="D2740" s="21" t="s">
        <v>2035</v>
      </c>
      <c r="E2740" s="50" t="b">
        <v>1</v>
      </c>
      <c r="F2740" s="72" t="str">
        <f>HYPERLINK("http://nsgreg.nga.mil/genc/view?v=294228&amp;end_month=6&amp;end_day=30&amp;end_year=2019","Edineţ")</f>
        <v>Edineţ</v>
      </c>
      <c r="G2740" s="72" t="str">
        <f>HYPERLINK("http://api.nsgreg.nga.mil/geo-division/GENC/6/3-11/MD-ED","as:GENC:6:3-11:MD-ED")</f>
        <v>as:GENC:6:3-11:MD-ED</v>
      </c>
    </row>
    <row r="2741" spans="1:7" x14ac:dyDescent="0.25">
      <c r="A2741" s="112"/>
      <c r="B2741" s="21" t="s">
        <v>7132</v>
      </c>
      <c r="C2741" s="21" t="s">
        <v>7133</v>
      </c>
      <c r="D2741" s="21" t="s">
        <v>2035</v>
      </c>
      <c r="E2741" s="50" t="b">
        <v>1</v>
      </c>
      <c r="F2741" s="72" t="str">
        <f>HYPERLINK("http://nsgreg.nga.mil/genc/view?v=294229&amp;end_month=6&amp;end_day=30&amp;end_year=2019","Făleşti")</f>
        <v>Făleşti</v>
      </c>
      <c r="G2741" s="72" t="str">
        <f>HYPERLINK("http://api.nsgreg.nga.mil/geo-division/GENC/6/3-11/MD-FA","as:GENC:6:3-11:MD-FA")</f>
        <v>as:GENC:6:3-11:MD-FA</v>
      </c>
    </row>
    <row r="2742" spans="1:7" x14ac:dyDescent="0.25">
      <c r="A2742" s="112"/>
      <c r="B2742" s="21" t="s">
        <v>7134</v>
      </c>
      <c r="C2742" s="21" t="s">
        <v>7135</v>
      </c>
      <c r="D2742" s="21" t="s">
        <v>2035</v>
      </c>
      <c r="E2742" s="50" t="b">
        <v>1</v>
      </c>
      <c r="F2742" s="72" t="str">
        <f>HYPERLINK("http://nsgreg.nga.mil/genc/view?v=294230&amp;end_month=6&amp;end_day=30&amp;end_year=2019","Floreşti")</f>
        <v>Floreşti</v>
      </c>
      <c r="G2742" s="72" t="str">
        <f>HYPERLINK("http://api.nsgreg.nga.mil/geo-division/GENC/6/3-11/MD-FL","as:GENC:6:3-11:MD-FL")</f>
        <v>as:GENC:6:3-11:MD-FL</v>
      </c>
    </row>
    <row r="2743" spans="1:7" x14ac:dyDescent="0.25">
      <c r="A2743" s="112"/>
      <c r="B2743" s="21" t="s">
        <v>7136</v>
      </c>
      <c r="C2743" s="21" t="s">
        <v>7137</v>
      </c>
      <c r="D2743" s="21" t="s">
        <v>7138</v>
      </c>
      <c r="E2743" s="50" t="b">
        <v>1</v>
      </c>
      <c r="F2743" s="72" t="str">
        <f>HYPERLINK("http://nsgreg.nga.mil/genc/view?v=294231&amp;end_month=6&amp;end_day=30&amp;end_year=2019","Găgăuzia")</f>
        <v>Găgăuzia</v>
      </c>
      <c r="G2743" s="72" t="str">
        <f>HYPERLINK("http://api.nsgreg.nga.mil/geo-division/GENC/6/3-11/MD-GA","as:GENC:6:3-11:MD-GA")</f>
        <v>as:GENC:6:3-11:MD-GA</v>
      </c>
    </row>
    <row r="2744" spans="1:7" x14ac:dyDescent="0.25">
      <c r="A2744" s="112"/>
      <c r="B2744" s="21" t="s">
        <v>7139</v>
      </c>
      <c r="C2744" s="21" t="s">
        <v>7140</v>
      </c>
      <c r="D2744" s="21" t="s">
        <v>2035</v>
      </c>
      <c r="E2744" s="50" t="b">
        <v>1</v>
      </c>
      <c r="F2744" s="72" t="str">
        <f>HYPERLINK("http://nsgreg.nga.mil/genc/view?v=294232&amp;end_month=6&amp;end_day=30&amp;end_year=2019","Glodeni")</f>
        <v>Glodeni</v>
      </c>
      <c r="G2744" s="72" t="str">
        <f>HYPERLINK("http://api.nsgreg.nga.mil/geo-division/GENC/6/3-11/MD-GL","as:GENC:6:3-11:MD-GL")</f>
        <v>as:GENC:6:3-11:MD-GL</v>
      </c>
    </row>
    <row r="2745" spans="1:7" x14ac:dyDescent="0.25">
      <c r="A2745" s="112"/>
      <c r="B2745" s="21" t="s">
        <v>7141</v>
      </c>
      <c r="C2745" s="21" t="s">
        <v>7142</v>
      </c>
      <c r="D2745" s="21" t="s">
        <v>2035</v>
      </c>
      <c r="E2745" s="50" t="b">
        <v>1</v>
      </c>
      <c r="F2745" s="72" t="str">
        <f>HYPERLINK("http://nsgreg.nga.mil/genc/view?v=294233&amp;end_month=6&amp;end_day=30&amp;end_year=2019","Hînceşti")</f>
        <v>Hînceşti</v>
      </c>
      <c r="G2745" s="72" t="str">
        <f>HYPERLINK("http://api.nsgreg.nga.mil/geo-division/GENC/6/3-11/MD-HI","as:GENC:6:3-11:MD-HI")</f>
        <v>as:GENC:6:3-11:MD-HI</v>
      </c>
    </row>
    <row r="2746" spans="1:7" x14ac:dyDescent="0.25">
      <c r="A2746" s="112"/>
      <c r="B2746" s="21" t="s">
        <v>7143</v>
      </c>
      <c r="C2746" s="21" t="s">
        <v>7144</v>
      </c>
      <c r="D2746" s="21" t="s">
        <v>2035</v>
      </c>
      <c r="E2746" s="50" t="b">
        <v>1</v>
      </c>
      <c r="F2746" s="72" t="str">
        <f>HYPERLINK("http://nsgreg.nga.mil/genc/view?v=294234&amp;end_month=6&amp;end_day=30&amp;end_year=2019","Ialoveni")</f>
        <v>Ialoveni</v>
      </c>
      <c r="G2746" s="72" t="str">
        <f>HYPERLINK("http://api.nsgreg.nga.mil/geo-division/GENC/6/3-11/MD-IA","as:GENC:6:3-11:MD-IA")</f>
        <v>as:GENC:6:3-11:MD-IA</v>
      </c>
    </row>
    <row r="2747" spans="1:7" x14ac:dyDescent="0.25">
      <c r="A2747" s="112"/>
      <c r="B2747" s="21" t="s">
        <v>7145</v>
      </c>
      <c r="C2747" s="21" t="s">
        <v>7146</v>
      </c>
      <c r="D2747" s="21" t="s">
        <v>2035</v>
      </c>
      <c r="E2747" s="50" t="b">
        <v>1</v>
      </c>
      <c r="F2747" s="72" t="str">
        <f>HYPERLINK("http://nsgreg.nga.mil/genc/view?v=294235&amp;end_month=6&amp;end_day=30&amp;end_year=2019","Leova")</f>
        <v>Leova</v>
      </c>
      <c r="G2747" s="72" t="str">
        <f>HYPERLINK("http://api.nsgreg.nga.mil/geo-division/GENC/6/3-11/MD-LE","as:GENC:6:3-11:MD-LE")</f>
        <v>as:GENC:6:3-11:MD-LE</v>
      </c>
    </row>
    <row r="2748" spans="1:7" x14ac:dyDescent="0.25">
      <c r="A2748" s="112"/>
      <c r="B2748" s="21" t="s">
        <v>7147</v>
      </c>
      <c r="C2748" s="21" t="s">
        <v>7148</v>
      </c>
      <c r="D2748" s="21" t="s">
        <v>2035</v>
      </c>
      <c r="E2748" s="50" t="b">
        <v>1</v>
      </c>
      <c r="F2748" s="72" t="str">
        <f>HYPERLINK("http://nsgreg.nga.mil/genc/view?v=294236&amp;end_month=6&amp;end_day=30&amp;end_year=2019","Nisporeni")</f>
        <v>Nisporeni</v>
      </c>
      <c r="G2748" s="72" t="str">
        <f>HYPERLINK("http://api.nsgreg.nga.mil/geo-division/GENC/6/3-11/MD-NI","as:GENC:6:3-11:MD-NI")</f>
        <v>as:GENC:6:3-11:MD-NI</v>
      </c>
    </row>
    <row r="2749" spans="1:7" x14ac:dyDescent="0.25">
      <c r="A2749" s="112"/>
      <c r="B2749" s="21" t="s">
        <v>7149</v>
      </c>
      <c r="C2749" s="21" t="s">
        <v>7150</v>
      </c>
      <c r="D2749" s="21" t="s">
        <v>2035</v>
      </c>
      <c r="E2749" s="50" t="b">
        <v>1</v>
      </c>
      <c r="F2749" s="72" t="str">
        <f>HYPERLINK("http://nsgreg.nga.mil/genc/view?v=294237&amp;end_month=6&amp;end_day=30&amp;end_year=2019","Ocniţa")</f>
        <v>Ocniţa</v>
      </c>
      <c r="G2749" s="72" t="str">
        <f>HYPERLINK("http://api.nsgreg.nga.mil/geo-division/GENC/6/3-11/MD-OC","as:GENC:6:3-11:MD-OC")</f>
        <v>as:GENC:6:3-11:MD-OC</v>
      </c>
    </row>
    <row r="2750" spans="1:7" x14ac:dyDescent="0.25">
      <c r="A2750" s="112"/>
      <c r="B2750" s="21" t="s">
        <v>7151</v>
      </c>
      <c r="C2750" s="21" t="s">
        <v>7152</v>
      </c>
      <c r="D2750" s="21" t="s">
        <v>2035</v>
      </c>
      <c r="E2750" s="50" t="b">
        <v>1</v>
      </c>
      <c r="F2750" s="72" t="str">
        <f>HYPERLINK("http://nsgreg.nga.mil/genc/view?v=294238&amp;end_month=6&amp;end_day=30&amp;end_year=2019","Orhei")</f>
        <v>Orhei</v>
      </c>
      <c r="G2750" s="72" t="str">
        <f>HYPERLINK("http://api.nsgreg.nga.mil/geo-division/GENC/6/3-11/MD-OR","as:GENC:6:3-11:MD-OR")</f>
        <v>as:GENC:6:3-11:MD-OR</v>
      </c>
    </row>
    <row r="2751" spans="1:7" x14ac:dyDescent="0.25">
      <c r="A2751" s="112"/>
      <c r="B2751" s="21" t="s">
        <v>7153</v>
      </c>
      <c r="C2751" s="21" t="s">
        <v>7154</v>
      </c>
      <c r="D2751" s="21" t="s">
        <v>2035</v>
      </c>
      <c r="E2751" s="50" t="b">
        <v>1</v>
      </c>
      <c r="F2751" s="72" t="str">
        <f>HYPERLINK("http://nsgreg.nga.mil/genc/view?v=294239&amp;end_month=6&amp;end_day=30&amp;end_year=2019","Rezina")</f>
        <v>Rezina</v>
      </c>
      <c r="G2751" s="72" t="str">
        <f>HYPERLINK("http://api.nsgreg.nga.mil/geo-division/GENC/6/3-11/MD-RE","as:GENC:6:3-11:MD-RE")</f>
        <v>as:GENC:6:3-11:MD-RE</v>
      </c>
    </row>
    <row r="2752" spans="1:7" x14ac:dyDescent="0.25">
      <c r="A2752" s="112"/>
      <c r="B2752" s="21" t="s">
        <v>7155</v>
      </c>
      <c r="C2752" s="21" t="s">
        <v>7156</v>
      </c>
      <c r="D2752" s="21" t="s">
        <v>2035</v>
      </c>
      <c r="E2752" s="50" t="b">
        <v>1</v>
      </c>
      <c r="F2752" s="72" t="str">
        <f>HYPERLINK("http://nsgreg.nga.mil/genc/view?v=294240&amp;end_month=6&amp;end_day=30&amp;end_year=2019","Rîşcani")</f>
        <v>Rîşcani</v>
      </c>
      <c r="G2752" s="72" t="str">
        <f>HYPERLINK("http://api.nsgreg.nga.mil/geo-division/GENC/6/3-11/MD-RI","as:GENC:6:3-11:MD-RI")</f>
        <v>as:GENC:6:3-11:MD-RI</v>
      </c>
    </row>
    <row r="2753" spans="1:7" x14ac:dyDescent="0.25">
      <c r="A2753" s="112"/>
      <c r="B2753" s="21" t="s">
        <v>7157</v>
      </c>
      <c r="C2753" s="21" t="s">
        <v>7158</v>
      </c>
      <c r="D2753" s="21" t="s">
        <v>2035</v>
      </c>
      <c r="E2753" s="50" t="b">
        <v>1</v>
      </c>
      <c r="F2753" s="72" t="str">
        <f>HYPERLINK("http://nsgreg.nga.mil/genc/view?v=294242&amp;end_month=6&amp;end_day=30&amp;end_year=2019","Sîngerei")</f>
        <v>Sîngerei</v>
      </c>
      <c r="G2753" s="72" t="str">
        <f>HYPERLINK("http://api.nsgreg.nga.mil/geo-division/GENC/6/3-11/MD-SI","as:GENC:6:3-11:MD-SI")</f>
        <v>as:GENC:6:3-11:MD-SI</v>
      </c>
    </row>
    <row r="2754" spans="1:7" x14ac:dyDescent="0.25">
      <c r="A2754" s="112"/>
      <c r="B2754" s="21" t="s">
        <v>7159</v>
      </c>
      <c r="C2754" s="21" t="s">
        <v>7160</v>
      </c>
      <c r="D2754" s="21" t="s">
        <v>2035</v>
      </c>
      <c r="E2754" s="50" t="b">
        <v>1</v>
      </c>
      <c r="F2754" s="72" t="str">
        <f>HYPERLINK("http://nsgreg.nga.mil/genc/view?v=294241&amp;end_month=6&amp;end_day=30&amp;end_year=2019","Şoldăneşti")</f>
        <v>Şoldăneşti</v>
      </c>
      <c r="G2754" s="72" t="str">
        <f>HYPERLINK("http://api.nsgreg.nga.mil/geo-division/GENC/6/3-11/MD-SD","as:GENC:6:3-11:MD-SD")</f>
        <v>as:GENC:6:3-11:MD-SD</v>
      </c>
    </row>
    <row r="2755" spans="1:7" x14ac:dyDescent="0.25">
      <c r="A2755" s="112"/>
      <c r="B2755" s="21" t="s">
        <v>7161</v>
      </c>
      <c r="C2755" s="21" t="s">
        <v>7162</v>
      </c>
      <c r="D2755" s="21" t="s">
        <v>2035</v>
      </c>
      <c r="E2755" s="50" t="b">
        <v>1</v>
      </c>
      <c r="F2755" s="72" t="str">
        <f>HYPERLINK("http://nsgreg.nga.mil/genc/view?v=294244&amp;end_month=6&amp;end_day=30&amp;end_year=2019","Soroca")</f>
        <v>Soroca</v>
      </c>
      <c r="G2755" s="72" t="str">
        <f>HYPERLINK("http://api.nsgreg.nga.mil/geo-division/GENC/6/3-11/MD-SO","as:GENC:6:3-11:MD-SO")</f>
        <v>as:GENC:6:3-11:MD-SO</v>
      </c>
    </row>
    <row r="2756" spans="1:7" x14ac:dyDescent="0.25">
      <c r="A2756" s="112"/>
      <c r="B2756" s="21" t="s">
        <v>7163</v>
      </c>
      <c r="C2756" s="21" t="s">
        <v>7164</v>
      </c>
      <c r="D2756" s="21" t="s">
        <v>2035</v>
      </c>
      <c r="E2756" s="50" t="b">
        <v>1</v>
      </c>
      <c r="F2756" s="72" t="str">
        <f>HYPERLINK("http://nsgreg.nga.mil/genc/view?v=294246&amp;end_month=6&amp;end_day=30&amp;end_year=2019","Ştefan Vodă")</f>
        <v>Ştefan Vodă</v>
      </c>
      <c r="G2756" s="72" t="str">
        <f>HYPERLINK("http://api.nsgreg.nga.mil/geo-division/GENC/6/3-11/MD-SV","as:GENC:6:3-11:MD-SV")</f>
        <v>as:GENC:6:3-11:MD-SV</v>
      </c>
    </row>
    <row r="2757" spans="1:7" x14ac:dyDescent="0.25">
      <c r="A2757" s="112"/>
      <c r="B2757" s="21" t="s">
        <v>7165</v>
      </c>
      <c r="C2757" s="21" t="s">
        <v>7166</v>
      </c>
      <c r="D2757" s="21" t="s">
        <v>7167</v>
      </c>
      <c r="E2757" s="50" t="b">
        <v>1</v>
      </c>
      <c r="F2757" s="72" t="str">
        <f>HYPERLINK("http://nsgreg.nga.mil/genc/view?v=294243&amp;end_month=6&amp;end_day=30&amp;end_year=2019","Stînga Nistrului")</f>
        <v>Stînga Nistrului</v>
      </c>
      <c r="G2757" s="72" t="str">
        <f>HYPERLINK("http://api.nsgreg.nga.mil/geo-division/GENC/6/3-11/MD-SN","as:GENC:6:3-11:MD-SN")</f>
        <v>as:GENC:6:3-11:MD-SN</v>
      </c>
    </row>
    <row r="2758" spans="1:7" x14ac:dyDescent="0.25">
      <c r="A2758" s="112"/>
      <c r="B2758" s="21" t="s">
        <v>7168</v>
      </c>
      <c r="C2758" s="21" t="s">
        <v>7169</v>
      </c>
      <c r="D2758" s="21" t="s">
        <v>2035</v>
      </c>
      <c r="E2758" s="50" t="b">
        <v>1</v>
      </c>
      <c r="F2758" s="72" t="str">
        <f>HYPERLINK("http://nsgreg.nga.mil/genc/view?v=294245&amp;end_month=6&amp;end_day=30&amp;end_year=2019","Străşeni")</f>
        <v>Străşeni</v>
      </c>
      <c r="G2758" s="72" t="str">
        <f>HYPERLINK("http://api.nsgreg.nga.mil/geo-division/GENC/6/3-11/MD-ST","as:GENC:6:3-11:MD-ST")</f>
        <v>as:GENC:6:3-11:MD-ST</v>
      </c>
    </row>
    <row r="2759" spans="1:7" x14ac:dyDescent="0.25">
      <c r="A2759" s="112"/>
      <c r="B2759" s="21" t="s">
        <v>7170</v>
      </c>
      <c r="C2759" s="21" t="s">
        <v>7171</v>
      </c>
      <c r="D2759" s="21" t="s">
        <v>2035</v>
      </c>
      <c r="E2759" s="50" t="b">
        <v>1</v>
      </c>
      <c r="F2759" s="72" t="str">
        <f>HYPERLINK("http://nsgreg.nga.mil/genc/view?v=294247&amp;end_month=6&amp;end_day=30&amp;end_year=2019","Taraclia")</f>
        <v>Taraclia</v>
      </c>
      <c r="G2759" s="72" t="str">
        <f>HYPERLINK("http://api.nsgreg.nga.mil/geo-division/GENC/6/3-11/MD-TA","as:GENC:6:3-11:MD-TA")</f>
        <v>as:GENC:6:3-11:MD-TA</v>
      </c>
    </row>
    <row r="2760" spans="1:7" x14ac:dyDescent="0.25">
      <c r="A2760" s="112"/>
      <c r="B2760" s="21" t="s">
        <v>7172</v>
      </c>
      <c r="C2760" s="21" t="s">
        <v>7173</v>
      </c>
      <c r="D2760" s="21" t="s">
        <v>2035</v>
      </c>
      <c r="E2760" s="50" t="b">
        <v>1</v>
      </c>
      <c r="F2760" s="72" t="str">
        <f>HYPERLINK("http://nsgreg.nga.mil/genc/view?v=294248&amp;end_month=6&amp;end_day=30&amp;end_year=2019","Teleneşti")</f>
        <v>Teleneşti</v>
      </c>
      <c r="G2760" s="72" t="str">
        <f>HYPERLINK("http://api.nsgreg.nga.mil/geo-division/GENC/6/3-11/MD-TE","as:GENC:6:3-11:MD-TE")</f>
        <v>as:GENC:6:3-11:MD-TE</v>
      </c>
    </row>
    <row r="2761" spans="1:7" x14ac:dyDescent="0.25">
      <c r="A2761" s="113"/>
      <c r="B2761" s="47" t="s">
        <v>7174</v>
      </c>
      <c r="C2761" s="47" t="s">
        <v>7175</v>
      </c>
      <c r="D2761" s="47" t="s">
        <v>2035</v>
      </c>
      <c r="E2761" s="51" t="b">
        <v>1</v>
      </c>
      <c r="F2761" s="73" t="str">
        <f>HYPERLINK("http://nsgreg.nga.mil/genc/view?v=294249&amp;end_month=6&amp;end_day=30&amp;end_year=2019","Ungheni")</f>
        <v>Ungheni</v>
      </c>
      <c r="G2761" s="73" t="str">
        <f>HYPERLINK("http://api.nsgreg.nga.mil/geo-division/GENC/6/3-11/MD-UN","as:GENC:6:3-11:MD-UN")</f>
        <v>as:GENC:6:3-11:MD-UN</v>
      </c>
    </row>
    <row r="2762" spans="1:7" x14ac:dyDescent="0.25">
      <c r="A2762" s="111" t="str">
        <f>HYPERLINK("[#]Codes_for_GE_Names!A175:I175","MONACO")</f>
        <v>MONACO</v>
      </c>
      <c r="B2762" s="42" t="s">
        <v>7176</v>
      </c>
      <c r="C2762" s="42" t="s">
        <v>7177</v>
      </c>
      <c r="D2762" s="80" t="s">
        <v>7178</v>
      </c>
      <c r="E2762" s="81" t="b">
        <v>0</v>
      </c>
      <c r="F2762" s="74" t="str">
        <f>HYPERLINK("http://nsgreg.nga.mil/genc/view?v=294198&amp;end_month=6&amp;end_day=30&amp;end_year=2019","Fontvieille")</f>
        <v>Fontvieille</v>
      </c>
      <c r="G2762" s="74" t="str">
        <f>HYPERLINK("http://api.nsgreg.nga.mil/geo-division/GENC/6/3-11/MC-FO","as:GENC:6:3-11:MC-FO")</f>
        <v>as:GENC:6:3-11:MC-FO</v>
      </c>
    </row>
    <row r="2763" spans="1:7" x14ac:dyDescent="0.25">
      <c r="A2763" s="112"/>
      <c r="B2763" s="21" t="s">
        <v>7179</v>
      </c>
      <c r="C2763" s="21" t="s">
        <v>7180</v>
      </c>
      <c r="D2763" s="76" t="s">
        <v>7178</v>
      </c>
      <c r="E2763" s="77" t="b">
        <v>0</v>
      </c>
      <c r="F2763" s="72" t="str">
        <f>HYPERLINK("http://nsgreg.nga.mil/genc/view?v=294200&amp;end_month=6&amp;end_day=30&amp;end_year=2019","Jardin Exotique")</f>
        <v>Jardin Exotique</v>
      </c>
      <c r="G2763" s="72" t="str">
        <f>HYPERLINK("http://api.nsgreg.nga.mil/geo-division/GENC/6/3-11/MC-JE","as:GENC:6:3-11:MC-JE")</f>
        <v>as:GENC:6:3-11:MC-JE</v>
      </c>
    </row>
    <row r="2764" spans="1:7" x14ac:dyDescent="0.25">
      <c r="A2764" s="112"/>
      <c r="B2764" s="21" t="s">
        <v>7181</v>
      </c>
      <c r="C2764" s="21" t="s">
        <v>7182</v>
      </c>
      <c r="D2764" s="76" t="s">
        <v>7178</v>
      </c>
      <c r="E2764" s="77" t="b">
        <v>0</v>
      </c>
      <c r="F2764" s="72" t="str">
        <f>HYPERLINK("http://nsgreg.nga.mil/genc/view?v=294196&amp;end_month=6&amp;end_day=30&amp;end_year=2019","La Colle")</f>
        <v>La Colle</v>
      </c>
      <c r="G2764" s="72" t="str">
        <f>HYPERLINK("http://api.nsgreg.nga.mil/geo-division/GENC/6/3-11/MC-CL","as:GENC:6:3-11:MC-CL")</f>
        <v>as:GENC:6:3-11:MC-CL</v>
      </c>
    </row>
    <row r="2765" spans="1:7" x14ac:dyDescent="0.25">
      <c r="A2765" s="112"/>
      <c r="B2765" s="21" t="s">
        <v>7183</v>
      </c>
      <c r="C2765" s="21" t="s">
        <v>7184</v>
      </c>
      <c r="D2765" s="76" t="s">
        <v>7178</v>
      </c>
      <c r="E2765" s="77" t="b">
        <v>0</v>
      </c>
      <c r="F2765" s="72" t="str">
        <f>HYPERLINK("http://nsgreg.nga.mil/genc/view?v=294197&amp;end_month=6&amp;end_day=30&amp;end_year=2019","La Condamine")</f>
        <v>La Condamine</v>
      </c>
      <c r="G2765" s="72" t="str">
        <f>HYPERLINK("http://api.nsgreg.nga.mil/geo-division/GENC/6/3-11/MC-CO","as:GENC:6:3-11:MC-CO")</f>
        <v>as:GENC:6:3-11:MC-CO</v>
      </c>
    </row>
    <row r="2766" spans="1:7" x14ac:dyDescent="0.25">
      <c r="A2766" s="112"/>
      <c r="B2766" s="21" t="s">
        <v>7185</v>
      </c>
      <c r="C2766" s="21" t="s">
        <v>7186</v>
      </c>
      <c r="D2766" s="76" t="s">
        <v>7178</v>
      </c>
      <c r="E2766" s="77" t="b">
        <v>0</v>
      </c>
      <c r="F2766" s="72" t="str">
        <f>HYPERLINK("http://nsgreg.nga.mil/genc/view?v=294199&amp;end_month=6&amp;end_day=30&amp;end_year=2019","La Gare")</f>
        <v>La Gare</v>
      </c>
      <c r="G2766" s="72" t="str">
        <f>HYPERLINK("http://api.nsgreg.nga.mil/geo-division/GENC/6/3-11/MC-GA","as:GENC:6:3-11:MC-GA")</f>
        <v>as:GENC:6:3-11:MC-GA</v>
      </c>
    </row>
    <row r="2767" spans="1:7" x14ac:dyDescent="0.25">
      <c r="A2767" s="112"/>
      <c r="B2767" s="21" t="s">
        <v>7187</v>
      </c>
      <c r="C2767" s="21" t="s">
        <v>7188</v>
      </c>
      <c r="D2767" s="76" t="s">
        <v>7178</v>
      </c>
      <c r="E2767" s="77" t="b">
        <v>0</v>
      </c>
      <c r="F2767" s="72" t="str">
        <f>HYPERLINK("http://nsgreg.nga.mil/genc/view?v=294201&amp;end_month=6&amp;end_day=30&amp;end_year=2019","Larvotto")</f>
        <v>Larvotto</v>
      </c>
      <c r="G2767" s="72" t="str">
        <f>HYPERLINK("http://api.nsgreg.nga.mil/geo-division/GENC/6/3-11/MC-LA","as:GENC:6:3-11:MC-LA")</f>
        <v>as:GENC:6:3-11:MC-LA</v>
      </c>
    </row>
    <row r="2768" spans="1:7" x14ac:dyDescent="0.25">
      <c r="A2768" s="112"/>
      <c r="B2768" s="21" t="s">
        <v>7189</v>
      </c>
      <c r="C2768" s="21" t="s">
        <v>7190</v>
      </c>
      <c r="D2768" s="76" t="s">
        <v>7178</v>
      </c>
      <c r="E2768" s="77" t="b">
        <v>0</v>
      </c>
      <c r="F2768" s="72" t="str">
        <f>HYPERLINK("http://nsgreg.nga.mil/genc/view?v=294209&amp;end_month=6&amp;end_day=30&amp;end_year=2019","La Source")</f>
        <v>La Source</v>
      </c>
      <c r="G2768" s="72" t="str">
        <f>HYPERLINK("http://api.nsgreg.nga.mil/geo-division/GENC/6/3-11/MC-SO","as:GENC:6:3-11:MC-SO")</f>
        <v>as:GENC:6:3-11:MC-SO</v>
      </c>
    </row>
    <row r="2769" spans="1:7" x14ac:dyDescent="0.25">
      <c r="A2769" s="112"/>
      <c r="B2769" s="21" t="s">
        <v>7191</v>
      </c>
      <c r="C2769" s="21" t="s">
        <v>7192</v>
      </c>
      <c r="D2769" s="76" t="s">
        <v>7178</v>
      </c>
      <c r="E2769" s="77" t="b">
        <v>0</v>
      </c>
      <c r="F2769" s="72" t="str">
        <f>HYPERLINK("http://nsgreg.nga.mil/genc/view?v=294202&amp;end_month=6&amp;end_day=30&amp;end_year=2019","Malbousquet")</f>
        <v>Malbousquet</v>
      </c>
      <c r="G2769" s="72" t="str">
        <f>HYPERLINK("http://api.nsgreg.nga.mil/geo-division/GENC/6/3-11/MC-MA","as:GENC:6:3-11:MC-MA")</f>
        <v>as:GENC:6:3-11:MC-MA</v>
      </c>
    </row>
    <row r="2770" spans="1:7" x14ac:dyDescent="0.25">
      <c r="A2770" s="112"/>
      <c r="B2770" s="21" t="s">
        <v>7193</v>
      </c>
      <c r="C2770" s="21" t="s">
        <v>7194</v>
      </c>
      <c r="D2770" s="76" t="s">
        <v>7178</v>
      </c>
      <c r="E2770" s="77" t="b">
        <v>0</v>
      </c>
      <c r="F2770" s="72" t="str">
        <f>HYPERLINK("http://nsgreg.nga.mil/genc/view?v=294205&amp;end_month=6&amp;end_day=30&amp;end_year=2019","Monaco-Ville")</f>
        <v>Monaco-Ville</v>
      </c>
      <c r="G2770" s="72" t="str">
        <f>HYPERLINK("http://api.nsgreg.nga.mil/geo-division/GENC/6/3-11/MC-MO","as:GENC:6:3-11:MC-MO")</f>
        <v>as:GENC:6:3-11:MC-MO</v>
      </c>
    </row>
    <row r="2771" spans="1:7" x14ac:dyDescent="0.25">
      <c r="A2771" s="112"/>
      <c r="B2771" s="21" t="s">
        <v>7195</v>
      </c>
      <c r="C2771" s="21" t="s">
        <v>7196</v>
      </c>
      <c r="D2771" s="76" t="s">
        <v>7178</v>
      </c>
      <c r="E2771" s="77" t="b">
        <v>0</v>
      </c>
      <c r="F2771" s="72" t="str">
        <f>HYPERLINK("http://nsgreg.nga.mil/genc/view?v=294204&amp;end_month=6&amp;end_day=30&amp;end_year=2019","Moneghetti")</f>
        <v>Moneghetti</v>
      </c>
      <c r="G2771" s="72" t="str">
        <f>HYPERLINK("http://api.nsgreg.nga.mil/geo-division/GENC/6/3-11/MC-MG","as:GENC:6:3-11:MC-MG")</f>
        <v>as:GENC:6:3-11:MC-MG</v>
      </c>
    </row>
    <row r="2772" spans="1:7" x14ac:dyDescent="0.25">
      <c r="A2772" s="112"/>
      <c r="B2772" s="21" t="s">
        <v>7197</v>
      </c>
      <c r="C2772" s="21" t="s">
        <v>7198</v>
      </c>
      <c r="D2772" s="76" t="s">
        <v>7178</v>
      </c>
      <c r="E2772" s="77" t="b">
        <v>0</v>
      </c>
      <c r="F2772" s="72" t="str">
        <f>HYPERLINK("http://nsgreg.nga.mil/genc/view?v=294203&amp;end_month=6&amp;end_day=30&amp;end_year=2019","Monte-Carlo")</f>
        <v>Monte-Carlo</v>
      </c>
      <c r="G2772" s="72" t="str">
        <f>HYPERLINK("http://api.nsgreg.nga.mil/geo-division/GENC/6/3-11/MC-MC","as:GENC:6:3-11:MC-MC")</f>
        <v>as:GENC:6:3-11:MC-MC</v>
      </c>
    </row>
    <row r="2773" spans="1:7" x14ac:dyDescent="0.25">
      <c r="A2773" s="112"/>
      <c r="B2773" s="21" t="s">
        <v>7199</v>
      </c>
      <c r="C2773" s="21" t="s">
        <v>7200</v>
      </c>
      <c r="D2773" s="76" t="s">
        <v>7178</v>
      </c>
      <c r="E2773" s="77" t="b">
        <v>0</v>
      </c>
      <c r="F2773" s="72" t="str">
        <f>HYPERLINK("http://nsgreg.nga.mil/genc/view?v=294206&amp;end_month=6&amp;end_day=30&amp;end_year=2019","Moulins")</f>
        <v>Moulins</v>
      </c>
      <c r="G2773" s="72" t="str">
        <f>HYPERLINK("http://api.nsgreg.nga.mil/geo-division/GENC/6/3-11/MC-MU","as:GENC:6:3-11:MC-MU")</f>
        <v>as:GENC:6:3-11:MC-MU</v>
      </c>
    </row>
    <row r="2774" spans="1:7" x14ac:dyDescent="0.25">
      <c r="A2774" s="112"/>
      <c r="B2774" s="21" t="s">
        <v>7201</v>
      </c>
      <c r="C2774" s="21" t="s">
        <v>7202</v>
      </c>
      <c r="D2774" s="76" t="s">
        <v>7178</v>
      </c>
      <c r="E2774" s="77" t="b">
        <v>0</v>
      </c>
      <c r="F2774" s="72" t="str">
        <f>HYPERLINK("http://nsgreg.nga.mil/genc/view?v=294207&amp;end_month=6&amp;end_day=30&amp;end_year=2019","Port-Hercule")</f>
        <v>Port-Hercule</v>
      </c>
      <c r="G2774" s="72" t="str">
        <f>HYPERLINK("http://api.nsgreg.nga.mil/geo-division/GENC/6/3-11/MC-PH","as:GENC:6:3-11:MC-PH")</f>
        <v>as:GENC:6:3-11:MC-PH</v>
      </c>
    </row>
    <row r="2775" spans="1:7" x14ac:dyDescent="0.25">
      <c r="A2775" s="112"/>
      <c r="B2775" s="21" t="s">
        <v>7203</v>
      </c>
      <c r="C2775" s="21" t="s">
        <v>7204</v>
      </c>
      <c r="D2775" s="76" t="s">
        <v>7178</v>
      </c>
      <c r="E2775" s="77" t="b">
        <v>0</v>
      </c>
      <c r="F2775" s="72" t="str">
        <f>HYPERLINK("http://nsgreg.nga.mil/genc/view?v=294208&amp;end_month=6&amp;end_day=30&amp;end_year=2019","Sainte-Dévote")</f>
        <v>Sainte-Dévote</v>
      </c>
      <c r="G2775" s="72" t="str">
        <f>HYPERLINK("http://api.nsgreg.nga.mil/geo-division/GENC/6/3-11/MC-SD","as:GENC:6:3-11:MC-SD")</f>
        <v>as:GENC:6:3-11:MC-SD</v>
      </c>
    </row>
    <row r="2776" spans="1:7" x14ac:dyDescent="0.25">
      <c r="A2776" s="112"/>
      <c r="B2776" s="21" t="s">
        <v>7205</v>
      </c>
      <c r="C2776" s="21" t="s">
        <v>7206</v>
      </c>
      <c r="D2776" s="76" t="s">
        <v>7178</v>
      </c>
      <c r="E2776" s="77" t="b">
        <v>0</v>
      </c>
      <c r="F2776" s="72" t="str">
        <f>HYPERLINK("http://nsgreg.nga.mil/genc/view?v=294211&amp;end_month=6&amp;end_day=30&amp;end_year=2019","Saint-Roman")</f>
        <v>Saint-Roman</v>
      </c>
      <c r="G2776" s="72" t="str">
        <f>HYPERLINK("http://api.nsgreg.nga.mil/geo-division/GENC/6/3-11/MC-SR","as:GENC:6:3-11:MC-SR")</f>
        <v>as:GENC:6:3-11:MC-SR</v>
      </c>
    </row>
    <row r="2777" spans="1:7" x14ac:dyDescent="0.25">
      <c r="A2777" s="112"/>
      <c r="B2777" s="21" t="s">
        <v>7207</v>
      </c>
      <c r="C2777" s="21" t="s">
        <v>7208</v>
      </c>
      <c r="D2777" s="76" t="s">
        <v>7178</v>
      </c>
      <c r="E2777" s="77" t="b">
        <v>0</v>
      </c>
      <c r="F2777" s="72" t="str">
        <f>HYPERLINK("http://nsgreg.nga.mil/genc/view?v=294210&amp;end_month=6&amp;end_day=30&amp;end_year=2019","Spélugues")</f>
        <v>Spélugues</v>
      </c>
      <c r="G2777" s="72" t="str">
        <f>HYPERLINK("http://api.nsgreg.nga.mil/geo-division/GENC/6/3-11/MC-SP","as:GENC:6:3-11:MC-SP")</f>
        <v>as:GENC:6:3-11:MC-SP</v>
      </c>
    </row>
    <row r="2778" spans="1:7" x14ac:dyDescent="0.25">
      <c r="A2778" s="113"/>
      <c r="B2778" s="47" t="s">
        <v>7209</v>
      </c>
      <c r="C2778" s="47" t="s">
        <v>7210</v>
      </c>
      <c r="D2778" s="78" t="s">
        <v>7178</v>
      </c>
      <c r="E2778" s="79" t="b">
        <v>0</v>
      </c>
      <c r="F2778" s="73" t="str">
        <f>HYPERLINK("http://nsgreg.nga.mil/genc/view?v=294212&amp;end_month=6&amp;end_day=30&amp;end_year=2019","Vallon de la Rousse")</f>
        <v>Vallon de la Rousse</v>
      </c>
      <c r="G2778" s="73" t="str">
        <f>HYPERLINK("http://api.nsgreg.nga.mil/geo-division/GENC/6/3-11/MC-VR","as:GENC:6:3-11:MC-VR")</f>
        <v>as:GENC:6:3-11:MC-VR</v>
      </c>
    </row>
    <row r="2779" spans="1:7" x14ac:dyDescent="0.25">
      <c r="A2779" s="111" t="str">
        <f>HYPERLINK("[#]Codes_for_GE_Names!A176:I176","MONGOLIA")</f>
        <v>MONGOLIA</v>
      </c>
      <c r="B2779" s="42" t="s">
        <v>7211</v>
      </c>
      <c r="C2779" s="42" t="s">
        <v>7212</v>
      </c>
      <c r="D2779" s="42" t="s">
        <v>1668</v>
      </c>
      <c r="E2779" s="49" t="b">
        <v>1</v>
      </c>
      <c r="F2779" s="74" t="str">
        <f>HYPERLINK("http://nsgreg.nga.mil/genc/view?v=294421&amp;end_month=6&amp;end_day=30&amp;end_year=2019","Arhangay")</f>
        <v>Arhangay</v>
      </c>
      <c r="G2779" s="74" t="str">
        <f>HYPERLINK("http://api.nsgreg.nga.mil/geo-division/GENC/6/3-11/MN-073","as:GENC:6:3-11:MN-073")</f>
        <v>as:GENC:6:3-11:MN-073</v>
      </c>
    </row>
    <row r="2780" spans="1:7" x14ac:dyDescent="0.25">
      <c r="A2780" s="112"/>
      <c r="B2780" s="21" t="s">
        <v>7213</v>
      </c>
      <c r="C2780" s="21" t="s">
        <v>7214</v>
      </c>
      <c r="D2780" s="21" t="s">
        <v>1668</v>
      </c>
      <c r="E2780" s="50" t="b">
        <v>1</v>
      </c>
      <c r="F2780" s="72" t="str">
        <f>HYPERLINK("http://nsgreg.nga.mil/genc/view?v=294419&amp;end_month=6&amp;end_day=30&amp;end_year=2019","Bayanhongor")</f>
        <v>Bayanhongor</v>
      </c>
      <c r="G2780" s="72" t="str">
        <f>HYPERLINK("http://api.nsgreg.nga.mil/geo-division/GENC/6/3-11/MN-069","as:GENC:6:3-11:MN-069")</f>
        <v>as:GENC:6:3-11:MN-069</v>
      </c>
    </row>
    <row r="2781" spans="1:7" x14ac:dyDescent="0.25">
      <c r="A2781" s="112"/>
      <c r="B2781" s="21" t="s">
        <v>7215</v>
      </c>
      <c r="C2781" s="21" t="s">
        <v>7216</v>
      </c>
      <c r="D2781" s="21" t="s">
        <v>1668</v>
      </c>
      <c r="E2781" s="50" t="b">
        <v>1</v>
      </c>
      <c r="F2781" s="72" t="str">
        <f>HYPERLINK("http://nsgreg.nga.mil/genc/view?v=294420&amp;end_month=6&amp;end_day=30&amp;end_year=2019","Bayan-Ölgiy")</f>
        <v>Bayan-Ölgiy</v>
      </c>
      <c r="G2781" s="72" t="str">
        <f>HYPERLINK("http://api.nsgreg.nga.mil/geo-division/GENC/6/3-11/MN-071","as:GENC:6:3-11:MN-071")</f>
        <v>as:GENC:6:3-11:MN-071</v>
      </c>
    </row>
    <row r="2782" spans="1:7" x14ac:dyDescent="0.25">
      <c r="A2782" s="112"/>
      <c r="B2782" s="21" t="s">
        <v>7217</v>
      </c>
      <c r="C2782" s="21" t="s">
        <v>7218</v>
      </c>
      <c r="D2782" s="21" t="s">
        <v>1668</v>
      </c>
      <c r="E2782" s="50" t="b">
        <v>1</v>
      </c>
      <c r="F2782" s="72" t="str">
        <f>HYPERLINK("http://nsgreg.nga.mil/genc/view?v=294418&amp;end_month=6&amp;end_day=30&amp;end_year=2019","Bulgan")</f>
        <v>Bulgan</v>
      </c>
      <c r="G2782" s="72" t="str">
        <f>HYPERLINK("http://api.nsgreg.nga.mil/geo-division/GENC/6/3-11/MN-067","as:GENC:6:3-11:MN-067")</f>
        <v>as:GENC:6:3-11:MN-067</v>
      </c>
    </row>
    <row r="2783" spans="1:7" x14ac:dyDescent="0.25">
      <c r="A2783" s="112"/>
      <c r="B2783" s="21" t="s">
        <v>7219</v>
      </c>
      <c r="C2783" s="21" t="s">
        <v>7220</v>
      </c>
      <c r="D2783" s="21" t="s">
        <v>1668</v>
      </c>
      <c r="E2783" s="50" t="b">
        <v>1</v>
      </c>
      <c r="F2783" s="72" t="str">
        <f>HYPERLINK("http://nsgreg.nga.mil/genc/view?v=294402&amp;end_month=6&amp;end_day=30&amp;end_year=2019","Darhan-Uul")</f>
        <v>Darhan-Uul</v>
      </c>
      <c r="G2783" s="72" t="str">
        <f>HYPERLINK("http://api.nsgreg.nga.mil/geo-division/GENC/6/3-11/MN-037","as:GENC:6:3-11:MN-037")</f>
        <v>as:GENC:6:3-11:MN-037</v>
      </c>
    </row>
    <row r="2784" spans="1:7" x14ac:dyDescent="0.25">
      <c r="A2784" s="112"/>
      <c r="B2784" s="21" t="s">
        <v>7221</v>
      </c>
      <c r="C2784" s="21" t="s">
        <v>7222</v>
      </c>
      <c r="D2784" s="21" t="s">
        <v>1668</v>
      </c>
      <c r="E2784" s="50" t="b">
        <v>1</v>
      </c>
      <c r="F2784" s="72" t="str">
        <f>HYPERLINK("http://nsgreg.nga.mil/genc/view?v=294414&amp;end_month=6&amp;end_day=30&amp;end_year=2019","Dornod")</f>
        <v>Dornod</v>
      </c>
      <c r="G2784" s="72" t="str">
        <f>HYPERLINK("http://api.nsgreg.nga.mil/geo-division/GENC/6/3-11/MN-061","as:GENC:6:3-11:MN-061")</f>
        <v>as:GENC:6:3-11:MN-061</v>
      </c>
    </row>
    <row r="2785" spans="1:7" x14ac:dyDescent="0.25">
      <c r="A2785" s="112"/>
      <c r="B2785" s="21" t="s">
        <v>7223</v>
      </c>
      <c r="C2785" s="21" t="s">
        <v>7224</v>
      </c>
      <c r="D2785" s="21" t="s">
        <v>1668</v>
      </c>
      <c r="E2785" s="50" t="b">
        <v>1</v>
      </c>
      <c r="F2785" s="72" t="str">
        <f>HYPERLINK("http://nsgreg.nga.mil/genc/view?v=294415&amp;end_month=6&amp;end_day=30&amp;end_year=2019","Dornogovĭ")</f>
        <v>Dornogovĭ</v>
      </c>
      <c r="G2785" s="72" t="str">
        <f>HYPERLINK("http://api.nsgreg.nga.mil/geo-division/GENC/6/3-11/MN-063","as:GENC:6:3-11:MN-063")</f>
        <v>as:GENC:6:3-11:MN-063</v>
      </c>
    </row>
    <row r="2786" spans="1:7" x14ac:dyDescent="0.25">
      <c r="A2786" s="112"/>
      <c r="B2786" s="21" t="s">
        <v>7225</v>
      </c>
      <c r="C2786" s="21" t="s">
        <v>7226</v>
      </c>
      <c r="D2786" s="21" t="s">
        <v>1668</v>
      </c>
      <c r="E2786" s="50" t="b">
        <v>1</v>
      </c>
      <c r="F2786" s="72" t="str">
        <f>HYPERLINK("http://nsgreg.nga.mil/genc/view?v=294413&amp;end_month=6&amp;end_day=30&amp;end_year=2019","Dundgovĭ")</f>
        <v>Dundgovĭ</v>
      </c>
      <c r="G2786" s="72" t="str">
        <f>HYPERLINK("http://api.nsgreg.nga.mil/geo-division/GENC/6/3-11/MN-059","as:GENC:6:3-11:MN-059")</f>
        <v>as:GENC:6:3-11:MN-059</v>
      </c>
    </row>
    <row r="2787" spans="1:7" x14ac:dyDescent="0.25">
      <c r="A2787" s="112"/>
      <c r="B2787" s="21" t="s">
        <v>7227</v>
      </c>
      <c r="C2787" s="21" t="s">
        <v>7228</v>
      </c>
      <c r="D2787" s="21" t="s">
        <v>1668</v>
      </c>
      <c r="E2787" s="50" t="b">
        <v>1</v>
      </c>
      <c r="F2787" s="72" t="str">
        <f>HYPERLINK("http://nsgreg.nga.mil/genc/view?v=294412&amp;end_month=6&amp;end_day=30&amp;end_year=2019","Dzavhan")</f>
        <v>Dzavhan</v>
      </c>
      <c r="G2787" s="72" t="str">
        <f>HYPERLINK("http://api.nsgreg.nga.mil/geo-division/GENC/6/3-11/MN-057","as:GENC:6:3-11:MN-057")</f>
        <v>as:GENC:6:3-11:MN-057</v>
      </c>
    </row>
    <row r="2788" spans="1:7" x14ac:dyDescent="0.25">
      <c r="A2788" s="112"/>
      <c r="B2788" s="21" t="s">
        <v>7229</v>
      </c>
      <c r="C2788" s="21" t="s">
        <v>7230</v>
      </c>
      <c r="D2788" s="21" t="s">
        <v>1668</v>
      </c>
      <c r="E2788" s="50" t="b">
        <v>1</v>
      </c>
      <c r="F2788" s="72" t="str">
        <f>HYPERLINK("http://nsgreg.nga.mil/genc/view?v=294417&amp;end_month=6&amp;end_day=30&amp;end_year=2019","Govĭ-Altay")</f>
        <v>Govĭ-Altay</v>
      </c>
      <c r="G2788" s="72" t="str">
        <f>HYPERLINK("http://api.nsgreg.nga.mil/geo-division/GENC/6/3-11/MN-065","as:GENC:6:3-11:MN-065")</f>
        <v>as:GENC:6:3-11:MN-065</v>
      </c>
    </row>
    <row r="2789" spans="1:7" x14ac:dyDescent="0.25">
      <c r="A2789" s="112"/>
      <c r="B2789" s="21" t="s">
        <v>7231</v>
      </c>
      <c r="C2789" s="21" t="s">
        <v>7232</v>
      </c>
      <c r="D2789" s="21" t="s">
        <v>1668</v>
      </c>
      <c r="E2789" s="50" t="b">
        <v>1</v>
      </c>
      <c r="F2789" s="72" t="str">
        <f>HYPERLINK("http://nsgreg.nga.mil/genc/view?v=294416&amp;end_month=6&amp;end_day=30&amp;end_year=2019","Govĭsümber")</f>
        <v>Govĭsümber</v>
      </c>
      <c r="G2789" s="72" t="str">
        <f>HYPERLINK("http://api.nsgreg.nga.mil/geo-division/GENC/6/3-11/MN-064","as:GENC:6:3-11:MN-064")</f>
        <v>as:GENC:6:3-11:MN-064</v>
      </c>
    </row>
    <row r="2790" spans="1:7" x14ac:dyDescent="0.25">
      <c r="A2790" s="112"/>
      <c r="B2790" s="21" t="s">
        <v>7233</v>
      </c>
      <c r="C2790" s="21" t="s">
        <v>7234</v>
      </c>
      <c r="D2790" s="21" t="s">
        <v>1668</v>
      </c>
      <c r="E2790" s="50" t="b">
        <v>1</v>
      </c>
      <c r="F2790" s="72" t="str">
        <f>HYPERLINK("http://nsgreg.nga.mil/genc/view?v=294403&amp;end_month=6&amp;end_day=30&amp;end_year=2019","Hentiy")</f>
        <v>Hentiy</v>
      </c>
      <c r="G2790" s="72" t="str">
        <f>HYPERLINK("http://api.nsgreg.nga.mil/geo-division/GENC/6/3-11/MN-039","as:GENC:6:3-11:MN-039")</f>
        <v>as:GENC:6:3-11:MN-039</v>
      </c>
    </row>
    <row r="2791" spans="1:7" x14ac:dyDescent="0.25">
      <c r="A2791" s="112"/>
      <c r="B2791" s="21" t="s">
        <v>7235</v>
      </c>
      <c r="C2791" s="21" t="s">
        <v>7236</v>
      </c>
      <c r="D2791" s="21" t="s">
        <v>1668</v>
      </c>
      <c r="E2791" s="50" t="b">
        <v>1</v>
      </c>
      <c r="F2791" s="72" t="str">
        <f>HYPERLINK("http://nsgreg.nga.mil/genc/view?v=294405&amp;end_month=6&amp;end_day=30&amp;end_year=2019","Hovd")</f>
        <v>Hovd</v>
      </c>
      <c r="G2791" s="72" t="str">
        <f>HYPERLINK("http://api.nsgreg.nga.mil/geo-division/GENC/6/3-11/MN-043","as:GENC:6:3-11:MN-043")</f>
        <v>as:GENC:6:3-11:MN-043</v>
      </c>
    </row>
    <row r="2792" spans="1:7" x14ac:dyDescent="0.25">
      <c r="A2792" s="112"/>
      <c r="B2792" s="21" t="s">
        <v>7237</v>
      </c>
      <c r="C2792" s="21" t="s">
        <v>7238</v>
      </c>
      <c r="D2792" s="21" t="s">
        <v>1668</v>
      </c>
      <c r="E2792" s="50" t="b">
        <v>1</v>
      </c>
      <c r="F2792" s="72" t="str">
        <f>HYPERLINK("http://nsgreg.nga.mil/genc/view?v=294404&amp;end_month=6&amp;end_day=30&amp;end_year=2019","Hövsgöl")</f>
        <v>Hövsgöl</v>
      </c>
      <c r="G2792" s="72" t="str">
        <f>HYPERLINK("http://api.nsgreg.nga.mil/geo-division/GENC/6/3-11/MN-041","as:GENC:6:3-11:MN-041")</f>
        <v>as:GENC:6:3-11:MN-041</v>
      </c>
    </row>
    <row r="2793" spans="1:7" x14ac:dyDescent="0.25">
      <c r="A2793" s="112"/>
      <c r="B2793" s="21" t="s">
        <v>7239</v>
      </c>
      <c r="C2793" s="21" t="s">
        <v>7240</v>
      </c>
      <c r="D2793" s="21" t="s">
        <v>1668</v>
      </c>
      <c r="E2793" s="50" t="b">
        <v>1</v>
      </c>
      <c r="F2793" s="72" t="str">
        <f>HYPERLINK("http://nsgreg.nga.mil/genc/view?v=294410&amp;end_month=6&amp;end_day=30&amp;end_year=2019","Ömnögovĭ")</f>
        <v>Ömnögovĭ</v>
      </c>
      <c r="G2793" s="72" t="str">
        <f>HYPERLINK("http://api.nsgreg.nga.mil/geo-division/GENC/6/3-11/MN-053","as:GENC:6:3-11:MN-053")</f>
        <v>as:GENC:6:3-11:MN-053</v>
      </c>
    </row>
    <row r="2794" spans="1:7" x14ac:dyDescent="0.25">
      <c r="A2794" s="112"/>
      <c r="B2794" s="21" t="s">
        <v>7241</v>
      </c>
      <c r="C2794" s="21" t="s">
        <v>7242</v>
      </c>
      <c r="D2794" s="21" t="s">
        <v>1668</v>
      </c>
      <c r="E2794" s="50" t="b">
        <v>1</v>
      </c>
      <c r="F2794" s="72" t="str">
        <f>HYPERLINK("http://nsgreg.nga.mil/genc/view?v=294401&amp;end_month=6&amp;end_day=30&amp;end_year=2019","Orhon")</f>
        <v>Orhon</v>
      </c>
      <c r="G2794" s="72" t="str">
        <f>HYPERLINK("http://api.nsgreg.nga.mil/geo-division/GENC/6/3-11/MN-035","as:GENC:6:3-11:MN-035")</f>
        <v>as:GENC:6:3-11:MN-035</v>
      </c>
    </row>
    <row r="2795" spans="1:7" x14ac:dyDescent="0.25">
      <c r="A2795" s="112"/>
      <c r="B2795" s="21" t="s">
        <v>7243</v>
      </c>
      <c r="C2795" s="21" t="s">
        <v>7244</v>
      </c>
      <c r="D2795" s="21" t="s">
        <v>1668</v>
      </c>
      <c r="E2795" s="50" t="b">
        <v>1</v>
      </c>
      <c r="F2795" s="72" t="str">
        <f>HYPERLINK("http://nsgreg.nga.mil/genc/view?v=294411&amp;end_month=6&amp;end_day=30&amp;end_year=2019","Övörhangay")</f>
        <v>Övörhangay</v>
      </c>
      <c r="G2795" s="72" t="str">
        <f>HYPERLINK("http://api.nsgreg.nga.mil/geo-division/GENC/6/3-11/MN-055","as:GENC:6:3-11:MN-055")</f>
        <v>as:GENC:6:3-11:MN-055</v>
      </c>
    </row>
    <row r="2796" spans="1:7" x14ac:dyDescent="0.25">
      <c r="A2796" s="112"/>
      <c r="B2796" s="21" t="s">
        <v>7245</v>
      </c>
      <c r="C2796" s="21" t="s">
        <v>7246</v>
      </c>
      <c r="D2796" s="21" t="s">
        <v>1668</v>
      </c>
      <c r="E2796" s="50" t="b">
        <v>1</v>
      </c>
      <c r="F2796" s="72" t="str">
        <f>HYPERLINK("http://nsgreg.nga.mil/genc/view?v=294408&amp;end_month=6&amp;end_day=30&amp;end_year=2019","Selenge")</f>
        <v>Selenge</v>
      </c>
      <c r="G2796" s="72" t="str">
        <f>HYPERLINK("http://api.nsgreg.nga.mil/geo-division/GENC/6/3-11/MN-049","as:GENC:6:3-11:MN-049")</f>
        <v>as:GENC:6:3-11:MN-049</v>
      </c>
    </row>
    <row r="2797" spans="1:7" x14ac:dyDescent="0.25">
      <c r="A2797" s="112"/>
      <c r="B2797" s="21" t="s">
        <v>7247</v>
      </c>
      <c r="C2797" s="21" t="s">
        <v>7248</v>
      </c>
      <c r="D2797" s="21" t="s">
        <v>1668</v>
      </c>
      <c r="E2797" s="50" t="b">
        <v>1</v>
      </c>
      <c r="F2797" s="72" t="str">
        <f>HYPERLINK("http://nsgreg.nga.mil/genc/view?v=294409&amp;end_month=6&amp;end_day=30&amp;end_year=2019","Sühbaatar")</f>
        <v>Sühbaatar</v>
      </c>
      <c r="G2797" s="72" t="str">
        <f>HYPERLINK("http://api.nsgreg.nga.mil/geo-division/GENC/6/3-11/MN-051","as:GENC:6:3-11:MN-051")</f>
        <v>as:GENC:6:3-11:MN-051</v>
      </c>
    </row>
    <row r="2798" spans="1:7" x14ac:dyDescent="0.25">
      <c r="A2798" s="112"/>
      <c r="B2798" s="21" t="s">
        <v>7249</v>
      </c>
      <c r="C2798" s="21" t="s">
        <v>7250</v>
      </c>
      <c r="D2798" s="21" t="s">
        <v>1668</v>
      </c>
      <c r="E2798" s="50" t="b">
        <v>1</v>
      </c>
      <c r="F2798" s="72" t="str">
        <f>HYPERLINK("http://nsgreg.nga.mil/genc/view?v=294407&amp;end_month=6&amp;end_day=30&amp;end_year=2019","Töv")</f>
        <v>Töv</v>
      </c>
      <c r="G2798" s="72" t="str">
        <f>HYPERLINK("http://api.nsgreg.nga.mil/geo-division/GENC/6/3-11/MN-047","as:GENC:6:3-11:MN-047")</f>
        <v>as:GENC:6:3-11:MN-047</v>
      </c>
    </row>
    <row r="2799" spans="1:7" x14ac:dyDescent="0.25">
      <c r="A2799" s="112"/>
      <c r="B2799" s="21" t="s">
        <v>7251</v>
      </c>
      <c r="C2799" s="21" t="s">
        <v>7252</v>
      </c>
      <c r="D2799" s="21" t="s">
        <v>1996</v>
      </c>
      <c r="E2799" s="50" t="b">
        <v>1</v>
      </c>
      <c r="F2799" s="72" t="str">
        <f>HYPERLINK("http://nsgreg.nga.mil/genc/view?v=294422&amp;end_month=6&amp;end_day=30&amp;end_year=2019","Ulaanbaatar")</f>
        <v>Ulaanbaatar</v>
      </c>
      <c r="G2799" s="72" t="str">
        <f>HYPERLINK("http://api.nsgreg.nga.mil/geo-division/GENC/6/3-11/MN-1","as:GENC:6:3-11:MN-1")</f>
        <v>as:GENC:6:3-11:MN-1</v>
      </c>
    </row>
    <row r="2800" spans="1:7" x14ac:dyDescent="0.25">
      <c r="A2800" s="113"/>
      <c r="B2800" s="47" t="s">
        <v>7253</v>
      </c>
      <c r="C2800" s="47" t="s">
        <v>7254</v>
      </c>
      <c r="D2800" s="47" t="s">
        <v>1668</v>
      </c>
      <c r="E2800" s="51" t="b">
        <v>1</v>
      </c>
      <c r="F2800" s="73" t="str">
        <f>HYPERLINK("http://nsgreg.nga.mil/genc/view?v=294406&amp;end_month=6&amp;end_day=30&amp;end_year=2019","Uvs")</f>
        <v>Uvs</v>
      </c>
      <c r="G2800" s="73" t="str">
        <f>HYPERLINK("http://api.nsgreg.nga.mil/geo-division/GENC/6/3-11/MN-046","as:GENC:6:3-11:MN-046")</f>
        <v>as:GENC:6:3-11:MN-046</v>
      </c>
    </row>
    <row r="2801" spans="1:7" x14ac:dyDescent="0.25">
      <c r="A2801" s="111" t="str">
        <f>HYPERLINK("[#]Codes_for_GE_Names!A177:I177","MONTENEGRO")</f>
        <v>MONTENEGRO</v>
      </c>
      <c r="B2801" s="42" t="s">
        <v>7255</v>
      </c>
      <c r="C2801" s="42" t="s">
        <v>7256</v>
      </c>
      <c r="D2801" s="42" t="s">
        <v>2505</v>
      </c>
      <c r="E2801" s="49" t="b">
        <v>1</v>
      </c>
      <c r="F2801" s="74" t="str">
        <f>HYPERLINK("http://nsgreg.nga.mil/genc/view?v=294250&amp;end_month=6&amp;end_day=30&amp;end_year=2019","Andrijevica")</f>
        <v>Andrijevica</v>
      </c>
      <c r="G2801" s="74" t="str">
        <f>HYPERLINK("http://api.nsgreg.nga.mil/geo-division/GENC/6/3-11/ME-01","as:GENC:6:3-11:ME-01")</f>
        <v>as:GENC:6:3-11:ME-01</v>
      </c>
    </row>
    <row r="2802" spans="1:7" x14ac:dyDescent="0.25">
      <c r="A2802" s="112"/>
      <c r="B2802" s="21" t="s">
        <v>7257</v>
      </c>
      <c r="C2802" s="21" t="s">
        <v>7258</v>
      </c>
      <c r="D2802" s="21" t="s">
        <v>2505</v>
      </c>
      <c r="E2802" s="50" t="b">
        <v>1</v>
      </c>
      <c r="F2802" s="72" t="str">
        <f>HYPERLINK("http://nsgreg.nga.mil/genc/view?v=294251&amp;end_month=6&amp;end_day=30&amp;end_year=2019","Bar")</f>
        <v>Bar</v>
      </c>
      <c r="G2802" s="72" t="str">
        <f>HYPERLINK("http://api.nsgreg.nga.mil/geo-division/GENC/6/3-11/ME-02","as:GENC:6:3-11:ME-02")</f>
        <v>as:GENC:6:3-11:ME-02</v>
      </c>
    </row>
    <row r="2803" spans="1:7" x14ac:dyDescent="0.25">
      <c r="A2803" s="112"/>
      <c r="B2803" s="21" t="s">
        <v>7259</v>
      </c>
      <c r="C2803" s="21" t="s">
        <v>7260</v>
      </c>
      <c r="D2803" s="21" t="s">
        <v>2505</v>
      </c>
      <c r="E2803" s="50" t="b">
        <v>1</v>
      </c>
      <c r="F2803" s="72" t="str">
        <f>HYPERLINK("http://nsgreg.nga.mil/genc/view?v=294252&amp;end_month=6&amp;end_day=30&amp;end_year=2019","Berane")</f>
        <v>Berane</v>
      </c>
      <c r="G2803" s="72" t="str">
        <f>HYPERLINK("http://api.nsgreg.nga.mil/geo-division/GENC/6/3-11/ME-03","as:GENC:6:3-11:ME-03")</f>
        <v>as:GENC:6:3-11:ME-03</v>
      </c>
    </row>
    <row r="2804" spans="1:7" x14ac:dyDescent="0.25">
      <c r="A2804" s="112"/>
      <c r="B2804" s="21" t="s">
        <v>7261</v>
      </c>
      <c r="C2804" s="21" t="s">
        <v>7262</v>
      </c>
      <c r="D2804" s="21" t="s">
        <v>2505</v>
      </c>
      <c r="E2804" s="50" t="b">
        <v>1</v>
      </c>
      <c r="F2804" s="72" t="str">
        <f>HYPERLINK("http://nsgreg.nga.mil/genc/view?v=294253&amp;end_month=6&amp;end_day=30&amp;end_year=2019","Bijelo Polje")</f>
        <v>Bijelo Polje</v>
      </c>
      <c r="G2804" s="72" t="str">
        <f>HYPERLINK("http://api.nsgreg.nga.mil/geo-division/GENC/6/3-11/ME-04","as:GENC:6:3-11:ME-04")</f>
        <v>as:GENC:6:3-11:ME-04</v>
      </c>
    </row>
    <row r="2805" spans="1:7" x14ac:dyDescent="0.25">
      <c r="A2805" s="112"/>
      <c r="B2805" s="21" t="s">
        <v>7263</v>
      </c>
      <c r="C2805" s="21" t="s">
        <v>7264</v>
      </c>
      <c r="D2805" s="21" t="s">
        <v>2505</v>
      </c>
      <c r="E2805" s="50" t="b">
        <v>1</v>
      </c>
      <c r="F2805" s="72" t="str">
        <f>HYPERLINK("http://nsgreg.nga.mil/genc/view?v=294254&amp;end_month=6&amp;end_day=30&amp;end_year=2019","Budva")</f>
        <v>Budva</v>
      </c>
      <c r="G2805" s="72" t="str">
        <f>HYPERLINK("http://api.nsgreg.nga.mil/geo-division/GENC/6/3-11/ME-05","as:GENC:6:3-11:ME-05")</f>
        <v>as:GENC:6:3-11:ME-05</v>
      </c>
    </row>
    <row r="2806" spans="1:7" x14ac:dyDescent="0.25">
      <c r="A2806" s="112"/>
      <c r="B2806" s="21" t="s">
        <v>7265</v>
      </c>
      <c r="C2806" s="21" t="s">
        <v>7266</v>
      </c>
      <c r="D2806" s="21" t="s">
        <v>2505</v>
      </c>
      <c r="E2806" s="50" t="b">
        <v>1</v>
      </c>
      <c r="F2806" s="72" t="str">
        <f>HYPERLINK("http://nsgreg.nga.mil/genc/view?v=294255&amp;end_month=6&amp;end_day=30&amp;end_year=2019","Cetinje")</f>
        <v>Cetinje</v>
      </c>
      <c r="G2806" s="72" t="str">
        <f>HYPERLINK("http://api.nsgreg.nga.mil/geo-division/GENC/6/3-11/ME-06","as:GENC:6:3-11:ME-06")</f>
        <v>as:GENC:6:3-11:ME-06</v>
      </c>
    </row>
    <row r="2807" spans="1:7" x14ac:dyDescent="0.25">
      <c r="A2807" s="112"/>
      <c r="B2807" s="21" t="s">
        <v>7267</v>
      </c>
      <c r="C2807" s="21" t="s">
        <v>7268</v>
      </c>
      <c r="D2807" s="21" t="s">
        <v>2505</v>
      </c>
      <c r="E2807" s="50" t="b">
        <v>1</v>
      </c>
      <c r="F2807" s="72" t="str">
        <f>HYPERLINK("http://nsgreg.nga.mil/genc/view?v=294256&amp;end_month=6&amp;end_day=30&amp;end_year=2019","Danilovgrad")</f>
        <v>Danilovgrad</v>
      </c>
      <c r="G2807" s="72" t="str">
        <f>HYPERLINK("http://api.nsgreg.nga.mil/geo-division/GENC/6/3-11/ME-07","as:GENC:6:3-11:ME-07")</f>
        <v>as:GENC:6:3-11:ME-07</v>
      </c>
    </row>
    <row r="2808" spans="1:7" x14ac:dyDescent="0.25">
      <c r="A2808" s="112"/>
      <c r="B2808" s="21" t="s">
        <v>7269</v>
      </c>
      <c r="C2808" s="21" t="s">
        <v>7270</v>
      </c>
      <c r="D2808" s="21" t="s">
        <v>2505</v>
      </c>
      <c r="E2808" s="50" t="b">
        <v>1</v>
      </c>
      <c r="F2808" s="72" t="str">
        <f>HYPERLINK("http://nsgreg.nga.mil/genc/view?v=294271&amp;end_month=6&amp;end_day=30&amp;end_year=2019","Gusinje")</f>
        <v>Gusinje</v>
      </c>
      <c r="G2808" s="72" t="str">
        <f>HYPERLINK("http://api.nsgreg.nga.mil/geo-division/GENC/6/3-11/ME-22","as:GENC:6:3-11:ME-22")</f>
        <v>as:GENC:6:3-11:ME-22</v>
      </c>
    </row>
    <row r="2809" spans="1:7" x14ac:dyDescent="0.25">
      <c r="A2809" s="112"/>
      <c r="B2809" s="21" t="s">
        <v>7271</v>
      </c>
      <c r="C2809" s="21" t="s">
        <v>7272</v>
      </c>
      <c r="D2809" s="21" t="s">
        <v>2505</v>
      </c>
      <c r="E2809" s="50" t="b">
        <v>1</v>
      </c>
      <c r="F2809" s="72" t="str">
        <f>HYPERLINK("http://nsgreg.nga.mil/genc/view?v=294257&amp;end_month=6&amp;end_day=30&amp;end_year=2019","Herceg Novi")</f>
        <v>Herceg Novi</v>
      </c>
      <c r="G2809" s="72" t="str">
        <f>HYPERLINK("http://api.nsgreg.nga.mil/geo-division/GENC/6/3-11/ME-08","as:GENC:6:3-11:ME-08")</f>
        <v>as:GENC:6:3-11:ME-08</v>
      </c>
    </row>
    <row r="2810" spans="1:7" x14ac:dyDescent="0.25">
      <c r="A2810" s="112"/>
      <c r="B2810" s="21" t="s">
        <v>7273</v>
      </c>
      <c r="C2810" s="21" t="s">
        <v>7274</v>
      </c>
      <c r="D2810" s="21" t="s">
        <v>2505</v>
      </c>
      <c r="E2810" s="50" t="b">
        <v>1</v>
      </c>
      <c r="F2810" s="72" t="str">
        <f>HYPERLINK("http://nsgreg.nga.mil/genc/view?v=294258&amp;end_month=6&amp;end_day=30&amp;end_year=2019","Kolašin")</f>
        <v>Kolašin</v>
      </c>
      <c r="G2810" s="72" t="str">
        <f>HYPERLINK("http://api.nsgreg.nga.mil/geo-division/GENC/6/3-11/ME-09","as:GENC:6:3-11:ME-09")</f>
        <v>as:GENC:6:3-11:ME-09</v>
      </c>
    </row>
    <row r="2811" spans="1:7" x14ac:dyDescent="0.25">
      <c r="A2811" s="112"/>
      <c r="B2811" s="21" t="s">
        <v>7275</v>
      </c>
      <c r="C2811" s="21" t="s">
        <v>7276</v>
      </c>
      <c r="D2811" s="21" t="s">
        <v>2505</v>
      </c>
      <c r="E2811" s="50" t="b">
        <v>1</v>
      </c>
      <c r="F2811" s="72" t="str">
        <f>HYPERLINK("http://nsgreg.nga.mil/genc/view?v=294259&amp;end_month=6&amp;end_day=30&amp;end_year=2019","Kotor")</f>
        <v>Kotor</v>
      </c>
      <c r="G2811" s="72" t="str">
        <f>HYPERLINK("http://api.nsgreg.nga.mil/geo-division/GENC/6/3-11/ME-10","as:GENC:6:3-11:ME-10")</f>
        <v>as:GENC:6:3-11:ME-10</v>
      </c>
    </row>
    <row r="2812" spans="1:7" x14ac:dyDescent="0.25">
      <c r="A2812" s="112"/>
      <c r="B2812" s="21" t="s">
        <v>7277</v>
      </c>
      <c r="C2812" s="21" t="s">
        <v>7278</v>
      </c>
      <c r="D2812" s="21" t="s">
        <v>2505</v>
      </c>
      <c r="E2812" s="50" t="b">
        <v>1</v>
      </c>
      <c r="F2812" s="72" t="str">
        <f>HYPERLINK("http://nsgreg.nga.mil/genc/view?v=294260&amp;end_month=6&amp;end_day=30&amp;end_year=2019","Mojkovac")</f>
        <v>Mojkovac</v>
      </c>
      <c r="G2812" s="72" t="str">
        <f>HYPERLINK("http://api.nsgreg.nga.mil/geo-division/GENC/6/3-11/ME-11","as:GENC:6:3-11:ME-11")</f>
        <v>as:GENC:6:3-11:ME-11</v>
      </c>
    </row>
    <row r="2813" spans="1:7" x14ac:dyDescent="0.25">
      <c r="A2813" s="112"/>
      <c r="B2813" s="21" t="s">
        <v>7279</v>
      </c>
      <c r="C2813" s="21" t="s">
        <v>7280</v>
      </c>
      <c r="D2813" s="21" t="s">
        <v>2505</v>
      </c>
      <c r="E2813" s="50" t="b">
        <v>1</v>
      </c>
      <c r="F2813" s="72" t="str">
        <f>HYPERLINK("http://nsgreg.nga.mil/genc/view?v=294261&amp;end_month=6&amp;end_day=30&amp;end_year=2019","Nikšić")</f>
        <v>Nikšić</v>
      </c>
      <c r="G2813" s="72" t="str">
        <f>HYPERLINK("http://api.nsgreg.nga.mil/geo-division/GENC/6/3-11/ME-12","as:GENC:6:3-11:ME-12")</f>
        <v>as:GENC:6:3-11:ME-12</v>
      </c>
    </row>
    <row r="2814" spans="1:7" x14ac:dyDescent="0.25">
      <c r="A2814" s="112"/>
      <c r="B2814" s="21" t="s">
        <v>7281</v>
      </c>
      <c r="C2814" s="21" t="s">
        <v>7282</v>
      </c>
      <c r="D2814" s="21" t="s">
        <v>2505</v>
      </c>
      <c r="E2814" s="50" t="b">
        <v>1</v>
      </c>
      <c r="F2814" s="72" t="str">
        <f>HYPERLINK("http://nsgreg.nga.mil/genc/view?v=294272&amp;end_month=6&amp;end_day=30&amp;end_year=2019","Petnjica")</f>
        <v>Petnjica</v>
      </c>
      <c r="G2814" s="72" t="str">
        <f>HYPERLINK("http://api.nsgreg.nga.mil/geo-division/GENC/6/3-11/ME-23","as:GENC:6:3-11:ME-23")</f>
        <v>as:GENC:6:3-11:ME-23</v>
      </c>
    </row>
    <row r="2815" spans="1:7" x14ac:dyDescent="0.25">
      <c r="A2815" s="112"/>
      <c r="B2815" s="21" t="s">
        <v>7283</v>
      </c>
      <c r="C2815" s="21" t="s">
        <v>7284</v>
      </c>
      <c r="D2815" s="21" t="s">
        <v>2505</v>
      </c>
      <c r="E2815" s="50" t="b">
        <v>1</v>
      </c>
      <c r="F2815" s="72" t="str">
        <f>HYPERLINK("http://nsgreg.nga.mil/genc/view?v=294262&amp;end_month=6&amp;end_day=30&amp;end_year=2019","Plav")</f>
        <v>Plav</v>
      </c>
      <c r="G2815" s="72" t="str">
        <f>HYPERLINK("http://api.nsgreg.nga.mil/geo-division/GENC/6/3-11/ME-13","as:GENC:6:3-11:ME-13")</f>
        <v>as:GENC:6:3-11:ME-13</v>
      </c>
    </row>
    <row r="2816" spans="1:7" x14ac:dyDescent="0.25">
      <c r="A2816" s="112"/>
      <c r="B2816" s="21" t="s">
        <v>7285</v>
      </c>
      <c r="C2816" s="21" t="s">
        <v>7286</v>
      </c>
      <c r="D2816" s="21" t="s">
        <v>2505</v>
      </c>
      <c r="E2816" s="50" t="b">
        <v>1</v>
      </c>
      <c r="F2816" s="72" t="str">
        <f>HYPERLINK("http://nsgreg.nga.mil/genc/view?v=294263&amp;end_month=6&amp;end_day=30&amp;end_year=2019","Pljevlja")</f>
        <v>Pljevlja</v>
      </c>
      <c r="G2816" s="72" t="str">
        <f>HYPERLINK("http://api.nsgreg.nga.mil/geo-division/GENC/6/3-11/ME-14","as:GENC:6:3-11:ME-14")</f>
        <v>as:GENC:6:3-11:ME-14</v>
      </c>
    </row>
    <row r="2817" spans="1:7" x14ac:dyDescent="0.25">
      <c r="A2817" s="112"/>
      <c r="B2817" s="21" t="s">
        <v>7287</v>
      </c>
      <c r="C2817" s="21" t="s">
        <v>7288</v>
      </c>
      <c r="D2817" s="21" t="s">
        <v>2505</v>
      </c>
      <c r="E2817" s="50" t="b">
        <v>1</v>
      </c>
      <c r="F2817" s="72" t="str">
        <f>HYPERLINK("http://nsgreg.nga.mil/genc/view?v=294264&amp;end_month=6&amp;end_day=30&amp;end_year=2019","Plužine")</f>
        <v>Plužine</v>
      </c>
      <c r="G2817" s="72" t="str">
        <f>HYPERLINK("http://api.nsgreg.nga.mil/geo-division/GENC/6/3-11/ME-15","as:GENC:6:3-11:ME-15")</f>
        <v>as:GENC:6:3-11:ME-15</v>
      </c>
    </row>
    <row r="2818" spans="1:7" x14ac:dyDescent="0.25">
      <c r="A2818" s="112"/>
      <c r="B2818" s="21" t="s">
        <v>7289</v>
      </c>
      <c r="C2818" s="21" t="s">
        <v>7290</v>
      </c>
      <c r="D2818" s="21" t="s">
        <v>2505</v>
      </c>
      <c r="E2818" s="50" t="b">
        <v>1</v>
      </c>
      <c r="F2818" s="72" t="str">
        <f>HYPERLINK("http://nsgreg.nga.mil/genc/view?v=294265&amp;end_month=6&amp;end_day=30&amp;end_year=2019","Podgorica")</f>
        <v>Podgorica</v>
      </c>
      <c r="G2818" s="72" t="str">
        <f>HYPERLINK("http://api.nsgreg.nga.mil/geo-division/GENC/6/3-11/ME-16","as:GENC:6:3-11:ME-16")</f>
        <v>as:GENC:6:3-11:ME-16</v>
      </c>
    </row>
    <row r="2819" spans="1:7" x14ac:dyDescent="0.25">
      <c r="A2819" s="112"/>
      <c r="B2819" s="21" t="s">
        <v>7291</v>
      </c>
      <c r="C2819" s="21" t="s">
        <v>7292</v>
      </c>
      <c r="D2819" s="21" t="s">
        <v>2505</v>
      </c>
      <c r="E2819" s="50" t="b">
        <v>1</v>
      </c>
      <c r="F2819" s="72" t="str">
        <f>HYPERLINK("http://nsgreg.nga.mil/genc/view?v=294266&amp;end_month=6&amp;end_day=30&amp;end_year=2019","Rožaje")</f>
        <v>Rožaje</v>
      </c>
      <c r="G2819" s="72" t="str">
        <f>HYPERLINK("http://api.nsgreg.nga.mil/geo-division/GENC/6/3-11/ME-17","as:GENC:6:3-11:ME-17")</f>
        <v>as:GENC:6:3-11:ME-17</v>
      </c>
    </row>
    <row r="2820" spans="1:7" x14ac:dyDescent="0.25">
      <c r="A2820" s="112"/>
      <c r="B2820" s="21" t="s">
        <v>7293</v>
      </c>
      <c r="C2820" s="21" t="s">
        <v>7294</v>
      </c>
      <c r="D2820" s="21" t="s">
        <v>2505</v>
      </c>
      <c r="E2820" s="50" t="b">
        <v>1</v>
      </c>
      <c r="F2820" s="72" t="str">
        <f>HYPERLINK("http://nsgreg.nga.mil/genc/view?v=294267&amp;end_month=6&amp;end_day=30&amp;end_year=2019","Šavnik")</f>
        <v>Šavnik</v>
      </c>
      <c r="G2820" s="72" t="str">
        <f>HYPERLINK("http://api.nsgreg.nga.mil/geo-division/GENC/6/3-11/ME-18","as:GENC:6:3-11:ME-18")</f>
        <v>as:GENC:6:3-11:ME-18</v>
      </c>
    </row>
    <row r="2821" spans="1:7" x14ac:dyDescent="0.25">
      <c r="A2821" s="112"/>
      <c r="B2821" s="21" t="s">
        <v>7295</v>
      </c>
      <c r="C2821" s="21" t="s">
        <v>7296</v>
      </c>
      <c r="D2821" s="21" t="s">
        <v>2505</v>
      </c>
      <c r="E2821" s="50" t="b">
        <v>1</v>
      </c>
      <c r="F2821" s="72" t="str">
        <f>HYPERLINK("http://nsgreg.nga.mil/genc/view?v=294268&amp;end_month=6&amp;end_day=30&amp;end_year=2019","Tivat")</f>
        <v>Tivat</v>
      </c>
      <c r="G2821" s="72" t="str">
        <f>HYPERLINK("http://api.nsgreg.nga.mil/geo-division/GENC/6/3-11/ME-19","as:GENC:6:3-11:ME-19")</f>
        <v>as:GENC:6:3-11:ME-19</v>
      </c>
    </row>
    <row r="2822" spans="1:7" x14ac:dyDescent="0.25">
      <c r="A2822" s="112"/>
      <c r="B2822" s="21" t="s">
        <v>7297</v>
      </c>
      <c r="C2822" s="21" t="s">
        <v>7298</v>
      </c>
      <c r="D2822" s="21" t="s">
        <v>2505</v>
      </c>
      <c r="E2822" s="50" t="b">
        <v>1</v>
      </c>
      <c r="F2822" s="72" t="str">
        <f>HYPERLINK("http://nsgreg.nga.mil/genc/view?v=294273&amp;end_month=6&amp;end_day=30&amp;end_year=2019","Tuzi")</f>
        <v>Tuzi</v>
      </c>
      <c r="G2822" s="72" t="str">
        <f>HYPERLINK("http://api.nsgreg.nga.mil/geo-division/GENC/6/3-11/ME-24","as:GENC:6:3-11:ME-24")</f>
        <v>as:GENC:6:3-11:ME-24</v>
      </c>
    </row>
    <row r="2823" spans="1:7" x14ac:dyDescent="0.25">
      <c r="A2823" s="112"/>
      <c r="B2823" s="21" t="s">
        <v>7299</v>
      </c>
      <c r="C2823" s="21" t="s">
        <v>7300</v>
      </c>
      <c r="D2823" s="21" t="s">
        <v>2505</v>
      </c>
      <c r="E2823" s="50" t="b">
        <v>1</v>
      </c>
      <c r="F2823" s="72" t="str">
        <f>HYPERLINK("http://nsgreg.nga.mil/genc/view?v=294269&amp;end_month=6&amp;end_day=30&amp;end_year=2019","Ulcinj")</f>
        <v>Ulcinj</v>
      </c>
      <c r="G2823" s="72" t="str">
        <f>HYPERLINK("http://api.nsgreg.nga.mil/geo-division/GENC/6/3-11/ME-20","as:GENC:6:3-11:ME-20")</f>
        <v>as:GENC:6:3-11:ME-20</v>
      </c>
    </row>
    <row r="2824" spans="1:7" x14ac:dyDescent="0.25">
      <c r="A2824" s="113"/>
      <c r="B2824" s="47" t="s">
        <v>7301</v>
      </c>
      <c r="C2824" s="47" t="s">
        <v>7302</v>
      </c>
      <c r="D2824" s="47" t="s">
        <v>2505</v>
      </c>
      <c r="E2824" s="51" t="b">
        <v>1</v>
      </c>
      <c r="F2824" s="73" t="str">
        <f>HYPERLINK("http://nsgreg.nga.mil/genc/view?v=294270&amp;end_month=6&amp;end_day=30&amp;end_year=2019","Žabljak")</f>
        <v>Žabljak</v>
      </c>
      <c r="G2824" s="73" t="str">
        <f>HYPERLINK("http://api.nsgreg.nga.mil/geo-division/GENC/6/3-11/ME-21","as:GENC:6:3-11:ME-21")</f>
        <v>as:GENC:6:3-11:ME-21</v>
      </c>
    </row>
    <row r="2825" spans="1:7" x14ac:dyDescent="0.25">
      <c r="A2825" s="111" t="str">
        <f>HYPERLINK("[#]Codes_for_GE_Names!A178:I178","MONTSERRAT")</f>
        <v>MONTSERRAT</v>
      </c>
      <c r="B2825" s="42" t="s">
        <v>7303</v>
      </c>
      <c r="C2825" s="42" t="s">
        <v>7304</v>
      </c>
      <c r="D2825" s="42" t="s">
        <v>1858</v>
      </c>
      <c r="E2825" s="49" t="b">
        <v>1</v>
      </c>
      <c r="F2825" s="74" t="str">
        <f>HYPERLINK("http://nsgreg.nga.mil/genc/view?v=294438&amp;end_month=6&amp;end_day=30&amp;end_year=2019","Saint Anthony")</f>
        <v>Saint Anthony</v>
      </c>
      <c r="G2825" s="74" t="str">
        <f>HYPERLINK("http://api.nsgreg.nga.mil/geo-division/GENC/6/3-11/MS-01","as:GENC:6:3-11:MS-01")</f>
        <v>as:GENC:6:3-11:MS-01</v>
      </c>
    </row>
    <row r="2826" spans="1:7" x14ac:dyDescent="0.25">
      <c r="A2826" s="112"/>
      <c r="B2826" s="21" t="s">
        <v>7305</v>
      </c>
      <c r="C2826" s="21" t="s">
        <v>7306</v>
      </c>
      <c r="D2826" s="21" t="s">
        <v>1858</v>
      </c>
      <c r="E2826" s="50" t="b">
        <v>1</v>
      </c>
      <c r="F2826" s="72" t="str">
        <f>HYPERLINK("http://nsgreg.nga.mil/genc/view?v=294439&amp;end_month=6&amp;end_day=30&amp;end_year=2019","Saint Georges")</f>
        <v>Saint Georges</v>
      </c>
      <c r="G2826" s="72" t="str">
        <f>HYPERLINK("http://api.nsgreg.nga.mil/geo-division/GENC/6/3-11/MS-02","as:GENC:6:3-11:MS-02")</f>
        <v>as:GENC:6:3-11:MS-02</v>
      </c>
    </row>
    <row r="2827" spans="1:7" x14ac:dyDescent="0.25">
      <c r="A2827" s="113"/>
      <c r="B2827" s="47" t="s">
        <v>7307</v>
      </c>
      <c r="C2827" s="47" t="s">
        <v>1921</v>
      </c>
      <c r="D2827" s="47" t="s">
        <v>1858</v>
      </c>
      <c r="E2827" s="51" t="b">
        <v>1</v>
      </c>
      <c r="F2827" s="73" t="str">
        <f>HYPERLINK("http://nsgreg.nga.mil/genc/view?v=294440&amp;end_month=6&amp;end_day=30&amp;end_year=2019","Saint Peter")</f>
        <v>Saint Peter</v>
      </c>
      <c r="G2827" s="73" t="str">
        <f>HYPERLINK("http://api.nsgreg.nga.mil/geo-division/GENC/6/3-11/MS-03","as:GENC:6:3-11:MS-03")</f>
        <v>as:GENC:6:3-11:MS-03</v>
      </c>
    </row>
    <row r="2828" spans="1:7" x14ac:dyDescent="0.25">
      <c r="A2828" s="111" t="str">
        <f>HYPERLINK("[#]Codes_for_GE_Names!A179:I179","MOROCCO")</f>
        <v>MOROCCO</v>
      </c>
      <c r="B2828" s="42" t="s">
        <v>7308</v>
      </c>
      <c r="C2828" s="42" t="s">
        <v>7309</v>
      </c>
      <c r="D2828" s="42" t="s">
        <v>1975</v>
      </c>
      <c r="E2828" s="49" t="b">
        <v>1</v>
      </c>
      <c r="F2828" s="74" t="str">
        <f>HYPERLINK("http://nsgreg.nga.mil/genc/view?v=294113&amp;end_month=6&amp;end_day=30&amp;end_year=2019","Béni Mellal-Khénifra")</f>
        <v>Béni Mellal-Khénifra</v>
      </c>
      <c r="G2828" s="74" t="str">
        <f>HYPERLINK("http://api.nsgreg.nga.mil/geo-division/GENC/6/3-11/MA-05","as:GENC:6:3-11:MA-05")</f>
        <v>as:GENC:6:3-11:MA-05</v>
      </c>
    </row>
    <row r="2829" spans="1:7" x14ac:dyDescent="0.25">
      <c r="A2829" s="112"/>
      <c r="B2829" s="21" t="s">
        <v>7310</v>
      </c>
      <c r="C2829" s="21" t="s">
        <v>7311</v>
      </c>
      <c r="D2829" s="76" t="s">
        <v>1668</v>
      </c>
      <c r="E2829" s="77" t="b">
        <v>0</v>
      </c>
      <c r="F2829" s="72" t="str">
        <f>HYPERLINK("http://nsgreg.nga.mil/genc/view?v=294124&amp;end_month=6&amp;end_day=30&amp;end_year=2019","Azilal")</f>
        <v>Azilal</v>
      </c>
      <c r="G2829" s="72" t="str">
        <f>HYPERLINK("http://api.nsgreg.nga.mil/geo-division/GENC/6/3-11/MA-AZI","as:GENC:6:3-11:MA-AZI")</f>
        <v>as:GENC:6:3-11:MA-AZI</v>
      </c>
    </row>
    <row r="2830" spans="1:7" x14ac:dyDescent="0.25">
      <c r="A2830" s="112"/>
      <c r="B2830" s="21" t="s">
        <v>7312</v>
      </c>
      <c r="C2830" s="21" t="s">
        <v>7313</v>
      </c>
      <c r="D2830" s="76" t="s">
        <v>1668</v>
      </c>
      <c r="E2830" s="77" t="b">
        <v>0</v>
      </c>
      <c r="F2830" s="72" t="str">
        <f>HYPERLINK("http://nsgreg.nga.mil/genc/view?v=294125&amp;end_month=6&amp;end_day=30&amp;end_year=2019","Béni Mellal")</f>
        <v>Béni Mellal</v>
      </c>
      <c r="G2830" s="72" t="str">
        <f>HYPERLINK("http://api.nsgreg.nga.mil/geo-division/GENC/6/3-11/MA-BEM","as:GENC:6:3-11:MA-BEM")</f>
        <v>as:GENC:6:3-11:MA-BEM</v>
      </c>
    </row>
    <row r="2831" spans="1:7" x14ac:dyDescent="0.25">
      <c r="A2831" s="112"/>
      <c r="B2831" s="21" t="s">
        <v>7314</v>
      </c>
      <c r="C2831" s="21" t="s">
        <v>7315</v>
      </c>
      <c r="D2831" s="76" t="s">
        <v>1668</v>
      </c>
      <c r="E2831" s="77" t="b">
        <v>0</v>
      </c>
      <c r="F2831" s="72" t="str">
        <f>HYPERLINK("http://nsgreg.nga.mil/genc/view?v=294142&amp;end_month=6&amp;end_day=30&amp;end_year=2019","Fquih Ben Salah")</f>
        <v>Fquih Ben Salah</v>
      </c>
      <c r="G2831" s="72" t="str">
        <f>HYPERLINK("http://api.nsgreg.nga.mil/geo-division/GENC/6/3-11/MA-FQH","as:GENC:6:3-11:MA-FQH")</f>
        <v>as:GENC:6:3-11:MA-FQH</v>
      </c>
    </row>
    <row r="2832" spans="1:7" x14ac:dyDescent="0.25">
      <c r="A2832" s="112"/>
      <c r="B2832" s="21" t="s">
        <v>7316</v>
      </c>
      <c r="C2832" s="21" t="s">
        <v>7317</v>
      </c>
      <c r="D2832" s="76" t="s">
        <v>1668</v>
      </c>
      <c r="E2832" s="77" t="b">
        <v>0</v>
      </c>
      <c r="F2832" s="72" t="str">
        <f>HYPERLINK("http://nsgreg.nga.mil/genc/view?v=294155&amp;end_month=6&amp;end_day=30&amp;end_year=2019","Khénifra")</f>
        <v>Khénifra</v>
      </c>
      <c r="G2832" s="72" t="str">
        <f>HYPERLINK("http://api.nsgreg.nga.mil/geo-division/GENC/6/3-11/MA-KHN","as:GENC:6:3-11:MA-KHN")</f>
        <v>as:GENC:6:3-11:MA-KHN</v>
      </c>
    </row>
    <row r="2833" spans="1:7" x14ac:dyDescent="0.25">
      <c r="A2833" s="112"/>
      <c r="B2833" s="21" t="s">
        <v>7318</v>
      </c>
      <c r="C2833" s="21" t="s">
        <v>7319</v>
      </c>
      <c r="D2833" s="76" t="s">
        <v>1668</v>
      </c>
      <c r="E2833" s="77" t="b">
        <v>0</v>
      </c>
      <c r="F2833" s="72" t="str">
        <f>HYPERLINK("http://nsgreg.nga.mil/genc/view?v=294156&amp;end_month=6&amp;end_day=30&amp;end_year=2019","Khouribga")</f>
        <v>Khouribga</v>
      </c>
      <c r="G2833" s="72" t="str">
        <f>HYPERLINK("http://api.nsgreg.nga.mil/geo-division/GENC/6/3-11/MA-KHO","as:GENC:6:3-11:MA-KHO")</f>
        <v>as:GENC:6:3-11:MA-KHO</v>
      </c>
    </row>
    <row r="2834" spans="1:7" x14ac:dyDescent="0.25">
      <c r="A2834" s="112"/>
      <c r="B2834" s="21" t="s">
        <v>7320</v>
      </c>
      <c r="C2834" s="21" t="s">
        <v>7321</v>
      </c>
      <c r="D2834" s="21" t="s">
        <v>1975</v>
      </c>
      <c r="E2834" s="50" t="b">
        <v>1</v>
      </c>
      <c r="F2834" s="72" t="str">
        <f>HYPERLINK("http://nsgreg.nga.mil/genc/view?v=294114&amp;end_month=6&amp;end_day=30&amp;end_year=2019","Casablanca-Settat")</f>
        <v>Casablanca-Settat</v>
      </c>
      <c r="G2834" s="72" t="str">
        <f>HYPERLINK("http://api.nsgreg.nga.mil/geo-division/GENC/6/3-11/MA-06","as:GENC:6:3-11:MA-06")</f>
        <v>as:GENC:6:3-11:MA-06</v>
      </c>
    </row>
    <row r="2835" spans="1:7" x14ac:dyDescent="0.25">
      <c r="A2835" s="112"/>
      <c r="B2835" s="21" t="s">
        <v>7322</v>
      </c>
      <c r="C2835" s="21" t="s">
        <v>7323</v>
      </c>
      <c r="D2835" s="76" t="s">
        <v>1668</v>
      </c>
      <c r="E2835" s="77" t="b">
        <v>0</v>
      </c>
      <c r="F2835" s="72" t="str">
        <f>HYPERLINK("http://nsgreg.nga.mil/genc/view?v=294127&amp;end_month=6&amp;end_day=30&amp;end_year=2019","Benslimane")</f>
        <v>Benslimane</v>
      </c>
      <c r="G2835" s="72" t="str">
        <f>HYPERLINK("http://api.nsgreg.nga.mil/geo-division/GENC/6/3-11/MA-BES","as:GENC:6:3-11:MA-BES")</f>
        <v>as:GENC:6:3-11:MA-BES</v>
      </c>
    </row>
    <row r="2836" spans="1:7" x14ac:dyDescent="0.25">
      <c r="A2836" s="112"/>
      <c r="B2836" s="21" t="s">
        <v>7324</v>
      </c>
      <c r="C2836" s="21" t="s">
        <v>7325</v>
      </c>
      <c r="D2836" s="76" t="s">
        <v>1668</v>
      </c>
      <c r="E2836" s="77" t="b">
        <v>0</v>
      </c>
      <c r="F2836" s="72" t="str">
        <f>HYPERLINK("http://nsgreg.nga.mil/genc/view?v=294130&amp;end_month=6&amp;end_day=30&amp;end_year=2019","Berrechid")</f>
        <v>Berrechid</v>
      </c>
      <c r="G2836" s="72" t="str">
        <f>HYPERLINK("http://api.nsgreg.nga.mil/geo-division/GENC/6/3-11/MA-BRR","as:GENC:6:3-11:MA-BRR")</f>
        <v>as:GENC:6:3-11:MA-BRR</v>
      </c>
    </row>
    <row r="2837" spans="1:7" x14ac:dyDescent="0.25">
      <c r="A2837" s="112"/>
      <c r="B2837" s="21" t="s">
        <v>7326</v>
      </c>
      <c r="C2837" s="21" t="s">
        <v>7327</v>
      </c>
      <c r="D2837" s="76" t="s">
        <v>3072</v>
      </c>
      <c r="E2837" s="77" t="b">
        <v>0</v>
      </c>
      <c r="F2837" s="72" t="str">
        <f>HYPERLINK("http://nsgreg.nga.mil/genc/view?v=294131&amp;end_month=6&amp;end_day=30&amp;end_year=2019","Casablanca")</f>
        <v>Casablanca</v>
      </c>
      <c r="G2837" s="72" t="str">
        <f>HYPERLINK("http://api.nsgreg.nga.mil/geo-division/GENC/6/3-11/MA-CAS","as:GENC:6:3-11:MA-CAS")</f>
        <v>as:GENC:6:3-11:MA-CAS</v>
      </c>
    </row>
    <row r="2838" spans="1:7" x14ac:dyDescent="0.25">
      <c r="A2838" s="112"/>
      <c r="B2838" s="21" t="s">
        <v>7328</v>
      </c>
      <c r="C2838" s="21" t="s">
        <v>7329</v>
      </c>
      <c r="D2838" s="76" t="s">
        <v>1668</v>
      </c>
      <c r="E2838" s="77" t="b">
        <v>0</v>
      </c>
      <c r="F2838" s="72" t="str">
        <f>HYPERLINK("http://nsgreg.nga.mil/genc/view?v=294150&amp;end_month=6&amp;end_day=30&amp;end_year=2019","El Jadida")</f>
        <v>El Jadida</v>
      </c>
      <c r="G2838" s="72" t="str">
        <f>HYPERLINK("http://api.nsgreg.nga.mil/geo-division/GENC/6/3-11/MA-JDI","as:GENC:6:3-11:MA-JDI")</f>
        <v>as:GENC:6:3-11:MA-JDI</v>
      </c>
    </row>
    <row r="2839" spans="1:7" x14ac:dyDescent="0.25">
      <c r="A2839" s="112"/>
      <c r="B2839" s="21" t="s">
        <v>7330</v>
      </c>
      <c r="C2839" s="21" t="s">
        <v>7331</v>
      </c>
      <c r="D2839" s="76" t="s">
        <v>1668</v>
      </c>
      <c r="E2839" s="77" t="b">
        <v>0</v>
      </c>
      <c r="F2839" s="72" t="str">
        <f>HYPERLINK("http://nsgreg.nga.mil/genc/view?v=294161&amp;end_month=6&amp;end_day=30&amp;end_year=2019","Médiouna")</f>
        <v>Médiouna</v>
      </c>
      <c r="G2839" s="72" t="str">
        <f>HYPERLINK("http://api.nsgreg.nga.mil/geo-division/GENC/6/3-11/MA-MED","as:GENC:6:3-11:MA-MED")</f>
        <v>as:GENC:6:3-11:MA-MED</v>
      </c>
    </row>
    <row r="2840" spans="1:7" x14ac:dyDescent="0.25">
      <c r="A2840" s="112"/>
      <c r="B2840" s="21" t="s">
        <v>7332</v>
      </c>
      <c r="C2840" s="21" t="s">
        <v>7333</v>
      </c>
      <c r="D2840" s="76" t="s">
        <v>3072</v>
      </c>
      <c r="E2840" s="77" t="b">
        <v>0</v>
      </c>
      <c r="F2840" s="72" t="str">
        <f>HYPERLINK("http://nsgreg.nga.mil/genc/view?v=294164&amp;end_month=6&amp;end_day=30&amp;end_year=2019","Mohammadia")</f>
        <v>Mohammadia</v>
      </c>
      <c r="G2840" s="72" t="str">
        <f>HYPERLINK("http://api.nsgreg.nga.mil/geo-division/GENC/6/3-11/MA-MOH","as:GENC:6:3-11:MA-MOH")</f>
        <v>as:GENC:6:3-11:MA-MOH</v>
      </c>
    </row>
    <row r="2841" spans="1:7" x14ac:dyDescent="0.25">
      <c r="A2841" s="112"/>
      <c r="B2841" s="21" t="s">
        <v>7334</v>
      </c>
      <c r="C2841" s="21" t="s">
        <v>7335</v>
      </c>
      <c r="D2841" s="76" t="s">
        <v>1668</v>
      </c>
      <c r="E2841" s="77" t="b">
        <v>0</v>
      </c>
      <c r="F2841" s="72" t="str">
        <f>HYPERLINK("http://nsgreg.nga.mil/genc/view?v=294177&amp;end_month=6&amp;end_day=30&amp;end_year=2019","Settat")</f>
        <v>Settat</v>
      </c>
      <c r="G2841" s="72" t="str">
        <f>HYPERLINK("http://api.nsgreg.nga.mil/geo-division/GENC/6/3-11/MA-SET","as:GENC:6:3-11:MA-SET")</f>
        <v>as:GENC:6:3-11:MA-SET</v>
      </c>
    </row>
    <row r="2842" spans="1:7" x14ac:dyDescent="0.25">
      <c r="A2842" s="112"/>
      <c r="B2842" s="21" t="s">
        <v>7336</v>
      </c>
      <c r="C2842" s="21" t="s">
        <v>7337</v>
      </c>
      <c r="D2842" s="76" t="s">
        <v>1668</v>
      </c>
      <c r="E2842" s="77" t="b">
        <v>0</v>
      </c>
      <c r="F2842" s="72" t="str">
        <f>HYPERLINK("http://nsgreg.nga.mil/genc/view?v=294178&amp;end_month=6&amp;end_day=30&amp;end_year=2019","Sidi Bennour")</f>
        <v>Sidi Bennour</v>
      </c>
      <c r="G2842" s="72" t="str">
        <f>HYPERLINK("http://api.nsgreg.nga.mil/geo-division/GENC/6/3-11/MA-SIB","as:GENC:6:3-11:MA-SIB")</f>
        <v>as:GENC:6:3-11:MA-SIB</v>
      </c>
    </row>
    <row r="2843" spans="1:7" x14ac:dyDescent="0.25">
      <c r="A2843" s="112"/>
      <c r="B2843" s="21" t="s">
        <v>7338</v>
      </c>
      <c r="C2843" s="21" t="s">
        <v>7339</v>
      </c>
      <c r="D2843" s="21" t="s">
        <v>1975</v>
      </c>
      <c r="E2843" s="50" t="b">
        <v>1</v>
      </c>
      <c r="F2843" s="72" t="str">
        <f>HYPERLINK("http://nsgreg.nga.mil/genc/view?v=294116&amp;end_month=6&amp;end_day=30&amp;end_year=2019","Drâa-Tafilalet")</f>
        <v>Drâa-Tafilalet</v>
      </c>
      <c r="G2843" s="72" t="str">
        <f>HYPERLINK("http://api.nsgreg.nga.mil/geo-division/GENC/6/3-11/MA-08","as:GENC:6:3-11:MA-08")</f>
        <v>as:GENC:6:3-11:MA-08</v>
      </c>
    </row>
    <row r="2844" spans="1:7" x14ac:dyDescent="0.25">
      <c r="A2844" s="112"/>
      <c r="B2844" s="21" t="s">
        <v>7340</v>
      </c>
      <c r="C2844" s="21" t="s">
        <v>7341</v>
      </c>
      <c r="D2844" s="76" t="s">
        <v>1668</v>
      </c>
      <c r="E2844" s="77" t="b">
        <v>0</v>
      </c>
      <c r="F2844" s="72" t="str">
        <f>HYPERLINK("http://nsgreg.nga.mil/genc/view?v=294136&amp;end_month=6&amp;end_day=30&amp;end_year=2019","Er Rachidia")</f>
        <v>Er Rachidia</v>
      </c>
      <c r="G2844" s="72" t="str">
        <f>HYPERLINK("http://api.nsgreg.nga.mil/geo-division/GENC/6/3-11/MA-ERR","as:GENC:6:3-11:MA-ERR")</f>
        <v>as:GENC:6:3-11:MA-ERR</v>
      </c>
    </row>
    <row r="2845" spans="1:7" x14ac:dyDescent="0.25">
      <c r="A2845" s="112"/>
      <c r="B2845" s="21" t="s">
        <v>7342</v>
      </c>
      <c r="C2845" s="21" t="s">
        <v>7343</v>
      </c>
      <c r="D2845" s="76" t="s">
        <v>1668</v>
      </c>
      <c r="E2845" s="77" t="b">
        <v>0</v>
      </c>
      <c r="F2845" s="72" t="str">
        <f>HYPERLINK("http://nsgreg.nga.mil/genc/view?v=294163&amp;end_month=6&amp;end_day=30&amp;end_year=2019","Midelt")</f>
        <v>Midelt</v>
      </c>
      <c r="G2845" s="72" t="str">
        <f>HYPERLINK("http://api.nsgreg.nga.mil/geo-division/GENC/6/3-11/MA-MID","as:GENC:6:3-11:MA-MID")</f>
        <v>as:GENC:6:3-11:MA-MID</v>
      </c>
    </row>
    <row r="2846" spans="1:7" x14ac:dyDescent="0.25">
      <c r="A2846" s="112"/>
      <c r="B2846" s="21" t="s">
        <v>7344</v>
      </c>
      <c r="C2846" s="21" t="s">
        <v>7345</v>
      </c>
      <c r="D2846" s="76" t="s">
        <v>1668</v>
      </c>
      <c r="E2846" s="77" t="b">
        <v>0</v>
      </c>
      <c r="F2846" s="72" t="str">
        <f>HYPERLINK("http://nsgreg.nga.mil/genc/view?v=294168&amp;end_month=6&amp;end_day=30&amp;end_year=2019","Ouarzazate")</f>
        <v>Ouarzazate</v>
      </c>
      <c r="G2846" s="72" t="str">
        <f>HYPERLINK("http://api.nsgreg.nga.mil/geo-division/GENC/6/3-11/MA-OUA","as:GENC:6:3-11:MA-OUA")</f>
        <v>as:GENC:6:3-11:MA-OUA</v>
      </c>
    </row>
    <row r="2847" spans="1:7" x14ac:dyDescent="0.25">
      <c r="A2847" s="112"/>
      <c r="B2847" s="21" t="s">
        <v>7346</v>
      </c>
      <c r="C2847" s="21" t="s">
        <v>7347</v>
      </c>
      <c r="D2847" s="76" t="s">
        <v>1668</v>
      </c>
      <c r="E2847" s="77" t="b">
        <v>0</v>
      </c>
      <c r="F2847" s="72" t="str">
        <f>HYPERLINK("http://nsgreg.nga.mil/genc/view?v=294190&amp;end_month=6&amp;end_day=30&amp;end_year=2019","Tinghir")</f>
        <v>Tinghir</v>
      </c>
      <c r="G2847" s="72" t="str">
        <f>HYPERLINK("http://api.nsgreg.nga.mil/geo-division/GENC/6/3-11/MA-TIN","as:GENC:6:3-11:MA-TIN")</f>
        <v>as:GENC:6:3-11:MA-TIN</v>
      </c>
    </row>
    <row r="2848" spans="1:7" x14ac:dyDescent="0.25">
      <c r="A2848" s="112"/>
      <c r="B2848" s="21" t="s">
        <v>7348</v>
      </c>
      <c r="C2848" s="21" t="s">
        <v>7349</v>
      </c>
      <c r="D2848" s="76" t="s">
        <v>1668</v>
      </c>
      <c r="E2848" s="77" t="b">
        <v>0</v>
      </c>
      <c r="F2848" s="72" t="str">
        <f>HYPERLINK("http://nsgreg.nga.mil/genc/view?v=294195&amp;end_month=6&amp;end_day=30&amp;end_year=2019","Zagora")</f>
        <v>Zagora</v>
      </c>
      <c r="G2848" s="72" t="str">
        <f>HYPERLINK("http://api.nsgreg.nga.mil/geo-division/GENC/6/3-11/MA-ZAG","as:GENC:6:3-11:MA-ZAG")</f>
        <v>as:GENC:6:3-11:MA-ZAG</v>
      </c>
    </row>
    <row r="2849" spans="1:7" x14ac:dyDescent="0.25">
      <c r="A2849" s="112"/>
      <c r="B2849" s="21" t="s">
        <v>7350</v>
      </c>
      <c r="C2849" s="21" t="s">
        <v>7351</v>
      </c>
      <c r="D2849" s="21" t="s">
        <v>1975</v>
      </c>
      <c r="E2849" s="50" t="b">
        <v>1</v>
      </c>
      <c r="F2849" s="72" t="str">
        <f>HYPERLINK("http://nsgreg.nga.mil/genc/view?v=294111&amp;end_month=6&amp;end_day=30&amp;end_year=2019","Fès-Meknès")</f>
        <v>Fès-Meknès</v>
      </c>
      <c r="G2849" s="72" t="str">
        <f>HYPERLINK("http://api.nsgreg.nga.mil/geo-division/GENC/6/3-11/MA-03","as:GENC:6:3-11:MA-03")</f>
        <v>as:GENC:6:3-11:MA-03</v>
      </c>
    </row>
    <row r="2850" spans="1:7" x14ac:dyDescent="0.25">
      <c r="A2850" s="112"/>
      <c r="B2850" s="21" t="s">
        <v>7352</v>
      </c>
      <c r="C2850" s="21" t="s">
        <v>7353</v>
      </c>
      <c r="D2850" s="76" t="s">
        <v>1668</v>
      </c>
      <c r="E2850" s="77" t="b">
        <v>0</v>
      </c>
      <c r="F2850" s="72" t="str">
        <f>HYPERLINK("http://nsgreg.nga.mil/genc/view?v=294129&amp;end_month=6&amp;end_day=30&amp;end_year=2019","Boulemane")</f>
        <v>Boulemane</v>
      </c>
      <c r="G2850" s="72" t="str">
        <f>HYPERLINK("http://api.nsgreg.nga.mil/geo-division/GENC/6/3-11/MA-BOM","as:GENC:6:3-11:MA-BOM")</f>
        <v>as:GENC:6:3-11:MA-BOM</v>
      </c>
    </row>
    <row r="2851" spans="1:7" x14ac:dyDescent="0.25">
      <c r="A2851" s="112"/>
      <c r="B2851" s="21" t="s">
        <v>7354</v>
      </c>
      <c r="C2851" s="21" t="s">
        <v>7355</v>
      </c>
      <c r="D2851" s="76" t="s">
        <v>1668</v>
      </c>
      <c r="E2851" s="77" t="b">
        <v>0</v>
      </c>
      <c r="F2851" s="72" t="str">
        <f>HYPERLINK("http://nsgreg.nga.mil/genc/view?v=294145&amp;end_month=6&amp;end_day=30&amp;end_year=2019","El Hajeb")</f>
        <v>El Hajeb</v>
      </c>
      <c r="G2851" s="72" t="str">
        <f>HYPERLINK("http://api.nsgreg.nga.mil/geo-division/GENC/6/3-11/MA-HAJ","as:GENC:6:3-11:MA-HAJ")</f>
        <v>as:GENC:6:3-11:MA-HAJ</v>
      </c>
    </row>
    <row r="2852" spans="1:7" x14ac:dyDescent="0.25">
      <c r="A2852" s="112"/>
      <c r="B2852" s="21" t="s">
        <v>7356</v>
      </c>
      <c r="C2852" s="21" t="s">
        <v>7357</v>
      </c>
      <c r="D2852" s="76" t="s">
        <v>3072</v>
      </c>
      <c r="E2852" s="77" t="b">
        <v>0</v>
      </c>
      <c r="F2852" s="72" t="str">
        <f>HYPERLINK("http://nsgreg.nga.mil/genc/view?v=294140&amp;end_month=6&amp;end_day=30&amp;end_year=2019","Fès")</f>
        <v>Fès</v>
      </c>
      <c r="G2852" s="72" t="str">
        <f>HYPERLINK("http://api.nsgreg.nga.mil/geo-division/GENC/6/3-11/MA-FES","as:GENC:6:3-11:MA-FES")</f>
        <v>as:GENC:6:3-11:MA-FES</v>
      </c>
    </row>
    <row r="2853" spans="1:7" x14ac:dyDescent="0.25">
      <c r="A2853" s="112"/>
      <c r="B2853" s="21" t="s">
        <v>7358</v>
      </c>
      <c r="C2853" s="21" t="s">
        <v>7359</v>
      </c>
      <c r="D2853" s="76" t="s">
        <v>1668</v>
      </c>
      <c r="E2853" s="77" t="b">
        <v>0</v>
      </c>
      <c r="F2853" s="72" t="str">
        <f>HYPERLINK("http://nsgreg.nga.mil/genc/view?v=294148&amp;end_month=6&amp;end_day=30&amp;end_year=2019","Ifrane")</f>
        <v>Ifrane</v>
      </c>
      <c r="G2853" s="72" t="str">
        <f>HYPERLINK("http://api.nsgreg.nga.mil/geo-division/GENC/6/3-11/MA-IFR","as:GENC:6:3-11:MA-IFR")</f>
        <v>as:GENC:6:3-11:MA-IFR</v>
      </c>
    </row>
    <row r="2854" spans="1:7" x14ac:dyDescent="0.25">
      <c r="A2854" s="112"/>
      <c r="B2854" s="21" t="s">
        <v>7360</v>
      </c>
      <c r="C2854" s="21" t="s">
        <v>7361</v>
      </c>
      <c r="D2854" s="76" t="s">
        <v>3072</v>
      </c>
      <c r="E2854" s="77" t="b">
        <v>0</v>
      </c>
      <c r="F2854" s="72" t="str">
        <f>HYPERLINK("http://nsgreg.nga.mil/genc/view?v=294162&amp;end_month=6&amp;end_day=30&amp;end_year=2019","Meknès")</f>
        <v>Meknès</v>
      </c>
      <c r="G2854" s="72" t="str">
        <f>HYPERLINK("http://api.nsgreg.nga.mil/geo-division/GENC/6/3-11/MA-MEK","as:GENC:6:3-11:MA-MEK")</f>
        <v>as:GENC:6:3-11:MA-MEK</v>
      </c>
    </row>
    <row r="2855" spans="1:7" x14ac:dyDescent="0.25">
      <c r="A2855" s="112"/>
      <c r="B2855" s="21" t="s">
        <v>7362</v>
      </c>
      <c r="C2855" s="21" t="s">
        <v>7363</v>
      </c>
      <c r="D2855" s="76" t="s">
        <v>1668</v>
      </c>
      <c r="E2855" s="77" t="b">
        <v>0</v>
      </c>
      <c r="F2855" s="72" t="str">
        <f>HYPERLINK("http://nsgreg.nga.mil/genc/view?v=294165&amp;end_month=6&amp;end_day=30&amp;end_year=2019","Moulay Yacoub")</f>
        <v>Moulay Yacoub</v>
      </c>
      <c r="G2855" s="72" t="str">
        <f>HYPERLINK("http://api.nsgreg.nga.mil/geo-division/GENC/6/3-11/MA-MOU","as:GENC:6:3-11:MA-MOU")</f>
        <v>as:GENC:6:3-11:MA-MOU</v>
      </c>
    </row>
    <row r="2856" spans="1:7" x14ac:dyDescent="0.25">
      <c r="A2856" s="112"/>
      <c r="B2856" s="21" t="s">
        <v>7364</v>
      </c>
      <c r="C2856" s="21" t="s">
        <v>7365</v>
      </c>
      <c r="D2856" s="76" t="s">
        <v>1668</v>
      </c>
      <c r="E2856" s="77" t="b">
        <v>0</v>
      </c>
      <c r="F2856" s="72" t="str">
        <f>HYPERLINK("http://nsgreg.nga.mil/genc/view?v=294176&amp;end_month=6&amp;end_day=30&amp;end_year=2019","Sefrou")</f>
        <v>Sefrou</v>
      </c>
      <c r="G2856" s="72" t="str">
        <f>HYPERLINK("http://api.nsgreg.nga.mil/geo-division/GENC/6/3-11/MA-SEF","as:GENC:6:3-11:MA-SEF")</f>
        <v>as:GENC:6:3-11:MA-SEF</v>
      </c>
    </row>
    <row r="2857" spans="1:7" x14ac:dyDescent="0.25">
      <c r="A2857" s="112"/>
      <c r="B2857" s="21" t="s">
        <v>7366</v>
      </c>
      <c r="C2857" s="21" t="s">
        <v>7367</v>
      </c>
      <c r="D2857" s="76" t="s">
        <v>1668</v>
      </c>
      <c r="E2857" s="77" t="b">
        <v>0</v>
      </c>
      <c r="F2857" s="72" t="str">
        <f>HYPERLINK("http://nsgreg.nga.mil/genc/view?v=294185&amp;end_month=6&amp;end_day=30&amp;end_year=2019","Taounate")</f>
        <v>Taounate</v>
      </c>
      <c r="G2857" s="72" t="str">
        <f>HYPERLINK("http://api.nsgreg.nga.mil/geo-division/GENC/6/3-11/MA-TAO","as:GENC:6:3-11:MA-TAO")</f>
        <v>as:GENC:6:3-11:MA-TAO</v>
      </c>
    </row>
    <row r="2858" spans="1:7" x14ac:dyDescent="0.25">
      <c r="A2858" s="112"/>
      <c r="B2858" s="21" t="s">
        <v>7368</v>
      </c>
      <c r="C2858" s="21" t="s">
        <v>7369</v>
      </c>
      <c r="D2858" s="76" t="s">
        <v>1668</v>
      </c>
      <c r="E2858" s="77" t="b">
        <v>0</v>
      </c>
      <c r="F2858" s="72" t="str">
        <f>HYPERLINK("http://nsgreg.nga.mil/genc/view?v=294188&amp;end_month=6&amp;end_day=30&amp;end_year=2019","Taza")</f>
        <v>Taza</v>
      </c>
      <c r="G2858" s="72" t="str">
        <f>HYPERLINK("http://api.nsgreg.nga.mil/geo-division/GENC/6/3-11/MA-TAZ","as:GENC:6:3-11:MA-TAZ")</f>
        <v>as:GENC:6:3-11:MA-TAZ</v>
      </c>
    </row>
    <row r="2859" spans="1:7" x14ac:dyDescent="0.25">
      <c r="A2859" s="112"/>
      <c r="B2859" s="21" t="s">
        <v>7370</v>
      </c>
      <c r="C2859" s="21" t="s">
        <v>7371</v>
      </c>
      <c r="D2859" s="21" t="s">
        <v>1975</v>
      </c>
      <c r="E2859" s="50" t="b">
        <v>1</v>
      </c>
      <c r="F2859" s="72" t="str">
        <f>HYPERLINK("http://nsgreg.nga.mil/genc/view?v=294118&amp;end_month=6&amp;end_day=30&amp;end_year=2019","Guelmim-Oued Noun")</f>
        <v>Guelmim-Oued Noun</v>
      </c>
      <c r="G2859" s="72" t="str">
        <f>HYPERLINK("http://api.nsgreg.nga.mil/geo-division/GENC/6/3-11/MA-10","as:GENC:6:3-11:MA-10")</f>
        <v>as:GENC:6:3-11:MA-10</v>
      </c>
    </row>
    <row r="2860" spans="1:7" x14ac:dyDescent="0.25">
      <c r="A2860" s="112"/>
      <c r="B2860" s="21" t="s">
        <v>7372</v>
      </c>
      <c r="C2860" s="21" t="s">
        <v>7373</v>
      </c>
      <c r="D2860" s="76" t="s">
        <v>1668</v>
      </c>
      <c r="E2860" s="77" t="b">
        <v>0</v>
      </c>
      <c r="F2860" s="72" t="str">
        <f>HYPERLINK("http://nsgreg.nga.mil/genc/view?v=294123&amp;end_month=6&amp;end_day=30&amp;end_year=2019","Assa-Zag")</f>
        <v>Assa-Zag</v>
      </c>
      <c r="G2860" s="72" t="str">
        <f>HYPERLINK("http://api.nsgreg.nga.mil/geo-division/GENC/6/3-11/MA-ASZ","as:GENC:6:3-11:MA-ASZ")</f>
        <v>as:GENC:6:3-11:MA-ASZ</v>
      </c>
    </row>
    <row r="2861" spans="1:7" x14ac:dyDescent="0.25">
      <c r="A2861" s="112"/>
      <c r="B2861" s="21" t="s">
        <v>7374</v>
      </c>
      <c r="C2861" s="21" t="s">
        <v>7375</v>
      </c>
      <c r="D2861" s="76" t="s">
        <v>1668</v>
      </c>
      <c r="E2861" s="77" t="b">
        <v>0</v>
      </c>
      <c r="F2861" s="72" t="str">
        <f>HYPERLINK("http://nsgreg.nga.mil/genc/view?v=294143&amp;end_month=6&amp;end_day=30&amp;end_year=2019","Guelmim")</f>
        <v>Guelmim</v>
      </c>
      <c r="G2861" s="72" t="str">
        <f>HYPERLINK("http://api.nsgreg.nga.mil/geo-division/GENC/6/3-11/MA-GUE","as:GENC:6:3-11:MA-GUE")</f>
        <v>as:GENC:6:3-11:MA-GUE</v>
      </c>
    </row>
    <row r="2862" spans="1:7" x14ac:dyDescent="0.25">
      <c r="A2862" s="112"/>
      <c r="B2862" s="21" t="s">
        <v>7376</v>
      </c>
      <c r="C2862" s="21" t="s">
        <v>7377</v>
      </c>
      <c r="D2862" s="76" t="s">
        <v>1668</v>
      </c>
      <c r="E2862" s="77" t="b">
        <v>0</v>
      </c>
      <c r="F2862" s="72" t="str">
        <f>HYPERLINK("http://nsgreg.nga.mil/genc/view?v=294179&amp;end_month=6&amp;end_day=30&amp;end_year=2019","Sidi Ifni")</f>
        <v>Sidi Ifni</v>
      </c>
      <c r="G2862" s="72" t="str">
        <f>HYPERLINK("http://api.nsgreg.nga.mil/geo-division/GENC/6/3-11/MA-SIF","as:GENC:6:3-11:MA-SIF")</f>
        <v>as:GENC:6:3-11:MA-SIF</v>
      </c>
    </row>
    <row r="2863" spans="1:7" x14ac:dyDescent="0.25">
      <c r="A2863" s="112"/>
      <c r="B2863" s="21" t="s">
        <v>7378</v>
      </c>
      <c r="C2863" s="21" t="s">
        <v>7379</v>
      </c>
      <c r="D2863" s="76" t="s">
        <v>1668</v>
      </c>
      <c r="E2863" s="77" t="b">
        <v>0</v>
      </c>
      <c r="F2863" s="72" t="str">
        <f>HYPERLINK("http://nsgreg.nga.mil/genc/view?v=294193&amp;end_month=6&amp;end_day=30&amp;end_year=2019","Tan-Tan")</f>
        <v>Tan-Tan</v>
      </c>
      <c r="G2863" s="72" t="str">
        <f>HYPERLINK("http://api.nsgreg.nga.mil/geo-division/GENC/6/3-11/MA-TNT","as:GENC:6:3-11:MA-TNT")</f>
        <v>as:GENC:6:3-11:MA-TNT</v>
      </c>
    </row>
    <row r="2864" spans="1:7" x14ac:dyDescent="0.25">
      <c r="A2864" s="112"/>
      <c r="B2864" s="21" t="s">
        <v>7380</v>
      </c>
      <c r="C2864" s="21" t="s">
        <v>7381</v>
      </c>
      <c r="D2864" s="21" t="s">
        <v>1975</v>
      </c>
      <c r="E2864" s="50" t="b">
        <v>1</v>
      </c>
      <c r="F2864" s="72" t="str">
        <f>HYPERLINK("http://nsgreg.nga.mil/genc/view?v=294119&amp;end_month=6&amp;end_day=30&amp;end_year=2019","Laâyoune-Sakia El Hamra")</f>
        <v>Laâyoune-Sakia El Hamra</v>
      </c>
      <c r="G2864" s="72" t="str">
        <f>HYPERLINK("http://api.nsgreg.nga.mil/geo-division/GENC/6/3-11/MA-11","as:GENC:6:3-11:MA-11")</f>
        <v>as:GENC:6:3-11:MA-11</v>
      </c>
    </row>
    <row r="2865" spans="1:7" x14ac:dyDescent="0.25">
      <c r="A2865" s="112"/>
      <c r="B2865" s="21" t="s">
        <v>7382</v>
      </c>
      <c r="C2865" s="21" t="s">
        <v>7383</v>
      </c>
      <c r="D2865" s="76" t="s">
        <v>1668</v>
      </c>
      <c r="E2865" s="77" t="b">
        <v>0</v>
      </c>
      <c r="F2865" s="72" t="str">
        <f>HYPERLINK("http://nsgreg.nga.mil/genc/view?v=294138&amp;end_month=6&amp;end_day=30&amp;end_year=2019","Es-Semara")</f>
        <v>Es-Semara</v>
      </c>
      <c r="G2865" s="72" t="str">
        <f>HYPERLINK("http://api.nsgreg.nga.mil/geo-division/GENC/6/3-11/MA-ESM","as:GENC:6:3-11:MA-ESM")</f>
        <v>as:GENC:6:3-11:MA-ESM</v>
      </c>
    </row>
    <row r="2866" spans="1:7" x14ac:dyDescent="0.25">
      <c r="A2866" s="112"/>
      <c r="B2866" s="21" t="s">
        <v>7384</v>
      </c>
      <c r="C2866" s="21" t="s">
        <v>7385</v>
      </c>
      <c r="D2866" s="76" t="s">
        <v>1668</v>
      </c>
      <c r="E2866" s="77" t="b">
        <v>0</v>
      </c>
      <c r="F2866" s="72" t="str">
        <f>HYPERLINK("http://nsgreg.nga.mil/genc/view?v=294183&amp;end_month=6&amp;end_day=30&amp;end_year=2019","Tarfaya")</f>
        <v>Tarfaya</v>
      </c>
      <c r="G2866" s="72" t="str">
        <f>HYPERLINK("http://api.nsgreg.nga.mil/geo-division/GENC/6/3-11/MA-TAF","as:GENC:6:3-11:MA-TAF")</f>
        <v>as:GENC:6:3-11:MA-TAF</v>
      </c>
    </row>
    <row r="2867" spans="1:7" x14ac:dyDescent="0.25">
      <c r="A2867" s="112"/>
      <c r="B2867" s="21" t="s">
        <v>7386</v>
      </c>
      <c r="C2867" s="21" t="s">
        <v>7387</v>
      </c>
      <c r="D2867" s="21" t="s">
        <v>1975</v>
      </c>
      <c r="E2867" s="50" t="b">
        <v>1</v>
      </c>
      <c r="F2867" s="72" t="str">
        <f>HYPERLINK("http://nsgreg.nga.mil/genc/view?v=294115&amp;end_month=6&amp;end_day=30&amp;end_year=2019","Marrakech-Safi")</f>
        <v>Marrakech-Safi</v>
      </c>
      <c r="G2867" s="72" t="str">
        <f>HYPERLINK("http://api.nsgreg.nga.mil/geo-division/GENC/6/3-11/MA-07","as:GENC:6:3-11:MA-07")</f>
        <v>as:GENC:6:3-11:MA-07</v>
      </c>
    </row>
    <row r="2868" spans="1:7" x14ac:dyDescent="0.25">
      <c r="A2868" s="112"/>
      <c r="B2868" s="21" t="s">
        <v>7388</v>
      </c>
      <c r="C2868" s="21" t="s">
        <v>7389</v>
      </c>
      <c r="D2868" s="76" t="s">
        <v>1668</v>
      </c>
      <c r="E2868" s="77" t="b">
        <v>0</v>
      </c>
      <c r="F2868" s="72" t="str">
        <f>HYPERLINK("http://nsgreg.nga.mil/genc/view?v=294146&amp;end_month=6&amp;end_day=30&amp;end_year=2019","Al Haouz")</f>
        <v>Al Haouz</v>
      </c>
      <c r="G2868" s="72" t="str">
        <f>HYPERLINK("http://api.nsgreg.nga.mil/geo-division/GENC/6/3-11/MA-HAO","as:GENC:6:3-11:MA-HAO")</f>
        <v>as:GENC:6:3-11:MA-HAO</v>
      </c>
    </row>
    <row r="2869" spans="1:7" x14ac:dyDescent="0.25">
      <c r="A2869" s="112"/>
      <c r="B2869" s="21" t="s">
        <v>7390</v>
      </c>
      <c r="C2869" s="21" t="s">
        <v>7391</v>
      </c>
      <c r="D2869" s="76" t="s">
        <v>1668</v>
      </c>
      <c r="E2869" s="77" t="b">
        <v>0</v>
      </c>
      <c r="F2869" s="72" t="str">
        <f>HYPERLINK("http://nsgreg.nga.mil/genc/view?v=294133&amp;end_month=6&amp;end_day=30&amp;end_year=2019","Chichaoua")</f>
        <v>Chichaoua</v>
      </c>
      <c r="G2869" s="72" t="str">
        <f>HYPERLINK("http://api.nsgreg.nga.mil/geo-division/GENC/6/3-11/MA-CHI","as:GENC:6:3-11:MA-CHI")</f>
        <v>as:GENC:6:3-11:MA-CHI</v>
      </c>
    </row>
    <row r="2870" spans="1:7" x14ac:dyDescent="0.25">
      <c r="A2870" s="112"/>
      <c r="B2870" s="21" t="s">
        <v>7392</v>
      </c>
      <c r="C2870" s="21" t="s">
        <v>7393</v>
      </c>
      <c r="D2870" s="76" t="s">
        <v>1668</v>
      </c>
      <c r="E2870" s="77" t="b">
        <v>0</v>
      </c>
      <c r="F2870" s="72" t="str">
        <f>HYPERLINK("http://nsgreg.nga.mil/genc/view?v=294153&amp;end_month=6&amp;end_day=30&amp;end_year=2019","El Kelâa des Sraghna")</f>
        <v>El Kelâa des Sraghna</v>
      </c>
      <c r="G2870" s="72" t="str">
        <f>HYPERLINK("http://api.nsgreg.nga.mil/geo-division/GENC/6/3-11/MA-KES","as:GENC:6:3-11:MA-KES")</f>
        <v>as:GENC:6:3-11:MA-KES</v>
      </c>
    </row>
    <row r="2871" spans="1:7" x14ac:dyDescent="0.25">
      <c r="A2871" s="112"/>
      <c r="B2871" s="21" t="s">
        <v>7394</v>
      </c>
      <c r="C2871" s="21" t="s">
        <v>7395</v>
      </c>
      <c r="D2871" s="76" t="s">
        <v>1668</v>
      </c>
      <c r="E2871" s="77" t="b">
        <v>0</v>
      </c>
      <c r="F2871" s="72" t="str">
        <f>HYPERLINK("http://nsgreg.nga.mil/genc/view?v=294137&amp;end_month=6&amp;end_day=30&amp;end_year=2019","Essaouira")</f>
        <v>Essaouira</v>
      </c>
      <c r="G2871" s="72" t="str">
        <f>HYPERLINK("http://api.nsgreg.nga.mil/geo-division/GENC/6/3-11/MA-ESI","as:GENC:6:3-11:MA-ESI")</f>
        <v>as:GENC:6:3-11:MA-ESI</v>
      </c>
    </row>
    <row r="2872" spans="1:7" x14ac:dyDescent="0.25">
      <c r="A2872" s="112"/>
      <c r="B2872" s="21" t="s">
        <v>7396</v>
      </c>
      <c r="C2872" s="21" t="s">
        <v>7397</v>
      </c>
      <c r="D2872" s="76" t="s">
        <v>3072</v>
      </c>
      <c r="E2872" s="77" t="b">
        <v>0</v>
      </c>
      <c r="F2872" s="72" t="str">
        <f>HYPERLINK("http://nsgreg.nga.mil/genc/view?v=294159&amp;end_month=6&amp;end_day=30&amp;end_year=2019","Marrakech")</f>
        <v>Marrakech</v>
      </c>
      <c r="G2872" s="72" t="str">
        <f>HYPERLINK("http://api.nsgreg.nga.mil/geo-division/GENC/6/3-11/MA-MAR","as:GENC:6:3-11:MA-MAR")</f>
        <v>as:GENC:6:3-11:MA-MAR</v>
      </c>
    </row>
    <row r="2873" spans="1:7" x14ac:dyDescent="0.25">
      <c r="A2873" s="112"/>
      <c r="B2873" s="21" t="s">
        <v>7398</v>
      </c>
      <c r="C2873" s="21" t="s">
        <v>7399</v>
      </c>
      <c r="D2873" s="76" t="s">
        <v>1668</v>
      </c>
      <c r="E2873" s="77" t="b">
        <v>0</v>
      </c>
      <c r="F2873" s="72" t="str">
        <f>HYPERLINK("http://nsgreg.nga.mil/genc/view?v=294173&amp;end_month=6&amp;end_day=30&amp;end_year=2019","Rehamna")</f>
        <v>Rehamna</v>
      </c>
      <c r="G2873" s="72" t="str">
        <f>HYPERLINK("http://api.nsgreg.nga.mil/geo-division/GENC/6/3-11/MA-REH","as:GENC:6:3-11:MA-REH")</f>
        <v>as:GENC:6:3-11:MA-REH</v>
      </c>
    </row>
    <row r="2874" spans="1:7" x14ac:dyDescent="0.25">
      <c r="A2874" s="112"/>
      <c r="B2874" s="21" t="s">
        <v>7400</v>
      </c>
      <c r="C2874" s="21" t="s">
        <v>7401</v>
      </c>
      <c r="D2874" s="76" t="s">
        <v>1668</v>
      </c>
      <c r="E2874" s="77" t="b">
        <v>0</v>
      </c>
      <c r="F2874" s="72" t="str">
        <f>HYPERLINK("http://nsgreg.nga.mil/genc/view?v=294174&amp;end_month=6&amp;end_day=30&amp;end_year=2019","Safi")</f>
        <v>Safi</v>
      </c>
      <c r="G2874" s="72" t="str">
        <f>HYPERLINK("http://api.nsgreg.nga.mil/geo-division/GENC/6/3-11/MA-SAF","as:GENC:6:3-11:MA-SAF")</f>
        <v>as:GENC:6:3-11:MA-SAF</v>
      </c>
    </row>
    <row r="2875" spans="1:7" x14ac:dyDescent="0.25">
      <c r="A2875" s="112"/>
      <c r="B2875" s="21" t="s">
        <v>7402</v>
      </c>
      <c r="C2875" s="21" t="s">
        <v>7403</v>
      </c>
      <c r="D2875" s="76" t="s">
        <v>1668</v>
      </c>
      <c r="E2875" s="77" t="b">
        <v>0</v>
      </c>
      <c r="F2875" s="72" t="str">
        <f>HYPERLINK("http://nsgreg.nga.mil/genc/view?v=294194&amp;end_month=6&amp;end_day=30&amp;end_year=2019","Youssoufia")</f>
        <v>Youssoufia</v>
      </c>
      <c r="G2875" s="72" t="str">
        <f>HYPERLINK("http://api.nsgreg.nga.mil/geo-division/GENC/6/3-11/MA-YUS","as:GENC:6:3-11:MA-YUS")</f>
        <v>as:GENC:6:3-11:MA-YUS</v>
      </c>
    </row>
    <row r="2876" spans="1:7" x14ac:dyDescent="0.25">
      <c r="A2876" s="112"/>
      <c r="B2876" s="21" t="s">
        <v>7404</v>
      </c>
      <c r="C2876" s="21" t="s">
        <v>7405</v>
      </c>
      <c r="D2876" s="21" t="s">
        <v>1975</v>
      </c>
      <c r="E2876" s="50" t="b">
        <v>1</v>
      </c>
      <c r="F2876" s="72" t="str">
        <f>HYPERLINK("http://nsgreg.nga.mil/genc/view?v=294110&amp;end_month=6&amp;end_day=30&amp;end_year=2019","Oriental")</f>
        <v>Oriental</v>
      </c>
      <c r="G2876" s="72" t="str">
        <f>HYPERLINK("http://api.nsgreg.nga.mil/geo-division/GENC/6/3-11/MA-02","as:GENC:6:3-11:MA-02")</f>
        <v>as:GENC:6:3-11:MA-02</v>
      </c>
    </row>
    <row r="2877" spans="1:7" x14ac:dyDescent="0.25">
      <c r="A2877" s="112"/>
      <c r="B2877" s="21" t="s">
        <v>7406</v>
      </c>
      <c r="C2877" s="21" t="s">
        <v>7407</v>
      </c>
      <c r="D2877" s="76" t="s">
        <v>1668</v>
      </c>
      <c r="E2877" s="77" t="b">
        <v>0</v>
      </c>
      <c r="F2877" s="72" t="str">
        <f>HYPERLINK("http://nsgreg.nga.mil/genc/view?v=294126&amp;end_month=6&amp;end_day=30&amp;end_year=2019","Berkane")</f>
        <v>Berkane</v>
      </c>
      <c r="G2877" s="72" t="str">
        <f>HYPERLINK("http://api.nsgreg.nga.mil/geo-division/GENC/6/3-11/MA-BER","as:GENC:6:3-11:MA-BER")</f>
        <v>as:GENC:6:3-11:MA-BER</v>
      </c>
    </row>
    <row r="2878" spans="1:7" x14ac:dyDescent="0.25">
      <c r="A2878" s="112"/>
      <c r="B2878" s="21" t="s">
        <v>7408</v>
      </c>
      <c r="C2878" s="21" t="s">
        <v>7409</v>
      </c>
      <c r="D2878" s="76" t="s">
        <v>1668</v>
      </c>
      <c r="E2878" s="77" t="b">
        <v>0</v>
      </c>
      <c r="F2878" s="72" t="str">
        <f>HYPERLINK("http://nsgreg.nga.mil/genc/view?v=294135&amp;end_month=6&amp;end_day=30&amp;end_year=2019","Driouch")</f>
        <v>Driouch</v>
      </c>
      <c r="G2878" s="72" t="str">
        <f>HYPERLINK("http://api.nsgreg.nga.mil/geo-division/GENC/6/3-11/MA-DRI","as:GENC:6:3-11:MA-DRI")</f>
        <v>as:GENC:6:3-11:MA-DRI</v>
      </c>
    </row>
    <row r="2879" spans="1:7" x14ac:dyDescent="0.25">
      <c r="A2879" s="112"/>
      <c r="B2879" s="21" t="s">
        <v>7410</v>
      </c>
      <c r="C2879" s="21" t="s">
        <v>7411</v>
      </c>
      <c r="D2879" s="76" t="s">
        <v>1668</v>
      </c>
      <c r="E2879" s="77" t="b">
        <v>0</v>
      </c>
      <c r="F2879" s="72" t="str">
        <f>HYPERLINK("http://nsgreg.nga.mil/genc/view?v=294141&amp;end_month=6&amp;end_day=30&amp;end_year=2019","Figuig")</f>
        <v>Figuig</v>
      </c>
      <c r="G2879" s="72" t="str">
        <f>HYPERLINK("http://api.nsgreg.nga.mil/geo-division/GENC/6/3-11/MA-FIG","as:GENC:6:3-11:MA-FIG")</f>
        <v>as:GENC:6:3-11:MA-FIG</v>
      </c>
    </row>
    <row r="2880" spans="1:7" x14ac:dyDescent="0.25">
      <c r="A2880" s="112"/>
      <c r="B2880" s="21" t="s">
        <v>7412</v>
      </c>
      <c r="C2880" s="21" t="s">
        <v>7413</v>
      </c>
      <c r="D2880" s="76" t="s">
        <v>1668</v>
      </c>
      <c r="E2880" s="77" t="b">
        <v>0</v>
      </c>
      <c r="F2880" s="72" t="str">
        <f>HYPERLINK("http://nsgreg.nga.mil/genc/view?v=294144&amp;end_month=6&amp;end_day=30&amp;end_year=2019","Guercif")</f>
        <v>Guercif</v>
      </c>
      <c r="G2880" s="72" t="str">
        <f>HYPERLINK("http://api.nsgreg.nga.mil/geo-division/GENC/6/3-11/MA-GUF","as:GENC:6:3-11:MA-GUF")</f>
        <v>as:GENC:6:3-11:MA-GUF</v>
      </c>
    </row>
    <row r="2881" spans="1:7" x14ac:dyDescent="0.25">
      <c r="A2881" s="112"/>
      <c r="B2881" s="21" t="s">
        <v>7414</v>
      </c>
      <c r="C2881" s="21" t="s">
        <v>7415</v>
      </c>
      <c r="D2881" s="76" t="s">
        <v>1668</v>
      </c>
      <c r="E2881" s="77" t="b">
        <v>0</v>
      </c>
      <c r="F2881" s="72" t="str">
        <f>HYPERLINK("http://nsgreg.nga.mil/genc/view?v=294151&amp;end_month=6&amp;end_day=30&amp;end_year=2019","Jerada")</f>
        <v>Jerada</v>
      </c>
      <c r="G2881" s="72" t="str">
        <f>HYPERLINK("http://api.nsgreg.nga.mil/geo-division/GENC/6/3-11/MA-JRA","as:GENC:6:3-11:MA-JRA")</f>
        <v>as:GENC:6:3-11:MA-JRA</v>
      </c>
    </row>
    <row r="2882" spans="1:7" x14ac:dyDescent="0.25">
      <c r="A2882" s="112"/>
      <c r="B2882" s="21" t="s">
        <v>7416</v>
      </c>
      <c r="C2882" s="21" t="s">
        <v>7417</v>
      </c>
      <c r="D2882" s="76" t="s">
        <v>1668</v>
      </c>
      <c r="E2882" s="77" t="b">
        <v>0</v>
      </c>
      <c r="F2882" s="72" t="str">
        <f>HYPERLINK("http://nsgreg.nga.mil/genc/view?v=294166&amp;end_month=6&amp;end_day=30&amp;end_year=2019","Nador")</f>
        <v>Nador</v>
      </c>
      <c r="G2882" s="72" t="str">
        <f>HYPERLINK("http://api.nsgreg.nga.mil/geo-division/GENC/6/3-11/MA-NAD","as:GENC:6:3-11:MA-NAD")</f>
        <v>as:GENC:6:3-11:MA-NAD</v>
      </c>
    </row>
    <row r="2883" spans="1:7" x14ac:dyDescent="0.25">
      <c r="A2883" s="112"/>
      <c r="B2883" s="21" t="s">
        <v>7418</v>
      </c>
      <c r="C2883" s="21" t="s">
        <v>7419</v>
      </c>
      <c r="D2883" s="76" t="s">
        <v>3072</v>
      </c>
      <c r="E2883" s="77" t="b">
        <v>0</v>
      </c>
      <c r="F2883" s="72" t="str">
        <f>HYPERLINK("http://nsgreg.nga.mil/genc/view?v=294170&amp;end_month=6&amp;end_day=30&amp;end_year=2019","Oujda-Angad")</f>
        <v>Oujda-Angad</v>
      </c>
      <c r="G2883" s="72" t="str">
        <f>HYPERLINK("http://api.nsgreg.nga.mil/geo-division/GENC/6/3-11/MA-OUJ","as:GENC:6:3-11:MA-OUJ")</f>
        <v>as:GENC:6:3-11:MA-OUJ</v>
      </c>
    </row>
    <row r="2884" spans="1:7" x14ac:dyDescent="0.25">
      <c r="A2884" s="112"/>
      <c r="B2884" s="21" t="s">
        <v>7420</v>
      </c>
      <c r="C2884" s="21" t="s">
        <v>7421</v>
      </c>
      <c r="D2884" s="76" t="s">
        <v>1668</v>
      </c>
      <c r="E2884" s="77" t="b">
        <v>0</v>
      </c>
      <c r="F2884" s="72" t="str">
        <f>HYPERLINK("http://nsgreg.nga.mil/genc/view?v=294184&amp;end_month=6&amp;end_day=30&amp;end_year=2019","Taourirt")</f>
        <v>Taourirt</v>
      </c>
      <c r="G2884" s="72" t="str">
        <f>HYPERLINK("http://api.nsgreg.nga.mil/geo-division/GENC/6/3-11/MA-TAI","as:GENC:6:3-11:MA-TAI")</f>
        <v>as:GENC:6:3-11:MA-TAI</v>
      </c>
    </row>
    <row r="2885" spans="1:7" x14ac:dyDescent="0.25">
      <c r="A2885" s="112"/>
      <c r="B2885" s="21" t="s">
        <v>7422</v>
      </c>
      <c r="C2885" s="21" t="s">
        <v>7423</v>
      </c>
      <c r="D2885" s="21" t="s">
        <v>1975</v>
      </c>
      <c r="E2885" s="50" t="b">
        <v>1</v>
      </c>
      <c r="F2885" s="72" t="str">
        <f>HYPERLINK("http://nsgreg.nga.mil/genc/view?v=294112&amp;end_month=6&amp;end_day=30&amp;end_year=2019","Rabat-Salé-Kénitra")</f>
        <v>Rabat-Salé-Kénitra</v>
      </c>
      <c r="G2885" s="72" t="str">
        <f>HYPERLINK("http://api.nsgreg.nga.mil/geo-division/GENC/6/3-11/MA-04","as:GENC:6:3-11:MA-04")</f>
        <v>as:GENC:6:3-11:MA-04</v>
      </c>
    </row>
    <row r="2886" spans="1:7" x14ac:dyDescent="0.25">
      <c r="A2886" s="112"/>
      <c r="B2886" s="21" t="s">
        <v>7424</v>
      </c>
      <c r="C2886" s="21" t="s">
        <v>7425</v>
      </c>
      <c r="D2886" s="76" t="s">
        <v>1668</v>
      </c>
      <c r="E2886" s="77" t="b">
        <v>0</v>
      </c>
      <c r="F2886" s="72" t="str">
        <f>HYPERLINK("http://nsgreg.nga.mil/genc/view?v=294152&amp;end_month=6&amp;end_day=30&amp;end_year=2019","Kénitra")</f>
        <v>Kénitra</v>
      </c>
      <c r="G2886" s="72" t="str">
        <f>HYPERLINK("http://api.nsgreg.nga.mil/geo-division/GENC/6/3-11/MA-KEN","as:GENC:6:3-11:MA-KEN")</f>
        <v>as:GENC:6:3-11:MA-KEN</v>
      </c>
    </row>
    <row r="2887" spans="1:7" x14ac:dyDescent="0.25">
      <c r="A2887" s="112"/>
      <c r="B2887" s="21" t="s">
        <v>7426</v>
      </c>
      <c r="C2887" s="21" t="s">
        <v>7427</v>
      </c>
      <c r="D2887" s="76" t="s">
        <v>1668</v>
      </c>
      <c r="E2887" s="77" t="b">
        <v>0</v>
      </c>
      <c r="F2887" s="72" t="str">
        <f>HYPERLINK("http://nsgreg.nga.mil/genc/view?v=294154&amp;end_month=6&amp;end_day=30&amp;end_year=2019","Khémisset")</f>
        <v>Khémisset</v>
      </c>
      <c r="G2887" s="72" t="str">
        <f>HYPERLINK("http://api.nsgreg.nga.mil/geo-division/GENC/6/3-11/MA-KHE","as:GENC:6:3-11:MA-KHE")</f>
        <v>as:GENC:6:3-11:MA-KHE</v>
      </c>
    </row>
    <row r="2888" spans="1:7" x14ac:dyDescent="0.25">
      <c r="A2888" s="112"/>
      <c r="B2888" s="21" t="s">
        <v>7428</v>
      </c>
      <c r="C2888" s="21" t="s">
        <v>7429</v>
      </c>
      <c r="D2888" s="76" t="s">
        <v>1668</v>
      </c>
      <c r="E2888" s="77" t="b">
        <v>0</v>
      </c>
      <c r="F2888" s="72" t="str">
        <f>HYPERLINK("http://nsgreg.nga.mil/genc/view?v=294167&amp;end_month=6&amp;end_day=30&amp;end_year=2019","Nouaceur")</f>
        <v>Nouaceur</v>
      </c>
      <c r="G2888" s="72" t="str">
        <f>HYPERLINK("http://api.nsgreg.nga.mil/geo-division/GENC/6/3-11/MA-NOU","as:GENC:6:3-11:MA-NOU")</f>
        <v>as:GENC:6:3-11:MA-NOU</v>
      </c>
    </row>
    <row r="2889" spans="1:7" x14ac:dyDescent="0.25">
      <c r="A2889" s="112"/>
      <c r="B2889" s="21" t="s">
        <v>7430</v>
      </c>
      <c r="C2889" s="21" t="s">
        <v>7431</v>
      </c>
      <c r="D2889" s="76" t="s">
        <v>3072</v>
      </c>
      <c r="E2889" s="77" t="b">
        <v>0</v>
      </c>
      <c r="F2889" s="72" t="str">
        <f>HYPERLINK("http://nsgreg.nga.mil/genc/view?v=294172&amp;end_month=6&amp;end_day=30&amp;end_year=2019","Rabat")</f>
        <v>Rabat</v>
      </c>
      <c r="G2889" s="72" t="str">
        <f>HYPERLINK("http://api.nsgreg.nga.mil/geo-division/GENC/6/3-11/MA-RAB","as:GENC:6:3-11:MA-RAB")</f>
        <v>as:GENC:6:3-11:MA-RAB</v>
      </c>
    </row>
    <row r="2890" spans="1:7" x14ac:dyDescent="0.25">
      <c r="A2890" s="112"/>
      <c r="B2890" s="21" t="s">
        <v>7432</v>
      </c>
      <c r="C2890" s="21" t="s">
        <v>7433</v>
      </c>
      <c r="D2890" s="76" t="s">
        <v>3072</v>
      </c>
      <c r="E2890" s="77" t="b">
        <v>0</v>
      </c>
      <c r="F2890" s="72" t="str">
        <f>HYPERLINK("http://nsgreg.nga.mil/genc/view?v=294175&amp;end_month=6&amp;end_day=30&amp;end_year=2019","Salé")</f>
        <v>Salé</v>
      </c>
      <c r="G2890" s="72" t="str">
        <f>HYPERLINK("http://api.nsgreg.nga.mil/geo-division/GENC/6/3-11/MA-SAL","as:GENC:6:3-11:MA-SAL")</f>
        <v>as:GENC:6:3-11:MA-SAL</v>
      </c>
    </row>
    <row r="2891" spans="1:7" x14ac:dyDescent="0.25">
      <c r="A2891" s="112"/>
      <c r="B2891" s="21" t="s">
        <v>7434</v>
      </c>
      <c r="C2891" s="21" t="s">
        <v>7435</v>
      </c>
      <c r="D2891" s="76" t="s">
        <v>1668</v>
      </c>
      <c r="E2891" s="77" t="b">
        <v>0</v>
      </c>
      <c r="F2891" s="72" t="str">
        <f>HYPERLINK("http://nsgreg.nga.mil/genc/view?v=294180&amp;end_month=6&amp;end_day=30&amp;end_year=2019","Sidi Kacem")</f>
        <v>Sidi Kacem</v>
      </c>
      <c r="G2891" s="72" t="str">
        <f>HYPERLINK("http://api.nsgreg.nga.mil/geo-division/GENC/6/3-11/MA-SIK","as:GENC:6:3-11:MA-SIK")</f>
        <v>as:GENC:6:3-11:MA-SIK</v>
      </c>
    </row>
    <row r="2892" spans="1:7" x14ac:dyDescent="0.25">
      <c r="A2892" s="112"/>
      <c r="B2892" s="21" t="s">
        <v>7436</v>
      </c>
      <c r="C2892" s="21" t="s">
        <v>7437</v>
      </c>
      <c r="D2892" s="76" t="s">
        <v>1668</v>
      </c>
      <c r="E2892" s="77" t="b">
        <v>0</v>
      </c>
      <c r="F2892" s="72" t="str">
        <f>HYPERLINK("http://nsgreg.nga.mil/genc/view?v=294181&amp;end_month=6&amp;end_day=30&amp;end_year=2019","Sidi Slimane")</f>
        <v>Sidi Slimane</v>
      </c>
      <c r="G2892" s="72" t="str">
        <f>HYPERLINK("http://api.nsgreg.nga.mil/geo-division/GENC/6/3-11/MA-SIL","as:GENC:6:3-11:MA-SIL")</f>
        <v>as:GENC:6:3-11:MA-SIL</v>
      </c>
    </row>
    <row r="2893" spans="1:7" x14ac:dyDescent="0.25">
      <c r="A2893" s="112"/>
      <c r="B2893" s="21" t="s">
        <v>7438</v>
      </c>
      <c r="C2893" s="21" t="s">
        <v>7439</v>
      </c>
      <c r="D2893" s="76" t="s">
        <v>3072</v>
      </c>
      <c r="E2893" s="77" t="b">
        <v>0</v>
      </c>
      <c r="F2893" s="72" t="str">
        <f>HYPERLINK("http://nsgreg.nga.mil/genc/view?v=294182&amp;end_month=6&amp;end_day=30&amp;end_year=2019","Skhirate-Témara")</f>
        <v>Skhirate-Témara</v>
      </c>
      <c r="G2893" s="72" t="str">
        <f>HYPERLINK("http://api.nsgreg.nga.mil/geo-division/GENC/6/3-11/MA-SKH","as:GENC:6:3-11:MA-SKH")</f>
        <v>as:GENC:6:3-11:MA-SKH</v>
      </c>
    </row>
    <row r="2894" spans="1:7" x14ac:dyDescent="0.25">
      <c r="A2894" s="112"/>
      <c r="B2894" s="21" t="s">
        <v>7440</v>
      </c>
      <c r="C2894" s="21" t="s">
        <v>7441</v>
      </c>
      <c r="D2894" s="21" t="s">
        <v>1975</v>
      </c>
      <c r="E2894" s="50" t="b">
        <v>1</v>
      </c>
      <c r="F2894" s="72" t="str">
        <f>HYPERLINK("http://nsgreg.nga.mil/genc/view?v=294117&amp;end_month=6&amp;end_day=30&amp;end_year=2019","Souss-Massa")</f>
        <v>Souss-Massa</v>
      </c>
      <c r="G2894" s="72" t="str">
        <f>HYPERLINK("http://api.nsgreg.nga.mil/geo-division/GENC/6/3-11/MA-09","as:GENC:6:3-11:MA-09")</f>
        <v>as:GENC:6:3-11:MA-09</v>
      </c>
    </row>
    <row r="2895" spans="1:7" x14ac:dyDescent="0.25">
      <c r="A2895" s="112"/>
      <c r="B2895" s="21" t="s">
        <v>7442</v>
      </c>
      <c r="C2895" s="21" t="s">
        <v>7443</v>
      </c>
      <c r="D2895" s="76" t="s">
        <v>3072</v>
      </c>
      <c r="E2895" s="77" t="b">
        <v>0</v>
      </c>
      <c r="F2895" s="72" t="str">
        <f>HYPERLINK("http://nsgreg.nga.mil/genc/view?v=294121&amp;end_month=6&amp;end_day=30&amp;end_year=2019","Agadir Ida Outanane")</f>
        <v>Agadir Ida Outanane</v>
      </c>
      <c r="G2895" s="72" t="str">
        <f>HYPERLINK("http://api.nsgreg.nga.mil/geo-division/GENC/6/3-11/MA-AGD","as:GENC:6:3-11:MA-AGD")</f>
        <v>as:GENC:6:3-11:MA-AGD</v>
      </c>
    </row>
    <row r="2896" spans="1:7" x14ac:dyDescent="0.25">
      <c r="A2896" s="112"/>
      <c r="B2896" s="21" t="s">
        <v>7444</v>
      </c>
      <c r="C2896" s="21" t="s">
        <v>7445</v>
      </c>
      <c r="D2896" s="76" t="s">
        <v>1668</v>
      </c>
      <c r="E2896" s="77" t="b">
        <v>0</v>
      </c>
      <c r="F2896" s="72" t="str">
        <f>HYPERLINK("http://nsgreg.nga.mil/genc/view?v=294134&amp;end_month=6&amp;end_day=30&amp;end_year=2019","Chtouka-Ait Baha")</f>
        <v>Chtouka-Ait Baha</v>
      </c>
      <c r="G2896" s="72" t="str">
        <f>HYPERLINK("http://api.nsgreg.nga.mil/geo-division/GENC/6/3-11/MA-CHT","as:GENC:6:3-11:MA-CHT")</f>
        <v>as:GENC:6:3-11:MA-CHT</v>
      </c>
    </row>
    <row r="2897" spans="1:7" x14ac:dyDescent="0.25">
      <c r="A2897" s="112"/>
      <c r="B2897" s="21" t="s">
        <v>7446</v>
      </c>
      <c r="C2897" s="21" t="s">
        <v>7447</v>
      </c>
      <c r="D2897" s="76" t="s">
        <v>3072</v>
      </c>
      <c r="E2897" s="77" t="b">
        <v>0</v>
      </c>
      <c r="F2897" s="72" t="str">
        <f>HYPERLINK("http://nsgreg.nga.mil/genc/view?v=294149&amp;end_month=6&amp;end_day=30&amp;end_year=2019","Inezgane-Ait Melloul")</f>
        <v>Inezgane-Ait Melloul</v>
      </c>
      <c r="G2897" s="72" t="str">
        <f>HYPERLINK("http://api.nsgreg.nga.mil/geo-division/GENC/6/3-11/MA-INE","as:GENC:6:3-11:MA-INE")</f>
        <v>as:GENC:6:3-11:MA-INE</v>
      </c>
    </row>
    <row r="2898" spans="1:7" x14ac:dyDescent="0.25">
      <c r="A2898" s="112"/>
      <c r="B2898" s="21" t="s">
        <v>7448</v>
      </c>
      <c r="C2898" s="21" t="s">
        <v>7449</v>
      </c>
      <c r="D2898" s="76" t="s">
        <v>1668</v>
      </c>
      <c r="E2898" s="77" t="b">
        <v>0</v>
      </c>
      <c r="F2898" s="72" t="str">
        <f>HYPERLINK("http://nsgreg.nga.mil/genc/view?v=294186&amp;end_month=6&amp;end_day=30&amp;end_year=2019","Taroudannt")</f>
        <v>Taroudannt</v>
      </c>
      <c r="G2898" s="72" t="str">
        <f>HYPERLINK("http://api.nsgreg.nga.mil/geo-division/GENC/6/3-11/MA-TAR","as:GENC:6:3-11:MA-TAR")</f>
        <v>as:GENC:6:3-11:MA-TAR</v>
      </c>
    </row>
    <row r="2899" spans="1:7" x14ac:dyDescent="0.25">
      <c r="A2899" s="112"/>
      <c r="B2899" s="21" t="s">
        <v>7450</v>
      </c>
      <c r="C2899" s="21" t="s">
        <v>7451</v>
      </c>
      <c r="D2899" s="76" t="s">
        <v>1668</v>
      </c>
      <c r="E2899" s="77" t="b">
        <v>0</v>
      </c>
      <c r="F2899" s="72" t="str">
        <f>HYPERLINK("http://nsgreg.nga.mil/genc/view?v=294187&amp;end_month=6&amp;end_day=30&amp;end_year=2019","Tata")</f>
        <v>Tata</v>
      </c>
      <c r="G2899" s="72" t="str">
        <f>HYPERLINK("http://api.nsgreg.nga.mil/geo-division/GENC/6/3-11/MA-TAT","as:GENC:6:3-11:MA-TAT")</f>
        <v>as:GENC:6:3-11:MA-TAT</v>
      </c>
    </row>
    <row r="2900" spans="1:7" x14ac:dyDescent="0.25">
      <c r="A2900" s="112"/>
      <c r="B2900" s="21" t="s">
        <v>7452</v>
      </c>
      <c r="C2900" s="21" t="s">
        <v>7453</v>
      </c>
      <c r="D2900" s="76" t="s">
        <v>1668</v>
      </c>
      <c r="E2900" s="77" t="b">
        <v>0</v>
      </c>
      <c r="F2900" s="72" t="str">
        <f>HYPERLINK("http://nsgreg.nga.mil/genc/view?v=294191&amp;end_month=6&amp;end_day=30&amp;end_year=2019","Tiznit")</f>
        <v>Tiznit</v>
      </c>
      <c r="G2900" s="72" t="str">
        <f>HYPERLINK("http://api.nsgreg.nga.mil/geo-division/GENC/6/3-11/MA-TIZ","as:GENC:6:3-11:MA-TIZ")</f>
        <v>as:GENC:6:3-11:MA-TIZ</v>
      </c>
    </row>
    <row r="2901" spans="1:7" x14ac:dyDescent="0.25">
      <c r="A2901" s="112"/>
      <c r="B2901" s="21" t="s">
        <v>7454</v>
      </c>
      <c r="C2901" s="21" t="s">
        <v>7455</v>
      </c>
      <c r="D2901" s="21" t="s">
        <v>1975</v>
      </c>
      <c r="E2901" s="50" t="b">
        <v>1</v>
      </c>
      <c r="F2901" s="72" t="str">
        <f>HYPERLINK("http://nsgreg.nga.mil/genc/view?v=294109&amp;end_month=6&amp;end_day=30&amp;end_year=2019","Tanger-Tétouan-Al Hoceïma")</f>
        <v>Tanger-Tétouan-Al Hoceïma</v>
      </c>
      <c r="G2901" s="72" t="str">
        <f>HYPERLINK("http://api.nsgreg.nga.mil/geo-division/GENC/6/3-11/MA-01","as:GENC:6:3-11:MA-01")</f>
        <v>as:GENC:6:3-11:MA-01</v>
      </c>
    </row>
    <row r="2902" spans="1:7" x14ac:dyDescent="0.25">
      <c r="A2902" s="112"/>
      <c r="B2902" s="21" t="s">
        <v>7456</v>
      </c>
      <c r="C2902" s="21" t="s">
        <v>7457</v>
      </c>
      <c r="D2902" s="76" t="s">
        <v>1668</v>
      </c>
      <c r="E2902" s="77" t="b">
        <v>0</v>
      </c>
      <c r="F2902" s="72" t="str">
        <f>HYPERLINK("http://nsgreg.nga.mil/genc/view?v=294147&amp;end_month=6&amp;end_day=30&amp;end_year=2019","Al Hoceïma")</f>
        <v>Al Hoceïma</v>
      </c>
      <c r="G2902" s="72" t="str">
        <f>HYPERLINK("http://api.nsgreg.nga.mil/geo-division/GENC/6/3-11/MA-HOC","as:GENC:6:3-11:MA-HOC")</f>
        <v>as:GENC:6:3-11:MA-HOC</v>
      </c>
    </row>
    <row r="2903" spans="1:7" x14ac:dyDescent="0.25">
      <c r="A2903" s="112"/>
      <c r="B2903" s="21" t="s">
        <v>7458</v>
      </c>
      <c r="C2903" s="21" t="s">
        <v>7459</v>
      </c>
      <c r="D2903" s="76" t="s">
        <v>1668</v>
      </c>
      <c r="E2903" s="77" t="b">
        <v>0</v>
      </c>
      <c r="F2903" s="72" t="str">
        <f>HYPERLINK("http://nsgreg.nga.mil/genc/view?v=294132&amp;end_month=6&amp;end_day=30&amp;end_year=2019","Chefchaouen")</f>
        <v>Chefchaouen</v>
      </c>
      <c r="G2903" s="72" t="str">
        <f>HYPERLINK("http://api.nsgreg.nga.mil/geo-division/GENC/6/3-11/MA-CHE","as:GENC:6:3-11:MA-CHE")</f>
        <v>as:GENC:6:3-11:MA-CHE</v>
      </c>
    </row>
    <row r="2904" spans="1:7" x14ac:dyDescent="0.25">
      <c r="A2904" s="112"/>
      <c r="B2904" s="21" t="s">
        <v>7460</v>
      </c>
      <c r="C2904" s="21" t="s">
        <v>7461</v>
      </c>
      <c r="D2904" s="76" t="s">
        <v>1668</v>
      </c>
      <c r="E2904" s="77" t="b">
        <v>0</v>
      </c>
      <c r="F2904" s="72" t="str">
        <f>HYPERLINK("http://nsgreg.nga.mil/genc/view?v=294139&amp;end_month=6&amp;end_day=30&amp;end_year=2019","Fahs-Anjra")</f>
        <v>Fahs-Anjra</v>
      </c>
      <c r="G2904" s="72" t="str">
        <f>HYPERLINK("http://api.nsgreg.nga.mil/geo-division/GENC/6/3-11/MA-FAH","as:GENC:6:3-11:MA-FAH")</f>
        <v>as:GENC:6:3-11:MA-FAH</v>
      </c>
    </row>
    <row r="2905" spans="1:7" x14ac:dyDescent="0.25">
      <c r="A2905" s="112"/>
      <c r="B2905" s="21" t="s">
        <v>7462</v>
      </c>
      <c r="C2905" s="21" t="s">
        <v>7463</v>
      </c>
      <c r="D2905" s="76" t="s">
        <v>1668</v>
      </c>
      <c r="E2905" s="77" t="b">
        <v>0</v>
      </c>
      <c r="F2905" s="72" t="str">
        <f>HYPERLINK("http://nsgreg.nga.mil/genc/view?v=294158&amp;end_month=6&amp;end_day=30&amp;end_year=2019","Larache")</f>
        <v>Larache</v>
      </c>
      <c r="G2905" s="72" t="str">
        <f>HYPERLINK("http://api.nsgreg.nga.mil/geo-division/GENC/6/3-11/MA-LAR","as:GENC:6:3-11:MA-LAR")</f>
        <v>as:GENC:6:3-11:MA-LAR</v>
      </c>
    </row>
    <row r="2906" spans="1:7" x14ac:dyDescent="0.25">
      <c r="A2906" s="112"/>
      <c r="B2906" s="21" t="s">
        <v>7464</v>
      </c>
      <c r="C2906" s="21" t="s">
        <v>7465</v>
      </c>
      <c r="D2906" s="76" t="s">
        <v>3072</v>
      </c>
      <c r="E2906" s="77" t="b">
        <v>0</v>
      </c>
      <c r="F2906" s="72" t="str">
        <f>HYPERLINK("http://nsgreg.nga.mil/genc/view?v=294160&amp;end_month=6&amp;end_day=30&amp;end_year=2019","M'diq-Fnideq")</f>
        <v>M'diq-Fnideq</v>
      </c>
      <c r="G2906" s="72" t="str">
        <f>HYPERLINK("http://api.nsgreg.nga.mil/geo-division/GENC/6/3-11/MA-MDF","as:GENC:6:3-11:MA-MDF")</f>
        <v>as:GENC:6:3-11:MA-MDF</v>
      </c>
    </row>
    <row r="2907" spans="1:7" x14ac:dyDescent="0.25">
      <c r="A2907" s="112"/>
      <c r="B2907" s="21" t="s">
        <v>7466</v>
      </c>
      <c r="C2907" s="21" t="s">
        <v>7467</v>
      </c>
      <c r="D2907" s="76" t="s">
        <v>1668</v>
      </c>
      <c r="E2907" s="77" t="b">
        <v>0</v>
      </c>
      <c r="F2907" s="72" t="str">
        <f>HYPERLINK("http://nsgreg.nga.mil/genc/view?v=294171&amp;end_month=6&amp;end_day=30&amp;end_year=2019","Ouezzane")</f>
        <v>Ouezzane</v>
      </c>
      <c r="G2907" s="72" t="str">
        <f>HYPERLINK("http://api.nsgreg.nga.mil/geo-division/GENC/6/3-11/MA-OUZ","as:GENC:6:3-11:MA-OUZ")</f>
        <v>as:GENC:6:3-11:MA-OUZ</v>
      </c>
    </row>
    <row r="2908" spans="1:7" x14ac:dyDescent="0.25">
      <c r="A2908" s="112"/>
      <c r="B2908" s="21" t="s">
        <v>7468</v>
      </c>
      <c r="C2908" s="21" t="s">
        <v>7469</v>
      </c>
      <c r="D2908" s="76" t="s">
        <v>3072</v>
      </c>
      <c r="E2908" s="77" t="b">
        <v>0</v>
      </c>
      <c r="F2908" s="72" t="str">
        <f>HYPERLINK("http://nsgreg.nga.mil/genc/view?v=294192&amp;end_month=6&amp;end_day=30&amp;end_year=2019","Tanger-Assilah")</f>
        <v>Tanger-Assilah</v>
      </c>
      <c r="G2908" s="72" t="str">
        <f>HYPERLINK("http://api.nsgreg.nga.mil/geo-division/GENC/6/3-11/MA-TNG","as:GENC:6:3-11:MA-TNG")</f>
        <v>as:GENC:6:3-11:MA-TNG</v>
      </c>
    </row>
    <row r="2909" spans="1:7" x14ac:dyDescent="0.25">
      <c r="A2909" s="113"/>
      <c r="B2909" s="47" t="s">
        <v>7470</v>
      </c>
      <c r="C2909" s="47" t="s">
        <v>7471</v>
      </c>
      <c r="D2909" s="78" t="s">
        <v>1668</v>
      </c>
      <c r="E2909" s="79" t="b">
        <v>0</v>
      </c>
      <c r="F2909" s="73" t="str">
        <f>HYPERLINK("http://nsgreg.nga.mil/genc/view?v=294189&amp;end_month=6&amp;end_day=30&amp;end_year=2019","Tétouan")</f>
        <v>Tétouan</v>
      </c>
      <c r="G2909" s="73" t="str">
        <f>HYPERLINK("http://api.nsgreg.nga.mil/geo-division/GENC/6/3-11/MA-TET","as:GENC:6:3-11:MA-TET")</f>
        <v>as:GENC:6:3-11:MA-TET</v>
      </c>
    </row>
    <row r="2910" spans="1:7" x14ac:dyDescent="0.25">
      <c r="A2910" s="111" t="str">
        <f>HYPERLINK("[#]Codes_for_GE_Names!A180:I180","MOZAMBIQUE")</f>
        <v>MOZAMBIQUE</v>
      </c>
      <c r="B2910" s="42" t="s">
        <v>7472</v>
      </c>
      <c r="C2910" s="42" t="s">
        <v>7473</v>
      </c>
      <c r="D2910" s="42" t="s">
        <v>1668</v>
      </c>
      <c r="E2910" s="49" t="b">
        <v>1</v>
      </c>
      <c r="F2910" s="74" t="str">
        <f>HYPERLINK("http://nsgreg.nga.mil/genc/view?v=294633&amp;end_month=6&amp;end_day=30&amp;end_year=2019","Cabo Delgado")</f>
        <v>Cabo Delgado</v>
      </c>
      <c r="G2910" s="74" t="str">
        <f>HYPERLINK("http://api.nsgreg.nga.mil/geo-division/GENC/6/3-11/MZ-P","as:GENC:6:3-11:MZ-P")</f>
        <v>as:GENC:6:3-11:MZ-P</v>
      </c>
    </row>
    <row r="2911" spans="1:7" x14ac:dyDescent="0.25">
      <c r="A2911" s="112"/>
      <c r="B2911" s="21" t="s">
        <v>7474</v>
      </c>
      <c r="C2911" s="21" t="s">
        <v>7475</v>
      </c>
      <c r="D2911" s="21" t="s">
        <v>1668</v>
      </c>
      <c r="E2911" s="50" t="b">
        <v>1</v>
      </c>
      <c r="F2911" s="72" t="str">
        <f>HYPERLINK("http://nsgreg.nga.mil/genc/view?v=294628&amp;end_month=6&amp;end_day=30&amp;end_year=2019","Gaza")</f>
        <v>Gaza</v>
      </c>
      <c r="G2911" s="72" t="str">
        <f>HYPERLINK("http://api.nsgreg.nga.mil/geo-division/GENC/6/3-11/MZ-G","as:GENC:6:3-11:MZ-G")</f>
        <v>as:GENC:6:3-11:MZ-G</v>
      </c>
    </row>
    <row r="2912" spans="1:7" x14ac:dyDescent="0.25">
      <c r="A2912" s="112"/>
      <c r="B2912" s="21" t="s">
        <v>7476</v>
      </c>
      <c r="C2912" s="21" t="s">
        <v>7477</v>
      </c>
      <c r="D2912" s="21" t="s">
        <v>1668</v>
      </c>
      <c r="E2912" s="50" t="b">
        <v>1</v>
      </c>
      <c r="F2912" s="72" t="str">
        <f>HYPERLINK("http://nsgreg.nga.mil/genc/view?v=294629&amp;end_month=6&amp;end_day=30&amp;end_year=2019","Inhambane")</f>
        <v>Inhambane</v>
      </c>
      <c r="G2912" s="72" t="str">
        <f>HYPERLINK("http://api.nsgreg.nga.mil/geo-division/GENC/6/3-11/MZ-I","as:GENC:6:3-11:MZ-I")</f>
        <v>as:GENC:6:3-11:MZ-I</v>
      </c>
    </row>
    <row r="2913" spans="1:7" x14ac:dyDescent="0.25">
      <c r="A2913" s="112"/>
      <c r="B2913" s="21" t="s">
        <v>7478</v>
      </c>
      <c r="C2913" s="21" t="s">
        <v>7479</v>
      </c>
      <c r="D2913" s="21" t="s">
        <v>1668</v>
      </c>
      <c r="E2913" s="50" t="b">
        <v>1</v>
      </c>
      <c r="F2913" s="72" t="str">
        <f>HYPERLINK("http://nsgreg.nga.mil/genc/view?v=294627&amp;end_month=6&amp;end_day=30&amp;end_year=2019","Manica")</f>
        <v>Manica</v>
      </c>
      <c r="G2913" s="72" t="str">
        <f>HYPERLINK("http://api.nsgreg.nga.mil/geo-division/GENC/6/3-11/MZ-B","as:GENC:6:3-11:MZ-B")</f>
        <v>as:GENC:6:3-11:MZ-B</v>
      </c>
    </row>
    <row r="2914" spans="1:7" x14ac:dyDescent="0.25">
      <c r="A2914" s="112"/>
      <c r="B2914" s="21" t="s">
        <v>7480</v>
      </c>
      <c r="C2914" s="21" t="s">
        <v>7481</v>
      </c>
      <c r="D2914" s="21" t="s">
        <v>1996</v>
      </c>
      <c r="E2914" s="50" t="b">
        <v>1</v>
      </c>
      <c r="F2914" s="72" t="str">
        <f>HYPERLINK("http://nsgreg.nga.mil/genc/view?v=294631&amp;end_month=6&amp;end_day=30&amp;end_year=2019","Maputo")</f>
        <v>Maputo</v>
      </c>
      <c r="G2914" s="72" t="str">
        <f>HYPERLINK("http://api.nsgreg.nga.mil/geo-division/GENC/6/3-11/MZ-MPM","as:GENC:6:3-11:MZ-MPM")</f>
        <v>as:GENC:6:3-11:MZ-MPM</v>
      </c>
    </row>
    <row r="2915" spans="1:7" x14ac:dyDescent="0.25">
      <c r="A2915" s="112"/>
      <c r="B2915" s="21" t="s">
        <v>7482</v>
      </c>
      <c r="C2915" s="21" t="s">
        <v>7481</v>
      </c>
      <c r="D2915" s="21" t="s">
        <v>1668</v>
      </c>
      <c r="E2915" s="50" t="b">
        <v>1</v>
      </c>
      <c r="F2915" s="72" t="str">
        <f>HYPERLINK("http://nsgreg.nga.mil/genc/view?v=294630&amp;end_month=6&amp;end_day=30&amp;end_year=2019","Maputo")</f>
        <v>Maputo</v>
      </c>
      <c r="G2915" s="72" t="str">
        <f>HYPERLINK("http://api.nsgreg.nga.mil/geo-division/GENC/6/3-11/MZ-L","as:GENC:6:3-11:MZ-L")</f>
        <v>as:GENC:6:3-11:MZ-L</v>
      </c>
    </row>
    <row r="2916" spans="1:7" x14ac:dyDescent="0.25">
      <c r="A2916" s="112"/>
      <c r="B2916" s="21" t="s">
        <v>7483</v>
      </c>
      <c r="C2916" s="21" t="s">
        <v>7484</v>
      </c>
      <c r="D2916" s="21" t="s">
        <v>1668</v>
      </c>
      <c r="E2916" s="50" t="b">
        <v>1</v>
      </c>
      <c r="F2916" s="72" t="str">
        <f>HYPERLINK("http://nsgreg.nga.mil/genc/view?v=294632&amp;end_month=6&amp;end_day=30&amp;end_year=2019","Nampula")</f>
        <v>Nampula</v>
      </c>
      <c r="G2916" s="72" t="str">
        <f>HYPERLINK("http://api.nsgreg.nga.mil/geo-division/GENC/6/3-11/MZ-N","as:GENC:6:3-11:MZ-N")</f>
        <v>as:GENC:6:3-11:MZ-N</v>
      </c>
    </row>
    <row r="2917" spans="1:7" x14ac:dyDescent="0.25">
      <c r="A2917" s="112"/>
      <c r="B2917" s="21" t="s">
        <v>7485</v>
      </c>
      <c r="C2917" s="21" t="s">
        <v>7486</v>
      </c>
      <c r="D2917" s="21" t="s">
        <v>1668</v>
      </c>
      <c r="E2917" s="50" t="b">
        <v>1</v>
      </c>
      <c r="F2917" s="72" t="str">
        <f>HYPERLINK("http://nsgreg.nga.mil/genc/view?v=294626&amp;end_month=6&amp;end_day=30&amp;end_year=2019","Niassa")</f>
        <v>Niassa</v>
      </c>
      <c r="G2917" s="72" t="str">
        <f>HYPERLINK("http://api.nsgreg.nga.mil/geo-division/GENC/6/3-11/MZ-A","as:GENC:6:3-11:MZ-A")</f>
        <v>as:GENC:6:3-11:MZ-A</v>
      </c>
    </row>
    <row r="2918" spans="1:7" x14ac:dyDescent="0.25">
      <c r="A2918" s="112"/>
      <c r="B2918" s="21" t="s">
        <v>7487</v>
      </c>
      <c r="C2918" s="21" t="s">
        <v>7488</v>
      </c>
      <c r="D2918" s="21" t="s">
        <v>1668</v>
      </c>
      <c r="E2918" s="50" t="b">
        <v>1</v>
      </c>
      <c r="F2918" s="72" t="str">
        <f>HYPERLINK("http://nsgreg.nga.mil/genc/view?v=294635&amp;end_month=6&amp;end_day=30&amp;end_year=2019","Sofala")</f>
        <v>Sofala</v>
      </c>
      <c r="G2918" s="72" t="str">
        <f>HYPERLINK("http://api.nsgreg.nga.mil/geo-division/GENC/6/3-11/MZ-S","as:GENC:6:3-11:MZ-S")</f>
        <v>as:GENC:6:3-11:MZ-S</v>
      </c>
    </row>
    <row r="2919" spans="1:7" x14ac:dyDescent="0.25">
      <c r="A2919" s="112"/>
      <c r="B2919" s="21" t="s">
        <v>7489</v>
      </c>
      <c r="C2919" s="21" t="s">
        <v>7490</v>
      </c>
      <c r="D2919" s="21" t="s">
        <v>1668</v>
      </c>
      <c r="E2919" s="50" t="b">
        <v>1</v>
      </c>
      <c r="F2919" s="72" t="str">
        <f>HYPERLINK("http://nsgreg.nga.mil/genc/view?v=294636&amp;end_month=6&amp;end_day=30&amp;end_year=2019","Tete")</f>
        <v>Tete</v>
      </c>
      <c r="G2919" s="72" t="str">
        <f>HYPERLINK("http://api.nsgreg.nga.mil/geo-division/GENC/6/3-11/MZ-T","as:GENC:6:3-11:MZ-T")</f>
        <v>as:GENC:6:3-11:MZ-T</v>
      </c>
    </row>
    <row r="2920" spans="1:7" x14ac:dyDescent="0.25">
      <c r="A2920" s="113"/>
      <c r="B2920" s="47" t="s">
        <v>7491</v>
      </c>
      <c r="C2920" s="47" t="s">
        <v>7492</v>
      </c>
      <c r="D2920" s="47" t="s">
        <v>1668</v>
      </c>
      <c r="E2920" s="51" t="b">
        <v>1</v>
      </c>
      <c r="F2920" s="73" t="str">
        <f>HYPERLINK("http://nsgreg.nga.mil/genc/view?v=294634&amp;end_month=6&amp;end_day=30&amp;end_year=2019","Zambézia")</f>
        <v>Zambézia</v>
      </c>
      <c r="G2920" s="73" t="str">
        <f>HYPERLINK("http://api.nsgreg.nga.mil/geo-division/GENC/6/3-11/MZ-Q","as:GENC:6:3-11:MZ-Q")</f>
        <v>as:GENC:6:3-11:MZ-Q</v>
      </c>
    </row>
    <row r="2921" spans="1:7" x14ac:dyDescent="0.25">
      <c r="A2921" s="111" t="str">
        <f>HYPERLINK("[#]Codes_for_GE_Names!A181:I181","NAMIBIA")</f>
        <v>NAMIBIA</v>
      </c>
      <c r="B2921" s="42" t="s">
        <v>7493</v>
      </c>
      <c r="C2921" s="42" t="s">
        <v>7494</v>
      </c>
      <c r="D2921" s="42" t="s">
        <v>1975</v>
      </c>
      <c r="E2921" s="49" t="b">
        <v>1</v>
      </c>
      <c r="F2921" s="74" t="str">
        <f>HYPERLINK("http://nsgreg.nga.mil/genc/view?v=294638&amp;end_month=6&amp;end_day=30&amp;end_year=2019","Erongo")</f>
        <v>Erongo</v>
      </c>
      <c r="G2921" s="74" t="str">
        <f>HYPERLINK("http://api.nsgreg.nga.mil/geo-division/GENC/6/3-11/NA-ER","as:GENC:6:3-11:NA-ER")</f>
        <v>as:GENC:6:3-11:NA-ER</v>
      </c>
    </row>
    <row r="2922" spans="1:7" x14ac:dyDescent="0.25">
      <c r="A2922" s="112"/>
      <c r="B2922" s="21" t="s">
        <v>7495</v>
      </c>
      <c r="C2922" s="21" t="s">
        <v>7496</v>
      </c>
      <c r="D2922" s="21" t="s">
        <v>1975</v>
      </c>
      <c r="E2922" s="50" t="b">
        <v>1</v>
      </c>
      <c r="F2922" s="72" t="str">
        <f>HYPERLINK("http://nsgreg.nga.mil/genc/view?v=294639&amp;end_month=6&amp;end_day=30&amp;end_year=2019","Hardap")</f>
        <v>Hardap</v>
      </c>
      <c r="G2922" s="72" t="str">
        <f>HYPERLINK("http://api.nsgreg.nga.mil/geo-division/GENC/6/3-11/NA-HA","as:GENC:6:3-11:NA-HA")</f>
        <v>as:GENC:6:3-11:NA-HA</v>
      </c>
    </row>
    <row r="2923" spans="1:7" x14ac:dyDescent="0.25">
      <c r="A2923" s="112"/>
      <c r="B2923" s="21" t="s">
        <v>7497</v>
      </c>
      <c r="C2923" s="21" t="s">
        <v>7498</v>
      </c>
      <c r="D2923" s="21" t="s">
        <v>1975</v>
      </c>
      <c r="E2923" s="50" t="b">
        <v>1</v>
      </c>
      <c r="F2923" s="72" t="str">
        <f>HYPERLINK("http://nsgreg.nga.mil/genc/view?v=294640&amp;end_month=6&amp;end_day=30&amp;end_year=2019","//Karas")</f>
        <v>//Karas</v>
      </c>
      <c r="G2923" s="72" t="str">
        <f>HYPERLINK("http://api.nsgreg.nga.mil/geo-division/GENC/6/3-11/NA-KA","as:GENC:6:3-11:NA-KA")</f>
        <v>as:GENC:6:3-11:NA-KA</v>
      </c>
    </row>
    <row r="2924" spans="1:7" x14ac:dyDescent="0.25">
      <c r="A2924" s="112"/>
      <c r="B2924" s="21" t="s">
        <v>7499</v>
      </c>
      <c r="C2924" s="21" t="s">
        <v>7500</v>
      </c>
      <c r="D2924" s="21" t="s">
        <v>1975</v>
      </c>
      <c r="E2924" s="50" t="b">
        <v>1</v>
      </c>
      <c r="F2924" s="72" t="str">
        <f>HYPERLINK("http://nsgreg.nga.mil/genc/view?v=294641&amp;end_month=6&amp;end_day=30&amp;end_year=2019","Kavango East")</f>
        <v>Kavango East</v>
      </c>
      <c r="G2924" s="72" t="str">
        <f>HYPERLINK("http://api.nsgreg.nga.mil/geo-division/GENC/6/3-11/NA-KE","as:GENC:6:3-11:NA-KE")</f>
        <v>as:GENC:6:3-11:NA-KE</v>
      </c>
    </row>
    <row r="2925" spans="1:7" x14ac:dyDescent="0.25">
      <c r="A2925" s="112"/>
      <c r="B2925" s="21" t="s">
        <v>7501</v>
      </c>
      <c r="C2925" s="21" t="s">
        <v>7502</v>
      </c>
      <c r="D2925" s="21" t="s">
        <v>1975</v>
      </c>
      <c r="E2925" s="50" t="b">
        <v>1</v>
      </c>
      <c r="F2925" s="72" t="str">
        <f>HYPERLINK("http://nsgreg.nga.mil/genc/view?v=294644&amp;end_month=6&amp;end_day=30&amp;end_year=2019","Kavango West")</f>
        <v>Kavango West</v>
      </c>
      <c r="G2925" s="72" t="str">
        <f>HYPERLINK("http://api.nsgreg.nga.mil/geo-division/GENC/6/3-11/NA-KW","as:GENC:6:3-11:NA-KW")</f>
        <v>as:GENC:6:3-11:NA-KW</v>
      </c>
    </row>
    <row r="2926" spans="1:7" x14ac:dyDescent="0.25">
      <c r="A2926" s="112"/>
      <c r="B2926" s="21" t="s">
        <v>7503</v>
      </c>
      <c r="C2926" s="21" t="s">
        <v>7504</v>
      </c>
      <c r="D2926" s="21" t="s">
        <v>1975</v>
      </c>
      <c r="E2926" s="50" t="b">
        <v>1</v>
      </c>
      <c r="F2926" s="72" t="str">
        <f>HYPERLINK("http://nsgreg.nga.mil/genc/view?v=294642&amp;end_month=6&amp;end_day=30&amp;end_year=2019","Khomas")</f>
        <v>Khomas</v>
      </c>
      <c r="G2926" s="72" t="str">
        <f>HYPERLINK("http://api.nsgreg.nga.mil/geo-division/GENC/6/3-11/NA-KH","as:GENC:6:3-11:NA-KH")</f>
        <v>as:GENC:6:3-11:NA-KH</v>
      </c>
    </row>
    <row r="2927" spans="1:7" x14ac:dyDescent="0.25">
      <c r="A2927" s="112"/>
      <c r="B2927" s="21" t="s">
        <v>7505</v>
      </c>
      <c r="C2927" s="21" t="s">
        <v>7506</v>
      </c>
      <c r="D2927" s="21" t="s">
        <v>1975</v>
      </c>
      <c r="E2927" s="50" t="b">
        <v>1</v>
      </c>
      <c r="F2927" s="72" t="str">
        <f>HYPERLINK("http://nsgreg.nga.mil/genc/view?v=294643&amp;end_month=6&amp;end_day=30&amp;end_year=2019","Kunene")</f>
        <v>Kunene</v>
      </c>
      <c r="G2927" s="72" t="str">
        <f>HYPERLINK("http://api.nsgreg.nga.mil/geo-division/GENC/6/3-11/NA-KU","as:GENC:6:3-11:NA-KU")</f>
        <v>as:GENC:6:3-11:NA-KU</v>
      </c>
    </row>
    <row r="2928" spans="1:7" x14ac:dyDescent="0.25">
      <c r="A2928" s="112"/>
      <c r="B2928" s="21" t="s">
        <v>7507</v>
      </c>
      <c r="C2928" s="21" t="s">
        <v>7508</v>
      </c>
      <c r="D2928" s="21" t="s">
        <v>1975</v>
      </c>
      <c r="E2928" s="50" t="b">
        <v>1</v>
      </c>
      <c r="F2928" s="72" t="str">
        <f>HYPERLINK("http://nsgreg.nga.mil/genc/view?v=294650&amp;end_month=6&amp;end_day=30&amp;end_year=2019","Ohangwena")</f>
        <v>Ohangwena</v>
      </c>
      <c r="G2928" s="72" t="str">
        <f>HYPERLINK("http://api.nsgreg.nga.mil/geo-division/GENC/6/3-11/NA-OW","as:GENC:6:3-11:NA-OW")</f>
        <v>as:GENC:6:3-11:NA-OW</v>
      </c>
    </row>
    <row r="2929" spans="1:7" x14ac:dyDescent="0.25">
      <c r="A2929" s="112"/>
      <c r="B2929" s="21" t="s">
        <v>7509</v>
      </c>
      <c r="C2929" s="21" t="s">
        <v>7510</v>
      </c>
      <c r="D2929" s="21" t="s">
        <v>1975</v>
      </c>
      <c r="E2929" s="50" t="b">
        <v>1</v>
      </c>
      <c r="F2929" s="72" t="str">
        <f>HYPERLINK("http://nsgreg.nga.mil/genc/view?v=294646&amp;end_month=6&amp;end_day=30&amp;end_year=2019","Omaheke")</f>
        <v>Omaheke</v>
      </c>
      <c r="G2929" s="72" t="str">
        <f>HYPERLINK("http://api.nsgreg.nga.mil/geo-division/GENC/6/3-11/NA-OH","as:GENC:6:3-11:NA-OH")</f>
        <v>as:GENC:6:3-11:NA-OH</v>
      </c>
    </row>
    <row r="2930" spans="1:7" x14ac:dyDescent="0.25">
      <c r="A2930" s="112"/>
      <c r="B2930" s="21" t="s">
        <v>7511</v>
      </c>
      <c r="C2930" s="21" t="s">
        <v>7512</v>
      </c>
      <c r="D2930" s="21" t="s">
        <v>1975</v>
      </c>
      <c r="E2930" s="50" t="b">
        <v>1</v>
      </c>
      <c r="F2930" s="72" t="str">
        <f>HYPERLINK("http://nsgreg.nga.mil/genc/view?v=294648&amp;end_month=6&amp;end_day=30&amp;end_year=2019","Omusati")</f>
        <v>Omusati</v>
      </c>
      <c r="G2930" s="72" t="str">
        <f>HYPERLINK("http://api.nsgreg.nga.mil/geo-division/GENC/6/3-11/NA-OS","as:GENC:6:3-11:NA-OS")</f>
        <v>as:GENC:6:3-11:NA-OS</v>
      </c>
    </row>
    <row r="2931" spans="1:7" x14ac:dyDescent="0.25">
      <c r="A2931" s="112"/>
      <c r="B2931" s="21" t="s">
        <v>7513</v>
      </c>
      <c r="C2931" s="21" t="s">
        <v>7514</v>
      </c>
      <c r="D2931" s="21" t="s">
        <v>1975</v>
      </c>
      <c r="E2931" s="50" t="b">
        <v>1</v>
      </c>
      <c r="F2931" s="72" t="str">
        <f>HYPERLINK("http://nsgreg.nga.mil/genc/view?v=294647&amp;end_month=6&amp;end_day=30&amp;end_year=2019","Oshana")</f>
        <v>Oshana</v>
      </c>
      <c r="G2931" s="72" t="str">
        <f>HYPERLINK("http://api.nsgreg.nga.mil/geo-division/GENC/6/3-11/NA-ON","as:GENC:6:3-11:NA-ON")</f>
        <v>as:GENC:6:3-11:NA-ON</v>
      </c>
    </row>
    <row r="2932" spans="1:7" x14ac:dyDescent="0.25">
      <c r="A2932" s="112"/>
      <c r="B2932" s="21" t="s">
        <v>7515</v>
      </c>
      <c r="C2932" s="21" t="s">
        <v>7516</v>
      </c>
      <c r="D2932" s="21" t="s">
        <v>1975</v>
      </c>
      <c r="E2932" s="50" t="b">
        <v>1</v>
      </c>
      <c r="F2932" s="72" t="str">
        <f>HYPERLINK("http://nsgreg.nga.mil/genc/view?v=294649&amp;end_month=6&amp;end_day=30&amp;end_year=2019","Oshikoto")</f>
        <v>Oshikoto</v>
      </c>
      <c r="G2932" s="72" t="str">
        <f>HYPERLINK("http://api.nsgreg.nga.mil/geo-division/GENC/6/3-11/NA-OT","as:GENC:6:3-11:NA-OT")</f>
        <v>as:GENC:6:3-11:NA-OT</v>
      </c>
    </row>
    <row r="2933" spans="1:7" x14ac:dyDescent="0.25">
      <c r="A2933" s="112"/>
      <c r="B2933" s="21" t="s">
        <v>7517</v>
      </c>
      <c r="C2933" s="21" t="s">
        <v>7518</v>
      </c>
      <c r="D2933" s="21" t="s">
        <v>1975</v>
      </c>
      <c r="E2933" s="50" t="b">
        <v>1</v>
      </c>
      <c r="F2933" s="72" t="str">
        <f>HYPERLINK("http://nsgreg.nga.mil/genc/view?v=294645&amp;end_month=6&amp;end_day=30&amp;end_year=2019","Otjozondjupa")</f>
        <v>Otjozondjupa</v>
      </c>
      <c r="G2933" s="72" t="str">
        <f>HYPERLINK("http://api.nsgreg.nga.mil/geo-division/GENC/6/3-11/NA-OD","as:GENC:6:3-11:NA-OD")</f>
        <v>as:GENC:6:3-11:NA-OD</v>
      </c>
    </row>
    <row r="2934" spans="1:7" x14ac:dyDescent="0.25">
      <c r="A2934" s="113"/>
      <c r="B2934" s="47" t="s">
        <v>7519</v>
      </c>
      <c r="C2934" s="47" t="s">
        <v>7520</v>
      </c>
      <c r="D2934" s="47" t="s">
        <v>1975</v>
      </c>
      <c r="E2934" s="51" t="b">
        <v>1</v>
      </c>
      <c r="F2934" s="73" t="str">
        <f>HYPERLINK("http://nsgreg.nga.mil/genc/view?v=294637&amp;end_month=6&amp;end_day=30&amp;end_year=2019","Zambezi")</f>
        <v>Zambezi</v>
      </c>
      <c r="G2934" s="73" t="str">
        <f>HYPERLINK("http://api.nsgreg.nga.mil/geo-division/GENC/6/3-11/NA-CA","as:GENC:6:3-11:NA-CA")</f>
        <v>as:GENC:6:3-11:NA-CA</v>
      </c>
    </row>
    <row r="2935" spans="1:7" x14ac:dyDescent="0.25">
      <c r="A2935" s="111" t="str">
        <f>HYPERLINK("[#]Codes_for_GE_Names!A182:I182","NAURU")</f>
        <v>NAURU</v>
      </c>
      <c r="B2935" s="42" t="s">
        <v>7521</v>
      </c>
      <c r="C2935" s="42" t="s">
        <v>7522</v>
      </c>
      <c r="D2935" s="42" t="s">
        <v>2035</v>
      </c>
      <c r="E2935" s="49" t="b">
        <v>1</v>
      </c>
      <c r="F2935" s="74" t="str">
        <f>HYPERLINK("http://nsgreg.nga.mil/genc/view?v=294780&amp;end_month=6&amp;end_day=30&amp;end_year=2019","Aiwo")</f>
        <v>Aiwo</v>
      </c>
      <c r="G2935" s="74" t="str">
        <f>HYPERLINK("http://api.nsgreg.nga.mil/geo-division/GENC/6/3-11/NR-01","as:GENC:6:3-11:NR-01")</f>
        <v>as:GENC:6:3-11:NR-01</v>
      </c>
    </row>
    <row r="2936" spans="1:7" x14ac:dyDescent="0.25">
      <c r="A2936" s="112"/>
      <c r="B2936" s="21" t="s">
        <v>7523</v>
      </c>
      <c r="C2936" s="21" t="s">
        <v>7524</v>
      </c>
      <c r="D2936" s="21" t="s">
        <v>2035</v>
      </c>
      <c r="E2936" s="50" t="b">
        <v>1</v>
      </c>
      <c r="F2936" s="72" t="str">
        <f>HYPERLINK("http://nsgreg.nga.mil/genc/view?v=294781&amp;end_month=6&amp;end_day=30&amp;end_year=2019","Anabar")</f>
        <v>Anabar</v>
      </c>
      <c r="G2936" s="72" t="str">
        <f>HYPERLINK("http://api.nsgreg.nga.mil/geo-division/GENC/6/3-11/NR-02","as:GENC:6:3-11:NR-02")</f>
        <v>as:GENC:6:3-11:NR-02</v>
      </c>
    </row>
    <row r="2937" spans="1:7" x14ac:dyDescent="0.25">
      <c r="A2937" s="112"/>
      <c r="B2937" s="21" t="s">
        <v>7525</v>
      </c>
      <c r="C2937" s="21" t="s">
        <v>7526</v>
      </c>
      <c r="D2937" s="21" t="s">
        <v>2035</v>
      </c>
      <c r="E2937" s="50" t="b">
        <v>1</v>
      </c>
      <c r="F2937" s="72" t="str">
        <f>HYPERLINK("http://nsgreg.nga.mil/genc/view?v=294782&amp;end_month=6&amp;end_day=30&amp;end_year=2019","Anetan")</f>
        <v>Anetan</v>
      </c>
      <c r="G2937" s="72" t="str">
        <f>HYPERLINK("http://api.nsgreg.nga.mil/geo-division/GENC/6/3-11/NR-03","as:GENC:6:3-11:NR-03")</f>
        <v>as:GENC:6:3-11:NR-03</v>
      </c>
    </row>
    <row r="2938" spans="1:7" x14ac:dyDescent="0.25">
      <c r="A2938" s="112"/>
      <c r="B2938" s="21" t="s">
        <v>7527</v>
      </c>
      <c r="C2938" s="21" t="s">
        <v>7528</v>
      </c>
      <c r="D2938" s="21" t="s">
        <v>2035</v>
      </c>
      <c r="E2938" s="50" t="b">
        <v>1</v>
      </c>
      <c r="F2938" s="72" t="str">
        <f>HYPERLINK("http://nsgreg.nga.mil/genc/view?v=294783&amp;end_month=6&amp;end_day=30&amp;end_year=2019","Anibare")</f>
        <v>Anibare</v>
      </c>
      <c r="G2938" s="72" t="str">
        <f>HYPERLINK("http://api.nsgreg.nga.mil/geo-division/GENC/6/3-11/NR-04","as:GENC:6:3-11:NR-04")</f>
        <v>as:GENC:6:3-11:NR-04</v>
      </c>
    </row>
    <row r="2939" spans="1:7" x14ac:dyDescent="0.25">
      <c r="A2939" s="112"/>
      <c r="B2939" s="21" t="s">
        <v>7529</v>
      </c>
      <c r="C2939" s="21" t="s">
        <v>7530</v>
      </c>
      <c r="D2939" s="21" t="s">
        <v>2035</v>
      </c>
      <c r="E2939" s="50" t="b">
        <v>1</v>
      </c>
      <c r="F2939" s="72" t="str">
        <f>HYPERLINK("http://nsgreg.nga.mil/genc/view?v=294784&amp;end_month=6&amp;end_day=30&amp;end_year=2019","Baitsi")</f>
        <v>Baitsi</v>
      </c>
      <c r="G2939" s="72" t="str">
        <f>HYPERLINK("http://api.nsgreg.nga.mil/geo-division/GENC/6/3-11/NR-05","as:GENC:6:3-11:NR-05")</f>
        <v>as:GENC:6:3-11:NR-05</v>
      </c>
    </row>
    <row r="2940" spans="1:7" x14ac:dyDescent="0.25">
      <c r="A2940" s="112"/>
      <c r="B2940" s="21" t="s">
        <v>7531</v>
      </c>
      <c r="C2940" s="21" t="s">
        <v>7532</v>
      </c>
      <c r="D2940" s="21" t="s">
        <v>2035</v>
      </c>
      <c r="E2940" s="50" t="b">
        <v>1</v>
      </c>
      <c r="F2940" s="72" t="str">
        <f>HYPERLINK("http://nsgreg.nga.mil/genc/view?v=294785&amp;end_month=6&amp;end_day=30&amp;end_year=2019","Boe")</f>
        <v>Boe</v>
      </c>
      <c r="G2940" s="72" t="str">
        <f>HYPERLINK("http://api.nsgreg.nga.mil/geo-division/GENC/6/3-11/NR-06","as:GENC:6:3-11:NR-06")</f>
        <v>as:GENC:6:3-11:NR-06</v>
      </c>
    </row>
    <row r="2941" spans="1:7" x14ac:dyDescent="0.25">
      <c r="A2941" s="112"/>
      <c r="B2941" s="21" t="s">
        <v>7533</v>
      </c>
      <c r="C2941" s="21" t="s">
        <v>7534</v>
      </c>
      <c r="D2941" s="21" t="s">
        <v>2035</v>
      </c>
      <c r="E2941" s="50" t="b">
        <v>1</v>
      </c>
      <c r="F2941" s="72" t="str">
        <f>HYPERLINK("http://nsgreg.nga.mil/genc/view?v=294786&amp;end_month=6&amp;end_day=30&amp;end_year=2019","Buada")</f>
        <v>Buada</v>
      </c>
      <c r="G2941" s="72" t="str">
        <f>HYPERLINK("http://api.nsgreg.nga.mil/geo-division/GENC/6/3-11/NR-07","as:GENC:6:3-11:NR-07")</f>
        <v>as:GENC:6:3-11:NR-07</v>
      </c>
    </row>
    <row r="2942" spans="1:7" x14ac:dyDescent="0.25">
      <c r="A2942" s="112"/>
      <c r="B2942" s="21" t="s">
        <v>7535</v>
      </c>
      <c r="C2942" s="21" t="s">
        <v>7536</v>
      </c>
      <c r="D2942" s="21" t="s">
        <v>2035</v>
      </c>
      <c r="E2942" s="50" t="b">
        <v>1</v>
      </c>
      <c r="F2942" s="72" t="str">
        <f>HYPERLINK("http://nsgreg.nga.mil/genc/view?v=294787&amp;end_month=6&amp;end_day=30&amp;end_year=2019","Denigomodu")</f>
        <v>Denigomodu</v>
      </c>
      <c r="G2942" s="72" t="str">
        <f>HYPERLINK("http://api.nsgreg.nga.mil/geo-division/GENC/6/3-11/NR-08","as:GENC:6:3-11:NR-08")</f>
        <v>as:GENC:6:3-11:NR-08</v>
      </c>
    </row>
    <row r="2943" spans="1:7" x14ac:dyDescent="0.25">
      <c r="A2943" s="112"/>
      <c r="B2943" s="21" t="s">
        <v>7537</v>
      </c>
      <c r="C2943" s="21" t="s">
        <v>7538</v>
      </c>
      <c r="D2943" s="21" t="s">
        <v>2035</v>
      </c>
      <c r="E2943" s="50" t="b">
        <v>1</v>
      </c>
      <c r="F2943" s="72" t="str">
        <f>HYPERLINK("http://nsgreg.nga.mil/genc/view?v=294788&amp;end_month=6&amp;end_day=30&amp;end_year=2019","Ewa")</f>
        <v>Ewa</v>
      </c>
      <c r="G2943" s="72" t="str">
        <f>HYPERLINK("http://api.nsgreg.nga.mil/geo-division/GENC/6/3-11/NR-09","as:GENC:6:3-11:NR-09")</f>
        <v>as:GENC:6:3-11:NR-09</v>
      </c>
    </row>
    <row r="2944" spans="1:7" x14ac:dyDescent="0.25">
      <c r="A2944" s="112"/>
      <c r="B2944" s="21" t="s">
        <v>7539</v>
      </c>
      <c r="C2944" s="21" t="s">
        <v>7540</v>
      </c>
      <c r="D2944" s="21" t="s">
        <v>2035</v>
      </c>
      <c r="E2944" s="50" t="b">
        <v>1</v>
      </c>
      <c r="F2944" s="72" t="str">
        <f>HYPERLINK("http://nsgreg.nga.mil/genc/view?v=294789&amp;end_month=6&amp;end_day=30&amp;end_year=2019","Ijuw")</f>
        <v>Ijuw</v>
      </c>
      <c r="G2944" s="72" t="str">
        <f>HYPERLINK("http://api.nsgreg.nga.mil/geo-division/GENC/6/3-11/NR-10","as:GENC:6:3-11:NR-10")</f>
        <v>as:GENC:6:3-11:NR-10</v>
      </c>
    </row>
    <row r="2945" spans="1:7" x14ac:dyDescent="0.25">
      <c r="A2945" s="112"/>
      <c r="B2945" s="21" t="s">
        <v>7541</v>
      </c>
      <c r="C2945" s="21" t="s">
        <v>7542</v>
      </c>
      <c r="D2945" s="21" t="s">
        <v>2035</v>
      </c>
      <c r="E2945" s="50" t="b">
        <v>1</v>
      </c>
      <c r="F2945" s="72" t="str">
        <f>HYPERLINK("http://nsgreg.nga.mil/genc/view?v=294790&amp;end_month=6&amp;end_day=30&amp;end_year=2019","Meneng")</f>
        <v>Meneng</v>
      </c>
      <c r="G2945" s="72" t="str">
        <f>HYPERLINK("http://api.nsgreg.nga.mil/geo-division/GENC/6/3-11/NR-11","as:GENC:6:3-11:NR-11")</f>
        <v>as:GENC:6:3-11:NR-11</v>
      </c>
    </row>
    <row r="2946" spans="1:7" x14ac:dyDescent="0.25">
      <c r="A2946" s="112"/>
      <c r="B2946" s="21" t="s">
        <v>7543</v>
      </c>
      <c r="C2946" s="21" t="s">
        <v>7544</v>
      </c>
      <c r="D2946" s="21" t="s">
        <v>2035</v>
      </c>
      <c r="E2946" s="50" t="b">
        <v>1</v>
      </c>
      <c r="F2946" s="72" t="str">
        <f>HYPERLINK("http://nsgreg.nga.mil/genc/view?v=294791&amp;end_month=6&amp;end_day=30&amp;end_year=2019","Nibok")</f>
        <v>Nibok</v>
      </c>
      <c r="G2946" s="72" t="str">
        <f>HYPERLINK("http://api.nsgreg.nga.mil/geo-division/GENC/6/3-11/NR-12","as:GENC:6:3-11:NR-12")</f>
        <v>as:GENC:6:3-11:NR-12</v>
      </c>
    </row>
    <row r="2947" spans="1:7" x14ac:dyDescent="0.25">
      <c r="A2947" s="112"/>
      <c r="B2947" s="21" t="s">
        <v>7545</v>
      </c>
      <c r="C2947" s="21" t="s">
        <v>7546</v>
      </c>
      <c r="D2947" s="21" t="s">
        <v>2035</v>
      </c>
      <c r="E2947" s="50" t="b">
        <v>1</v>
      </c>
      <c r="F2947" s="72" t="str">
        <f>HYPERLINK("http://nsgreg.nga.mil/genc/view?v=294792&amp;end_month=6&amp;end_day=30&amp;end_year=2019","Uaboe")</f>
        <v>Uaboe</v>
      </c>
      <c r="G2947" s="72" t="str">
        <f>HYPERLINK("http://api.nsgreg.nga.mil/geo-division/GENC/6/3-11/NR-13","as:GENC:6:3-11:NR-13")</f>
        <v>as:GENC:6:3-11:NR-13</v>
      </c>
    </row>
    <row r="2948" spans="1:7" x14ac:dyDescent="0.25">
      <c r="A2948" s="113"/>
      <c r="B2948" s="47" t="s">
        <v>7547</v>
      </c>
      <c r="C2948" s="47" t="s">
        <v>7548</v>
      </c>
      <c r="D2948" s="47" t="s">
        <v>2035</v>
      </c>
      <c r="E2948" s="51" t="b">
        <v>1</v>
      </c>
      <c r="F2948" s="73" t="str">
        <f>HYPERLINK("http://nsgreg.nga.mil/genc/view?v=294793&amp;end_month=6&amp;end_day=30&amp;end_year=2019","Yaren")</f>
        <v>Yaren</v>
      </c>
      <c r="G2948" s="73" t="str">
        <f>HYPERLINK("http://api.nsgreg.nga.mil/geo-division/GENC/6/3-11/NR-14","as:GENC:6:3-11:NR-14")</f>
        <v>as:GENC:6:3-11:NR-14</v>
      </c>
    </row>
    <row r="2949" spans="1:7" x14ac:dyDescent="0.25">
      <c r="A2949" s="111" t="str">
        <f>HYPERLINK("[#]Codes_for_GE_Names!A184:I184","NEPAL")</f>
        <v>NEPAL</v>
      </c>
      <c r="B2949" s="42" t="s">
        <v>7549</v>
      </c>
      <c r="C2949" s="42" t="s">
        <v>7550</v>
      </c>
      <c r="D2949" s="80" t="s">
        <v>7551</v>
      </c>
      <c r="E2949" s="81" t="b">
        <v>0</v>
      </c>
      <c r="F2949" s="74" t="str">
        <f>HYPERLINK("http://nsgreg.nga.mil/genc/view?v=294754&amp;end_month=6&amp;end_day=30&amp;end_year=2019","Madhyamanchal")</f>
        <v>Madhyamanchal</v>
      </c>
      <c r="G2949" s="74" t="str">
        <f>HYPERLINK("http://api.nsgreg.nga.mil/geo-division/GENC/6/3-11/NP-1","as:GENC:6:3-11:NP-1")</f>
        <v>as:GENC:6:3-11:NP-1</v>
      </c>
    </row>
    <row r="2950" spans="1:7" x14ac:dyDescent="0.25">
      <c r="A2950" s="112"/>
      <c r="B2950" s="21" t="s">
        <v>7552</v>
      </c>
      <c r="C2950" s="21" t="s">
        <v>7553</v>
      </c>
      <c r="D2950" s="21" t="s">
        <v>7554</v>
      </c>
      <c r="E2950" s="50" t="b">
        <v>1</v>
      </c>
      <c r="F2950" s="72" t="str">
        <f>HYPERLINK("http://nsgreg.nga.mil/genc/view?v=294759&amp;end_month=6&amp;end_day=30&amp;end_year=2019","Bāgmatī")</f>
        <v>Bāgmatī</v>
      </c>
      <c r="G2950" s="72" t="str">
        <f>HYPERLINK("http://api.nsgreg.nga.mil/geo-division/GENC/6/3-11/NP-BA","as:GENC:6:3-11:NP-BA")</f>
        <v>as:GENC:6:3-11:NP-BA</v>
      </c>
    </row>
    <row r="2951" spans="1:7" x14ac:dyDescent="0.25">
      <c r="A2951" s="112"/>
      <c r="B2951" s="21" t="s">
        <v>7555</v>
      </c>
      <c r="C2951" s="21" t="s">
        <v>7556</v>
      </c>
      <c r="D2951" s="21" t="s">
        <v>7554</v>
      </c>
      <c r="E2951" s="50" t="b">
        <v>1</v>
      </c>
      <c r="F2951" s="72" t="str">
        <f>HYPERLINK("http://nsgreg.nga.mil/genc/view?v=294763&amp;end_month=6&amp;end_day=30&amp;end_year=2019","Janakpur")</f>
        <v>Janakpur</v>
      </c>
      <c r="G2951" s="72" t="str">
        <f>HYPERLINK("http://api.nsgreg.nga.mil/geo-division/GENC/6/3-11/NP-JA","as:GENC:6:3-11:NP-JA")</f>
        <v>as:GENC:6:3-11:NP-JA</v>
      </c>
    </row>
    <row r="2952" spans="1:7" x14ac:dyDescent="0.25">
      <c r="A2952" s="112"/>
      <c r="B2952" s="21" t="s">
        <v>7557</v>
      </c>
      <c r="C2952" s="21" t="s">
        <v>7558</v>
      </c>
      <c r="D2952" s="21" t="s">
        <v>7554</v>
      </c>
      <c r="E2952" s="50" t="b">
        <v>1</v>
      </c>
      <c r="F2952" s="72" t="str">
        <f>HYPERLINK("http://nsgreg.nga.mil/genc/view?v=294769&amp;end_month=6&amp;end_day=30&amp;end_year=2019","Nārāyanī")</f>
        <v>Nārāyanī</v>
      </c>
      <c r="G2952" s="72" t="str">
        <f>HYPERLINK("http://api.nsgreg.nga.mil/geo-division/GENC/6/3-11/NP-NA","as:GENC:6:3-11:NP-NA")</f>
        <v>as:GENC:6:3-11:NP-NA</v>
      </c>
    </row>
    <row r="2953" spans="1:7" x14ac:dyDescent="0.25">
      <c r="A2953" s="112"/>
      <c r="B2953" s="21" t="s">
        <v>7559</v>
      </c>
      <c r="C2953" s="21" t="s">
        <v>7560</v>
      </c>
      <c r="D2953" s="76" t="s">
        <v>7551</v>
      </c>
      <c r="E2953" s="77" t="b">
        <v>0</v>
      </c>
      <c r="F2953" s="72" t="str">
        <f>HYPERLINK("http://nsgreg.nga.mil/genc/view?v=294755&amp;end_month=6&amp;end_day=30&amp;end_year=2019","Madhya Pashchimanchal")</f>
        <v>Madhya Pashchimanchal</v>
      </c>
      <c r="G2953" s="72" t="str">
        <f>HYPERLINK("http://api.nsgreg.nga.mil/geo-division/GENC/6/3-11/NP-2","as:GENC:6:3-11:NP-2")</f>
        <v>as:GENC:6:3-11:NP-2</v>
      </c>
    </row>
    <row r="2954" spans="1:7" x14ac:dyDescent="0.25">
      <c r="A2954" s="112"/>
      <c r="B2954" s="21" t="s">
        <v>7561</v>
      </c>
      <c r="C2954" s="21" t="s">
        <v>7562</v>
      </c>
      <c r="D2954" s="21" t="s">
        <v>7554</v>
      </c>
      <c r="E2954" s="50" t="b">
        <v>1</v>
      </c>
      <c r="F2954" s="72" t="str">
        <f>HYPERLINK("http://nsgreg.nga.mil/genc/view?v=294760&amp;end_month=6&amp;end_day=30&amp;end_year=2019","Bherī")</f>
        <v>Bherī</v>
      </c>
      <c r="G2954" s="72" t="str">
        <f>HYPERLINK("http://api.nsgreg.nga.mil/geo-division/GENC/6/3-11/NP-BH","as:GENC:6:3-11:NP-BH")</f>
        <v>as:GENC:6:3-11:NP-BH</v>
      </c>
    </row>
    <row r="2955" spans="1:7" x14ac:dyDescent="0.25">
      <c r="A2955" s="112"/>
      <c r="B2955" s="21" t="s">
        <v>7563</v>
      </c>
      <c r="C2955" s="21" t="s">
        <v>7564</v>
      </c>
      <c r="D2955" s="21" t="s">
        <v>7554</v>
      </c>
      <c r="E2955" s="50" t="b">
        <v>1</v>
      </c>
      <c r="F2955" s="72" t="str">
        <f>HYPERLINK("http://nsgreg.nga.mil/genc/view?v=294764&amp;end_month=6&amp;end_day=30&amp;end_year=2019","Karnālī")</f>
        <v>Karnālī</v>
      </c>
      <c r="G2955" s="72" t="str">
        <f>HYPERLINK("http://api.nsgreg.nga.mil/geo-division/GENC/6/3-11/NP-KA","as:GENC:6:3-11:NP-KA")</f>
        <v>as:GENC:6:3-11:NP-KA</v>
      </c>
    </row>
    <row r="2956" spans="1:7" x14ac:dyDescent="0.25">
      <c r="A2956" s="112"/>
      <c r="B2956" s="21" t="s">
        <v>7565</v>
      </c>
      <c r="C2956" s="21" t="s">
        <v>7566</v>
      </c>
      <c r="D2956" s="21" t="s">
        <v>7554</v>
      </c>
      <c r="E2956" s="50" t="b">
        <v>1</v>
      </c>
      <c r="F2956" s="72" t="str">
        <f>HYPERLINK("http://nsgreg.nga.mil/genc/view?v=294777&amp;end_month=6&amp;end_day=30&amp;end_year=2019","Rāptī")</f>
        <v>Rāptī</v>
      </c>
      <c r="G2956" s="72" t="str">
        <f>HYPERLINK("http://api.nsgreg.nga.mil/geo-division/GENC/6/3-11/NP-RA","as:GENC:6:3-11:NP-RA")</f>
        <v>as:GENC:6:3-11:NP-RA</v>
      </c>
    </row>
    <row r="2957" spans="1:7" x14ac:dyDescent="0.25">
      <c r="A2957" s="112"/>
      <c r="B2957" s="21" t="s">
        <v>7567</v>
      </c>
      <c r="C2957" s="21" t="s">
        <v>7568</v>
      </c>
      <c r="D2957" s="76" t="s">
        <v>7551</v>
      </c>
      <c r="E2957" s="77" t="b">
        <v>0</v>
      </c>
      <c r="F2957" s="72" t="str">
        <f>HYPERLINK("http://nsgreg.nga.mil/genc/view?v=294756&amp;end_month=6&amp;end_day=30&amp;end_year=2019","Pashchimanchal")</f>
        <v>Pashchimanchal</v>
      </c>
      <c r="G2957" s="72" t="str">
        <f>HYPERLINK("http://api.nsgreg.nga.mil/geo-division/GENC/6/3-11/NP-3","as:GENC:6:3-11:NP-3")</f>
        <v>as:GENC:6:3-11:NP-3</v>
      </c>
    </row>
    <row r="2958" spans="1:7" x14ac:dyDescent="0.25">
      <c r="A2958" s="112"/>
      <c r="B2958" s="21" t="s">
        <v>7569</v>
      </c>
      <c r="C2958" s="21" t="s">
        <v>7570</v>
      </c>
      <c r="D2958" s="21" t="s">
        <v>7554</v>
      </c>
      <c r="E2958" s="50" t="b">
        <v>1</v>
      </c>
      <c r="F2958" s="72" t="str">
        <f>HYPERLINK("http://nsgreg.nga.mil/genc/view?v=294761&amp;end_month=6&amp;end_day=30&amp;end_year=2019","Dhawalāgiri")</f>
        <v>Dhawalāgiri</v>
      </c>
      <c r="G2958" s="72" t="str">
        <f>HYPERLINK("http://api.nsgreg.nga.mil/geo-division/GENC/6/3-11/NP-DH","as:GENC:6:3-11:NP-DH")</f>
        <v>as:GENC:6:3-11:NP-DH</v>
      </c>
    </row>
    <row r="2959" spans="1:7" x14ac:dyDescent="0.25">
      <c r="A2959" s="112"/>
      <c r="B2959" s="21" t="s">
        <v>7571</v>
      </c>
      <c r="C2959" s="21" t="s">
        <v>7572</v>
      </c>
      <c r="D2959" s="21" t="s">
        <v>7554</v>
      </c>
      <c r="E2959" s="50" t="b">
        <v>1</v>
      </c>
      <c r="F2959" s="72" t="str">
        <f>HYPERLINK("http://nsgreg.nga.mil/genc/view?v=294762&amp;end_month=6&amp;end_day=30&amp;end_year=2019","Gandakī")</f>
        <v>Gandakī</v>
      </c>
      <c r="G2959" s="72" t="str">
        <f>HYPERLINK("http://api.nsgreg.nga.mil/geo-division/GENC/6/3-11/NP-GA","as:GENC:6:3-11:NP-GA")</f>
        <v>as:GENC:6:3-11:NP-GA</v>
      </c>
    </row>
    <row r="2960" spans="1:7" x14ac:dyDescent="0.25">
      <c r="A2960" s="112"/>
      <c r="B2960" s="21" t="s">
        <v>7573</v>
      </c>
      <c r="C2960" s="21" t="s">
        <v>7574</v>
      </c>
      <c r="D2960" s="21" t="s">
        <v>7554</v>
      </c>
      <c r="E2960" s="50" t="b">
        <v>1</v>
      </c>
      <c r="F2960" s="72" t="str">
        <f>HYPERLINK("http://nsgreg.nga.mil/genc/view?v=294766&amp;end_month=6&amp;end_day=30&amp;end_year=2019","Lumbinī")</f>
        <v>Lumbinī</v>
      </c>
      <c r="G2960" s="72" t="str">
        <f>HYPERLINK("http://api.nsgreg.nga.mil/geo-division/GENC/6/3-11/NP-LU","as:GENC:6:3-11:NP-LU")</f>
        <v>as:GENC:6:3-11:NP-LU</v>
      </c>
    </row>
    <row r="2961" spans="1:7" x14ac:dyDescent="0.25">
      <c r="A2961" s="112"/>
      <c r="B2961" s="21" t="s">
        <v>7575</v>
      </c>
      <c r="C2961" s="21" t="s">
        <v>7576</v>
      </c>
      <c r="D2961" s="76" t="s">
        <v>7551</v>
      </c>
      <c r="E2961" s="77" t="b">
        <v>0</v>
      </c>
      <c r="F2961" s="72" t="str">
        <f>HYPERLINK("http://nsgreg.nga.mil/genc/view?v=294757&amp;end_month=6&amp;end_day=30&amp;end_year=2019","Purwanchal")</f>
        <v>Purwanchal</v>
      </c>
      <c r="G2961" s="72" t="str">
        <f>HYPERLINK("http://api.nsgreg.nga.mil/geo-division/GENC/6/3-11/NP-4","as:GENC:6:3-11:NP-4")</f>
        <v>as:GENC:6:3-11:NP-4</v>
      </c>
    </row>
    <row r="2962" spans="1:7" x14ac:dyDescent="0.25">
      <c r="A2962" s="112"/>
      <c r="B2962" s="21" t="s">
        <v>7577</v>
      </c>
      <c r="C2962" s="21" t="s">
        <v>7578</v>
      </c>
      <c r="D2962" s="21" t="s">
        <v>7554</v>
      </c>
      <c r="E2962" s="50" t="b">
        <v>1</v>
      </c>
      <c r="F2962" s="72" t="str">
        <f>HYPERLINK("http://nsgreg.nga.mil/genc/view?v=294765&amp;end_month=6&amp;end_day=30&amp;end_year=2019","Kosī")</f>
        <v>Kosī</v>
      </c>
      <c r="G2962" s="72" t="str">
        <f>HYPERLINK("http://api.nsgreg.nga.mil/geo-division/GENC/6/3-11/NP-KO","as:GENC:6:3-11:NP-KO")</f>
        <v>as:GENC:6:3-11:NP-KO</v>
      </c>
    </row>
    <row r="2963" spans="1:7" x14ac:dyDescent="0.25">
      <c r="A2963" s="112"/>
      <c r="B2963" s="21" t="s">
        <v>7579</v>
      </c>
      <c r="C2963" s="21" t="s">
        <v>7580</v>
      </c>
      <c r="D2963" s="21" t="s">
        <v>7554</v>
      </c>
      <c r="E2963" s="50" t="b">
        <v>1</v>
      </c>
      <c r="F2963" s="72" t="str">
        <f>HYPERLINK("http://nsgreg.nga.mil/genc/view?v=294768&amp;end_month=6&amp;end_day=30&amp;end_year=2019","Mechī")</f>
        <v>Mechī</v>
      </c>
      <c r="G2963" s="72" t="str">
        <f>HYPERLINK("http://api.nsgreg.nga.mil/geo-division/GENC/6/3-11/NP-ME","as:GENC:6:3-11:NP-ME")</f>
        <v>as:GENC:6:3-11:NP-ME</v>
      </c>
    </row>
    <row r="2964" spans="1:7" x14ac:dyDescent="0.25">
      <c r="A2964" s="112"/>
      <c r="B2964" s="21" t="s">
        <v>7581</v>
      </c>
      <c r="C2964" s="21" t="s">
        <v>7582</v>
      </c>
      <c r="D2964" s="21" t="s">
        <v>7554</v>
      </c>
      <c r="E2964" s="50" t="b">
        <v>1</v>
      </c>
      <c r="F2964" s="72" t="str">
        <f>HYPERLINK("http://nsgreg.nga.mil/genc/view?v=294778&amp;end_month=6&amp;end_day=30&amp;end_year=2019","Sagarmāthā")</f>
        <v>Sagarmāthā</v>
      </c>
      <c r="G2964" s="72" t="str">
        <f>HYPERLINK("http://api.nsgreg.nga.mil/geo-division/GENC/6/3-11/NP-SA","as:GENC:6:3-11:NP-SA")</f>
        <v>as:GENC:6:3-11:NP-SA</v>
      </c>
    </row>
    <row r="2965" spans="1:7" x14ac:dyDescent="0.25">
      <c r="A2965" s="112"/>
      <c r="B2965" s="21" t="s">
        <v>7583</v>
      </c>
      <c r="C2965" s="21" t="s">
        <v>7584</v>
      </c>
      <c r="D2965" s="76" t="s">
        <v>7551</v>
      </c>
      <c r="E2965" s="77" t="b">
        <v>0</v>
      </c>
      <c r="F2965" s="72" t="str">
        <f>HYPERLINK("http://nsgreg.nga.mil/genc/view?v=294758&amp;end_month=6&amp;end_day=30&amp;end_year=2019","Sudur Pashchimanchal")</f>
        <v>Sudur Pashchimanchal</v>
      </c>
      <c r="G2965" s="72" t="str">
        <f>HYPERLINK("http://api.nsgreg.nga.mil/geo-division/GENC/6/3-11/NP-5","as:GENC:6:3-11:NP-5")</f>
        <v>as:GENC:6:3-11:NP-5</v>
      </c>
    </row>
    <row r="2966" spans="1:7" x14ac:dyDescent="0.25">
      <c r="A2966" s="112"/>
      <c r="B2966" s="21" t="s">
        <v>7585</v>
      </c>
      <c r="C2966" s="21" t="s">
        <v>7586</v>
      </c>
      <c r="D2966" s="21" t="s">
        <v>7554</v>
      </c>
      <c r="E2966" s="50" t="b">
        <v>1</v>
      </c>
      <c r="F2966" s="72" t="str">
        <f>HYPERLINK("http://nsgreg.nga.mil/genc/view?v=294767&amp;end_month=6&amp;end_day=30&amp;end_year=2019","Mahākālī")</f>
        <v>Mahākālī</v>
      </c>
      <c r="G2966" s="72" t="str">
        <f>HYPERLINK("http://api.nsgreg.nga.mil/geo-division/GENC/6/3-11/NP-MA","as:GENC:6:3-11:NP-MA")</f>
        <v>as:GENC:6:3-11:NP-MA</v>
      </c>
    </row>
    <row r="2967" spans="1:7" x14ac:dyDescent="0.25">
      <c r="A2967" s="113"/>
      <c r="B2967" s="47" t="s">
        <v>7587</v>
      </c>
      <c r="C2967" s="47" t="s">
        <v>7588</v>
      </c>
      <c r="D2967" s="47" t="s">
        <v>7554</v>
      </c>
      <c r="E2967" s="51" t="b">
        <v>1</v>
      </c>
      <c r="F2967" s="73" t="str">
        <f>HYPERLINK("http://nsgreg.nga.mil/genc/view?v=294779&amp;end_month=6&amp;end_day=30&amp;end_year=2019","Setī")</f>
        <v>Setī</v>
      </c>
      <c r="G2967" s="73" t="str">
        <f>HYPERLINK("http://api.nsgreg.nga.mil/geo-division/GENC/6/3-11/NP-SE","as:GENC:6:3-11:NP-SE")</f>
        <v>as:GENC:6:3-11:NP-SE</v>
      </c>
    </row>
    <row r="2968" spans="1:7" x14ac:dyDescent="0.25">
      <c r="A2968" s="111" t="str">
        <f>HYPERLINK("[#]Codes_for_GE_Names!A185:I185","NETHERLANDS")</f>
        <v>NETHERLANDS</v>
      </c>
      <c r="B2968" s="42" t="s">
        <v>7589</v>
      </c>
      <c r="C2968" s="42" t="s">
        <v>7590</v>
      </c>
      <c r="D2968" s="42" t="s">
        <v>1668</v>
      </c>
      <c r="E2968" s="49" t="b">
        <v>1</v>
      </c>
      <c r="F2968" s="74" t="str">
        <f>HYPERLINK("http://nsgreg.nga.mil/genc/view?v=294721&amp;end_month=6&amp;end_day=30&amp;end_year=2019","Drenthe")</f>
        <v>Drenthe</v>
      </c>
      <c r="G2968" s="74" t="str">
        <f>HYPERLINK("http://api.nsgreg.nga.mil/geo-division/GENC/6/3-11/NL-DR","as:GENC:6:3-11:NL-DR")</f>
        <v>as:GENC:6:3-11:NL-DR</v>
      </c>
    </row>
    <row r="2969" spans="1:7" x14ac:dyDescent="0.25">
      <c r="A2969" s="112"/>
      <c r="B2969" s="21" t="s">
        <v>7591</v>
      </c>
      <c r="C2969" s="21" t="s">
        <v>7592</v>
      </c>
      <c r="D2969" s="21" t="s">
        <v>1668</v>
      </c>
      <c r="E2969" s="50" t="b">
        <v>1</v>
      </c>
      <c r="F2969" s="72" t="str">
        <f>HYPERLINK("http://nsgreg.nga.mil/genc/view?v=294722&amp;end_month=6&amp;end_day=30&amp;end_year=2019","Flevoland")</f>
        <v>Flevoland</v>
      </c>
      <c r="G2969" s="72" t="str">
        <f>HYPERLINK("http://api.nsgreg.nga.mil/geo-division/GENC/6/3-11/NL-FL","as:GENC:6:3-11:NL-FL")</f>
        <v>as:GENC:6:3-11:NL-FL</v>
      </c>
    </row>
    <row r="2970" spans="1:7" x14ac:dyDescent="0.25">
      <c r="A2970" s="112"/>
      <c r="B2970" s="21" t="s">
        <v>7593</v>
      </c>
      <c r="C2970" s="21" t="s">
        <v>7594</v>
      </c>
      <c r="D2970" s="21" t="s">
        <v>1668</v>
      </c>
      <c r="E2970" s="50" t="b">
        <v>1</v>
      </c>
      <c r="F2970" s="72" t="str">
        <f>HYPERLINK("http://nsgreg.nga.mil/genc/view?v=294723&amp;end_month=6&amp;end_day=30&amp;end_year=2019","Fryslân")</f>
        <v>Fryslân</v>
      </c>
      <c r="G2970" s="72" t="str">
        <f>HYPERLINK("http://api.nsgreg.nga.mil/geo-division/GENC/6/3-11/NL-FR","as:GENC:6:3-11:NL-FR")</f>
        <v>as:GENC:6:3-11:NL-FR</v>
      </c>
    </row>
    <row r="2971" spans="1:7" x14ac:dyDescent="0.25">
      <c r="A2971" s="112"/>
      <c r="B2971" s="21" t="s">
        <v>7595</v>
      </c>
      <c r="C2971" s="21" t="s">
        <v>7596</v>
      </c>
      <c r="D2971" s="21" t="s">
        <v>1668</v>
      </c>
      <c r="E2971" s="50" t="b">
        <v>1</v>
      </c>
      <c r="F2971" s="72" t="str">
        <f>HYPERLINK("http://nsgreg.nga.mil/genc/view?v=294724&amp;end_month=6&amp;end_day=30&amp;end_year=2019","Gelderland")</f>
        <v>Gelderland</v>
      </c>
      <c r="G2971" s="72" t="str">
        <f>HYPERLINK("http://api.nsgreg.nga.mil/geo-division/GENC/6/3-11/NL-GE","as:GENC:6:3-11:NL-GE")</f>
        <v>as:GENC:6:3-11:NL-GE</v>
      </c>
    </row>
    <row r="2972" spans="1:7" x14ac:dyDescent="0.25">
      <c r="A2972" s="112"/>
      <c r="B2972" s="21" t="s">
        <v>7597</v>
      </c>
      <c r="C2972" s="21" t="s">
        <v>7598</v>
      </c>
      <c r="D2972" s="21" t="s">
        <v>1668</v>
      </c>
      <c r="E2972" s="50" t="b">
        <v>1</v>
      </c>
      <c r="F2972" s="72" t="str">
        <f>HYPERLINK("http://nsgreg.nga.mil/genc/view?v=294725&amp;end_month=6&amp;end_day=30&amp;end_year=2019","Groningen")</f>
        <v>Groningen</v>
      </c>
      <c r="G2972" s="72" t="str">
        <f>HYPERLINK("http://api.nsgreg.nga.mil/geo-division/GENC/6/3-11/NL-GR","as:GENC:6:3-11:NL-GR")</f>
        <v>as:GENC:6:3-11:NL-GR</v>
      </c>
    </row>
    <row r="2973" spans="1:7" x14ac:dyDescent="0.25">
      <c r="A2973" s="112"/>
      <c r="B2973" s="21" t="s">
        <v>7599</v>
      </c>
      <c r="C2973" s="21" t="s">
        <v>7600</v>
      </c>
      <c r="D2973" s="21" t="s">
        <v>1668</v>
      </c>
      <c r="E2973" s="50" t="b">
        <v>1</v>
      </c>
      <c r="F2973" s="72" t="str">
        <f>HYPERLINK("http://nsgreg.nga.mil/genc/view?v=294726&amp;end_month=6&amp;end_day=30&amp;end_year=2019","Limburg")</f>
        <v>Limburg</v>
      </c>
      <c r="G2973" s="72" t="str">
        <f>HYPERLINK("http://api.nsgreg.nga.mil/geo-division/GENC/6/3-11/NL-LI","as:GENC:6:3-11:NL-LI")</f>
        <v>as:GENC:6:3-11:NL-LI</v>
      </c>
    </row>
    <row r="2974" spans="1:7" x14ac:dyDescent="0.25">
      <c r="A2974" s="112"/>
      <c r="B2974" s="21" t="s">
        <v>7601</v>
      </c>
      <c r="C2974" s="21" t="s">
        <v>7602</v>
      </c>
      <c r="D2974" s="21" t="s">
        <v>1668</v>
      </c>
      <c r="E2974" s="50" t="b">
        <v>1</v>
      </c>
      <c r="F2974" s="72" t="str">
        <f>HYPERLINK("http://nsgreg.nga.mil/genc/view?v=294727&amp;end_month=6&amp;end_day=30&amp;end_year=2019","Noord-Brabant")</f>
        <v>Noord-Brabant</v>
      </c>
      <c r="G2974" s="72" t="str">
        <f>HYPERLINK("http://api.nsgreg.nga.mil/geo-division/GENC/6/3-11/NL-NB","as:GENC:6:3-11:NL-NB")</f>
        <v>as:GENC:6:3-11:NL-NB</v>
      </c>
    </row>
    <row r="2975" spans="1:7" x14ac:dyDescent="0.25">
      <c r="A2975" s="112"/>
      <c r="B2975" s="21" t="s">
        <v>7603</v>
      </c>
      <c r="C2975" s="21" t="s">
        <v>7604</v>
      </c>
      <c r="D2975" s="21" t="s">
        <v>1668</v>
      </c>
      <c r="E2975" s="50" t="b">
        <v>1</v>
      </c>
      <c r="F2975" s="72" t="str">
        <f>HYPERLINK("http://nsgreg.nga.mil/genc/view?v=294728&amp;end_month=6&amp;end_day=30&amp;end_year=2019","Noord-Holland")</f>
        <v>Noord-Holland</v>
      </c>
      <c r="G2975" s="72" t="str">
        <f>HYPERLINK("http://api.nsgreg.nga.mil/geo-division/GENC/6/3-11/NL-NH","as:GENC:6:3-11:NL-NH")</f>
        <v>as:GENC:6:3-11:NL-NH</v>
      </c>
    </row>
    <row r="2976" spans="1:7" x14ac:dyDescent="0.25">
      <c r="A2976" s="112"/>
      <c r="B2976" s="21" t="s">
        <v>7605</v>
      </c>
      <c r="C2976" s="21" t="s">
        <v>7606</v>
      </c>
      <c r="D2976" s="21" t="s">
        <v>1668</v>
      </c>
      <c r="E2976" s="50" t="b">
        <v>1</v>
      </c>
      <c r="F2976" s="72" t="str">
        <f>HYPERLINK("http://nsgreg.nga.mil/genc/view?v=294729&amp;end_month=6&amp;end_day=30&amp;end_year=2019","Overijssel")</f>
        <v>Overijssel</v>
      </c>
      <c r="G2976" s="72" t="str">
        <f>HYPERLINK("http://api.nsgreg.nga.mil/geo-division/GENC/6/3-11/NL-OV","as:GENC:6:3-11:NL-OV")</f>
        <v>as:GENC:6:3-11:NL-OV</v>
      </c>
    </row>
    <row r="2977" spans="1:7" x14ac:dyDescent="0.25">
      <c r="A2977" s="112"/>
      <c r="B2977" s="21" t="s">
        <v>7607</v>
      </c>
      <c r="C2977" s="21" t="s">
        <v>7608</v>
      </c>
      <c r="D2977" s="21" t="s">
        <v>1668</v>
      </c>
      <c r="E2977" s="50" t="b">
        <v>1</v>
      </c>
      <c r="F2977" s="72" t="str">
        <f>HYPERLINK("http://nsgreg.nga.mil/genc/view?v=294731&amp;end_month=6&amp;end_day=30&amp;end_year=2019","Utrecht")</f>
        <v>Utrecht</v>
      </c>
      <c r="G2977" s="72" t="str">
        <f>HYPERLINK("http://api.nsgreg.nga.mil/geo-division/GENC/6/3-11/NL-UT","as:GENC:6:3-11:NL-UT")</f>
        <v>as:GENC:6:3-11:NL-UT</v>
      </c>
    </row>
    <row r="2978" spans="1:7" x14ac:dyDescent="0.25">
      <c r="A2978" s="112"/>
      <c r="B2978" s="21" t="s">
        <v>7609</v>
      </c>
      <c r="C2978" s="21" t="s">
        <v>7610</v>
      </c>
      <c r="D2978" s="21" t="s">
        <v>1668</v>
      </c>
      <c r="E2978" s="50" t="b">
        <v>1</v>
      </c>
      <c r="F2978" s="72" t="str">
        <f>HYPERLINK("http://nsgreg.nga.mil/genc/view?v=294732&amp;end_month=6&amp;end_day=30&amp;end_year=2019","Zeeland")</f>
        <v>Zeeland</v>
      </c>
      <c r="G2978" s="72" t="str">
        <f>HYPERLINK("http://api.nsgreg.nga.mil/geo-division/GENC/6/3-11/NL-ZE","as:GENC:6:3-11:NL-ZE")</f>
        <v>as:GENC:6:3-11:NL-ZE</v>
      </c>
    </row>
    <row r="2979" spans="1:7" x14ac:dyDescent="0.25">
      <c r="A2979" s="113"/>
      <c r="B2979" s="47" t="s">
        <v>7611</v>
      </c>
      <c r="C2979" s="47" t="s">
        <v>7612</v>
      </c>
      <c r="D2979" s="47" t="s">
        <v>1668</v>
      </c>
      <c r="E2979" s="51" t="b">
        <v>1</v>
      </c>
      <c r="F2979" s="73" t="str">
        <f>HYPERLINK("http://nsgreg.nga.mil/genc/view?v=294733&amp;end_month=6&amp;end_day=30&amp;end_year=2019","Zuid-Holland")</f>
        <v>Zuid-Holland</v>
      </c>
      <c r="G2979" s="73" t="str">
        <f>HYPERLINK("http://api.nsgreg.nga.mil/geo-division/GENC/6/3-11/NL-ZH","as:GENC:6:3-11:NL-ZH")</f>
        <v>as:GENC:6:3-11:NL-ZH</v>
      </c>
    </row>
    <row r="2980" spans="1:7" x14ac:dyDescent="0.25">
      <c r="A2980" s="111" t="str">
        <f>HYPERLINK("[#]Codes_for_GE_Names!A186:I186","NEW CALEDONIA")</f>
        <v>NEW CALEDONIA</v>
      </c>
      <c r="B2980" s="42" t="s">
        <v>7613</v>
      </c>
      <c r="C2980" s="42" t="s">
        <v>7614</v>
      </c>
      <c r="D2980" s="42" t="s">
        <v>1668</v>
      </c>
      <c r="E2980" s="49" t="b">
        <v>1</v>
      </c>
      <c r="F2980" s="74" t="str">
        <f>HYPERLINK("http://nsgreg.nga.mil/genc/view?v=294651&amp;end_month=6&amp;end_day=30&amp;end_year=2019","Province Îles")</f>
        <v>Province Îles</v>
      </c>
      <c r="G2980" s="74" t="str">
        <f>HYPERLINK("http://api.nsgreg.nga.mil/geo-division/GENC/6/3-11/NC-01","as:GENC:6:3-11:NC-01")</f>
        <v>as:GENC:6:3-11:NC-01</v>
      </c>
    </row>
    <row r="2981" spans="1:7" x14ac:dyDescent="0.25">
      <c r="A2981" s="112"/>
      <c r="B2981" s="21" t="s">
        <v>7615</v>
      </c>
      <c r="C2981" s="21" t="s">
        <v>7616</v>
      </c>
      <c r="D2981" s="21" t="s">
        <v>1668</v>
      </c>
      <c r="E2981" s="50" t="b">
        <v>1</v>
      </c>
      <c r="F2981" s="72" t="str">
        <f>HYPERLINK("http://nsgreg.nga.mil/genc/view?v=294652&amp;end_month=6&amp;end_day=30&amp;end_year=2019","Province Nord")</f>
        <v>Province Nord</v>
      </c>
      <c r="G2981" s="72" t="str">
        <f>HYPERLINK("http://api.nsgreg.nga.mil/geo-division/GENC/6/3-11/NC-02","as:GENC:6:3-11:NC-02")</f>
        <v>as:GENC:6:3-11:NC-02</v>
      </c>
    </row>
    <row r="2982" spans="1:7" x14ac:dyDescent="0.25">
      <c r="A2982" s="113"/>
      <c r="B2982" s="47" t="s">
        <v>7617</v>
      </c>
      <c r="C2982" s="47" t="s">
        <v>7618</v>
      </c>
      <c r="D2982" s="47" t="s">
        <v>1668</v>
      </c>
      <c r="E2982" s="51" t="b">
        <v>1</v>
      </c>
      <c r="F2982" s="73" t="str">
        <f>HYPERLINK("http://nsgreg.nga.mil/genc/view?v=294653&amp;end_month=6&amp;end_day=30&amp;end_year=2019","Province Sud")</f>
        <v>Province Sud</v>
      </c>
      <c r="G2982" s="73" t="str">
        <f>HYPERLINK("http://api.nsgreg.nga.mil/geo-division/GENC/6/3-11/NC-03","as:GENC:6:3-11:NC-03")</f>
        <v>as:GENC:6:3-11:NC-03</v>
      </c>
    </row>
    <row r="2983" spans="1:7" x14ac:dyDescent="0.25">
      <c r="A2983" s="111" t="str">
        <f>HYPERLINK("[#]Codes_for_GE_Names!A187:I187","NEW ZEALAND")</f>
        <v>NEW ZEALAND</v>
      </c>
      <c r="B2983" s="42" t="s">
        <v>7619</v>
      </c>
      <c r="C2983" s="42" t="s">
        <v>7620</v>
      </c>
      <c r="D2983" s="42" t="s">
        <v>1975</v>
      </c>
      <c r="E2983" s="49" t="b">
        <v>1</v>
      </c>
      <c r="F2983" s="74" t="str">
        <f>HYPERLINK("http://nsgreg.nga.mil/genc/view?v=294794&amp;end_month=6&amp;end_day=30&amp;end_year=2019","Auckland")</f>
        <v>Auckland</v>
      </c>
      <c r="G2983" s="74" t="str">
        <f>HYPERLINK("http://api.nsgreg.nga.mil/geo-division/GENC/6/3-11/NZ-AUK","as:GENC:6:3-11:NZ-AUK")</f>
        <v>as:GENC:6:3-11:NZ-AUK</v>
      </c>
    </row>
    <row r="2984" spans="1:7" x14ac:dyDescent="0.25">
      <c r="A2984" s="112"/>
      <c r="B2984" s="21" t="s">
        <v>7621</v>
      </c>
      <c r="C2984" s="21" t="s">
        <v>7622</v>
      </c>
      <c r="D2984" s="21" t="s">
        <v>1975</v>
      </c>
      <c r="E2984" s="50" t="b">
        <v>1</v>
      </c>
      <c r="F2984" s="72" t="str">
        <f>HYPERLINK("http://nsgreg.nga.mil/genc/view?v=294795&amp;end_month=6&amp;end_day=30&amp;end_year=2019","Bay of Plenty")</f>
        <v>Bay of Plenty</v>
      </c>
      <c r="G2984" s="72" t="str">
        <f>HYPERLINK("http://api.nsgreg.nga.mil/geo-division/GENC/6/3-11/NZ-BOP","as:GENC:6:3-11:NZ-BOP")</f>
        <v>as:GENC:6:3-11:NZ-BOP</v>
      </c>
    </row>
    <row r="2985" spans="1:7" x14ac:dyDescent="0.25">
      <c r="A2985" s="112"/>
      <c r="B2985" s="21" t="s">
        <v>7623</v>
      </c>
      <c r="C2985" s="21" t="s">
        <v>7624</v>
      </c>
      <c r="D2985" s="21" t="s">
        <v>1975</v>
      </c>
      <c r="E2985" s="50" t="b">
        <v>1</v>
      </c>
      <c r="F2985" s="72" t="str">
        <f>HYPERLINK("http://nsgreg.nga.mil/genc/view?v=294796&amp;end_month=6&amp;end_day=30&amp;end_year=2019","Canterbury")</f>
        <v>Canterbury</v>
      </c>
      <c r="G2985" s="72" t="str">
        <f>HYPERLINK("http://api.nsgreg.nga.mil/geo-division/GENC/6/3-11/NZ-CAN","as:GENC:6:3-11:NZ-CAN")</f>
        <v>as:GENC:6:3-11:NZ-CAN</v>
      </c>
    </row>
    <row r="2986" spans="1:7" x14ac:dyDescent="0.25">
      <c r="A2986" s="112"/>
      <c r="B2986" s="21" t="s">
        <v>7625</v>
      </c>
      <c r="C2986" s="21" t="s">
        <v>7626</v>
      </c>
      <c r="D2986" s="21" t="s">
        <v>2035</v>
      </c>
      <c r="E2986" s="50" t="b">
        <v>1</v>
      </c>
      <c r="F2986" s="72" t="str">
        <f>HYPERLINK("http://nsgreg.nga.mil/genc/view?v=294797&amp;end_month=6&amp;end_day=30&amp;end_year=2019","Chatham Islands")</f>
        <v>Chatham Islands</v>
      </c>
      <c r="G2986" s="72" t="str">
        <f>HYPERLINK("http://api.nsgreg.nga.mil/geo-division/GENC/6/3-11/NZ-CIT","as:GENC:6:3-11:NZ-CIT")</f>
        <v>as:GENC:6:3-11:NZ-CIT</v>
      </c>
    </row>
    <row r="2987" spans="1:7" x14ac:dyDescent="0.25">
      <c r="A2987" s="112"/>
      <c r="B2987" s="21" t="s">
        <v>7627</v>
      </c>
      <c r="C2987" s="21" t="s">
        <v>7628</v>
      </c>
      <c r="D2987" s="21" t="s">
        <v>1975</v>
      </c>
      <c r="E2987" s="50" t="b">
        <v>1</v>
      </c>
      <c r="F2987" s="72" t="str">
        <f>HYPERLINK("http://nsgreg.nga.mil/genc/view?v=294798&amp;end_month=6&amp;end_day=30&amp;end_year=2019","Gisborne")</f>
        <v>Gisborne</v>
      </c>
      <c r="G2987" s="72" t="str">
        <f>HYPERLINK("http://api.nsgreg.nga.mil/geo-division/GENC/6/3-11/NZ-GIS","as:GENC:6:3-11:NZ-GIS")</f>
        <v>as:GENC:6:3-11:NZ-GIS</v>
      </c>
    </row>
    <row r="2988" spans="1:7" x14ac:dyDescent="0.25">
      <c r="A2988" s="112"/>
      <c r="B2988" s="21" t="s">
        <v>7629</v>
      </c>
      <c r="C2988" s="21" t="s">
        <v>7630</v>
      </c>
      <c r="D2988" s="21" t="s">
        <v>1975</v>
      </c>
      <c r="E2988" s="50" t="b">
        <v>1</v>
      </c>
      <c r="F2988" s="72" t="str">
        <f>HYPERLINK("http://nsgreg.nga.mil/genc/view?v=294799&amp;end_month=6&amp;end_day=30&amp;end_year=2019","Hawke’s Bay")</f>
        <v>Hawke’s Bay</v>
      </c>
      <c r="G2988" s="72" t="str">
        <f>HYPERLINK("http://api.nsgreg.nga.mil/geo-division/GENC/6/3-11/NZ-HKB","as:GENC:6:3-11:NZ-HKB")</f>
        <v>as:GENC:6:3-11:NZ-HKB</v>
      </c>
    </row>
    <row r="2989" spans="1:7" x14ac:dyDescent="0.25">
      <c r="A2989" s="112"/>
      <c r="B2989" s="21" t="s">
        <v>7631</v>
      </c>
      <c r="C2989" s="21" t="s">
        <v>7632</v>
      </c>
      <c r="D2989" s="21" t="s">
        <v>1975</v>
      </c>
      <c r="E2989" s="50" t="b">
        <v>1</v>
      </c>
      <c r="F2989" s="72" t="str">
        <f>HYPERLINK("http://nsgreg.nga.mil/genc/view?v=294801&amp;end_month=6&amp;end_day=30&amp;end_year=2019","Manawatu-Wanganui")</f>
        <v>Manawatu-Wanganui</v>
      </c>
      <c r="G2989" s="72" t="str">
        <f>HYPERLINK("http://api.nsgreg.nga.mil/geo-division/GENC/6/3-11/NZ-MWT","as:GENC:6:3-11:NZ-MWT")</f>
        <v>as:GENC:6:3-11:NZ-MWT</v>
      </c>
    </row>
    <row r="2990" spans="1:7" x14ac:dyDescent="0.25">
      <c r="A2990" s="112"/>
      <c r="B2990" s="21" t="s">
        <v>7633</v>
      </c>
      <c r="C2990" s="21" t="s">
        <v>7634</v>
      </c>
      <c r="D2990" s="21" t="s">
        <v>1975</v>
      </c>
      <c r="E2990" s="50" t="b">
        <v>1</v>
      </c>
      <c r="F2990" s="72" t="str">
        <f>HYPERLINK("http://nsgreg.nga.mil/genc/view?v=294800&amp;end_month=6&amp;end_day=30&amp;end_year=2019","Marlborough")</f>
        <v>Marlborough</v>
      </c>
      <c r="G2990" s="72" t="str">
        <f>HYPERLINK("http://api.nsgreg.nga.mil/geo-division/GENC/6/3-11/NZ-MBH","as:GENC:6:3-11:NZ-MBH")</f>
        <v>as:GENC:6:3-11:NZ-MBH</v>
      </c>
    </row>
    <row r="2991" spans="1:7" x14ac:dyDescent="0.25">
      <c r="A2991" s="112"/>
      <c r="B2991" s="21" t="s">
        <v>7635</v>
      </c>
      <c r="C2991" s="21" t="s">
        <v>7636</v>
      </c>
      <c r="D2991" s="21" t="s">
        <v>1975</v>
      </c>
      <c r="E2991" s="50" t="b">
        <v>1</v>
      </c>
      <c r="F2991" s="72" t="str">
        <f>HYPERLINK("http://nsgreg.nga.mil/genc/view?v=294802&amp;end_month=6&amp;end_day=30&amp;end_year=2019","Nelson")</f>
        <v>Nelson</v>
      </c>
      <c r="G2991" s="72" t="str">
        <f>HYPERLINK("http://api.nsgreg.nga.mil/geo-division/GENC/6/3-11/NZ-NSN","as:GENC:6:3-11:NZ-NSN")</f>
        <v>as:GENC:6:3-11:NZ-NSN</v>
      </c>
    </row>
    <row r="2992" spans="1:7" x14ac:dyDescent="0.25">
      <c r="A2992" s="112"/>
      <c r="B2992" s="21" t="s">
        <v>7637</v>
      </c>
      <c r="C2992" s="21" t="s">
        <v>7638</v>
      </c>
      <c r="D2992" s="21" t="s">
        <v>1975</v>
      </c>
      <c r="E2992" s="50" t="b">
        <v>1</v>
      </c>
      <c r="F2992" s="72" t="str">
        <f>HYPERLINK("http://nsgreg.nga.mil/genc/view?v=294803&amp;end_month=6&amp;end_day=30&amp;end_year=2019","Northland")</f>
        <v>Northland</v>
      </c>
      <c r="G2992" s="72" t="str">
        <f>HYPERLINK("http://api.nsgreg.nga.mil/geo-division/GENC/6/3-11/NZ-NTL","as:GENC:6:3-11:NZ-NTL")</f>
        <v>as:GENC:6:3-11:NZ-NTL</v>
      </c>
    </row>
    <row r="2993" spans="1:7" x14ac:dyDescent="0.25">
      <c r="A2993" s="112"/>
      <c r="B2993" s="21" t="s">
        <v>7639</v>
      </c>
      <c r="C2993" s="21" t="s">
        <v>7640</v>
      </c>
      <c r="D2993" s="21" t="s">
        <v>1975</v>
      </c>
      <c r="E2993" s="50" t="b">
        <v>1</v>
      </c>
      <c r="F2993" s="72" t="str">
        <f>HYPERLINK("http://nsgreg.nga.mil/genc/view?v=294804&amp;end_month=6&amp;end_day=30&amp;end_year=2019","Otago")</f>
        <v>Otago</v>
      </c>
      <c r="G2993" s="72" t="str">
        <f>HYPERLINK("http://api.nsgreg.nga.mil/geo-division/GENC/6/3-11/NZ-OTA","as:GENC:6:3-11:NZ-OTA")</f>
        <v>as:GENC:6:3-11:NZ-OTA</v>
      </c>
    </row>
    <row r="2994" spans="1:7" x14ac:dyDescent="0.25">
      <c r="A2994" s="112"/>
      <c r="B2994" s="21" t="s">
        <v>7641</v>
      </c>
      <c r="C2994" s="21" t="s">
        <v>7642</v>
      </c>
      <c r="D2994" s="21" t="s">
        <v>1975</v>
      </c>
      <c r="E2994" s="50" t="b">
        <v>1</v>
      </c>
      <c r="F2994" s="72" t="str">
        <f>HYPERLINK("http://nsgreg.nga.mil/genc/view?v=294805&amp;end_month=6&amp;end_day=30&amp;end_year=2019","Southland")</f>
        <v>Southland</v>
      </c>
      <c r="G2994" s="72" t="str">
        <f>HYPERLINK("http://api.nsgreg.nga.mil/geo-division/GENC/6/3-11/NZ-STL","as:GENC:6:3-11:NZ-STL")</f>
        <v>as:GENC:6:3-11:NZ-STL</v>
      </c>
    </row>
    <row r="2995" spans="1:7" x14ac:dyDescent="0.25">
      <c r="A2995" s="112"/>
      <c r="B2995" s="21" t="s">
        <v>7643</v>
      </c>
      <c r="C2995" s="21" t="s">
        <v>7644</v>
      </c>
      <c r="D2995" s="21" t="s">
        <v>1975</v>
      </c>
      <c r="E2995" s="50" t="b">
        <v>1</v>
      </c>
      <c r="F2995" s="72" t="str">
        <f>HYPERLINK("http://nsgreg.nga.mil/genc/view?v=294807&amp;end_month=6&amp;end_day=30&amp;end_year=2019","Taranaki")</f>
        <v>Taranaki</v>
      </c>
      <c r="G2995" s="72" t="str">
        <f>HYPERLINK("http://api.nsgreg.nga.mil/geo-division/GENC/6/3-11/NZ-TKI","as:GENC:6:3-11:NZ-TKI")</f>
        <v>as:GENC:6:3-11:NZ-TKI</v>
      </c>
    </row>
    <row r="2996" spans="1:7" x14ac:dyDescent="0.25">
      <c r="A2996" s="112"/>
      <c r="B2996" s="21" t="s">
        <v>7645</v>
      </c>
      <c r="C2996" s="21" t="s">
        <v>7646</v>
      </c>
      <c r="D2996" s="21" t="s">
        <v>1975</v>
      </c>
      <c r="E2996" s="50" t="b">
        <v>1</v>
      </c>
      <c r="F2996" s="72" t="str">
        <f>HYPERLINK("http://nsgreg.nga.mil/genc/view?v=294806&amp;end_month=6&amp;end_day=30&amp;end_year=2019","Tasman")</f>
        <v>Tasman</v>
      </c>
      <c r="G2996" s="72" t="str">
        <f>HYPERLINK("http://api.nsgreg.nga.mil/geo-division/GENC/6/3-11/NZ-TAS","as:GENC:6:3-11:NZ-TAS")</f>
        <v>as:GENC:6:3-11:NZ-TAS</v>
      </c>
    </row>
    <row r="2997" spans="1:7" x14ac:dyDescent="0.25">
      <c r="A2997" s="112"/>
      <c r="B2997" s="21" t="s">
        <v>7647</v>
      </c>
      <c r="C2997" s="21" t="s">
        <v>7648</v>
      </c>
      <c r="D2997" s="21" t="s">
        <v>1975</v>
      </c>
      <c r="E2997" s="50" t="b">
        <v>1</v>
      </c>
      <c r="F2997" s="72" t="str">
        <f>HYPERLINK("http://nsgreg.nga.mil/genc/view?v=294809&amp;end_month=6&amp;end_day=30&amp;end_year=2019","Waikato")</f>
        <v>Waikato</v>
      </c>
      <c r="G2997" s="72" t="str">
        <f>HYPERLINK("http://api.nsgreg.nga.mil/geo-division/GENC/6/3-11/NZ-WKO","as:GENC:6:3-11:NZ-WKO")</f>
        <v>as:GENC:6:3-11:NZ-WKO</v>
      </c>
    </row>
    <row r="2998" spans="1:7" x14ac:dyDescent="0.25">
      <c r="A2998" s="112"/>
      <c r="B2998" s="21" t="s">
        <v>7649</v>
      </c>
      <c r="C2998" s="21" t="s">
        <v>7650</v>
      </c>
      <c r="D2998" s="21" t="s">
        <v>1975</v>
      </c>
      <c r="E2998" s="50" t="b">
        <v>1</v>
      </c>
      <c r="F2998" s="72" t="str">
        <f>HYPERLINK("http://nsgreg.nga.mil/genc/view?v=294808&amp;end_month=6&amp;end_day=30&amp;end_year=2019","Wellington")</f>
        <v>Wellington</v>
      </c>
      <c r="G2998" s="72" t="str">
        <f>HYPERLINK("http://api.nsgreg.nga.mil/geo-division/GENC/6/3-11/NZ-WGN","as:GENC:6:3-11:NZ-WGN")</f>
        <v>as:GENC:6:3-11:NZ-WGN</v>
      </c>
    </row>
    <row r="2999" spans="1:7" x14ac:dyDescent="0.25">
      <c r="A2999" s="113"/>
      <c r="B2999" s="47" t="s">
        <v>7651</v>
      </c>
      <c r="C2999" s="47" t="s">
        <v>4437</v>
      </c>
      <c r="D2999" s="47" t="s">
        <v>1975</v>
      </c>
      <c r="E2999" s="51" t="b">
        <v>1</v>
      </c>
      <c r="F2999" s="73" t="str">
        <f>HYPERLINK("http://nsgreg.nga.mil/genc/view?v=294810&amp;end_month=6&amp;end_day=30&amp;end_year=2019","West Coast")</f>
        <v>West Coast</v>
      </c>
      <c r="G2999" s="73" t="str">
        <f>HYPERLINK("http://api.nsgreg.nga.mil/geo-division/GENC/6/3-11/NZ-WTC","as:GENC:6:3-11:NZ-WTC")</f>
        <v>as:GENC:6:3-11:NZ-WTC</v>
      </c>
    </row>
    <row r="3000" spans="1:7" x14ac:dyDescent="0.25">
      <c r="A3000" s="111" t="str">
        <f>HYPERLINK("[#]Codes_for_GE_Names!A188:I188","NICARAGUA")</f>
        <v>NICARAGUA</v>
      </c>
      <c r="B3000" s="42" t="s">
        <v>7652</v>
      </c>
      <c r="C3000" s="42" t="s">
        <v>7653</v>
      </c>
      <c r="D3000" s="42" t="s">
        <v>2478</v>
      </c>
      <c r="E3000" s="49" t="b">
        <v>1</v>
      </c>
      <c r="F3000" s="74" t="str">
        <f>HYPERLINK("http://nsgreg.nga.mil/genc/view?v=294701&amp;end_month=6&amp;end_day=30&amp;end_year=2019","Boaco")</f>
        <v>Boaco</v>
      </c>
      <c r="G3000" s="74" t="str">
        <f>HYPERLINK("http://api.nsgreg.nga.mil/geo-division/GENC/6/3-11/NI-BO","as:GENC:6:3-11:NI-BO")</f>
        <v>as:GENC:6:3-11:NI-BO</v>
      </c>
    </row>
    <row r="3001" spans="1:7" x14ac:dyDescent="0.25">
      <c r="A3001" s="112"/>
      <c r="B3001" s="21" t="s">
        <v>7654</v>
      </c>
      <c r="C3001" s="21" t="s">
        <v>7655</v>
      </c>
      <c r="D3001" s="21" t="s">
        <v>2478</v>
      </c>
      <c r="E3001" s="50" t="b">
        <v>1</v>
      </c>
      <c r="F3001" s="72" t="str">
        <f>HYPERLINK("http://nsgreg.nga.mil/genc/view?v=294702&amp;end_month=6&amp;end_day=30&amp;end_year=2019","Carazo")</f>
        <v>Carazo</v>
      </c>
      <c r="G3001" s="72" t="str">
        <f>HYPERLINK("http://api.nsgreg.nga.mil/geo-division/GENC/6/3-11/NI-CA","as:GENC:6:3-11:NI-CA")</f>
        <v>as:GENC:6:3-11:NI-CA</v>
      </c>
    </row>
    <row r="3002" spans="1:7" x14ac:dyDescent="0.25">
      <c r="A3002" s="112"/>
      <c r="B3002" s="21" t="s">
        <v>7656</v>
      </c>
      <c r="C3002" s="21" t="s">
        <v>7657</v>
      </c>
      <c r="D3002" s="21" t="s">
        <v>2478</v>
      </c>
      <c r="E3002" s="50" t="b">
        <v>1</v>
      </c>
      <c r="F3002" s="72" t="str">
        <f>HYPERLINK("http://nsgreg.nga.mil/genc/view?v=294703&amp;end_month=6&amp;end_day=30&amp;end_year=2019","Chinandega")</f>
        <v>Chinandega</v>
      </c>
      <c r="G3002" s="72" t="str">
        <f>HYPERLINK("http://api.nsgreg.nga.mil/geo-division/GENC/6/3-11/NI-CI","as:GENC:6:3-11:NI-CI")</f>
        <v>as:GENC:6:3-11:NI-CI</v>
      </c>
    </row>
    <row r="3003" spans="1:7" x14ac:dyDescent="0.25">
      <c r="A3003" s="112"/>
      <c r="B3003" s="21" t="s">
        <v>7658</v>
      </c>
      <c r="C3003" s="21" t="s">
        <v>7659</v>
      </c>
      <c r="D3003" s="21" t="s">
        <v>2478</v>
      </c>
      <c r="E3003" s="50" t="b">
        <v>1</v>
      </c>
      <c r="F3003" s="72" t="str">
        <f>HYPERLINK("http://nsgreg.nga.mil/genc/view?v=294704&amp;end_month=6&amp;end_day=30&amp;end_year=2019","Chontales")</f>
        <v>Chontales</v>
      </c>
      <c r="G3003" s="72" t="str">
        <f>HYPERLINK("http://api.nsgreg.nga.mil/geo-division/GENC/6/3-11/NI-CO","as:GENC:6:3-11:NI-CO")</f>
        <v>as:GENC:6:3-11:NI-CO</v>
      </c>
    </row>
    <row r="3004" spans="1:7" x14ac:dyDescent="0.25">
      <c r="A3004" s="112"/>
      <c r="B3004" s="21" t="s">
        <v>7660</v>
      </c>
      <c r="C3004" s="21" t="s">
        <v>7661</v>
      </c>
      <c r="D3004" s="21" t="s">
        <v>3199</v>
      </c>
      <c r="E3004" s="50" t="b">
        <v>1</v>
      </c>
      <c r="F3004" s="72" t="str">
        <f>HYPERLINK("http://nsgreg.nga.mil/genc/view?v=294699&amp;end_month=6&amp;end_day=30&amp;end_year=2019","Costa Caribe Norte")</f>
        <v>Costa Caribe Norte</v>
      </c>
      <c r="G3004" s="72" t="str">
        <f>HYPERLINK("http://api.nsgreg.nga.mil/geo-division/GENC/6/3-11/NI-AN","as:GENC:6:3-11:NI-AN")</f>
        <v>as:GENC:6:3-11:NI-AN</v>
      </c>
    </row>
    <row r="3005" spans="1:7" x14ac:dyDescent="0.25">
      <c r="A3005" s="112"/>
      <c r="B3005" s="21" t="s">
        <v>7662</v>
      </c>
      <c r="C3005" s="21" t="s">
        <v>7663</v>
      </c>
      <c r="D3005" s="21" t="s">
        <v>3199</v>
      </c>
      <c r="E3005" s="50" t="b">
        <v>1</v>
      </c>
      <c r="F3005" s="72" t="str">
        <f>HYPERLINK("http://nsgreg.nga.mil/genc/view?v=294700&amp;end_month=6&amp;end_day=30&amp;end_year=2019","Costa Caribe Sur")</f>
        <v>Costa Caribe Sur</v>
      </c>
      <c r="G3005" s="72" t="str">
        <f>HYPERLINK("http://api.nsgreg.nga.mil/geo-division/GENC/6/3-11/NI-AS","as:GENC:6:3-11:NI-AS")</f>
        <v>as:GENC:6:3-11:NI-AS</v>
      </c>
    </row>
    <row r="3006" spans="1:7" x14ac:dyDescent="0.25">
      <c r="A3006" s="112"/>
      <c r="B3006" s="21" t="s">
        <v>7664</v>
      </c>
      <c r="C3006" s="21" t="s">
        <v>7665</v>
      </c>
      <c r="D3006" s="21" t="s">
        <v>2478</v>
      </c>
      <c r="E3006" s="50" t="b">
        <v>1</v>
      </c>
      <c r="F3006" s="72" t="str">
        <f>HYPERLINK("http://nsgreg.nga.mil/genc/view?v=294705&amp;end_month=6&amp;end_day=30&amp;end_year=2019","Estelí")</f>
        <v>Estelí</v>
      </c>
      <c r="G3006" s="72" t="str">
        <f>HYPERLINK("http://api.nsgreg.nga.mil/geo-division/GENC/6/3-11/NI-ES","as:GENC:6:3-11:NI-ES")</f>
        <v>as:GENC:6:3-11:NI-ES</v>
      </c>
    </row>
    <row r="3007" spans="1:7" x14ac:dyDescent="0.25">
      <c r="A3007" s="112"/>
      <c r="B3007" s="21" t="s">
        <v>7666</v>
      </c>
      <c r="C3007" s="21" t="s">
        <v>7667</v>
      </c>
      <c r="D3007" s="21" t="s">
        <v>2478</v>
      </c>
      <c r="E3007" s="50" t="b">
        <v>1</v>
      </c>
      <c r="F3007" s="72" t="str">
        <f>HYPERLINK("http://nsgreg.nga.mil/genc/view?v=294706&amp;end_month=6&amp;end_day=30&amp;end_year=2019","Granada")</f>
        <v>Granada</v>
      </c>
      <c r="G3007" s="72" t="str">
        <f>HYPERLINK("http://api.nsgreg.nga.mil/geo-division/GENC/6/3-11/NI-GR","as:GENC:6:3-11:NI-GR")</f>
        <v>as:GENC:6:3-11:NI-GR</v>
      </c>
    </row>
    <row r="3008" spans="1:7" x14ac:dyDescent="0.25">
      <c r="A3008" s="112"/>
      <c r="B3008" s="21" t="s">
        <v>7668</v>
      </c>
      <c r="C3008" s="21" t="s">
        <v>7669</v>
      </c>
      <c r="D3008" s="21" t="s">
        <v>2478</v>
      </c>
      <c r="E3008" s="50" t="b">
        <v>1</v>
      </c>
      <c r="F3008" s="72" t="str">
        <f>HYPERLINK("http://nsgreg.nga.mil/genc/view?v=294707&amp;end_month=6&amp;end_day=30&amp;end_year=2019","Jinotega")</f>
        <v>Jinotega</v>
      </c>
      <c r="G3008" s="72" t="str">
        <f>HYPERLINK("http://api.nsgreg.nga.mil/geo-division/GENC/6/3-11/NI-JI","as:GENC:6:3-11:NI-JI")</f>
        <v>as:GENC:6:3-11:NI-JI</v>
      </c>
    </row>
    <row r="3009" spans="1:7" x14ac:dyDescent="0.25">
      <c r="A3009" s="112"/>
      <c r="B3009" s="21" t="s">
        <v>7670</v>
      </c>
      <c r="C3009" s="21" t="s">
        <v>7671</v>
      </c>
      <c r="D3009" s="21" t="s">
        <v>2478</v>
      </c>
      <c r="E3009" s="50" t="b">
        <v>1</v>
      </c>
      <c r="F3009" s="72" t="str">
        <f>HYPERLINK("http://nsgreg.nga.mil/genc/view?v=294708&amp;end_month=6&amp;end_day=30&amp;end_year=2019","León")</f>
        <v>León</v>
      </c>
      <c r="G3009" s="72" t="str">
        <f>HYPERLINK("http://api.nsgreg.nga.mil/geo-division/GENC/6/3-11/NI-LE","as:GENC:6:3-11:NI-LE")</f>
        <v>as:GENC:6:3-11:NI-LE</v>
      </c>
    </row>
    <row r="3010" spans="1:7" x14ac:dyDescent="0.25">
      <c r="A3010" s="112"/>
      <c r="B3010" s="21" t="s">
        <v>7672</v>
      </c>
      <c r="C3010" s="21" t="s">
        <v>7673</v>
      </c>
      <c r="D3010" s="21" t="s">
        <v>2478</v>
      </c>
      <c r="E3010" s="50" t="b">
        <v>1</v>
      </c>
      <c r="F3010" s="72" t="str">
        <f>HYPERLINK("http://nsgreg.nga.mil/genc/view?v=294709&amp;end_month=6&amp;end_day=30&amp;end_year=2019","Madriz")</f>
        <v>Madriz</v>
      </c>
      <c r="G3010" s="72" t="str">
        <f>HYPERLINK("http://api.nsgreg.nga.mil/geo-division/GENC/6/3-11/NI-MD","as:GENC:6:3-11:NI-MD")</f>
        <v>as:GENC:6:3-11:NI-MD</v>
      </c>
    </row>
    <row r="3011" spans="1:7" x14ac:dyDescent="0.25">
      <c r="A3011" s="112"/>
      <c r="B3011" s="21" t="s">
        <v>7674</v>
      </c>
      <c r="C3011" s="21" t="s">
        <v>7675</v>
      </c>
      <c r="D3011" s="21" t="s">
        <v>2478</v>
      </c>
      <c r="E3011" s="50" t="b">
        <v>1</v>
      </c>
      <c r="F3011" s="72" t="str">
        <f>HYPERLINK("http://nsgreg.nga.mil/genc/view?v=294710&amp;end_month=6&amp;end_day=30&amp;end_year=2019","Managua")</f>
        <v>Managua</v>
      </c>
      <c r="G3011" s="72" t="str">
        <f>HYPERLINK("http://api.nsgreg.nga.mil/geo-division/GENC/6/3-11/NI-MN","as:GENC:6:3-11:NI-MN")</f>
        <v>as:GENC:6:3-11:NI-MN</v>
      </c>
    </row>
    <row r="3012" spans="1:7" x14ac:dyDescent="0.25">
      <c r="A3012" s="112"/>
      <c r="B3012" s="21" t="s">
        <v>7676</v>
      </c>
      <c r="C3012" s="21" t="s">
        <v>7677</v>
      </c>
      <c r="D3012" s="21" t="s">
        <v>2478</v>
      </c>
      <c r="E3012" s="50" t="b">
        <v>1</v>
      </c>
      <c r="F3012" s="72" t="str">
        <f>HYPERLINK("http://nsgreg.nga.mil/genc/view?v=294711&amp;end_month=6&amp;end_day=30&amp;end_year=2019","Masaya")</f>
        <v>Masaya</v>
      </c>
      <c r="G3012" s="72" t="str">
        <f>HYPERLINK("http://api.nsgreg.nga.mil/geo-division/GENC/6/3-11/NI-MS","as:GENC:6:3-11:NI-MS")</f>
        <v>as:GENC:6:3-11:NI-MS</v>
      </c>
    </row>
    <row r="3013" spans="1:7" x14ac:dyDescent="0.25">
      <c r="A3013" s="112"/>
      <c r="B3013" s="21" t="s">
        <v>7678</v>
      </c>
      <c r="C3013" s="21" t="s">
        <v>7679</v>
      </c>
      <c r="D3013" s="21" t="s">
        <v>2478</v>
      </c>
      <c r="E3013" s="50" t="b">
        <v>1</v>
      </c>
      <c r="F3013" s="72" t="str">
        <f>HYPERLINK("http://nsgreg.nga.mil/genc/view?v=294712&amp;end_month=6&amp;end_day=30&amp;end_year=2019","Matagalpa")</f>
        <v>Matagalpa</v>
      </c>
      <c r="G3013" s="72" t="str">
        <f>HYPERLINK("http://api.nsgreg.nga.mil/geo-division/GENC/6/3-11/NI-MT","as:GENC:6:3-11:NI-MT")</f>
        <v>as:GENC:6:3-11:NI-MT</v>
      </c>
    </row>
    <row r="3014" spans="1:7" x14ac:dyDescent="0.25">
      <c r="A3014" s="112"/>
      <c r="B3014" s="21" t="s">
        <v>7680</v>
      </c>
      <c r="C3014" s="21" t="s">
        <v>7681</v>
      </c>
      <c r="D3014" s="21" t="s">
        <v>2478</v>
      </c>
      <c r="E3014" s="50" t="b">
        <v>1</v>
      </c>
      <c r="F3014" s="72" t="str">
        <f>HYPERLINK("http://nsgreg.nga.mil/genc/view?v=294713&amp;end_month=6&amp;end_day=30&amp;end_year=2019","Nueva Segovia")</f>
        <v>Nueva Segovia</v>
      </c>
      <c r="G3014" s="72" t="str">
        <f>HYPERLINK("http://api.nsgreg.nga.mil/geo-division/GENC/6/3-11/NI-NS","as:GENC:6:3-11:NI-NS")</f>
        <v>as:GENC:6:3-11:NI-NS</v>
      </c>
    </row>
    <row r="3015" spans="1:7" x14ac:dyDescent="0.25">
      <c r="A3015" s="112"/>
      <c r="B3015" s="21" t="s">
        <v>7682</v>
      </c>
      <c r="C3015" s="21" t="s">
        <v>7683</v>
      </c>
      <c r="D3015" s="21" t="s">
        <v>2478</v>
      </c>
      <c r="E3015" s="50" t="b">
        <v>1</v>
      </c>
      <c r="F3015" s="72" t="str">
        <f>HYPERLINK("http://nsgreg.nga.mil/genc/view?v=294715&amp;end_month=6&amp;end_day=30&amp;end_year=2019","Río San Juan")</f>
        <v>Río San Juan</v>
      </c>
      <c r="G3015" s="72" t="str">
        <f>HYPERLINK("http://api.nsgreg.nga.mil/geo-division/GENC/6/3-11/NI-SJ","as:GENC:6:3-11:NI-SJ")</f>
        <v>as:GENC:6:3-11:NI-SJ</v>
      </c>
    </row>
    <row r="3016" spans="1:7" x14ac:dyDescent="0.25">
      <c r="A3016" s="113"/>
      <c r="B3016" s="47" t="s">
        <v>7684</v>
      </c>
      <c r="C3016" s="47" t="s">
        <v>7685</v>
      </c>
      <c r="D3016" s="47" t="s">
        <v>2478</v>
      </c>
      <c r="E3016" s="51" t="b">
        <v>1</v>
      </c>
      <c r="F3016" s="73" t="str">
        <f>HYPERLINK("http://nsgreg.nga.mil/genc/view?v=294714&amp;end_month=6&amp;end_day=30&amp;end_year=2019","Rivas")</f>
        <v>Rivas</v>
      </c>
      <c r="G3016" s="73" t="str">
        <f>HYPERLINK("http://api.nsgreg.nga.mil/geo-division/GENC/6/3-11/NI-RI","as:GENC:6:3-11:NI-RI")</f>
        <v>as:GENC:6:3-11:NI-RI</v>
      </c>
    </row>
    <row r="3017" spans="1:7" x14ac:dyDescent="0.25">
      <c r="A3017" s="111" t="str">
        <f>HYPERLINK("[#]Codes_for_GE_Names!A189:I189","NIGER")</f>
        <v>NIGER</v>
      </c>
      <c r="B3017" s="42" t="s">
        <v>7686</v>
      </c>
      <c r="C3017" s="42" t="s">
        <v>7687</v>
      </c>
      <c r="D3017" s="42" t="s">
        <v>1975</v>
      </c>
      <c r="E3017" s="49" t="b">
        <v>1</v>
      </c>
      <c r="F3017" s="74" t="str">
        <f>HYPERLINK("http://nsgreg.nga.mil/genc/view?v=294654&amp;end_month=6&amp;end_day=30&amp;end_year=2019","Agadez")</f>
        <v>Agadez</v>
      </c>
      <c r="G3017" s="74" t="str">
        <f>HYPERLINK("http://api.nsgreg.nga.mil/geo-division/GENC/6/3-11/NE-1","as:GENC:6:3-11:NE-1")</f>
        <v>as:GENC:6:3-11:NE-1</v>
      </c>
    </row>
    <row r="3018" spans="1:7" x14ac:dyDescent="0.25">
      <c r="A3018" s="112"/>
      <c r="B3018" s="21" t="s">
        <v>7688</v>
      </c>
      <c r="C3018" s="21" t="s">
        <v>7689</v>
      </c>
      <c r="D3018" s="21" t="s">
        <v>1975</v>
      </c>
      <c r="E3018" s="50" t="b">
        <v>1</v>
      </c>
      <c r="F3018" s="72" t="str">
        <f>HYPERLINK("http://nsgreg.nga.mil/genc/view?v=294655&amp;end_month=6&amp;end_day=30&amp;end_year=2019","Diffa")</f>
        <v>Diffa</v>
      </c>
      <c r="G3018" s="72" t="str">
        <f>HYPERLINK("http://api.nsgreg.nga.mil/geo-division/GENC/6/3-11/NE-2","as:GENC:6:3-11:NE-2")</f>
        <v>as:GENC:6:3-11:NE-2</v>
      </c>
    </row>
    <row r="3019" spans="1:7" x14ac:dyDescent="0.25">
      <c r="A3019" s="112"/>
      <c r="B3019" s="21" t="s">
        <v>7690</v>
      </c>
      <c r="C3019" s="21" t="s">
        <v>7691</v>
      </c>
      <c r="D3019" s="21" t="s">
        <v>1975</v>
      </c>
      <c r="E3019" s="50" t="b">
        <v>1</v>
      </c>
      <c r="F3019" s="72" t="str">
        <f>HYPERLINK("http://nsgreg.nga.mil/genc/view?v=294656&amp;end_month=6&amp;end_day=30&amp;end_year=2019","Dosso")</f>
        <v>Dosso</v>
      </c>
      <c r="G3019" s="72" t="str">
        <f>HYPERLINK("http://api.nsgreg.nga.mil/geo-division/GENC/6/3-11/NE-3","as:GENC:6:3-11:NE-3")</f>
        <v>as:GENC:6:3-11:NE-3</v>
      </c>
    </row>
    <row r="3020" spans="1:7" x14ac:dyDescent="0.25">
      <c r="A3020" s="112"/>
      <c r="B3020" s="21" t="s">
        <v>7692</v>
      </c>
      <c r="C3020" s="21" t="s">
        <v>7693</v>
      </c>
      <c r="D3020" s="21" t="s">
        <v>1975</v>
      </c>
      <c r="E3020" s="50" t="b">
        <v>1</v>
      </c>
      <c r="F3020" s="72" t="str">
        <f>HYPERLINK("http://nsgreg.nga.mil/genc/view?v=294657&amp;end_month=6&amp;end_day=30&amp;end_year=2019","Maradi")</f>
        <v>Maradi</v>
      </c>
      <c r="G3020" s="72" t="str">
        <f>HYPERLINK("http://api.nsgreg.nga.mil/geo-division/GENC/6/3-11/NE-4","as:GENC:6:3-11:NE-4")</f>
        <v>as:GENC:6:3-11:NE-4</v>
      </c>
    </row>
    <row r="3021" spans="1:7" x14ac:dyDescent="0.25">
      <c r="A3021" s="112"/>
      <c r="B3021" s="21" t="s">
        <v>7694</v>
      </c>
      <c r="C3021" s="21" t="s">
        <v>7695</v>
      </c>
      <c r="D3021" s="21" t="s">
        <v>1975</v>
      </c>
      <c r="E3021" s="50" t="b">
        <v>1</v>
      </c>
      <c r="F3021" s="72" t="str">
        <f>HYPERLINK("http://nsgreg.nga.mil/genc/view?v=294661&amp;end_month=6&amp;end_day=30&amp;end_year=2019","Niamey")</f>
        <v>Niamey</v>
      </c>
      <c r="G3021" s="72" t="str">
        <f>HYPERLINK("http://api.nsgreg.nga.mil/geo-division/GENC/6/3-11/NE-8","as:GENC:6:3-11:NE-8")</f>
        <v>as:GENC:6:3-11:NE-8</v>
      </c>
    </row>
    <row r="3022" spans="1:7" x14ac:dyDescent="0.25">
      <c r="A3022" s="112"/>
      <c r="B3022" s="21" t="s">
        <v>7696</v>
      </c>
      <c r="C3022" s="21" t="s">
        <v>7697</v>
      </c>
      <c r="D3022" s="21" t="s">
        <v>1975</v>
      </c>
      <c r="E3022" s="50" t="b">
        <v>1</v>
      </c>
      <c r="F3022" s="72" t="str">
        <f>HYPERLINK("http://nsgreg.nga.mil/genc/view?v=294658&amp;end_month=6&amp;end_day=30&amp;end_year=2019","Tahoua")</f>
        <v>Tahoua</v>
      </c>
      <c r="G3022" s="72" t="str">
        <f>HYPERLINK("http://api.nsgreg.nga.mil/geo-division/GENC/6/3-11/NE-5","as:GENC:6:3-11:NE-5")</f>
        <v>as:GENC:6:3-11:NE-5</v>
      </c>
    </row>
    <row r="3023" spans="1:7" x14ac:dyDescent="0.25">
      <c r="A3023" s="112"/>
      <c r="B3023" s="21" t="s">
        <v>7698</v>
      </c>
      <c r="C3023" s="21" t="s">
        <v>7699</v>
      </c>
      <c r="D3023" s="21" t="s">
        <v>1975</v>
      </c>
      <c r="E3023" s="50" t="b">
        <v>1</v>
      </c>
      <c r="F3023" s="72" t="str">
        <f>HYPERLINK("http://nsgreg.nga.mil/genc/view?v=294659&amp;end_month=6&amp;end_day=30&amp;end_year=2019","Tillabéri")</f>
        <v>Tillabéri</v>
      </c>
      <c r="G3023" s="72" t="str">
        <f>HYPERLINK("http://api.nsgreg.nga.mil/geo-division/GENC/6/3-11/NE-6","as:GENC:6:3-11:NE-6")</f>
        <v>as:GENC:6:3-11:NE-6</v>
      </c>
    </row>
    <row r="3024" spans="1:7" x14ac:dyDescent="0.25">
      <c r="A3024" s="113"/>
      <c r="B3024" s="47" t="s">
        <v>7700</v>
      </c>
      <c r="C3024" s="47" t="s">
        <v>7701</v>
      </c>
      <c r="D3024" s="47" t="s">
        <v>1975</v>
      </c>
      <c r="E3024" s="51" t="b">
        <v>1</v>
      </c>
      <c r="F3024" s="73" t="str">
        <f>HYPERLINK("http://nsgreg.nga.mil/genc/view?v=294660&amp;end_month=6&amp;end_day=30&amp;end_year=2019","Zinder")</f>
        <v>Zinder</v>
      </c>
      <c r="G3024" s="73" t="str">
        <f>HYPERLINK("http://api.nsgreg.nga.mil/geo-division/GENC/6/3-11/NE-7","as:GENC:6:3-11:NE-7")</f>
        <v>as:GENC:6:3-11:NE-7</v>
      </c>
    </row>
    <row r="3025" spans="1:7" x14ac:dyDescent="0.25">
      <c r="A3025" s="111" t="str">
        <f>HYPERLINK("[#]Codes_for_GE_Names!A190:I190","NIGERIA")</f>
        <v>NIGERIA</v>
      </c>
      <c r="B3025" s="42" t="s">
        <v>7702</v>
      </c>
      <c r="C3025" s="42" t="s">
        <v>7703</v>
      </c>
      <c r="D3025" s="42" t="s">
        <v>2002</v>
      </c>
      <c r="E3025" s="49" t="b">
        <v>1</v>
      </c>
      <c r="F3025" s="74" t="str">
        <f>HYPERLINK("http://nsgreg.nga.mil/genc/view?v=294662&amp;end_month=6&amp;end_day=30&amp;end_year=2019","Abia")</f>
        <v>Abia</v>
      </c>
      <c r="G3025" s="74" t="str">
        <f>HYPERLINK("http://api.nsgreg.nga.mil/geo-division/GENC/6/3-11/NG-AB","as:GENC:6:3-11:NG-AB")</f>
        <v>as:GENC:6:3-11:NG-AB</v>
      </c>
    </row>
    <row r="3026" spans="1:7" x14ac:dyDescent="0.25">
      <c r="A3026" s="112"/>
      <c r="B3026" s="21" t="s">
        <v>7704</v>
      </c>
      <c r="C3026" s="21" t="s">
        <v>7705</v>
      </c>
      <c r="D3026" s="21" t="s">
        <v>2002</v>
      </c>
      <c r="E3026" s="50" t="b">
        <v>1</v>
      </c>
      <c r="F3026" s="72" t="str">
        <f>HYPERLINK("http://nsgreg.nga.mil/genc/view?v=294663&amp;end_month=6&amp;end_day=30&amp;end_year=2019","Adamawa")</f>
        <v>Adamawa</v>
      </c>
      <c r="G3026" s="72" t="str">
        <f>HYPERLINK("http://api.nsgreg.nga.mil/geo-division/GENC/6/3-11/NG-AD","as:GENC:6:3-11:NG-AD")</f>
        <v>as:GENC:6:3-11:NG-AD</v>
      </c>
    </row>
    <row r="3027" spans="1:7" x14ac:dyDescent="0.25">
      <c r="A3027" s="112"/>
      <c r="B3027" s="21" t="s">
        <v>7706</v>
      </c>
      <c r="C3027" s="21" t="s">
        <v>7707</v>
      </c>
      <c r="D3027" s="21" t="s">
        <v>2002</v>
      </c>
      <c r="E3027" s="50" t="b">
        <v>1</v>
      </c>
      <c r="F3027" s="72" t="str">
        <f>HYPERLINK("http://nsgreg.nga.mil/genc/view?v=294664&amp;end_month=6&amp;end_day=30&amp;end_year=2019","Akwa Ibom")</f>
        <v>Akwa Ibom</v>
      </c>
      <c r="G3027" s="72" t="str">
        <f>HYPERLINK("http://api.nsgreg.nga.mil/geo-division/GENC/6/3-11/NG-AK","as:GENC:6:3-11:NG-AK")</f>
        <v>as:GENC:6:3-11:NG-AK</v>
      </c>
    </row>
    <row r="3028" spans="1:7" x14ac:dyDescent="0.25">
      <c r="A3028" s="112"/>
      <c r="B3028" s="21" t="s">
        <v>7708</v>
      </c>
      <c r="C3028" s="21" t="s">
        <v>7709</v>
      </c>
      <c r="D3028" s="21" t="s">
        <v>2002</v>
      </c>
      <c r="E3028" s="50" t="b">
        <v>1</v>
      </c>
      <c r="F3028" s="72" t="str">
        <f>HYPERLINK("http://nsgreg.nga.mil/genc/view?v=294665&amp;end_month=6&amp;end_day=30&amp;end_year=2019","Anambra")</f>
        <v>Anambra</v>
      </c>
      <c r="G3028" s="72" t="str">
        <f>HYPERLINK("http://api.nsgreg.nga.mil/geo-division/GENC/6/3-11/NG-AN","as:GENC:6:3-11:NG-AN")</f>
        <v>as:GENC:6:3-11:NG-AN</v>
      </c>
    </row>
    <row r="3029" spans="1:7" x14ac:dyDescent="0.25">
      <c r="A3029" s="112"/>
      <c r="B3029" s="21" t="s">
        <v>7710</v>
      </c>
      <c r="C3029" s="21" t="s">
        <v>7711</v>
      </c>
      <c r="D3029" s="21" t="s">
        <v>2002</v>
      </c>
      <c r="E3029" s="50" t="b">
        <v>1</v>
      </c>
      <c r="F3029" s="72" t="str">
        <f>HYPERLINK("http://nsgreg.nga.mil/genc/view?v=294666&amp;end_month=6&amp;end_day=30&amp;end_year=2019","Bauchi")</f>
        <v>Bauchi</v>
      </c>
      <c r="G3029" s="72" t="str">
        <f>HYPERLINK("http://api.nsgreg.nga.mil/geo-division/GENC/6/3-11/NG-BA","as:GENC:6:3-11:NG-BA")</f>
        <v>as:GENC:6:3-11:NG-BA</v>
      </c>
    </row>
    <row r="3030" spans="1:7" x14ac:dyDescent="0.25">
      <c r="A3030" s="112"/>
      <c r="B3030" s="21" t="s">
        <v>7712</v>
      </c>
      <c r="C3030" s="21" t="s">
        <v>7713</v>
      </c>
      <c r="D3030" s="21" t="s">
        <v>2002</v>
      </c>
      <c r="E3030" s="50" t="b">
        <v>1</v>
      </c>
      <c r="F3030" s="72" t="str">
        <f>HYPERLINK("http://nsgreg.nga.mil/genc/view?v=294669&amp;end_month=6&amp;end_day=30&amp;end_year=2019","Bayelsa")</f>
        <v>Bayelsa</v>
      </c>
      <c r="G3030" s="72" t="str">
        <f>HYPERLINK("http://api.nsgreg.nga.mil/geo-division/GENC/6/3-11/NG-BY","as:GENC:6:3-11:NG-BY")</f>
        <v>as:GENC:6:3-11:NG-BY</v>
      </c>
    </row>
    <row r="3031" spans="1:7" x14ac:dyDescent="0.25">
      <c r="A3031" s="112"/>
      <c r="B3031" s="21" t="s">
        <v>7714</v>
      </c>
      <c r="C3031" s="21" t="s">
        <v>7715</v>
      </c>
      <c r="D3031" s="21" t="s">
        <v>2002</v>
      </c>
      <c r="E3031" s="50" t="b">
        <v>1</v>
      </c>
      <c r="F3031" s="72" t="str">
        <f>HYPERLINK("http://nsgreg.nga.mil/genc/view?v=294667&amp;end_month=6&amp;end_day=30&amp;end_year=2019","Benue")</f>
        <v>Benue</v>
      </c>
      <c r="G3031" s="72" t="str">
        <f>HYPERLINK("http://api.nsgreg.nga.mil/geo-division/GENC/6/3-11/NG-BE","as:GENC:6:3-11:NG-BE")</f>
        <v>as:GENC:6:3-11:NG-BE</v>
      </c>
    </row>
    <row r="3032" spans="1:7" x14ac:dyDescent="0.25">
      <c r="A3032" s="112"/>
      <c r="B3032" s="21" t="s">
        <v>7716</v>
      </c>
      <c r="C3032" s="21" t="s">
        <v>7717</v>
      </c>
      <c r="D3032" s="21" t="s">
        <v>2002</v>
      </c>
      <c r="E3032" s="50" t="b">
        <v>1</v>
      </c>
      <c r="F3032" s="72" t="str">
        <f>HYPERLINK("http://nsgreg.nga.mil/genc/view?v=294668&amp;end_month=6&amp;end_day=30&amp;end_year=2019","Borno")</f>
        <v>Borno</v>
      </c>
      <c r="G3032" s="72" t="str">
        <f>HYPERLINK("http://api.nsgreg.nga.mil/geo-division/GENC/6/3-11/NG-BO","as:GENC:6:3-11:NG-BO")</f>
        <v>as:GENC:6:3-11:NG-BO</v>
      </c>
    </row>
    <row r="3033" spans="1:7" x14ac:dyDescent="0.25">
      <c r="A3033" s="112"/>
      <c r="B3033" s="21" t="s">
        <v>7718</v>
      </c>
      <c r="C3033" s="21" t="s">
        <v>7719</v>
      </c>
      <c r="D3033" s="21" t="s">
        <v>2002</v>
      </c>
      <c r="E3033" s="50" t="b">
        <v>1</v>
      </c>
      <c r="F3033" s="72" t="str">
        <f>HYPERLINK("http://nsgreg.nga.mil/genc/view?v=294670&amp;end_month=6&amp;end_day=30&amp;end_year=2019","Cross River")</f>
        <v>Cross River</v>
      </c>
      <c r="G3033" s="72" t="str">
        <f>HYPERLINK("http://api.nsgreg.nga.mil/geo-division/GENC/6/3-11/NG-CR","as:GENC:6:3-11:NG-CR")</f>
        <v>as:GENC:6:3-11:NG-CR</v>
      </c>
    </row>
    <row r="3034" spans="1:7" x14ac:dyDescent="0.25">
      <c r="A3034" s="112"/>
      <c r="B3034" s="21" t="s">
        <v>7720</v>
      </c>
      <c r="C3034" s="21" t="s">
        <v>7721</v>
      </c>
      <c r="D3034" s="21" t="s">
        <v>2002</v>
      </c>
      <c r="E3034" s="50" t="b">
        <v>1</v>
      </c>
      <c r="F3034" s="72" t="str">
        <f>HYPERLINK("http://nsgreg.nga.mil/genc/view?v=294671&amp;end_month=6&amp;end_day=30&amp;end_year=2019","Delta")</f>
        <v>Delta</v>
      </c>
      <c r="G3034" s="72" t="str">
        <f>HYPERLINK("http://api.nsgreg.nga.mil/geo-division/GENC/6/3-11/NG-DE","as:GENC:6:3-11:NG-DE")</f>
        <v>as:GENC:6:3-11:NG-DE</v>
      </c>
    </row>
    <row r="3035" spans="1:7" x14ac:dyDescent="0.25">
      <c r="A3035" s="112"/>
      <c r="B3035" s="21" t="s">
        <v>7722</v>
      </c>
      <c r="C3035" s="21" t="s">
        <v>7723</v>
      </c>
      <c r="D3035" s="21" t="s">
        <v>2002</v>
      </c>
      <c r="E3035" s="50" t="b">
        <v>1</v>
      </c>
      <c r="F3035" s="72" t="str">
        <f>HYPERLINK("http://nsgreg.nga.mil/genc/view?v=294672&amp;end_month=6&amp;end_day=30&amp;end_year=2019","Ebonyi")</f>
        <v>Ebonyi</v>
      </c>
      <c r="G3035" s="72" t="str">
        <f>HYPERLINK("http://api.nsgreg.nga.mil/geo-division/GENC/6/3-11/NG-EB","as:GENC:6:3-11:NG-EB")</f>
        <v>as:GENC:6:3-11:NG-EB</v>
      </c>
    </row>
    <row r="3036" spans="1:7" x14ac:dyDescent="0.25">
      <c r="A3036" s="112"/>
      <c r="B3036" s="21" t="s">
        <v>7724</v>
      </c>
      <c r="C3036" s="21" t="s">
        <v>7725</v>
      </c>
      <c r="D3036" s="21" t="s">
        <v>2002</v>
      </c>
      <c r="E3036" s="50" t="b">
        <v>1</v>
      </c>
      <c r="F3036" s="72" t="str">
        <f>HYPERLINK("http://nsgreg.nga.mil/genc/view?v=294673&amp;end_month=6&amp;end_day=30&amp;end_year=2019","Edo")</f>
        <v>Edo</v>
      </c>
      <c r="G3036" s="72" t="str">
        <f>HYPERLINK("http://api.nsgreg.nga.mil/geo-division/GENC/6/3-11/NG-ED","as:GENC:6:3-11:NG-ED")</f>
        <v>as:GENC:6:3-11:NG-ED</v>
      </c>
    </row>
    <row r="3037" spans="1:7" x14ac:dyDescent="0.25">
      <c r="A3037" s="112"/>
      <c r="B3037" s="21" t="s">
        <v>7726</v>
      </c>
      <c r="C3037" s="21" t="s">
        <v>7727</v>
      </c>
      <c r="D3037" s="21" t="s">
        <v>2002</v>
      </c>
      <c r="E3037" s="50" t="b">
        <v>1</v>
      </c>
      <c r="F3037" s="72" t="str">
        <f>HYPERLINK("http://nsgreg.nga.mil/genc/view?v=294674&amp;end_month=6&amp;end_day=30&amp;end_year=2019","Ekiti")</f>
        <v>Ekiti</v>
      </c>
      <c r="G3037" s="72" t="str">
        <f>HYPERLINK("http://api.nsgreg.nga.mil/geo-division/GENC/6/3-11/NG-EK","as:GENC:6:3-11:NG-EK")</f>
        <v>as:GENC:6:3-11:NG-EK</v>
      </c>
    </row>
    <row r="3038" spans="1:7" x14ac:dyDescent="0.25">
      <c r="A3038" s="112"/>
      <c r="B3038" s="21" t="s">
        <v>7728</v>
      </c>
      <c r="C3038" s="21" t="s">
        <v>7729</v>
      </c>
      <c r="D3038" s="21" t="s">
        <v>2002</v>
      </c>
      <c r="E3038" s="50" t="b">
        <v>1</v>
      </c>
      <c r="F3038" s="72" t="str">
        <f>HYPERLINK("http://nsgreg.nga.mil/genc/view?v=294675&amp;end_month=6&amp;end_day=30&amp;end_year=2019","Enugu")</f>
        <v>Enugu</v>
      </c>
      <c r="G3038" s="72" t="str">
        <f>HYPERLINK("http://api.nsgreg.nga.mil/geo-division/GENC/6/3-11/NG-EN","as:GENC:6:3-11:NG-EN")</f>
        <v>as:GENC:6:3-11:NG-EN</v>
      </c>
    </row>
    <row r="3039" spans="1:7" x14ac:dyDescent="0.25">
      <c r="A3039" s="112"/>
      <c r="B3039" s="21" t="s">
        <v>7730</v>
      </c>
      <c r="C3039" s="21" t="s">
        <v>7731</v>
      </c>
      <c r="D3039" s="21" t="s">
        <v>7732</v>
      </c>
      <c r="E3039" s="50" t="b">
        <v>1</v>
      </c>
      <c r="F3039" s="72" t="str">
        <f>HYPERLINK("http://nsgreg.nga.mil/genc/view?v=294676&amp;end_month=6&amp;end_day=30&amp;end_year=2019","Federal Capital Territory")</f>
        <v>Federal Capital Territory</v>
      </c>
      <c r="G3039" s="72" t="str">
        <f>HYPERLINK("http://api.nsgreg.nga.mil/geo-division/GENC/6/3-11/NG-FC","as:GENC:6:3-11:NG-FC")</f>
        <v>as:GENC:6:3-11:NG-FC</v>
      </c>
    </row>
    <row r="3040" spans="1:7" x14ac:dyDescent="0.25">
      <c r="A3040" s="112"/>
      <c r="B3040" s="21" t="s">
        <v>7733</v>
      </c>
      <c r="C3040" s="21" t="s">
        <v>7734</v>
      </c>
      <c r="D3040" s="21" t="s">
        <v>2002</v>
      </c>
      <c r="E3040" s="50" t="b">
        <v>1</v>
      </c>
      <c r="F3040" s="72" t="str">
        <f>HYPERLINK("http://nsgreg.nga.mil/genc/view?v=294677&amp;end_month=6&amp;end_day=30&amp;end_year=2019","Gombe")</f>
        <v>Gombe</v>
      </c>
      <c r="G3040" s="72" t="str">
        <f>HYPERLINK("http://api.nsgreg.nga.mil/geo-division/GENC/6/3-11/NG-GO","as:GENC:6:3-11:NG-GO")</f>
        <v>as:GENC:6:3-11:NG-GO</v>
      </c>
    </row>
    <row r="3041" spans="1:7" x14ac:dyDescent="0.25">
      <c r="A3041" s="112"/>
      <c r="B3041" s="21" t="s">
        <v>7735</v>
      </c>
      <c r="C3041" s="21" t="s">
        <v>7736</v>
      </c>
      <c r="D3041" s="21" t="s">
        <v>2002</v>
      </c>
      <c r="E3041" s="50" t="b">
        <v>1</v>
      </c>
      <c r="F3041" s="72" t="str">
        <f>HYPERLINK("http://nsgreg.nga.mil/genc/view?v=294678&amp;end_month=6&amp;end_day=30&amp;end_year=2019","Imo")</f>
        <v>Imo</v>
      </c>
      <c r="G3041" s="72" t="str">
        <f>HYPERLINK("http://api.nsgreg.nga.mil/geo-division/GENC/6/3-11/NG-IM","as:GENC:6:3-11:NG-IM")</f>
        <v>as:GENC:6:3-11:NG-IM</v>
      </c>
    </row>
    <row r="3042" spans="1:7" x14ac:dyDescent="0.25">
      <c r="A3042" s="112"/>
      <c r="B3042" s="21" t="s">
        <v>7737</v>
      </c>
      <c r="C3042" s="21" t="s">
        <v>7738</v>
      </c>
      <c r="D3042" s="21" t="s">
        <v>2002</v>
      </c>
      <c r="E3042" s="50" t="b">
        <v>1</v>
      </c>
      <c r="F3042" s="72" t="str">
        <f>HYPERLINK("http://nsgreg.nga.mil/genc/view?v=294679&amp;end_month=6&amp;end_day=30&amp;end_year=2019","Jigawa")</f>
        <v>Jigawa</v>
      </c>
      <c r="G3042" s="72" t="str">
        <f>HYPERLINK("http://api.nsgreg.nga.mil/geo-division/GENC/6/3-11/NG-JI","as:GENC:6:3-11:NG-JI")</f>
        <v>as:GENC:6:3-11:NG-JI</v>
      </c>
    </row>
    <row r="3043" spans="1:7" x14ac:dyDescent="0.25">
      <c r="A3043" s="112"/>
      <c r="B3043" s="21" t="s">
        <v>7739</v>
      </c>
      <c r="C3043" s="21" t="s">
        <v>7740</v>
      </c>
      <c r="D3043" s="21" t="s">
        <v>2002</v>
      </c>
      <c r="E3043" s="50" t="b">
        <v>1</v>
      </c>
      <c r="F3043" s="72" t="str">
        <f>HYPERLINK("http://nsgreg.nga.mil/genc/view?v=294680&amp;end_month=6&amp;end_day=30&amp;end_year=2019","Kaduna")</f>
        <v>Kaduna</v>
      </c>
      <c r="G3043" s="72" t="str">
        <f>HYPERLINK("http://api.nsgreg.nga.mil/geo-division/GENC/6/3-11/NG-KD","as:GENC:6:3-11:NG-KD")</f>
        <v>as:GENC:6:3-11:NG-KD</v>
      </c>
    </row>
    <row r="3044" spans="1:7" x14ac:dyDescent="0.25">
      <c r="A3044" s="112"/>
      <c r="B3044" s="21" t="s">
        <v>7741</v>
      </c>
      <c r="C3044" s="21" t="s">
        <v>7742</v>
      </c>
      <c r="D3044" s="21" t="s">
        <v>2002</v>
      </c>
      <c r="E3044" s="50" t="b">
        <v>1</v>
      </c>
      <c r="F3044" s="72" t="str">
        <f>HYPERLINK("http://nsgreg.nga.mil/genc/view?v=294682&amp;end_month=6&amp;end_day=30&amp;end_year=2019","Kano")</f>
        <v>Kano</v>
      </c>
      <c r="G3044" s="72" t="str">
        <f>HYPERLINK("http://api.nsgreg.nga.mil/geo-division/GENC/6/3-11/NG-KN","as:GENC:6:3-11:NG-KN")</f>
        <v>as:GENC:6:3-11:NG-KN</v>
      </c>
    </row>
    <row r="3045" spans="1:7" x14ac:dyDescent="0.25">
      <c r="A3045" s="112"/>
      <c r="B3045" s="21" t="s">
        <v>7743</v>
      </c>
      <c r="C3045" s="21" t="s">
        <v>7744</v>
      </c>
      <c r="D3045" s="21" t="s">
        <v>2002</v>
      </c>
      <c r="E3045" s="50" t="b">
        <v>1</v>
      </c>
      <c r="F3045" s="72" t="str">
        <f>HYPERLINK("http://nsgreg.nga.mil/genc/view?v=294684&amp;end_month=6&amp;end_day=30&amp;end_year=2019","Katsina")</f>
        <v>Katsina</v>
      </c>
      <c r="G3045" s="72" t="str">
        <f>HYPERLINK("http://api.nsgreg.nga.mil/geo-division/GENC/6/3-11/NG-KT","as:GENC:6:3-11:NG-KT")</f>
        <v>as:GENC:6:3-11:NG-KT</v>
      </c>
    </row>
    <row r="3046" spans="1:7" x14ac:dyDescent="0.25">
      <c r="A3046" s="112"/>
      <c r="B3046" s="21" t="s">
        <v>7745</v>
      </c>
      <c r="C3046" s="21" t="s">
        <v>7746</v>
      </c>
      <c r="D3046" s="21" t="s">
        <v>2002</v>
      </c>
      <c r="E3046" s="50" t="b">
        <v>1</v>
      </c>
      <c r="F3046" s="72" t="str">
        <f>HYPERLINK("http://nsgreg.nga.mil/genc/view?v=294681&amp;end_month=6&amp;end_day=30&amp;end_year=2019","Kebbi")</f>
        <v>Kebbi</v>
      </c>
      <c r="G3046" s="72" t="str">
        <f>HYPERLINK("http://api.nsgreg.nga.mil/geo-division/GENC/6/3-11/NG-KE","as:GENC:6:3-11:NG-KE")</f>
        <v>as:GENC:6:3-11:NG-KE</v>
      </c>
    </row>
    <row r="3047" spans="1:7" x14ac:dyDescent="0.25">
      <c r="A3047" s="112"/>
      <c r="B3047" s="21" t="s">
        <v>7747</v>
      </c>
      <c r="C3047" s="21" t="s">
        <v>7748</v>
      </c>
      <c r="D3047" s="21" t="s">
        <v>2002</v>
      </c>
      <c r="E3047" s="50" t="b">
        <v>1</v>
      </c>
      <c r="F3047" s="72" t="str">
        <f>HYPERLINK("http://nsgreg.nga.mil/genc/view?v=294683&amp;end_month=6&amp;end_day=30&amp;end_year=2019","Kogi")</f>
        <v>Kogi</v>
      </c>
      <c r="G3047" s="72" t="str">
        <f>HYPERLINK("http://api.nsgreg.nga.mil/geo-division/GENC/6/3-11/NG-KO","as:GENC:6:3-11:NG-KO")</f>
        <v>as:GENC:6:3-11:NG-KO</v>
      </c>
    </row>
    <row r="3048" spans="1:7" x14ac:dyDescent="0.25">
      <c r="A3048" s="112"/>
      <c r="B3048" s="21" t="s">
        <v>7749</v>
      </c>
      <c r="C3048" s="21" t="s">
        <v>7750</v>
      </c>
      <c r="D3048" s="21" t="s">
        <v>2002</v>
      </c>
      <c r="E3048" s="50" t="b">
        <v>1</v>
      </c>
      <c r="F3048" s="72" t="str">
        <f>HYPERLINK("http://nsgreg.nga.mil/genc/view?v=294685&amp;end_month=6&amp;end_day=30&amp;end_year=2019","Kwara")</f>
        <v>Kwara</v>
      </c>
      <c r="G3048" s="72" t="str">
        <f>HYPERLINK("http://api.nsgreg.nga.mil/geo-division/GENC/6/3-11/NG-KW","as:GENC:6:3-11:NG-KW")</f>
        <v>as:GENC:6:3-11:NG-KW</v>
      </c>
    </row>
    <row r="3049" spans="1:7" x14ac:dyDescent="0.25">
      <c r="A3049" s="112"/>
      <c r="B3049" s="21" t="s">
        <v>7751</v>
      </c>
      <c r="C3049" s="21" t="s">
        <v>7752</v>
      </c>
      <c r="D3049" s="21" t="s">
        <v>2002</v>
      </c>
      <c r="E3049" s="50" t="b">
        <v>1</v>
      </c>
      <c r="F3049" s="72" t="str">
        <f>HYPERLINK("http://nsgreg.nga.mil/genc/view?v=294686&amp;end_month=6&amp;end_day=30&amp;end_year=2019","Lagos")</f>
        <v>Lagos</v>
      </c>
      <c r="G3049" s="72" t="str">
        <f>HYPERLINK("http://api.nsgreg.nga.mil/geo-division/GENC/6/3-11/NG-LA","as:GENC:6:3-11:NG-LA")</f>
        <v>as:GENC:6:3-11:NG-LA</v>
      </c>
    </row>
    <row r="3050" spans="1:7" x14ac:dyDescent="0.25">
      <c r="A3050" s="112"/>
      <c r="B3050" s="21" t="s">
        <v>7753</v>
      </c>
      <c r="C3050" s="21" t="s">
        <v>7754</v>
      </c>
      <c r="D3050" s="21" t="s">
        <v>2002</v>
      </c>
      <c r="E3050" s="50" t="b">
        <v>1</v>
      </c>
      <c r="F3050" s="72" t="str">
        <f>HYPERLINK("http://nsgreg.nga.mil/genc/view?v=294687&amp;end_month=6&amp;end_day=30&amp;end_year=2019","Nasarawa")</f>
        <v>Nasarawa</v>
      </c>
      <c r="G3050" s="72" t="str">
        <f>HYPERLINK("http://api.nsgreg.nga.mil/geo-division/GENC/6/3-11/NG-NA","as:GENC:6:3-11:NG-NA")</f>
        <v>as:GENC:6:3-11:NG-NA</v>
      </c>
    </row>
    <row r="3051" spans="1:7" x14ac:dyDescent="0.25">
      <c r="A3051" s="112"/>
      <c r="B3051" s="21" t="s">
        <v>7755</v>
      </c>
      <c r="C3051" s="21" t="s">
        <v>1131</v>
      </c>
      <c r="D3051" s="21" t="s">
        <v>2002</v>
      </c>
      <c r="E3051" s="50" t="b">
        <v>1</v>
      </c>
      <c r="F3051" s="72" t="str">
        <f>HYPERLINK("http://nsgreg.nga.mil/genc/view?v=294688&amp;end_month=6&amp;end_day=30&amp;end_year=2019","Niger")</f>
        <v>Niger</v>
      </c>
      <c r="G3051" s="72" t="str">
        <f>HYPERLINK("http://api.nsgreg.nga.mil/geo-division/GENC/6/3-11/NG-NI","as:GENC:6:3-11:NG-NI")</f>
        <v>as:GENC:6:3-11:NG-NI</v>
      </c>
    </row>
    <row r="3052" spans="1:7" x14ac:dyDescent="0.25">
      <c r="A3052" s="112"/>
      <c r="B3052" s="21" t="s">
        <v>7756</v>
      </c>
      <c r="C3052" s="21" t="s">
        <v>7757</v>
      </c>
      <c r="D3052" s="21" t="s">
        <v>2002</v>
      </c>
      <c r="E3052" s="50" t="b">
        <v>1</v>
      </c>
      <c r="F3052" s="72" t="str">
        <f>HYPERLINK("http://nsgreg.nga.mil/genc/view?v=294689&amp;end_month=6&amp;end_day=30&amp;end_year=2019","Ogun")</f>
        <v>Ogun</v>
      </c>
      <c r="G3052" s="72" t="str">
        <f>HYPERLINK("http://api.nsgreg.nga.mil/geo-division/GENC/6/3-11/NG-OG","as:GENC:6:3-11:NG-OG")</f>
        <v>as:GENC:6:3-11:NG-OG</v>
      </c>
    </row>
    <row r="3053" spans="1:7" x14ac:dyDescent="0.25">
      <c r="A3053" s="112"/>
      <c r="B3053" s="21" t="s">
        <v>7758</v>
      </c>
      <c r="C3053" s="21" t="s">
        <v>7759</v>
      </c>
      <c r="D3053" s="21" t="s">
        <v>2002</v>
      </c>
      <c r="E3053" s="50" t="b">
        <v>1</v>
      </c>
      <c r="F3053" s="72" t="str">
        <f>HYPERLINK("http://nsgreg.nga.mil/genc/view?v=294690&amp;end_month=6&amp;end_day=30&amp;end_year=2019","Ondo")</f>
        <v>Ondo</v>
      </c>
      <c r="G3053" s="72" t="str">
        <f>HYPERLINK("http://api.nsgreg.nga.mil/geo-division/GENC/6/3-11/NG-ON","as:GENC:6:3-11:NG-ON")</f>
        <v>as:GENC:6:3-11:NG-ON</v>
      </c>
    </row>
    <row r="3054" spans="1:7" x14ac:dyDescent="0.25">
      <c r="A3054" s="112"/>
      <c r="B3054" s="21" t="s">
        <v>7760</v>
      </c>
      <c r="C3054" s="21" t="s">
        <v>7761</v>
      </c>
      <c r="D3054" s="21" t="s">
        <v>2002</v>
      </c>
      <c r="E3054" s="50" t="b">
        <v>1</v>
      </c>
      <c r="F3054" s="72" t="str">
        <f>HYPERLINK("http://nsgreg.nga.mil/genc/view?v=294691&amp;end_month=6&amp;end_day=30&amp;end_year=2019","Osun")</f>
        <v>Osun</v>
      </c>
      <c r="G3054" s="72" t="str">
        <f>HYPERLINK("http://api.nsgreg.nga.mil/geo-division/GENC/6/3-11/NG-OS","as:GENC:6:3-11:NG-OS")</f>
        <v>as:GENC:6:3-11:NG-OS</v>
      </c>
    </row>
    <row r="3055" spans="1:7" x14ac:dyDescent="0.25">
      <c r="A3055" s="112"/>
      <c r="B3055" s="21" t="s">
        <v>7762</v>
      </c>
      <c r="C3055" s="21" t="s">
        <v>7763</v>
      </c>
      <c r="D3055" s="21" t="s">
        <v>2002</v>
      </c>
      <c r="E3055" s="50" t="b">
        <v>1</v>
      </c>
      <c r="F3055" s="72" t="str">
        <f>HYPERLINK("http://nsgreg.nga.mil/genc/view?v=294692&amp;end_month=6&amp;end_day=30&amp;end_year=2019","Oyo")</f>
        <v>Oyo</v>
      </c>
      <c r="G3055" s="72" t="str">
        <f>HYPERLINK("http://api.nsgreg.nga.mil/geo-division/GENC/6/3-11/NG-OY","as:GENC:6:3-11:NG-OY")</f>
        <v>as:GENC:6:3-11:NG-OY</v>
      </c>
    </row>
    <row r="3056" spans="1:7" x14ac:dyDescent="0.25">
      <c r="A3056" s="112"/>
      <c r="B3056" s="21" t="s">
        <v>7764</v>
      </c>
      <c r="C3056" s="21" t="s">
        <v>2498</v>
      </c>
      <c r="D3056" s="21" t="s">
        <v>2002</v>
      </c>
      <c r="E3056" s="50" t="b">
        <v>1</v>
      </c>
      <c r="F3056" s="72" t="str">
        <f>HYPERLINK("http://nsgreg.nga.mil/genc/view?v=294693&amp;end_month=6&amp;end_day=30&amp;end_year=2019","Plateau")</f>
        <v>Plateau</v>
      </c>
      <c r="G3056" s="72" t="str">
        <f>HYPERLINK("http://api.nsgreg.nga.mil/geo-division/GENC/6/3-11/NG-PL","as:GENC:6:3-11:NG-PL")</f>
        <v>as:GENC:6:3-11:NG-PL</v>
      </c>
    </row>
    <row r="3057" spans="1:7" x14ac:dyDescent="0.25">
      <c r="A3057" s="112"/>
      <c r="B3057" s="21" t="s">
        <v>7765</v>
      </c>
      <c r="C3057" s="21" t="s">
        <v>7766</v>
      </c>
      <c r="D3057" s="21" t="s">
        <v>2002</v>
      </c>
      <c r="E3057" s="50" t="b">
        <v>1</v>
      </c>
      <c r="F3057" s="72" t="str">
        <f>HYPERLINK("http://nsgreg.nga.mil/genc/view?v=294694&amp;end_month=6&amp;end_day=30&amp;end_year=2019","Rivers")</f>
        <v>Rivers</v>
      </c>
      <c r="G3057" s="72" t="str">
        <f>HYPERLINK("http://api.nsgreg.nga.mil/geo-division/GENC/6/3-11/NG-RI","as:GENC:6:3-11:NG-RI")</f>
        <v>as:GENC:6:3-11:NG-RI</v>
      </c>
    </row>
    <row r="3058" spans="1:7" x14ac:dyDescent="0.25">
      <c r="A3058" s="112"/>
      <c r="B3058" s="21" t="s">
        <v>7767</v>
      </c>
      <c r="C3058" s="21" t="s">
        <v>7768</v>
      </c>
      <c r="D3058" s="21" t="s">
        <v>2002</v>
      </c>
      <c r="E3058" s="50" t="b">
        <v>1</v>
      </c>
      <c r="F3058" s="72" t="str">
        <f>HYPERLINK("http://nsgreg.nga.mil/genc/view?v=294695&amp;end_month=6&amp;end_day=30&amp;end_year=2019","Sokoto")</f>
        <v>Sokoto</v>
      </c>
      <c r="G3058" s="72" t="str">
        <f>HYPERLINK("http://api.nsgreg.nga.mil/geo-division/GENC/6/3-11/NG-SO","as:GENC:6:3-11:NG-SO")</f>
        <v>as:GENC:6:3-11:NG-SO</v>
      </c>
    </row>
    <row r="3059" spans="1:7" x14ac:dyDescent="0.25">
      <c r="A3059" s="112"/>
      <c r="B3059" s="21" t="s">
        <v>7769</v>
      </c>
      <c r="C3059" s="21" t="s">
        <v>7770</v>
      </c>
      <c r="D3059" s="21" t="s">
        <v>2002</v>
      </c>
      <c r="E3059" s="50" t="b">
        <v>1</v>
      </c>
      <c r="F3059" s="72" t="str">
        <f>HYPERLINK("http://nsgreg.nga.mil/genc/view?v=294696&amp;end_month=6&amp;end_day=30&amp;end_year=2019","Taraba")</f>
        <v>Taraba</v>
      </c>
      <c r="G3059" s="72" t="str">
        <f>HYPERLINK("http://api.nsgreg.nga.mil/geo-division/GENC/6/3-11/NG-TA","as:GENC:6:3-11:NG-TA")</f>
        <v>as:GENC:6:3-11:NG-TA</v>
      </c>
    </row>
    <row r="3060" spans="1:7" x14ac:dyDescent="0.25">
      <c r="A3060" s="112"/>
      <c r="B3060" s="21" t="s">
        <v>7771</v>
      </c>
      <c r="C3060" s="21" t="s">
        <v>7772</v>
      </c>
      <c r="D3060" s="21" t="s">
        <v>2002</v>
      </c>
      <c r="E3060" s="50" t="b">
        <v>1</v>
      </c>
      <c r="F3060" s="72" t="str">
        <f>HYPERLINK("http://nsgreg.nga.mil/genc/view?v=294697&amp;end_month=6&amp;end_day=30&amp;end_year=2019","Yobe")</f>
        <v>Yobe</v>
      </c>
      <c r="G3060" s="72" t="str">
        <f>HYPERLINK("http://api.nsgreg.nga.mil/geo-division/GENC/6/3-11/NG-YO","as:GENC:6:3-11:NG-YO")</f>
        <v>as:GENC:6:3-11:NG-YO</v>
      </c>
    </row>
    <row r="3061" spans="1:7" x14ac:dyDescent="0.25">
      <c r="A3061" s="113"/>
      <c r="B3061" s="47" t="s">
        <v>7773</v>
      </c>
      <c r="C3061" s="47" t="s">
        <v>7774</v>
      </c>
      <c r="D3061" s="47" t="s">
        <v>2002</v>
      </c>
      <c r="E3061" s="51" t="b">
        <v>1</v>
      </c>
      <c r="F3061" s="73" t="str">
        <f>HYPERLINK("http://nsgreg.nga.mil/genc/view?v=294698&amp;end_month=6&amp;end_day=30&amp;end_year=2019","Zamfara")</f>
        <v>Zamfara</v>
      </c>
      <c r="G3061" s="73" t="str">
        <f>HYPERLINK("http://api.nsgreg.nga.mil/geo-division/GENC/6/3-11/NG-ZA","as:GENC:6:3-11:NG-ZA")</f>
        <v>as:GENC:6:3-11:NG-ZA</v>
      </c>
    </row>
    <row r="3062" spans="1:7" x14ac:dyDescent="0.25">
      <c r="A3062" s="111" t="str">
        <f>HYPERLINK("[#]Codes_for_GE_Names!A193:I193","NORTH MACEDONIA")</f>
        <v>NORTH MACEDONIA</v>
      </c>
      <c r="B3062" s="42" t="s">
        <v>7775</v>
      </c>
      <c r="C3062" s="42" t="s">
        <v>7776</v>
      </c>
      <c r="D3062" s="42" t="s">
        <v>2505</v>
      </c>
      <c r="E3062" s="49" t="b">
        <v>1</v>
      </c>
      <c r="F3062" s="74" t="str">
        <f>HYPERLINK("http://nsgreg.nga.mil/genc/view?v=294306&amp;end_month=6&amp;end_day=30&amp;end_year=2019","Aračinovo")</f>
        <v>Aračinovo</v>
      </c>
      <c r="G3062" s="74" t="str">
        <f>HYPERLINK("http://api.nsgreg.nga.mil/geo-division/GENC/6/3-11/MK-02","as:GENC:6:3-11:MK-02")</f>
        <v>as:GENC:6:3-11:MK-02</v>
      </c>
    </row>
    <row r="3063" spans="1:7" x14ac:dyDescent="0.25">
      <c r="A3063" s="112"/>
      <c r="B3063" s="21" t="s">
        <v>7777</v>
      </c>
      <c r="C3063" s="21" t="s">
        <v>7778</v>
      </c>
      <c r="D3063" s="21" t="s">
        <v>2505</v>
      </c>
      <c r="E3063" s="50" t="b">
        <v>1</v>
      </c>
      <c r="F3063" s="72" t="str">
        <f>HYPERLINK("http://nsgreg.nga.mil/genc/view?v=294307&amp;end_month=6&amp;end_day=30&amp;end_year=2019","Berovo")</f>
        <v>Berovo</v>
      </c>
      <c r="G3063" s="72" t="str">
        <f>HYPERLINK("http://api.nsgreg.nga.mil/geo-division/GENC/6/3-11/MK-03","as:GENC:6:3-11:MK-03")</f>
        <v>as:GENC:6:3-11:MK-03</v>
      </c>
    </row>
    <row r="3064" spans="1:7" x14ac:dyDescent="0.25">
      <c r="A3064" s="112"/>
      <c r="B3064" s="21" t="s">
        <v>7779</v>
      </c>
      <c r="C3064" s="21" t="s">
        <v>7780</v>
      </c>
      <c r="D3064" s="21" t="s">
        <v>2505</v>
      </c>
      <c r="E3064" s="50" t="b">
        <v>1</v>
      </c>
      <c r="F3064" s="72" t="str">
        <f>HYPERLINK("http://nsgreg.nga.mil/genc/view?v=294308&amp;end_month=6&amp;end_day=30&amp;end_year=2019","Bitola")</f>
        <v>Bitola</v>
      </c>
      <c r="G3064" s="72" t="str">
        <f>HYPERLINK("http://api.nsgreg.nga.mil/geo-division/GENC/6/3-11/MK-04","as:GENC:6:3-11:MK-04")</f>
        <v>as:GENC:6:3-11:MK-04</v>
      </c>
    </row>
    <row r="3065" spans="1:7" x14ac:dyDescent="0.25">
      <c r="A3065" s="112"/>
      <c r="B3065" s="21" t="s">
        <v>7781</v>
      </c>
      <c r="C3065" s="21" t="s">
        <v>7782</v>
      </c>
      <c r="D3065" s="21" t="s">
        <v>2505</v>
      </c>
      <c r="E3065" s="50" t="b">
        <v>1</v>
      </c>
      <c r="F3065" s="72" t="str">
        <f>HYPERLINK("http://nsgreg.nga.mil/genc/view?v=294309&amp;end_month=6&amp;end_day=30&amp;end_year=2019","Bogdanci")</f>
        <v>Bogdanci</v>
      </c>
      <c r="G3065" s="72" t="str">
        <f>HYPERLINK("http://api.nsgreg.nga.mil/geo-division/GENC/6/3-11/MK-05","as:GENC:6:3-11:MK-05")</f>
        <v>as:GENC:6:3-11:MK-05</v>
      </c>
    </row>
    <row r="3066" spans="1:7" x14ac:dyDescent="0.25">
      <c r="A3066" s="112"/>
      <c r="B3066" s="21" t="s">
        <v>7783</v>
      </c>
      <c r="C3066" s="21" t="s">
        <v>7784</v>
      </c>
      <c r="D3066" s="21" t="s">
        <v>2505</v>
      </c>
      <c r="E3066" s="50" t="b">
        <v>1</v>
      </c>
      <c r="F3066" s="72" t="str">
        <f>HYPERLINK("http://nsgreg.nga.mil/genc/view?v=294310&amp;end_month=6&amp;end_day=30&amp;end_year=2019","Bogovinje")</f>
        <v>Bogovinje</v>
      </c>
      <c r="G3066" s="72" t="str">
        <f>HYPERLINK("http://api.nsgreg.nga.mil/geo-division/GENC/6/3-11/MK-06","as:GENC:6:3-11:MK-06")</f>
        <v>as:GENC:6:3-11:MK-06</v>
      </c>
    </row>
    <row r="3067" spans="1:7" x14ac:dyDescent="0.25">
      <c r="A3067" s="112"/>
      <c r="B3067" s="21" t="s">
        <v>7785</v>
      </c>
      <c r="C3067" s="21" t="s">
        <v>7786</v>
      </c>
      <c r="D3067" s="21" t="s">
        <v>2505</v>
      </c>
      <c r="E3067" s="50" t="b">
        <v>1</v>
      </c>
      <c r="F3067" s="72" t="str">
        <f>HYPERLINK("http://nsgreg.nga.mil/genc/view?v=294311&amp;end_month=6&amp;end_day=30&amp;end_year=2019","Bosilovo")</f>
        <v>Bosilovo</v>
      </c>
      <c r="G3067" s="72" t="str">
        <f>HYPERLINK("http://api.nsgreg.nga.mil/geo-division/GENC/6/3-11/MK-07","as:GENC:6:3-11:MK-07")</f>
        <v>as:GENC:6:3-11:MK-07</v>
      </c>
    </row>
    <row r="3068" spans="1:7" x14ac:dyDescent="0.25">
      <c r="A3068" s="112"/>
      <c r="B3068" s="21" t="s">
        <v>7787</v>
      </c>
      <c r="C3068" s="21" t="s">
        <v>7788</v>
      </c>
      <c r="D3068" s="21" t="s">
        <v>2505</v>
      </c>
      <c r="E3068" s="50" t="b">
        <v>1</v>
      </c>
      <c r="F3068" s="72" t="str">
        <f>HYPERLINK("http://nsgreg.nga.mil/genc/view?v=294312&amp;end_month=6&amp;end_day=30&amp;end_year=2019","Brvenica")</f>
        <v>Brvenica</v>
      </c>
      <c r="G3068" s="72" t="str">
        <f>HYPERLINK("http://api.nsgreg.nga.mil/geo-division/GENC/6/3-11/MK-08","as:GENC:6:3-11:MK-08")</f>
        <v>as:GENC:6:3-11:MK-08</v>
      </c>
    </row>
    <row r="3069" spans="1:7" x14ac:dyDescent="0.25">
      <c r="A3069" s="112"/>
      <c r="B3069" s="21" t="s">
        <v>7789</v>
      </c>
      <c r="C3069" s="21" t="s">
        <v>7790</v>
      </c>
      <c r="D3069" s="21" t="s">
        <v>2505</v>
      </c>
      <c r="E3069" s="50" t="b">
        <v>1</v>
      </c>
      <c r="F3069" s="72" t="str">
        <f>HYPERLINK("http://nsgreg.nga.mil/genc/view?v=294372&amp;end_month=6&amp;end_day=30&amp;end_year=2019","Čaška")</f>
        <v>Čaška</v>
      </c>
      <c r="G3069" s="72" t="str">
        <f>HYPERLINK("http://api.nsgreg.nga.mil/geo-division/GENC/6/3-11/MK-80","as:GENC:6:3-11:MK-80")</f>
        <v>as:GENC:6:3-11:MK-80</v>
      </c>
    </row>
    <row r="3070" spans="1:7" x14ac:dyDescent="0.25">
      <c r="A3070" s="112"/>
      <c r="B3070" s="21" t="s">
        <v>7791</v>
      </c>
      <c r="C3070" s="21" t="s">
        <v>7792</v>
      </c>
      <c r="D3070" s="21" t="s">
        <v>2505</v>
      </c>
      <c r="E3070" s="50" t="b">
        <v>1</v>
      </c>
      <c r="F3070" s="72" t="str">
        <f>HYPERLINK("http://nsgreg.nga.mil/genc/view?v=294371&amp;end_month=6&amp;end_day=30&amp;end_year=2019","Centar Župa")</f>
        <v>Centar Župa</v>
      </c>
      <c r="G3070" s="72" t="str">
        <f>HYPERLINK("http://api.nsgreg.nga.mil/geo-division/GENC/6/3-11/MK-78","as:GENC:6:3-11:MK-78")</f>
        <v>as:GENC:6:3-11:MK-78</v>
      </c>
    </row>
    <row r="3071" spans="1:7" x14ac:dyDescent="0.25">
      <c r="A3071" s="112"/>
      <c r="B3071" s="21" t="s">
        <v>7793</v>
      </c>
      <c r="C3071" s="21" t="s">
        <v>7794</v>
      </c>
      <c r="D3071" s="21" t="s">
        <v>2505</v>
      </c>
      <c r="E3071" s="50" t="b">
        <v>1</v>
      </c>
      <c r="F3071" s="72" t="str">
        <f>HYPERLINK("http://nsgreg.nga.mil/genc/view?v=294373&amp;end_month=6&amp;end_day=30&amp;end_year=2019","Češinovo-Obleševo")</f>
        <v>Češinovo-Obleševo</v>
      </c>
      <c r="G3071" s="72" t="str">
        <f>HYPERLINK("http://api.nsgreg.nga.mil/geo-division/GENC/6/3-11/MK-81","as:GENC:6:3-11:MK-81")</f>
        <v>as:GENC:6:3-11:MK-81</v>
      </c>
    </row>
    <row r="3072" spans="1:7" x14ac:dyDescent="0.25">
      <c r="A3072" s="112"/>
      <c r="B3072" s="21" t="s">
        <v>7795</v>
      </c>
      <c r="C3072" s="21" t="s">
        <v>7796</v>
      </c>
      <c r="D3072" s="21" t="s">
        <v>2505</v>
      </c>
      <c r="E3072" s="50" t="b">
        <v>1</v>
      </c>
      <c r="F3072" s="72" t="str">
        <f>HYPERLINK("http://nsgreg.nga.mil/genc/view?v=294374&amp;end_month=6&amp;end_day=30&amp;end_year=2019","Čučer-Sandevo")</f>
        <v>Čučer-Sandevo</v>
      </c>
      <c r="G3072" s="72" t="str">
        <f>HYPERLINK("http://api.nsgreg.nga.mil/geo-division/GENC/6/3-11/MK-82","as:GENC:6:3-11:MK-82")</f>
        <v>as:GENC:6:3-11:MK-82</v>
      </c>
    </row>
    <row r="3073" spans="1:7" x14ac:dyDescent="0.25">
      <c r="A3073" s="112"/>
      <c r="B3073" s="21" t="s">
        <v>7797</v>
      </c>
      <c r="C3073" s="21" t="s">
        <v>7798</v>
      </c>
      <c r="D3073" s="21" t="s">
        <v>2505</v>
      </c>
      <c r="E3073" s="50" t="b">
        <v>1</v>
      </c>
      <c r="F3073" s="72" t="str">
        <f>HYPERLINK("http://nsgreg.nga.mil/genc/view?v=294322&amp;end_month=6&amp;end_day=30&amp;end_year=2019","Debar")</f>
        <v>Debar</v>
      </c>
      <c r="G3073" s="72" t="str">
        <f>HYPERLINK("http://api.nsgreg.nga.mil/geo-division/GENC/6/3-11/MK-21","as:GENC:6:3-11:MK-21")</f>
        <v>as:GENC:6:3-11:MK-21</v>
      </c>
    </row>
    <row r="3074" spans="1:7" x14ac:dyDescent="0.25">
      <c r="A3074" s="112"/>
      <c r="B3074" s="21" t="s">
        <v>7799</v>
      </c>
      <c r="C3074" s="21" t="s">
        <v>7800</v>
      </c>
      <c r="D3074" s="21" t="s">
        <v>2505</v>
      </c>
      <c r="E3074" s="50" t="b">
        <v>1</v>
      </c>
      <c r="F3074" s="72" t="str">
        <f>HYPERLINK("http://nsgreg.nga.mil/genc/view?v=294323&amp;end_month=6&amp;end_day=30&amp;end_year=2019","Debarca")</f>
        <v>Debarca</v>
      </c>
      <c r="G3074" s="72" t="str">
        <f>HYPERLINK("http://api.nsgreg.nga.mil/geo-division/GENC/6/3-11/MK-22","as:GENC:6:3-11:MK-22")</f>
        <v>as:GENC:6:3-11:MK-22</v>
      </c>
    </row>
    <row r="3075" spans="1:7" x14ac:dyDescent="0.25">
      <c r="A3075" s="112"/>
      <c r="B3075" s="21" t="s">
        <v>7801</v>
      </c>
      <c r="C3075" s="21" t="s">
        <v>7802</v>
      </c>
      <c r="D3075" s="21" t="s">
        <v>2505</v>
      </c>
      <c r="E3075" s="50" t="b">
        <v>1</v>
      </c>
      <c r="F3075" s="72" t="str">
        <f>HYPERLINK("http://nsgreg.nga.mil/genc/view?v=294324&amp;end_month=6&amp;end_day=30&amp;end_year=2019","Delčevo")</f>
        <v>Delčevo</v>
      </c>
      <c r="G3075" s="72" t="str">
        <f>HYPERLINK("http://api.nsgreg.nga.mil/geo-division/GENC/6/3-11/MK-23","as:GENC:6:3-11:MK-23")</f>
        <v>as:GENC:6:3-11:MK-23</v>
      </c>
    </row>
    <row r="3076" spans="1:7" x14ac:dyDescent="0.25">
      <c r="A3076" s="112"/>
      <c r="B3076" s="21" t="s">
        <v>7803</v>
      </c>
      <c r="C3076" s="21" t="s">
        <v>7804</v>
      </c>
      <c r="D3076" s="21" t="s">
        <v>2505</v>
      </c>
      <c r="E3076" s="50" t="b">
        <v>1</v>
      </c>
      <c r="F3076" s="72" t="str">
        <f>HYPERLINK("http://nsgreg.nga.mil/genc/view?v=294326&amp;end_month=6&amp;end_day=30&amp;end_year=2019","Demir Hisar")</f>
        <v>Demir Hisar</v>
      </c>
      <c r="G3076" s="72" t="str">
        <f>HYPERLINK("http://api.nsgreg.nga.mil/geo-division/GENC/6/3-11/MK-25","as:GENC:6:3-11:MK-25")</f>
        <v>as:GENC:6:3-11:MK-25</v>
      </c>
    </row>
    <row r="3077" spans="1:7" x14ac:dyDescent="0.25">
      <c r="A3077" s="112"/>
      <c r="B3077" s="21" t="s">
        <v>7805</v>
      </c>
      <c r="C3077" s="21" t="s">
        <v>7806</v>
      </c>
      <c r="D3077" s="21" t="s">
        <v>2505</v>
      </c>
      <c r="E3077" s="50" t="b">
        <v>1</v>
      </c>
      <c r="F3077" s="72" t="str">
        <f>HYPERLINK("http://nsgreg.nga.mil/genc/view?v=294325&amp;end_month=6&amp;end_day=30&amp;end_year=2019","Demir Kapija")</f>
        <v>Demir Kapija</v>
      </c>
      <c r="G3077" s="72" t="str">
        <f>HYPERLINK("http://api.nsgreg.nga.mil/geo-division/GENC/6/3-11/MK-24","as:GENC:6:3-11:MK-24")</f>
        <v>as:GENC:6:3-11:MK-24</v>
      </c>
    </row>
    <row r="3078" spans="1:7" x14ac:dyDescent="0.25">
      <c r="A3078" s="112"/>
      <c r="B3078" s="21" t="s">
        <v>7807</v>
      </c>
      <c r="C3078" s="21" t="s">
        <v>7808</v>
      </c>
      <c r="D3078" s="21" t="s">
        <v>2505</v>
      </c>
      <c r="E3078" s="50" t="b">
        <v>1</v>
      </c>
      <c r="F3078" s="72" t="str">
        <f>HYPERLINK("http://nsgreg.nga.mil/genc/view?v=294327&amp;end_month=6&amp;end_day=30&amp;end_year=2019","Dojran")</f>
        <v>Dojran</v>
      </c>
      <c r="G3078" s="72" t="str">
        <f>HYPERLINK("http://api.nsgreg.nga.mil/geo-division/GENC/6/3-11/MK-26","as:GENC:6:3-11:MK-26")</f>
        <v>as:GENC:6:3-11:MK-26</v>
      </c>
    </row>
    <row r="3079" spans="1:7" x14ac:dyDescent="0.25">
      <c r="A3079" s="112"/>
      <c r="B3079" s="21" t="s">
        <v>7809</v>
      </c>
      <c r="C3079" s="21" t="s">
        <v>7810</v>
      </c>
      <c r="D3079" s="21" t="s">
        <v>2505</v>
      </c>
      <c r="E3079" s="50" t="b">
        <v>1</v>
      </c>
      <c r="F3079" s="72" t="str">
        <f>HYPERLINK("http://nsgreg.nga.mil/genc/view?v=294328&amp;end_month=6&amp;end_day=30&amp;end_year=2019","Dolneni")</f>
        <v>Dolneni</v>
      </c>
      <c r="G3079" s="72" t="str">
        <f>HYPERLINK("http://api.nsgreg.nga.mil/geo-division/GENC/6/3-11/MK-27","as:GENC:6:3-11:MK-27")</f>
        <v>as:GENC:6:3-11:MK-27</v>
      </c>
    </row>
    <row r="3080" spans="1:7" x14ac:dyDescent="0.25">
      <c r="A3080" s="112"/>
      <c r="B3080" s="21" t="s">
        <v>7811</v>
      </c>
      <c r="C3080" s="21" t="s">
        <v>7812</v>
      </c>
      <c r="D3080" s="21" t="s">
        <v>2505</v>
      </c>
      <c r="E3080" s="50" t="b">
        <v>1</v>
      </c>
      <c r="F3080" s="72" t="str">
        <f>HYPERLINK("http://nsgreg.nga.mil/genc/view?v=294319&amp;end_month=6&amp;end_day=30&amp;end_year=2019","Gevgelija")</f>
        <v>Gevgelija</v>
      </c>
      <c r="G3080" s="72" t="str">
        <f>HYPERLINK("http://api.nsgreg.nga.mil/geo-division/GENC/6/3-11/MK-18","as:GENC:6:3-11:MK-18")</f>
        <v>as:GENC:6:3-11:MK-18</v>
      </c>
    </row>
    <row r="3081" spans="1:7" x14ac:dyDescent="0.25">
      <c r="A3081" s="112"/>
      <c r="B3081" s="21" t="s">
        <v>7813</v>
      </c>
      <c r="C3081" s="21" t="s">
        <v>7814</v>
      </c>
      <c r="D3081" s="21" t="s">
        <v>2505</v>
      </c>
      <c r="E3081" s="50" t="b">
        <v>1</v>
      </c>
      <c r="F3081" s="72" t="str">
        <f>HYPERLINK("http://nsgreg.nga.mil/genc/view?v=294320&amp;end_month=6&amp;end_day=30&amp;end_year=2019","Gostivar")</f>
        <v>Gostivar</v>
      </c>
      <c r="G3081" s="72" t="str">
        <f>HYPERLINK("http://api.nsgreg.nga.mil/geo-division/GENC/6/3-11/MK-19","as:GENC:6:3-11:MK-19")</f>
        <v>as:GENC:6:3-11:MK-19</v>
      </c>
    </row>
    <row r="3082" spans="1:7" x14ac:dyDescent="0.25">
      <c r="A3082" s="112"/>
      <c r="B3082" s="21" t="s">
        <v>7815</v>
      </c>
      <c r="C3082" s="21" t="s">
        <v>7816</v>
      </c>
      <c r="D3082" s="21" t="s">
        <v>2505</v>
      </c>
      <c r="E3082" s="50" t="b">
        <v>1</v>
      </c>
      <c r="F3082" s="72" t="str">
        <f>HYPERLINK("http://nsgreg.nga.mil/genc/view?v=294321&amp;end_month=6&amp;end_day=30&amp;end_year=2019","Gradsko")</f>
        <v>Gradsko</v>
      </c>
      <c r="G3082" s="72" t="str">
        <f>HYPERLINK("http://api.nsgreg.nga.mil/geo-division/GENC/6/3-11/MK-20","as:GENC:6:3-11:MK-20")</f>
        <v>as:GENC:6:3-11:MK-20</v>
      </c>
    </row>
    <row r="3083" spans="1:7" x14ac:dyDescent="0.25">
      <c r="A3083" s="112"/>
      <c r="B3083" s="21" t="s">
        <v>7817</v>
      </c>
      <c r="C3083" s="21" t="s">
        <v>7818</v>
      </c>
      <c r="D3083" s="21" t="s">
        <v>2505</v>
      </c>
      <c r="E3083" s="50" t="b">
        <v>1</v>
      </c>
      <c r="F3083" s="72" t="str">
        <f>HYPERLINK("http://nsgreg.nga.mil/genc/view?v=294332&amp;end_month=6&amp;end_day=30&amp;end_year=2019","Ilinden")</f>
        <v>Ilinden</v>
      </c>
      <c r="G3083" s="72" t="str">
        <f>HYPERLINK("http://api.nsgreg.nga.mil/geo-division/GENC/6/3-11/MK-34","as:GENC:6:3-11:MK-34")</f>
        <v>as:GENC:6:3-11:MK-34</v>
      </c>
    </row>
    <row r="3084" spans="1:7" x14ac:dyDescent="0.25">
      <c r="A3084" s="112"/>
      <c r="B3084" s="21" t="s">
        <v>7819</v>
      </c>
      <c r="C3084" s="21" t="s">
        <v>7820</v>
      </c>
      <c r="D3084" s="21" t="s">
        <v>2505</v>
      </c>
      <c r="E3084" s="50" t="b">
        <v>1</v>
      </c>
      <c r="F3084" s="72" t="str">
        <f>HYPERLINK("http://nsgreg.nga.mil/genc/view?v=294333&amp;end_month=6&amp;end_day=30&amp;end_year=2019","Jegunovce")</f>
        <v>Jegunovce</v>
      </c>
      <c r="G3084" s="72" t="str">
        <f>HYPERLINK("http://api.nsgreg.nga.mil/geo-division/GENC/6/3-11/MK-35","as:GENC:6:3-11:MK-35")</f>
        <v>as:GENC:6:3-11:MK-35</v>
      </c>
    </row>
    <row r="3085" spans="1:7" x14ac:dyDescent="0.25">
      <c r="A3085" s="112"/>
      <c r="B3085" s="21" t="s">
        <v>7821</v>
      </c>
      <c r="C3085" s="21" t="s">
        <v>7822</v>
      </c>
      <c r="D3085" s="21" t="s">
        <v>2505</v>
      </c>
      <c r="E3085" s="50" t="b">
        <v>1</v>
      </c>
      <c r="F3085" s="72" t="str">
        <f>HYPERLINK("http://nsgreg.nga.mil/genc/view?v=294335&amp;end_month=6&amp;end_day=30&amp;end_year=2019","Karbinci")</f>
        <v>Karbinci</v>
      </c>
      <c r="G3085" s="72" t="str">
        <f>HYPERLINK("http://api.nsgreg.nga.mil/geo-division/GENC/6/3-11/MK-37","as:GENC:6:3-11:MK-37")</f>
        <v>as:GENC:6:3-11:MK-37</v>
      </c>
    </row>
    <row r="3086" spans="1:7" x14ac:dyDescent="0.25">
      <c r="A3086" s="112"/>
      <c r="B3086" s="21" t="s">
        <v>7823</v>
      </c>
      <c r="C3086" s="21" t="s">
        <v>7824</v>
      </c>
      <c r="D3086" s="21" t="s">
        <v>2505</v>
      </c>
      <c r="E3086" s="50" t="b">
        <v>1</v>
      </c>
      <c r="F3086" s="72" t="str">
        <f>HYPERLINK("http://nsgreg.nga.mil/genc/view?v=294334&amp;end_month=6&amp;end_day=30&amp;end_year=2019","Kavadarci")</f>
        <v>Kavadarci</v>
      </c>
      <c r="G3086" s="72" t="str">
        <f>HYPERLINK("http://api.nsgreg.nga.mil/geo-division/GENC/6/3-11/MK-36","as:GENC:6:3-11:MK-36")</f>
        <v>as:GENC:6:3-11:MK-36</v>
      </c>
    </row>
    <row r="3087" spans="1:7" x14ac:dyDescent="0.25">
      <c r="A3087" s="112"/>
      <c r="B3087" s="21" t="s">
        <v>7825</v>
      </c>
      <c r="C3087" s="21" t="s">
        <v>7826</v>
      </c>
      <c r="D3087" s="21" t="s">
        <v>2505</v>
      </c>
      <c r="E3087" s="50" t="b">
        <v>1</v>
      </c>
      <c r="F3087" s="72" t="str">
        <f>HYPERLINK("http://nsgreg.nga.mil/genc/view?v=294336&amp;end_month=6&amp;end_day=30&amp;end_year=2019","Kičevo")</f>
        <v>Kičevo</v>
      </c>
      <c r="G3087" s="72" t="str">
        <f>HYPERLINK("http://api.nsgreg.nga.mil/geo-division/GENC/6/3-11/MK-40","as:GENC:6:3-11:MK-40")</f>
        <v>as:GENC:6:3-11:MK-40</v>
      </c>
    </row>
    <row r="3088" spans="1:7" x14ac:dyDescent="0.25">
      <c r="A3088" s="112"/>
      <c r="B3088" s="21" t="s">
        <v>7827</v>
      </c>
      <c r="C3088" s="21" t="s">
        <v>7828</v>
      </c>
      <c r="D3088" s="21" t="s">
        <v>2505</v>
      </c>
      <c r="E3088" s="50" t="b">
        <v>1</v>
      </c>
      <c r="F3088" s="72" t="str">
        <f>HYPERLINK("http://nsgreg.nga.mil/genc/view?v=294338&amp;end_month=6&amp;end_day=30&amp;end_year=2019","Kočani")</f>
        <v>Kočani</v>
      </c>
      <c r="G3088" s="72" t="str">
        <f>HYPERLINK("http://api.nsgreg.nga.mil/geo-division/GENC/6/3-11/MK-42","as:GENC:6:3-11:MK-42")</f>
        <v>as:GENC:6:3-11:MK-42</v>
      </c>
    </row>
    <row r="3089" spans="1:7" x14ac:dyDescent="0.25">
      <c r="A3089" s="112"/>
      <c r="B3089" s="21" t="s">
        <v>7829</v>
      </c>
      <c r="C3089" s="21" t="s">
        <v>7830</v>
      </c>
      <c r="D3089" s="21" t="s">
        <v>2505</v>
      </c>
      <c r="E3089" s="50" t="b">
        <v>1</v>
      </c>
      <c r="F3089" s="72" t="str">
        <f>HYPERLINK("http://nsgreg.nga.mil/genc/view?v=294337&amp;end_month=6&amp;end_day=30&amp;end_year=2019","Konče")</f>
        <v>Konče</v>
      </c>
      <c r="G3089" s="72" t="str">
        <f>HYPERLINK("http://api.nsgreg.nga.mil/geo-division/GENC/6/3-11/MK-41","as:GENC:6:3-11:MK-41")</f>
        <v>as:GENC:6:3-11:MK-41</v>
      </c>
    </row>
    <row r="3090" spans="1:7" x14ac:dyDescent="0.25">
      <c r="A3090" s="112"/>
      <c r="B3090" s="21" t="s">
        <v>7831</v>
      </c>
      <c r="C3090" s="21" t="s">
        <v>7832</v>
      </c>
      <c r="D3090" s="21" t="s">
        <v>2505</v>
      </c>
      <c r="E3090" s="50" t="b">
        <v>1</v>
      </c>
      <c r="F3090" s="72" t="str">
        <f>HYPERLINK("http://nsgreg.nga.mil/genc/view?v=294339&amp;end_month=6&amp;end_day=30&amp;end_year=2019","Kratovo")</f>
        <v>Kratovo</v>
      </c>
      <c r="G3090" s="72" t="str">
        <f>HYPERLINK("http://api.nsgreg.nga.mil/geo-division/GENC/6/3-11/MK-43","as:GENC:6:3-11:MK-43")</f>
        <v>as:GENC:6:3-11:MK-43</v>
      </c>
    </row>
    <row r="3091" spans="1:7" x14ac:dyDescent="0.25">
      <c r="A3091" s="112"/>
      <c r="B3091" s="21" t="s">
        <v>7833</v>
      </c>
      <c r="C3091" s="21" t="s">
        <v>7834</v>
      </c>
      <c r="D3091" s="21" t="s">
        <v>2505</v>
      </c>
      <c r="E3091" s="50" t="b">
        <v>1</v>
      </c>
      <c r="F3091" s="72" t="str">
        <f>HYPERLINK("http://nsgreg.nga.mil/genc/view?v=294340&amp;end_month=6&amp;end_day=30&amp;end_year=2019","Kriva Palanka")</f>
        <v>Kriva Palanka</v>
      </c>
      <c r="G3091" s="72" t="str">
        <f>HYPERLINK("http://api.nsgreg.nga.mil/geo-division/GENC/6/3-11/MK-44","as:GENC:6:3-11:MK-44")</f>
        <v>as:GENC:6:3-11:MK-44</v>
      </c>
    </row>
    <row r="3092" spans="1:7" x14ac:dyDescent="0.25">
      <c r="A3092" s="112"/>
      <c r="B3092" s="21" t="s">
        <v>7835</v>
      </c>
      <c r="C3092" s="21" t="s">
        <v>7836</v>
      </c>
      <c r="D3092" s="21" t="s">
        <v>2505</v>
      </c>
      <c r="E3092" s="50" t="b">
        <v>1</v>
      </c>
      <c r="F3092" s="72" t="str">
        <f>HYPERLINK("http://nsgreg.nga.mil/genc/view?v=294341&amp;end_month=6&amp;end_day=30&amp;end_year=2019","Krivogaštani")</f>
        <v>Krivogaštani</v>
      </c>
      <c r="G3092" s="72" t="str">
        <f>HYPERLINK("http://api.nsgreg.nga.mil/geo-division/GENC/6/3-11/MK-45","as:GENC:6:3-11:MK-45")</f>
        <v>as:GENC:6:3-11:MK-45</v>
      </c>
    </row>
    <row r="3093" spans="1:7" x14ac:dyDescent="0.25">
      <c r="A3093" s="112"/>
      <c r="B3093" s="21" t="s">
        <v>7837</v>
      </c>
      <c r="C3093" s="21" t="s">
        <v>7838</v>
      </c>
      <c r="D3093" s="21" t="s">
        <v>2505</v>
      </c>
      <c r="E3093" s="50" t="b">
        <v>1</v>
      </c>
      <c r="F3093" s="72" t="str">
        <f>HYPERLINK("http://nsgreg.nga.mil/genc/view?v=294342&amp;end_month=6&amp;end_day=30&amp;end_year=2019","Kruševo")</f>
        <v>Kruševo</v>
      </c>
      <c r="G3093" s="72" t="str">
        <f>HYPERLINK("http://api.nsgreg.nga.mil/geo-division/GENC/6/3-11/MK-46","as:GENC:6:3-11:MK-46")</f>
        <v>as:GENC:6:3-11:MK-46</v>
      </c>
    </row>
    <row r="3094" spans="1:7" x14ac:dyDescent="0.25">
      <c r="A3094" s="112"/>
      <c r="B3094" s="21" t="s">
        <v>7839</v>
      </c>
      <c r="C3094" s="21" t="s">
        <v>7840</v>
      </c>
      <c r="D3094" s="21" t="s">
        <v>2505</v>
      </c>
      <c r="E3094" s="50" t="b">
        <v>1</v>
      </c>
      <c r="F3094" s="72" t="str">
        <f>HYPERLINK("http://nsgreg.nga.mil/genc/view?v=294343&amp;end_month=6&amp;end_day=30&amp;end_year=2019","Kumanovo")</f>
        <v>Kumanovo</v>
      </c>
      <c r="G3094" s="72" t="str">
        <f>HYPERLINK("http://api.nsgreg.nga.mil/geo-division/GENC/6/3-11/MK-47","as:GENC:6:3-11:MK-47")</f>
        <v>as:GENC:6:3-11:MK-47</v>
      </c>
    </row>
    <row r="3095" spans="1:7" x14ac:dyDescent="0.25">
      <c r="A3095" s="112"/>
      <c r="B3095" s="21" t="s">
        <v>7841</v>
      </c>
      <c r="C3095" s="21" t="s">
        <v>7842</v>
      </c>
      <c r="D3095" s="21" t="s">
        <v>2505</v>
      </c>
      <c r="E3095" s="50" t="b">
        <v>1</v>
      </c>
      <c r="F3095" s="72" t="str">
        <f>HYPERLINK("http://nsgreg.nga.mil/genc/view?v=294344&amp;end_month=6&amp;end_day=30&amp;end_year=2019","Lipkovo")</f>
        <v>Lipkovo</v>
      </c>
      <c r="G3095" s="72" t="str">
        <f>HYPERLINK("http://api.nsgreg.nga.mil/geo-division/GENC/6/3-11/MK-48","as:GENC:6:3-11:MK-48")</f>
        <v>as:GENC:6:3-11:MK-48</v>
      </c>
    </row>
    <row r="3096" spans="1:7" x14ac:dyDescent="0.25">
      <c r="A3096" s="112"/>
      <c r="B3096" s="21" t="s">
        <v>7843</v>
      </c>
      <c r="C3096" s="21" t="s">
        <v>7844</v>
      </c>
      <c r="D3096" s="21" t="s">
        <v>2505</v>
      </c>
      <c r="E3096" s="50" t="b">
        <v>1</v>
      </c>
      <c r="F3096" s="72" t="str">
        <f>HYPERLINK("http://nsgreg.nga.mil/genc/view?v=294345&amp;end_month=6&amp;end_day=30&amp;end_year=2019","Lozovo")</f>
        <v>Lozovo</v>
      </c>
      <c r="G3096" s="72" t="str">
        <f>HYPERLINK("http://api.nsgreg.nga.mil/geo-division/GENC/6/3-11/MK-49","as:GENC:6:3-11:MK-49")</f>
        <v>as:GENC:6:3-11:MK-49</v>
      </c>
    </row>
    <row r="3097" spans="1:7" x14ac:dyDescent="0.25">
      <c r="A3097" s="112"/>
      <c r="B3097" s="21" t="s">
        <v>7845</v>
      </c>
      <c r="C3097" s="21" t="s">
        <v>7846</v>
      </c>
      <c r="D3097" s="21" t="s">
        <v>2505</v>
      </c>
      <c r="E3097" s="50" t="b">
        <v>1</v>
      </c>
      <c r="F3097" s="72" t="str">
        <f>HYPERLINK("http://nsgreg.nga.mil/genc/view?v=294347&amp;end_month=6&amp;end_day=30&amp;end_year=2019","Makedonska Kamenica")</f>
        <v>Makedonska Kamenica</v>
      </c>
      <c r="G3097" s="72" t="str">
        <f>HYPERLINK("http://api.nsgreg.nga.mil/geo-division/GENC/6/3-11/MK-51","as:GENC:6:3-11:MK-51")</f>
        <v>as:GENC:6:3-11:MK-51</v>
      </c>
    </row>
    <row r="3098" spans="1:7" x14ac:dyDescent="0.25">
      <c r="A3098" s="112"/>
      <c r="B3098" s="21" t="s">
        <v>7847</v>
      </c>
      <c r="C3098" s="21" t="s">
        <v>7848</v>
      </c>
      <c r="D3098" s="21" t="s">
        <v>2505</v>
      </c>
      <c r="E3098" s="50" t="b">
        <v>1</v>
      </c>
      <c r="F3098" s="72" t="str">
        <f>HYPERLINK("http://nsgreg.nga.mil/genc/view?v=294348&amp;end_month=6&amp;end_day=30&amp;end_year=2019","Makedonski Brod")</f>
        <v>Makedonski Brod</v>
      </c>
      <c r="G3098" s="72" t="str">
        <f>HYPERLINK("http://api.nsgreg.nga.mil/geo-division/GENC/6/3-11/MK-52","as:GENC:6:3-11:MK-52")</f>
        <v>as:GENC:6:3-11:MK-52</v>
      </c>
    </row>
    <row r="3099" spans="1:7" x14ac:dyDescent="0.25">
      <c r="A3099" s="112"/>
      <c r="B3099" s="21" t="s">
        <v>7849</v>
      </c>
      <c r="C3099" s="21" t="s">
        <v>7850</v>
      </c>
      <c r="D3099" s="21" t="s">
        <v>2505</v>
      </c>
      <c r="E3099" s="50" t="b">
        <v>1</v>
      </c>
      <c r="F3099" s="72" t="str">
        <f>HYPERLINK("http://nsgreg.nga.mil/genc/view?v=294346&amp;end_month=6&amp;end_day=30&amp;end_year=2019","Mavrovo i Rostuša")</f>
        <v>Mavrovo i Rostuša</v>
      </c>
      <c r="G3099" s="72" t="str">
        <f>HYPERLINK("http://api.nsgreg.nga.mil/geo-division/GENC/6/3-11/MK-50","as:GENC:6:3-11:MK-50")</f>
        <v>as:GENC:6:3-11:MK-50</v>
      </c>
    </row>
    <row r="3100" spans="1:7" x14ac:dyDescent="0.25">
      <c r="A3100" s="112"/>
      <c r="B3100" s="21" t="s">
        <v>7851</v>
      </c>
      <c r="C3100" s="21" t="s">
        <v>7852</v>
      </c>
      <c r="D3100" s="21" t="s">
        <v>2505</v>
      </c>
      <c r="E3100" s="50" t="b">
        <v>1</v>
      </c>
      <c r="F3100" s="72" t="str">
        <f>HYPERLINK("http://nsgreg.nga.mil/genc/view?v=294349&amp;end_month=6&amp;end_day=30&amp;end_year=2019","Mogila")</f>
        <v>Mogila</v>
      </c>
      <c r="G3100" s="72" t="str">
        <f>HYPERLINK("http://api.nsgreg.nga.mil/geo-division/GENC/6/3-11/MK-53","as:GENC:6:3-11:MK-53")</f>
        <v>as:GENC:6:3-11:MK-53</v>
      </c>
    </row>
    <row r="3101" spans="1:7" x14ac:dyDescent="0.25">
      <c r="A3101" s="112"/>
      <c r="B3101" s="21" t="s">
        <v>7853</v>
      </c>
      <c r="C3101" s="21" t="s">
        <v>7854</v>
      </c>
      <c r="D3101" s="21" t="s">
        <v>2505</v>
      </c>
      <c r="E3101" s="50" t="b">
        <v>1</v>
      </c>
      <c r="F3101" s="72" t="str">
        <f>HYPERLINK("http://nsgreg.nga.mil/genc/view?v=294350&amp;end_month=6&amp;end_day=30&amp;end_year=2019","Negotino")</f>
        <v>Negotino</v>
      </c>
      <c r="G3101" s="72" t="str">
        <f>HYPERLINK("http://api.nsgreg.nga.mil/geo-division/GENC/6/3-11/MK-54","as:GENC:6:3-11:MK-54")</f>
        <v>as:GENC:6:3-11:MK-54</v>
      </c>
    </row>
    <row r="3102" spans="1:7" x14ac:dyDescent="0.25">
      <c r="A3102" s="112"/>
      <c r="B3102" s="21" t="s">
        <v>7855</v>
      </c>
      <c r="C3102" s="21" t="s">
        <v>7856</v>
      </c>
      <c r="D3102" s="21" t="s">
        <v>2505</v>
      </c>
      <c r="E3102" s="50" t="b">
        <v>1</v>
      </c>
      <c r="F3102" s="72" t="str">
        <f>HYPERLINK("http://nsgreg.nga.mil/genc/view?v=294351&amp;end_month=6&amp;end_day=30&amp;end_year=2019","Novaci")</f>
        <v>Novaci</v>
      </c>
      <c r="G3102" s="72" t="str">
        <f>HYPERLINK("http://api.nsgreg.nga.mil/geo-division/GENC/6/3-11/MK-55","as:GENC:6:3-11:MK-55")</f>
        <v>as:GENC:6:3-11:MK-55</v>
      </c>
    </row>
    <row r="3103" spans="1:7" x14ac:dyDescent="0.25">
      <c r="A3103" s="112"/>
      <c r="B3103" s="21" t="s">
        <v>7857</v>
      </c>
      <c r="C3103" s="21" t="s">
        <v>7858</v>
      </c>
      <c r="D3103" s="21" t="s">
        <v>2505</v>
      </c>
      <c r="E3103" s="50" t="b">
        <v>1</v>
      </c>
      <c r="F3103" s="72" t="str">
        <f>HYPERLINK("http://nsgreg.nga.mil/genc/view?v=294352&amp;end_month=6&amp;end_day=30&amp;end_year=2019","Novo Selo")</f>
        <v>Novo Selo</v>
      </c>
      <c r="G3103" s="72" t="str">
        <f>HYPERLINK("http://api.nsgreg.nga.mil/geo-division/GENC/6/3-11/MK-56","as:GENC:6:3-11:MK-56")</f>
        <v>as:GENC:6:3-11:MK-56</v>
      </c>
    </row>
    <row r="3104" spans="1:7" x14ac:dyDescent="0.25">
      <c r="A3104" s="112"/>
      <c r="B3104" s="21" t="s">
        <v>7859</v>
      </c>
      <c r="C3104" s="21" t="s">
        <v>7860</v>
      </c>
      <c r="D3104" s="21" t="s">
        <v>2505</v>
      </c>
      <c r="E3104" s="50" t="b">
        <v>1</v>
      </c>
      <c r="F3104" s="72" t="str">
        <f>HYPERLINK("http://nsgreg.nga.mil/genc/view?v=294353&amp;end_month=6&amp;end_day=30&amp;end_year=2019","Ohrid")</f>
        <v>Ohrid</v>
      </c>
      <c r="G3104" s="72" t="str">
        <f>HYPERLINK("http://api.nsgreg.nga.mil/geo-division/GENC/6/3-11/MK-58","as:GENC:6:3-11:MK-58")</f>
        <v>as:GENC:6:3-11:MK-58</v>
      </c>
    </row>
    <row r="3105" spans="1:7" x14ac:dyDescent="0.25">
      <c r="A3105" s="112"/>
      <c r="B3105" s="21" t="s">
        <v>7861</v>
      </c>
      <c r="C3105" s="21" t="s">
        <v>7862</v>
      </c>
      <c r="D3105" s="21" t="s">
        <v>2505</v>
      </c>
      <c r="E3105" s="50" t="b">
        <v>1</v>
      </c>
      <c r="F3105" s="72" t="str">
        <f>HYPERLINK("http://nsgreg.nga.mil/genc/view?v=294355&amp;end_month=6&amp;end_day=30&amp;end_year=2019","Pehčevo")</f>
        <v>Pehčevo</v>
      </c>
      <c r="G3105" s="72" t="str">
        <f>HYPERLINK("http://api.nsgreg.nga.mil/geo-division/GENC/6/3-11/MK-60","as:GENC:6:3-11:MK-60")</f>
        <v>as:GENC:6:3-11:MK-60</v>
      </c>
    </row>
    <row r="3106" spans="1:7" x14ac:dyDescent="0.25">
      <c r="A3106" s="112"/>
      <c r="B3106" s="21" t="s">
        <v>7863</v>
      </c>
      <c r="C3106" s="21" t="s">
        <v>7864</v>
      </c>
      <c r="D3106" s="21" t="s">
        <v>2505</v>
      </c>
      <c r="E3106" s="50" t="b">
        <v>1</v>
      </c>
      <c r="F3106" s="72" t="str">
        <f>HYPERLINK("http://nsgreg.nga.mil/genc/view?v=294354&amp;end_month=6&amp;end_day=30&amp;end_year=2019","Petrovec")</f>
        <v>Petrovec</v>
      </c>
      <c r="G3106" s="72" t="str">
        <f>HYPERLINK("http://api.nsgreg.nga.mil/geo-division/GENC/6/3-11/MK-59","as:GENC:6:3-11:MK-59")</f>
        <v>as:GENC:6:3-11:MK-59</v>
      </c>
    </row>
    <row r="3107" spans="1:7" x14ac:dyDescent="0.25">
      <c r="A3107" s="112"/>
      <c r="B3107" s="21" t="s">
        <v>7865</v>
      </c>
      <c r="C3107" s="21" t="s">
        <v>7866</v>
      </c>
      <c r="D3107" s="21" t="s">
        <v>2505</v>
      </c>
      <c r="E3107" s="50" t="b">
        <v>1</v>
      </c>
      <c r="F3107" s="72" t="str">
        <f>HYPERLINK("http://nsgreg.nga.mil/genc/view?v=294356&amp;end_month=6&amp;end_day=30&amp;end_year=2019","Plasnica")</f>
        <v>Plasnica</v>
      </c>
      <c r="G3107" s="72" t="str">
        <f>HYPERLINK("http://api.nsgreg.nga.mil/geo-division/GENC/6/3-11/MK-61","as:GENC:6:3-11:MK-61")</f>
        <v>as:GENC:6:3-11:MK-61</v>
      </c>
    </row>
    <row r="3108" spans="1:7" x14ac:dyDescent="0.25">
      <c r="A3108" s="112"/>
      <c r="B3108" s="21" t="s">
        <v>7867</v>
      </c>
      <c r="C3108" s="21" t="s">
        <v>7868</v>
      </c>
      <c r="D3108" s="21" t="s">
        <v>2505</v>
      </c>
      <c r="E3108" s="50" t="b">
        <v>1</v>
      </c>
      <c r="F3108" s="72" t="str">
        <f>HYPERLINK("http://nsgreg.nga.mil/genc/view?v=294357&amp;end_month=6&amp;end_day=30&amp;end_year=2019","Prilep")</f>
        <v>Prilep</v>
      </c>
      <c r="G3108" s="72" t="str">
        <f>HYPERLINK("http://api.nsgreg.nga.mil/geo-division/GENC/6/3-11/MK-62","as:GENC:6:3-11:MK-62")</f>
        <v>as:GENC:6:3-11:MK-62</v>
      </c>
    </row>
    <row r="3109" spans="1:7" x14ac:dyDescent="0.25">
      <c r="A3109" s="112"/>
      <c r="B3109" s="21" t="s">
        <v>7869</v>
      </c>
      <c r="C3109" s="21" t="s">
        <v>7870</v>
      </c>
      <c r="D3109" s="21" t="s">
        <v>2505</v>
      </c>
      <c r="E3109" s="50" t="b">
        <v>1</v>
      </c>
      <c r="F3109" s="72" t="str">
        <f>HYPERLINK("http://nsgreg.nga.mil/genc/view?v=294358&amp;end_month=6&amp;end_day=30&amp;end_year=2019","Probištip")</f>
        <v>Probištip</v>
      </c>
      <c r="G3109" s="72" t="str">
        <f>HYPERLINK("http://api.nsgreg.nga.mil/geo-division/GENC/6/3-11/MK-63","as:GENC:6:3-11:MK-63")</f>
        <v>as:GENC:6:3-11:MK-63</v>
      </c>
    </row>
    <row r="3110" spans="1:7" x14ac:dyDescent="0.25">
      <c r="A3110" s="112"/>
      <c r="B3110" s="21" t="s">
        <v>7871</v>
      </c>
      <c r="C3110" s="21" t="s">
        <v>7872</v>
      </c>
      <c r="D3110" s="21" t="s">
        <v>2505</v>
      </c>
      <c r="E3110" s="50" t="b">
        <v>1</v>
      </c>
      <c r="F3110" s="72" t="str">
        <f>HYPERLINK("http://nsgreg.nga.mil/genc/view?v=294359&amp;end_month=6&amp;end_day=30&amp;end_year=2019","Radoviš")</f>
        <v>Radoviš</v>
      </c>
      <c r="G3110" s="72" t="str">
        <f>HYPERLINK("http://api.nsgreg.nga.mil/geo-division/GENC/6/3-11/MK-64","as:GENC:6:3-11:MK-64")</f>
        <v>as:GENC:6:3-11:MK-64</v>
      </c>
    </row>
    <row r="3111" spans="1:7" x14ac:dyDescent="0.25">
      <c r="A3111" s="112"/>
      <c r="B3111" s="21" t="s">
        <v>7873</v>
      </c>
      <c r="C3111" s="21" t="s">
        <v>7874</v>
      </c>
      <c r="D3111" s="21" t="s">
        <v>2505</v>
      </c>
      <c r="E3111" s="50" t="b">
        <v>1</v>
      </c>
      <c r="F3111" s="72" t="str">
        <f>HYPERLINK("http://nsgreg.nga.mil/genc/view?v=294360&amp;end_month=6&amp;end_day=30&amp;end_year=2019","Rankovce")</f>
        <v>Rankovce</v>
      </c>
      <c r="G3111" s="72" t="str">
        <f>HYPERLINK("http://api.nsgreg.nga.mil/geo-division/GENC/6/3-11/MK-65","as:GENC:6:3-11:MK-65")</f>
        <v>as:GENC:6:3-11:MK-65</v>
      </c>
    </row>
    <row r="3112" spans="1:7" x14ac:dyDescent="0.25">
      <c r="A3112" s="112"/>
      <c r="B3112" s="21" t="s">
        <v>7875</v>
      </c>
      <c r="C3112" s="21" t="s">
        <v>7876</v>
      </c>
      <c r="D3112" s="21" t="s">
        <v>2505</v>
      </c>
      <c r="E3112" s="50" t="b">
        <v>1</v>
      </c>
      <c r="F3112" s="72" t="str">
        <f>HYPERLINK("http://nsgreg.nga.mil/genc/view?v=294361&amp;end_month=6&amp;end_day=30&amp;end_year=2019","Resen")</f>
        <v>Resen</v>
      </c>
      <c r="G3112" s="72" t="str">
        <f>HYPERLINK("http://api.nsgreg.nga.mil/geo-division/GENC/6/3-11/MK-66","as:GENC:6:3-11:MK-66")</f>
        <v>as:GENC:6:3-11:MK-66</v>
      </c>
    </row>
    <row r="3113" spans="1:7" x14ac:dyDescent="0.25">
      <c r="A3113" s="112"/>
      <c r="B3113" s="21" t="s">
        <v>7877</v>
      </c>
      <c r="C3113" s="21" t="s">
        <v>7878</v>
      </c>
      <c r="D3113" s="21" t="s">
        <v>2505</v>
      </c>
      <c r="E3113" s="50" t="b">
        <v>1</v>
      </c>
      <c r="F3113" s="72" t="str">
        <f>HYPERLINK("http://nsgreg.nga.mil/genc/view?v=294362&amp;end_month=6&amp;end_day=30&amp;end_year=2019","Rosoman")</f>
        <v>Rosoman</v>
      </c>
      <c r="G3113" s="72" t="str">
        <f>HYPERLINK("http://api.nsgreg.nga.mil/geo-division/GENC/6/3-11/MK-67","as:GENC:6:3-11:MK-67")</f>
        <v>as:GENC:6:3-11:MK-67</v>
      </c>
    </row>
    <row r="3114" spans="1:7" x14ac:dyDescent="0.25">
      <c r="A3114" s="112"/>
      <c r="B3114" s="21" t="s">
        <v>7879</v>
      </c>
      <c r="C3114" s="21" t="s">
        <v>7880</v>
      </c>
      <c r="D3114" s="21" t="s">
        <v>1996</v>
      </c>
      <c r="E3114" s="50" t="b">
        <v>1</v>
      </c>
      <c r="F3114" s="72" t="str">
        <f>HYPERLINK("http://nsgreg.nga.mil/genc/view?v=294376&amp;end_month=6&amp;end_day=30&amp;end_year=2019","Skopje")</f>
        <v>Skopje</v>
      </c>
      <c r="G3114" s="72" t="str">
        <f>HYPERLINK("http://api.nsgreg.nga.mil/geo-division/GENC/6/3-11/MK-85","as:GENC:6:3-11:MK-85")</f>
        <v>as:GENC:6:3-11:MK-85</v>
      </c>
    </row>
    <row r="3115" spans="1:7" x14ac:dyDescent="0.25">
      <c r="A3115" s="112"/>
      <c r="B3115" s="21" t="s">
        <v>7881</v>
      </c>
      <c r="C3115" s="21" t="s">
        <v>7882</v>
      </c>
      <c r="D3115" s="21" t="s">
        <v>2505</v>
      </c>
      <c r="E3115" s="50" t="b">
        <v>1</v>
      </c>
      <c r="F3115" s="72" t="str">
        <f>HYPERLINK("http://nsgreg.nga.mil/genc/view?v=294364&amp;end_month=6&amp;end_day=30&amp;end_year=2019","Sopište")</f>
        <v>Sopište</v>
      </c>
      <c r="G3115" s="72" t="str">
        <f>HYPERLINK("http://api.nsgreg.nga.mil/geo-division/GENC/6/3-11/MK-70","as:GENC:6:3-11:MK-70")</f>
        <v>as:GENC:6:3-11:MK-70</v>
      </c>
    </row>
    <row r="3116" spans="1:7" x14ac:dyDescent="0.25">
      <c r="A3116" s="112"/>
      <c r="B3116" s="21" t="s">
        <v>7883</v>
      </c>
      <c r="C3116" s="21" t="s">
        <v>7884</v>
      </c>
      <c r="D3116" s="21" t="s">
        <v>2505</v>
      </c>
      <c r="E3116" s="50" t="b">
        <v>1</v>
      </c>
      <c r="F3116" s="72" t="str">
        <f>HYPERLINK("http://nsgreg.nga.mil/genc/view?v=294365&amp;end_month=6&amp;end_day=30&amp;end_year=2019","Staro Nagoričane")</f>
        <v>Staro Nagoričane</v>
      </c>
      <c r="G3116" s="72" t="str">
        <f>HYPERLINK("http://api.nsgreg.nga.mil/geo-division/GENC/6/3-11/MK-71","as:GENC:6:3-11:MK-71")</f>
        <v>as:GENC:6:3-11:MK-71</v>
      </c>
    </row>
    <row r="3117" spans="1:7" x14ac:dyDescent="0.25">
      <c r="A3117" s="112"/>
      <c r="B3117" s="21" t="s">
        <v>7885</v>
      </c>
      <c r="C3117" s="21" t="s">
        <v>7886</v>
      </c>
      <c r="D3117" s="21" t="s">
        <v>2505</v>
      </c>
      <c r="E3117" s="50" t="b">
        <v>1</v>
      </c>
      <c r="F3117" s="72" t="str">
        <f>HYPERLINK("http://nsgreg.nga.mil/genc/view?v=294375&amp;end_month=6&amp;end_day=30&amp;end_year=2019","Štip")</f>
        <v>Štip</v>
      </c>
      <c r="G3117" s="72" t="str">
        <f>HYPERLINK("http://api.nsgreg.nga.mil/geo-division/GENC/6/3-11/MK-83","as:GENC:6:3-11:MK-83")</f>
        <v>as:GENC:6:3-11:MK-83</v>
      </c>
    </row>
    <row r="3118" spans="1:7" x14ac:dyDescent="0.25">
      <c r="A3118" s="112"/>
      <c r="B3118" s="21" t="s">
        <v>7887</v>
      </c>
      <c r="C3118" s="21" t="s">
        <v>7888</v>
      </c>
      <c r="D3118" s="21" t="s">
        <v>2505</v>
      </c>
      <c r="E3118" s="50" t="b">
        <v>1</v>
      </c>
      <c r="F3118" s="72" t="str">
        <f>HYPERLINK("http://nsgreg.nga.mil/genc/view?v=294366&amp;end_month=6&amp;end_day=30&amp;end_year=2019","Struga")</f>
        <v>Struga</v>
      </c>
      <c r="G3118" s="72" t="str">
        <f>HYPERLINK("http://api.nsgreg.nga.mil/geo-division/GENC/6/3-11/MK-72","as:GENC:6:3-11:MK-72")</f>
        <v>as:GENC:6:3-11:MK-72</v>
      </c>
    </row>
    <row r="3119" spans="1:7" x14ac:dyDescent="0.25">
      <c r="A3119" s="112"/>
      <c r="B3119" s="21" t="s">
        <v>7889</v>
      </c>
      <c r="C3119" s="21" t="s">
        <v>7890</v>
      </c>
      <c r="D3119" s="21" t="s">
        <v>2505</v>
      </c>
      <c r="E3119" s="50" t="b">
        <v>1</v>
      </c>
      <c r="F3119" s="72" t="str">
        <f>HYPERLINK("http://nsgreg.nga.mil/genc/view?v=294367&amp;end_month=6&amp;end_day=30&amp;end_year=2019","Strumica")</f>
        <v>Strumica</v>
      </c>
      <c r="G3119" s="72" t="str">
        <f>HYPERLINK("http://api.nsgreg.nga.mil/geo-division/GENC/6/3-11/MK-73","as:GENC:6:3-11:MK-73")</f>
        <v>as:GENC:6:3-11:MK-73</v>
      </c>
    </row>
    <row r="3120" spans="1:7" x14ac:dyDescent="0.25">
      <c r="A3120" s="112"/>
      <c r="B3120" s="21" t="s">
        <v>7891</v>
      </c>
      <c r="C3120" s="21" t="s">
        <v>7892</v>
      </c>
      <c r="D3120" s="21" t="s">
        <v>2505</v>
      </c>
      <c r="E3120" s="50" t="b">
        <v>1</v>
      </c>
      <c r="F3120" s="72" t="str">
        <f>HYPERLINK("http://nsgreg.nga.mil/genc/view?v=294368&amp;end_month=6&amp;end_day=30&amp;end_year=2019","Studeničani")</f>
        <v>Studeničani</v>
      </c>
      <c r="G3120" s="72" t="str">
        <f>HYPERLINK("http://api.nsgreg.nga.mil/geo-division/GENC/6/3-11/MK-74","as:GENC:6:3-11:MK-74")</f>
        <v>as:GENC:6:3-11:MK-74</v>
      </c>
    </row>
    <row r="3121" spans="1:7" x14ac:dyDescent="0.25">
      <c r="A3121" s="112"/>
      <c r="B3121" s="21" t="s">
        <v>7893</v>
      </c>
      <c r="C3121" s="21" t="s">
        <v>7894</v>
      </c>
      <c r="D3121" s="21" t="s">
        <v>2505</v>
      </c>
      <c r="E3121" s="50" t="b">
        <v>1</v>
      </c>
      <c r="F3121" s="72" t="str">
        <f>HYPERLINK("http://nsgreg.nga.mil/genc/view?v=294363&amp;end_month=6&amp;end_day=30&amp;end_year=2019","Sveti Nikole")</f>
        <v>Sveti Nikole</v>
      </c>
      <c r="G3121" s="72" t="str">
        <f>HYPERLINK("http://api.nsgreg.nga.mil/geo-division/GENC/6/3-11/MK-69","as:GENC:6:3-11:MK-69")</f>
        <v>as:GENC:6:3-11:MK-69</v>
      </c>
    </row>
    <row r="3122" spans="1:7" x14ac:dyDescent="0.25">
      <c r="A3122" s="112"/>
      <c r="B3122" s="21" t="s">
        <v>7895</v>
      </c>
      <c r="C3122" s="21" t="s">
        <v>7896</v>
      </c>
      <c r="D3122" s="21" t="s">
        <v>2505</v>
      </c>
      <c r="E3122" s="50" t="b">
        <v>1</v>
      </c>
      <c r="F3122" s="72" t="str">
        <f>HYPERLINK("http://nsgreg.nga.mil/genc/view?v=294369&amp;end_month=6&amp;end_day=30&amp;end_year=2019","Tearce")</f>
        <v>Tearce</v>
      </c>
      <c r="G3122" s="72" t="str">
        <f>HYPERLINK("http://api.nsgreg.nga.mil/geo-division/GENC/6/3-11/MK-75","as:GENC:6:3-11:MK-75")</f>
        <v>as:GENC:6:3-11:MK-75</v>
      </c>
    </row>
    <row r="3123" spans="1:7" x14ac:dyDescent="0.25">
      <c r="A3123" s="112"/>
      <c r="B3123" s="21" t="s">
        <v>7897</v>
      </c>
      <c r="C3123" s="21" t="s">
        <v>7898</v>
      </c>
      <c r="D3123" s="21" t="s">
        <v>2505</v>
      </c>
      <c r="E3123" s="50" t="b">
        <v>1</v>
      </c>
      <c r="F3123" s="72" t="str">
        <f>HYPERLINK("http://nsgreg.nga.mil/genc/view?v=294370&amp;end_month=6&amp;end_day=30&amp;end_year=2019","Tetovo")</f>
        <v>Tetovo</v>
      </c>
      <c r="G3123" s="72" t="str">
        <f>HYPERLINK("http://api.nsgreg.nga.mil/geo-division/GENC/6/3-11/MK-76","as:GENC:6:3-11:MK-76")</f>
        <v>as:GENC:6:3-11:MK-76</v>
      </c>
    </row>
    <row r="3124" spans="1:7" x14ac:dyDescent="0.25">
      <c r="A3124" s="112"/>
      <c r="B3124" s="21" t="s">
        <v>7899</v>
      </c>
      <c r="C3124" s="21" t="s">
        <v>7900</v>
      </c>
      <c r="D3124" s="21" t="s">
        <v>2505</v>
      </c>
      <c r="E3124" s="50" t="b">
        <v>1</v>
      </c>
      <c r="F3124" s="72" t="str">
        <f>HYPERLINK("http://nsgreg.nga.mil/genc/view?v=294313&amp;end_month=6&amp;end_day=30&amp;end_year=2019","Valandovo")</f>
        <v>Valandovo</v>
      </c>
      <c r="G3124" s="72" t="str">
        <f>HYPERLINK("http://api.nsgreg.nga.mil/geo-division/GENC/6/3-11/MK-10","as:GENC:6:3-11:MK-10")</f>
        <v>as:GENC:6:3-11:MK-10</v>
      </c>
    </row>
    <row r="3125" spans="1:7" x14ac:dyDescent="0.25">
      <c r="A3125" s="112"/>
      <c r="B3125" s="21" t="s">
        <v>7901</v>
      </c>
      <c r="C3125" s="21" t="s">
        <v>7902</v>
      </c>
      <c r="D3125" s="21" t="s">
        <v>2505</v>
      </c>
      <c r="E3125" s="50" t="b">
        <v>1</v>
      </c>
      <c r="F3125" s="72" t="str">
        <f>HYPERLINK("http://nsgreg.nga.mil/genc/view?v=294314&amp;end_month=6&amp;end_day=30&amp;end_year=2019","Vasilevo")</f>
        <v>Vasilevo</v>
      </c>
      <c r="G3125" s="72" t="str">
        <f>HYPERLINK("http://api.nsgreg.nga.mil/geo-division/GENC/6/3-11/MK-11","as:GENC:6:3-11:MK-11")</f>
        <v>as:GENC:6:3-11:MK-11</v>
      </c>
    </row>
    <row r="3126" spans="1:7" x14ac:dyDescent="0.25">
      <c r="A3126" s="112"/>
      <c r="B3126" s="21" t="s">
        <v>7903</v>
      </c>
      <c r="C3126" s="21" t="s">
        <v>7904</v>
      </c>
      <c r="D3126" s="21" t="s">
        <v>2505</v>
      </c>
      <c r="E3126" s="50" t="b">
        <v>1</v>
      </c>
      <c r="F3126" s="72" t="str">
        <f>HYPERLINK("http://nsgreg.nga.mil/genc/view?v=294316&amp;end_month=6&amp;end_day=30&amp;end_year=2019","Veles")</f>
        <v>Veles</v>
      </c>
      <c r="G3126" s="72" t="str">
        <f>HYPERLINK("http://api.nsgreg.nga.mil/geo-division/GENC/6/3-11/MK-13","as:GENC:6:3-11:MK-13")</f>
        <v>as:GENC:6:3-11:MK-13</v>
      </c>
    </row>
    <row r="3127" spans="1:7" x14ac:dyDescent="0.25">
      <c r="A3127" s="112"/>
      <c r="B3127" s="21" t="s">
        <v>7905</v>
      </c>
      <c r="C3127" s="21" t="s">
        <v>7906</v>
      </c>
      <c r="D3127" s="21" t="s">
        <v>2505</v>
      </c>
      <c r="E3127" s="50" t="b">
        <v>1</v>
      </c>
      <c r="F3127" s="72" t="str">
        <f>HYPERLINK("http://nsgreg.nga.mil/genc/view?v=294315&amp;end_month=6&amp;end_day=30&amp;end_year=2019","Vevčani")</f>
        <v>Vevčani</v>
      </c>
      <c r="G3127" s="72" t="str">
        <f>HYPERLINK("http://api.nsgreg.nga.mil/geo-division/GENC/6/3-11/MK-12","as:GENC:6:3-11:MK-12")</f>
        <v>as:GENC:6:3-11:MK-12</v>
      </c>
    </row>
    <row r="3128" spans="1:7" x14ac:dyDescent="0.25">
      <c r="A3128" s="112"/>
      <c r="B3128" s="21" t="s">
        <v>7907</v>
      </c>
      <c r="C3128" s="21" t="s">
        <v>7908</v>
      </c>
      <c r="D3128" s="21" t="s">
        <v>2505</v>
      </c>
      <c r="E3128" s="50" t="b">
        <v>1</v>
      </c>
      <c r="F3128" s="72" t="str">
        <f>HYPERLINK("http://nsgreg.nga.mil/genc/view?v=294317&amp;end_month=6&amp;end_day=30&amp;end_year=2019","Vinica")</f>
        <v>Vinica</v>
      </c>
      <c r="G3128" s="72" t="str">
        <f>HYPERLINK("http://api.nsgreg.nga.mil/geo-division/GENC/6/3-11/MK-14","as:GENC:6:3-11:MK-14")</f>
        <v>as:GENC:6:3-11:MK-14</v>
      </c>
    </row>
    <row r="3129" spans="1:7" x14ac:dyDescent="0.25">
      <c r="A3129" s="112"/>
      <c r="B3129" s="21" t="s">
        <v>7909</v>
      </c>
      <c r="C3129" s="21" t="s">
        <v>7910</v>
      </c>
      <c r="D3129" s="21" t="s">
        <v>2505</v>
      </c>
      <c r="E3129" s="50" t="b">
        <v>1</v>
      </c>
      <c r="F3129" s="72" t="str">
        <f>HYPERLINK("http://nsgreg.nga.mil/genc/view?v=294318&amp;end_month=6&amp;end_day=30&amp;end_year=2019","Vrapčište")</f>
        <v>Vrapčište</v>
      </c>
      <c r="G3129" s="72" t="str">
        <f>HYPERLINK("http://api.nsgreg.nga.mil/geo-division/GENC/6/3-11/MK-16","as:GENC:6:3-11:MK-16")</f>
        <v>as:GENC:6:3-11:MK-16</v>
      </c>
    </row>
    <row r="3130" spans="1:7" x14ac:dyDescent="0.25">
      <c r="A3130" s="112"/>
      <c r="B3130" s="21" t="s">
        <v>7911</v>
      </c>
      <c r="C3130" s="21" t="s">
        <v>7912</v>
      </c>
      <c r="D3130" s="21" t="s">
        <v>2505</v>
      </c>
      <c r="E3130" s="50" t="b">
        <v>1</v>
      </c>
      <c r="F3130" s="72" t="str">
        <f>HYPERLINK("http://nsgreg.nga.mil/genc/view?v=294330&amp;end_month=6&amp;end_day=30&amp;end_year=2019","Zelenikovo")</f>
        <v>Zelenikovo</v>
      </c>
      <c r="G3130" s="72" t="str">
        <f>HYPERLINK("http://api.nsgreg.nga.mil/geo-division/GENC/6/3-11/MK-32","as:GENC:6:3-11:MK-32")</f>
        <v>as:GENC:6:3-11:MK-32</v>
      </c>
    </row>
    <row r="3131" spans="1:7" x14ac:dyDescent="0.25">
      <c r="A3131" s="112"/>
      <c r="B3131" s="21" t="s">
        <v>7913</v>
      </c>
      <c r="C3131" s="21" t="s">
        <v>7914</v>
      </c>
      <c r="D3131" s="21" t="s">
        <v>2505</v>
      </c>
      <c r="E3131" s="50" t="b">
        <v>1</v>
      </c>
      <c r="F3131" s="72" t="str">
        <f>HYPERLINK("http://nsgreg.nga.mil/genc/view?v=294329&amp;end_month=6&amp;end_day=30&amp;end_year=2019","Želino")</f>
        <v>Želino</v>
      </c>
      <c r="G3131" s="72" t="str">
        <f>HYPERLINK("http://api.nsgreg.nga.mil/geo-division/GENC/6/3-11/MK-30","as:GENC:6:3-11:MK-30")</f>
        <v>as:GENC:6:3-11:MK-30</v>
      </c>
    </row>
    <row r="3132" spans="1:7" x14ac:dyDescent="0.25">
      <c r="A3132" s="113"/>
      <c r="B3132" s="47" t="s">
        <v>7915</v>
      </c>
      <c r="C3132" s="47" t="s">
        <v>7916</v>
      </c>
      <c r="D3132" s="47" t="s">
        <v>2505</v>
      </c>
      <c r="E3132" s="51" t="b">
        <v>1</v>
      </c>
      <c r="F3132" s="73" t="str">
        <f>HYPERLINK("http://nsgreg.nga.mil/genc/view?v=294331&amp;end_month=6&amp;end_day=30&amp;end_year=2019","Zrnovci")</f>
        <v>Zrnovci</v>
      </c>
      <c r="G3132" s="73" t="str">
        <f>HYPERLINK("http://api.nsgreg.nga.mil/geo-division/GENC/6/3-11/MK-33","as:GENC:6:3-11:MK-33")</f>
        <v>as:GENC:6:3-11:MK-33</v>
      </c>
    </row>
    <row r="3133" spans="1:7" x14ac:dyDescent="0.25">
      <c r="A3133" s="111" t="str">
        <f>HYPERLINK("[#]Codes_for_GE_Names!A195:I195","NORWAY")</f>
        <v>NORWAY</v>
      </c>
      <c r="B3133" s="42" t="s">
        <v>7917</v>
      </c>
      <c r="C3133" s="42" t="s">
        <v>7918</v>
      </c>
      <c r="D3133" s="42" t="s">
        <v>1737</v>
      </c>
      <c r="E3133" s="49" t="b">
        <v>1</v>
      </c>
      <c r="F3133" s="74" t="str">
        <f>HYPERLINK("http://nsgreg.nga.mil/genc/view?v=294735&amp;end_month=6&amp;end_day=30&amp;end_year=2019","Akershus")</f>
        <v>Akershus</v>
      </c>
      <c r="G3133" s="74" t="str">
        <f>HYPERLINK("http://api.nsgreg.nga.mil/geo-division/GENC/6/3-11/NO-02","as:GENC:6:3-11:NO-02")</f>
        <v>as:GENC:6:3-11:NO-02</v>
      </c>
    </row>
    <row r="3134" spans="1:7" x14ac:dyDescent="0.25">
      <c r="A3134" s="112"/>
      <c r="B3134" s="21" t="s">
        <v>7919</v>
      </c>
      <c r="C3134" s="21" t="s">
        <v>7920</v>
      </c>
      <c r="D3134" s="21" t="s">
        <v>1737</v>
      </c>
      <c r="E3134" s="50" t="b">
        <v>1</v>
      </c>
      <c r="F3134" s="72" t="str">
        <f>HYPERLINK("http://nsgreg.nga.mil/genc/view?v=294742&amp;end_month=6&amp;end_day=30&amp;end_year=2019","Aust-Agder")</f>
        <v>Aust-Agder</v>
      </c>
      <c r="G3134" s="72" t="str">
        <f>HYPERLINK("http://api.nsgreg.nga.mil/geo-division/GENC/6/3-11/NO-09","as:GENC:6:3-11:NO-09")</f>
        <v>as:GENC:6:3-11:NO-09</v>
      </c>
    </row>
    <row r="3135" spans="1:7" x14ac:dyDescent="0.25">
      <c r="A3135" s="112"/>
      <c r="B3135" s="21" t="s">
        <v>7921</v>
      </c>
      <c r="C3135" s="21" t="s">
        <v>7922</v>
      </c>
      <c r="D3135" s="21" t="s">
        <v>1737</v>
      </c>
      <c r="E3135" s="50" t="b">
        <v>1</v>
      </c>
      <c r="F3135" s="72" t="str">
        <f>HYPERLINK("http://nsgreg.nga.mil/genc/view?v=294739&amp;end_month=6&amp;end_day=30&amp;end_year=2019","Buskerud")</f>
        <v>Buskerud</v>
      </c>
      <c r="G3135" s="72" t="str">
        <f>HYPERLINK("http://api.nsgreg.nga.mil/geo-division/GENC/6/3-11/NO-06","as:GENC:6:3-11:NO-06")</f>
        <v>as:GENC:6:3-11:NO-06</v>
      </c>
    </row>
    <row r="3136" spans="1:7" x14ac:dyDescent="0.25">
      <c r="A3136" s="112"/>
      <c r="B3136" s="21" t="s">
        <v>7923</v>
      </c>
      <c r="C3136" s="21" t="s">
        <v>7924</v>
      </c>
      <c r="D3136" s="21" t="s">
        <v>1737</v>
      </c>
      <c r="E3136" s="50" t="b">
        <v>1</v>
      </c>
      <c r="F3136" s="72" t="str">
        <f>HYPERLINK("http://nsgreg.nga.mil/genc/view?v=294750&amp;end_month=6&amp;end_day=30&amp;end_year=2019","Finnmark")</f>
        <v>Finnmark</v>
      </c>
      <c r="G3136" s="72" t="str">
        <f>HYPERLINK("http://api.nsgreg.nga.mil/geo-division/GENC/6/3-11/NO-20","as:GENC:6:3-11:NO-20")</f>
        <v>as:GENC:6:3-11:NO-20</v>
      </c>
    </row>
    <row r="3137" spans="1:7" x14ac:dyDescent="0.25">
      <c r="A3137" s="112"/>
      <c r="B3137" s="21" t="s">
        <v>7925</v>
      </c>
      <c r="C3137" s="21" t="s">
        <v>7926</v>
      </c>
      <c r="D3137" s="21" t="s">
        <v>1737</v>
      </c>
      <c r="E3137" s="50" t="b">
        <v>1</v>
      </c>
      <c r="F3137" s="72" t="str">
        <f>HYPERLINK("http://nsgreg.nga.mil/genc/view?v=294737&amp;end_month=6&amp;end_day=30&amp;end_year=2019","Hedmark")</f>
        <v>Hedmark</v>
      </c>
      <c r="G3137" s="72" t="str">
        <f>HYPERLINK("http://api.nsgreg.nga.mil/geo-division/GENC/6/3-11/NO-04","as:GENC:6:3-11:NO-04")</f>
        <v>as:GENC:6:3-11:NO-04</v>
      </c>
    </row>
    <row r="3138" spans="1:7" x14ac:dyDescent="0.25">
      <c r="A3138" s="112"/>
      <c r="B3138" s="21" t="s">
        <v>7927</v>
      </c>
      <c r="C3138" s="21" t="s">
        <v>7928</v>
      </c>
      <c r="D3138" s="21" t="s">
        <v>1737</v>
      </c>
      <c r="E3138" s="50" t="b">
        <v>1</v>
      </c>
      <c r="F3138" s="72" t="str">
        <f>HYPERLINK("http://nsgreg.nga.mil/genc/view?v=294745&amp;end_month=6&amp;end_day=30&amp;end_year=2019","Hordaland")</f>
        <v>Hordaland</v>
      </c>
      <c r="G3138" s="72" t="str">
        <f>HYPERLINK("http://api.nsgreg.nga.mil/geo-division/GENC/6/3-11/NO-12","as:GENC:6:3-11:NO-12")</f>
        <v>as:GENC:6:3-11:NO-12</v>
      </c>
    </row>
    <row r="3139" spans="1:7" x14ac:dyDescent="0.25">
      <c r="A3139" s="112"/>
      <c r="B3139" s="21" t="s">
        <v>7929</v>
      </c>
      <c r="C3139" s="21" t="s">
        <v>7930</v>
      </c>
      <c r="D3139" s="21" t="s">
        <v>1737</v>
      </c>
      <c r="E3139" s="50" t="b">
        <v>1</v>
      </c>
      <c r="F3139" s="72" t="str">
        <f>HYPERLINK("http://nsgreg.nga.mil/genc/view?v=294747&amp;end_month=6&amp;end_day=30&amp;end_year=2019","Møre og Romsdal")</f>
        <v>Møre og Romsdal</v>
      </c>
      <c r="G3139" s="72" t="str">
        <f>HYPERLINK("http://api.nsgreg.nga.mil/geo-division/GENC/6/3-11/NO-15","as:GENC:6:3-11:NO-15")</f>
        <v>as:GENC:6:3-11:NO-15</v>
      </c>
    </row>
    <row r="3140" spans="1:7" x14ac:dyDescent="0.25">
      <c r="A3140" s="112"/>
      <c r="B3140" s="21" t="s">
        <v>7931</v>
      </c>
      <c r="C3140" s="21" t="s">
        <v>7932</v>
      </c>
      <c r="D3140" s="21" t="s">
        <v>1737</v>
      </c>
      <c r="E3140" s="50" t="b">
        <v>1</v>
      </c>
      <c r="F3140" s="72" t="str">
        <f>HYPERLINK("http://nsgreg.nga.mil/genc/view?v=294748&amp;end_month=6&amp;end_day=30&amp;end_year=2019","Nordland")</f>
        <v>Nordland</v>
      </c>
      <c r="G3140" s="72" t="str">
        <f>HYPERLINK("http://api.nsgreg.nga.mil/geo-division/GENC/6/3-11/NO-18","as:GENC:6:3-11:NO-18")</f>
        <v>as:GENC:6:3-11:NO-18</v>
      </c>
    </row>
    <row r="3141" spans="1:7" x14ac:dyDescent="0.25">
      <c r="A3141" s="112"/>
      <c r="B3141" s="21" t="s">
        <v>7933</v>
      </c>
      <c r="C3141" s="21" t="s">
        <v>7934</v>
      </c>
      <c r="D3141" s="21" t="s">
        <v>1737</v>
      </c>
      <c r="E3141" s="50" t="b">
        <v>1</v>
      </c>
      <c r="F3141" s="72" t="str">
        <f>HYPERLINK("http://nsgreg.nga.mil/genc/view?v=294738&amp;end_month=6&amp;end_day=30&amp;end_year=2019","Oppland")</f>
        <v>Oppland</v>
      </c>
      <c r="G3141" s="72" t="str">
        <f>HYPERLINK("http://api.nsgreg.nga.mil/geo-division/GENC/6/3-11/NO-05","as:GENC:6:3-11:NO-05")</f>
        <v>as:GENC:6:3-11:NO-05</v>
      </c>
    </row>
    <row r="3142" spans="1:7" x14ac:dyDescent="0.25">
      <c r="A3142" s="112"/>
      <c r="B3142" s="21" t="s">
        <v>7935</v>
      </c>
      <c r="C3142" s="21" t="s">
        <v>7936</v>
      </c>
      <c r="D3142" s="21" t="s">
        <v>1737</v>
      </c>
      <c r="E3142" s="50" t="b">
        <v>1</v>
      </c>
      <c r="F3142" s="72" t="str">
        <f>HYPERLINK("http://nsgreg.nga.mil/genc/view?v=294736&amp;end_month=6&amp;end_day=30&amp;end_year=2019","Oslo")</f>
        <v>Oslo</v>
      </c>
      <c r="G3142" s="72" t="str">
        <f>HYPERLINK("http://api.nsgreg.nga.mil/geo-division/GENC/6/3-11/NO-03","as:GENC:6:3-11:NO-03")</f>
        <v>as:GENC:6:3-11:NO-03</v>
      </c>
    </row>
    <row r="3143" spans="1:7" x14ac:dyDescent="0.25">
      <c r="A3143" s="112"/>
      <c r="B3143" s="21" t="s">
        <v>7937</v>
      </c>
      <c r="C3143" s="21" t="s">
        <v>7938</v>
      </c>
      <c r="D3143" s="21" t="s">
        <v>1737</v>
      </c>
      <c r="E3143" s="50" t="b">
        <v>1</v>
      </c>
      <c r="F3143" s="72" t="str">
        <f>HYPERLINK("http://nsgreg.nga.mil/genc/view?v=294734&amp;end_month=6&amp;end_day=30&amp;end_year=2019","Østfold")</f>
        <v>Østfold</v>
      </c>
      <c r="G3143" s="72" t="str">
        <f>HYPERLINK("http://api.nsgreg.nga.mil/geo-division/GENC/6/3-11/NO-01","as:GENC:6:3-11:NO-01")</f>
        <v>as:GENC:6:3-11:NO-01</v>
      </c>
    </row>
    <row r="3144" spans="1:7" x14ac:dyDescent="0.25">
      <c r="A3144" s="112"/>
      <c r="B3144" s="21" t="s">
        <v>7939</v>
      </c>
      <c r="C3144" s="21" t="s">
        <v>7940</v>
      </c>
      <c r="D3144" s="21" t="s">
        <v>1737</v>
      </c>
      <c r="E3144" s="50" t="b">
        <v>1</v>
      </c>
      <c r="F3144" s="72" t="str">
        <f>HYPERLINK("http://nsgreg.nga.mil/genc/view?v=294744&amp;end_month=6&amp;end_day=30&amp;end_year=2019","Rogaland")</f>
        <v>Rogaland</v>
      </c>
      <c r="G3144" s="72" t="str">
        <f>HYPERLINK("http://api.nsgreg.nga.mil/geo-division/GENC/6/3-11/NO-11","as:GENC:6:3-11:NO-11")</f>
        <v>as:GENC:6:3-11:NO-11</v>
      </c>
    </row>
    <row r="3145" spans="1:7" x14ac:dyDescent="0.25">
      <c r="A3145" s="112"/>
      <c r="B3145" s="21" t="s">
        <v>7941</v>
      </c>
      <c r="C3145" s="21" t="s">
        <v>7942</v>
      </c>
      <c r="D3145" s="21" t="s">
        <v>1737</v>
      </c>
      <c r="E3145" s="50" t="b">
        <v>1</v>
      </c>
      <c r="F3145" s="72" t="str">
        <f>HYPERLINK("http://nsgreg.nga.mil/genc/view?v=294746&amp;end_month=6&amp;end_day=30&amp;end_year=2019","Sogn og Fjordane")</f>
        <v>Sogn og Fjordane</v>
      </c>
      <c r="G3145" s="72" t="str">
        <f>HYPERLINK("http://api.nsgreg.nga.mil/geo-division/GENC/6/3-11/NO-14","as:GENC:6:3-11:NO-14")</f>
        <v>as:GENC:6:3-11:NO-14</v>
      </c>
    </row>
    <row r="3146" spans="1:7" x14ac:dyDescent="0.25">
      <c r="A3146" s="112"/>
      <c r="B3146" s="21" t="s">
        <v>7943</v>
      </c>
      <c r="C3146" s="21" t="s">
        <v>7944</v>
      </c>
      <c r="D3146" s="21" t="s">
        <v>1737</v>
      </c>
      <c r="E3146" s="50" t="b">
        <v>1</v>
      </c>
      <c r="F3146" s="72" t="str">
        <f>HYPERLINK("http://nsgreg.nga.mil/genc/view?v=294741&amp;end_month=6&amp;end_day=30&amp;end_year=2019","Telemark")</f>
        <v>Telemark</v>
      </c>
      <c r="G3146" s="72" t="str">
        <f>HYPERLINK("http://api.nsgreg.nga.mil/geo-division/GENC/6/3-11/NO-08","as:GENC:6:3-11:NO-08")</f>
        <v>as:GENC:6:3-11:NO-08</v>
      </c>
    </row>
    <row r="3147" spans="1:7" x14ac:dyDescent="0.25">
      <c r="A3147" s="112"/>
      <c r="B3147" s="21" t="s">
        <v>7945</v>
      </c>
      <c r="C3147" s="21" t="s">
        <v>7946</v>
      </c>
      <c r="D3147" s="21" t="s">
        <v>1737</v>
      </c>
      <c r="E3147" s="50" t="b">
        <v>1</v>
      </c>
      <c r="F3147" s="72" t="str">
        <f>HYPERLINK("http://nsgreg.nga.mil/genc/view?v=294749&amp;end_month=6&amp;end_day=30&amp;end_year=2019","Troms")</f>
        <v>Troms</v>
      </c>
      <c r="G3147" s="72" t="str">
        <f>HYPERLINK("http://api.nsgreg.nga.mil/geo-division/GENC/6/3-11/NO-19","as:GENC:6:3-11:NO-19")</f>
        <v>as:GENC:6:3-11:NO-19</v>
      </c>
    </row>
    <row r="3148" spans="1:7" x14ac:dyDescent="0.25">
      <c r="A3148" s="112"/>
      <c r="B3148" s="21" t="s">
        <v>7947</v>
      </c>
      <c r="C3148" s="21" t="s">
        <v>7948</v>
      </c>
      <c r="D3148" s="21" t="s">
        <v>1737</v>
      </c>
      <c r="E3148" s="50" t="b">
        <v>1</v>
      </c>
      <c r="F3148" s="72" t="str">
        <f>HYPERLINK("http://nsgreg.nga.mil/genc/view?v=294753&amp;end_month=6&amp;end_day=30&amp;end_year=2019","Trøndelag")</f>
        <v>Trøndelag</v>
      </c>
      <c r="G3148" s="72" t="str">
        <f>HYPERLINK("http://api.nsgreg.nga.mil/geo-division/GENC/6/3-11/NO-50","as:GENC:6:3-11:NO-50")</f>
        <v>as:GENC:6:3-11:NO-50</v>
      </c>
    </row>
    <row r="3149" spans="1:7" x14ac:dyDescent="0.25">
      <c r="A3149" s="112"/>
      <c r="B3149" s="21" t="s">
        <v>7949</v>
      </c>
      <c r="C3149" s="21" t="s">
        <v>7950</v>
      </c>
      <c r="D3149" s="21" t="s">
        <v>1737</v>
      </c>
      <c r="E3149" s="50" t="b">
        <v>1</v>
      </c>
      <c r="F3149" s="72" t="str">
        <f>HYPERLINK("http://nsgreg.nga.mil/genc/view?v=294743&amp;end_month=6&amp;end_day=30&amp;end_year=2019","Vest-Agder")</f>
        <v>Vest-Agder</v>
      </c>
      <c r="G3149" s="72" t="str">
        <f>HYPERLINK("http://api.nsgreg.nga.mil/geo-division/GENC/6/3-11/NO-10","as:GENC:6:3-11:NO-10")</f>
        <v>as:GENC:6:3-11:NO-10</v>
      </c>
    </row>
    <row r="3150" spans="1:7" x14ac:dyDescent="0.25">
      <c r="A3150" s="113"/>
      <c r="B3150" s="47" t="s">
        <v>7951</v>
      </c>
      <c r="C3150" s="47" t="s">
        <v>7952</v>
      </c>
      <c r="D3150" s="47" t="s">
        <v>1737</v>
      </c>
      <c r="E3150" s="51" t="b">
        <v>1</v>
      </c>
      <c r="F3150" s="73" t="str">
        <f>HYPERLINK("http://nsgreg.nga.mil/genc/view?v=294740&amp;end_month=6&amp;end_day=30&amp;end_year=2019","Vestfold")</f>
        <v>Vestfold</v>
      </c>
      <c r="G3150" s="73" t="str">
        <f>HYPERLINK("http://api.nsgreg.nga.mil/geo-division/GENC/6/3-11/NO-07","as:GENC:6:3-11:NO-07")</f>
        <v>as:GENC:6:3-11:NO-07</v>
      </c>
    </row>
    <row r="3151" spans="1:7" x14ac:dyDescent="0.25">
      <c r="A3151" s="111" t="str">
        <f>HYPERLINK("[#]Codes_for_GE_Names!A196:I196","OMAN")</f>
        <v>OMAN</v>
      </c>
      <c r="B3151" s="42" t="s">
        <v>7953</v>
      </c>
      <c r="C3151" s="42" t="s">
        <v>7954</v>
      </c>
      <c r="D3151" s="42" t="s">
        <v>2255</v>
      </c>
      <c r="E3151" s="49" t="b">
        <v>1</v>
      </c>
      <c r="F3151" s="74" t="str">
        <f>HYPERLINK("http://nsgreg.nga.mil/genc/view?v=294814&amp;end_month=6&amp;end_day=30&amp;end_year=2019","Ad Dākhilīyah")</f>
        <v>Ad Dākhilīyah</v>
      </c>
      <c r="G3151" s="74" t="str">
        <f>HYPERLINK("http://api.nsgreg.nga.mil/geo-division/GENC/6/3-11/OM-DA","as:GENC:6:3-11:OM-DA")</f>
        <v>as:GENC:6:3-11:OM-DA</v>
      </c>
    </row>
    <row r="3152" spans="1:7" x14ac:dyDescent="0.25">
      <c r="A3152" s="112"/>
      <c r="B3152" s="21" t="s">
        <v>7955</v>
      </c>
      <c r="C3152" s="21" t="s">
        <v>7956</v>
      </c>
      <c r="D3152" s="21" t="s">
        <v>2255</v>
      </c>
      <c r="E3152" s="50" t="b">
        <v>1</v>
      </c>
      <c r="F3152" s="72" t="str">
        <f>HYPERLINK("http://nsgreg.nga.mil/genc/view?v=294813&amp;end_month=6&amp;end_day=30&amp;end_year=2019","Al Buraymī")</f>
        <v>Al Buraymī</v>
      </c>
      <c r="G3152" s="72" t="str">
        <f>HYPERLINK("http://api.nsgreg.nga.mil/geo-division/GENC/6/3-11/OM-BU","as:GENC:6:3-11:OM-BU")</f>
        <v>as:GENC:6:3-11:OM-BU</v>
      </c>
    </row>
    <row r="3153" spans="1:7" x14ac:dyDescent="0.25">
      <c r="A3153" s="112"/>
      <c r="B3153" s="21" t="s">
        <v>7957</v>
      </c>
      <c r="C3153" s="21" t="s">
        <v>7958</v>
      </c>
      <c r="D3153" s="21" t="s">
        <v>2255</v>
      </c>
      <c r="E3153" s="50" t="b">
        <v>1</v>
      </c>
      <c r="F3153" s="72" t="str">
        <f>HYPERLINK("http://nsgreg.nga.mil/genc/view?v=294819&amp;end_month=6&amp;end_day=30&amp;end_year=2019","Al Wusţá")</f>
        <v>Al Wusţá</v>
      </c>
      <c r="G3153" s="72" t="str">
        <f>HYPERLINK("http://api.nsgreg.nga.mil/geo-division/GENC/6/3-11/OM-WU","as:GENC:6:3-11:OM-WU")</f>
        <v>as:GENC:6:3-11:OM-WU</v>
      </c>
    </row>
    <row r="3154" spans="1:7" x14ac:dyDescent="0.25">
      <c r="A3154" s="112"/>
      <c r="B3154" s="21" t="s">
        <v>7959</v>
      </c>
      <c r="C3154" s="21" t="s">
        <v>7960</v>
      </c>
      <c r="D3154" s="21" t="s">
        <v>2255</v>
      </c>
      <c r="E3154" s="50" t="b">
        <v>1</v>
      </c>
      <c r="F3154" s="72" t="str">
        <f>HYPERLINK("http://nsgreg.nga.mil/genc/view?v=294820&amp;end_month=6&amp;end_day=30&amp;end_year=2019","Az̧ Z̧āhirah")</f>
        <v>Az̧ Z̧āhirah</v>
      </c>
      <c r="G3154" s="72" t="str">
        <f>HYPERLINK("http://api.nsgreg.nga.mil/geo-division/GENC/6/3-11/OM-ZA","as:GENC:6:3-11:OM-ZA")</f>
        <v>as:GENC:6:3-11:OM-ZA</v>
      </c>
    </row>
    <row r="3155" spans="1:7" x14ac:dyDescent="0.25">
      <c r="A3155" s="112"/>
      <c r="B3155" s="21" t="s">
        <v>7961</v>
      </c>
      <c r="C3155" s="21" t="s">
        <v>7962</v>
      </c>
      <c r="D3155" s="21" t="s">
        <v>2255</v>
      </c>
      <c r="E3155" s="50" t="b">
        <v>1</v>
      </c>
      <c r="F3155" s="72" t="str">
        <f>HYPERLINK("http://nsgreg.nga.mil/genc/view?v=294811&amp;end_month=6&amp;end_day=30&amp;end_year=2019","Janūb al Bāţinah")</f>
        <v>Janūb al Bāţinah</v>
      </c>
      <c r="G3155" s="72" t="str">
        <f>HYPERLINK("http://api.nsgreg.nga.mil/geo-division/GENC/6/3-11/OM-BJ","as:GENC:6:3-11:OM-BJ")</f>
        <v>as:GENC:6:3-11:OM-BJ</v>
      </c>
    </row>
    <row r="3156" spans="1:7" x14ac:dyDescent="0.25">
      <c r="A3156" s="112"/>
      <c r="B3156" s="21" t="s">
        <v>7963</v>
      </c>
      <c r="C3156" s="21" t="s">
        <v>7964</v>
      </c>
      <c r="D3156" s="21" t="s">
        <v>2255</v>
      </c>
      <c r="E3156" s="50" t="b">
        <v>1</v>
      </c>
      <c r="F3156" s="72" t="str">
        <f>HYPERLINK("http://nsgreg.nga.mil/genc/view?v=294817&amp;end_month=6&amp;end_day=30&amp;end_year=2019","Janūb ash Sharqīyah")</f>
        <v>Janūb ash Sharqīyah</v>
      </c>
      <c r="G3156" s="72" t="str">
        <f>HYPERLINK("http://api.nsgreg.nga.mil/geo-division/GENC/6/3-11/OM-SJ","as:GENC:6:3-11:OM-SJ")</f>
        <v>as:GENC:6:3-11:OM-SJ</v>
      </c>
    </row>
    <row r="3157" spans="1:7" x14ac:dyDescent="0.25">
      <c r="A3157" s="112"/>
      <c r="B3157" s="21" t="s">
        <v>7965</v>
      </c>
      <c r="C3157" s="21" t="s">
        <v>7966</v>
      </c>
      <c r="D3157" s="21" t="s">
        <v>2255</v>
      </c>
      <c r="E3157" s="50" t="b">
        <v>1</v>
      </c>
      <c r="F3157" s="72" t="str">
        <f>HYPERLINK("http://nsgreg.nga.mil/genc/view?v=294815&amp;end_month=6&amp;end_day=30&amp;end_year=2019","Masqaţ")</f>
        <v>Masqaţ</v>
      </c>
      <c r="G3157" s="72" t="str">
        <f>HYPERLINK("http://api.nsgreg.nga.mil/geo-division/GENC/6/3-11/OM-MA","as:GENC:6:3-11:OM-MA")</f>
        <v>as:GENC:6:3-11:OM-MA</v>
      </c>
    </row>
    <row r="3158" spans="1:7" x14ac:dyDescent="0.25">
      <c r="A3158" s="112"/>
      <c r="B3158" s="21" t="s">
        <v>7967</v>
      </c>
      <c r="C3158" s="21" t="s">
        <v>7968</v>
      </c>
      <c r="D3158" s="21" t="s">
        <v>2255</v>
      </c>
      <c r="E3158" s="50" t="b">
        <v>1</v>
      </c>
      <c r="F3158" s="72" t="str">
        <f>HYPERLINK("http://nsgreg.nga.mil/genc/view?v=294816&amp;end_month=6&amp;end_day=30&amp;end_year=2019","Musandam")</f>
        <v>Musandam</v>
      </c>
      <c r="G3158" s="72" t="str">
        <f>HYPERLINK("http://api.nsgreg.nga.mil/geo-division/GENC/6/3-11/OM-MU","as:GENC:6:3-11:OM-MU")</f>
        <v>as:GENC:6:3-11:OM-MU</v>
      </c>
    </row>
    <row r="3159" spans="1:7" x14ac:dyDescent="0.25">
      <c r="A3159" s="112"/>
      <c r="B3159" s="21" t="s">
        <v>7969</v>
      </c>
      <c r="C3159" s="21" t="s">
        <v>7970</v>
      </c>
      <c r="D3159" s="21" t="s">
        <v>2255</v>
      </c>
      <c r="E3159" s="50" t="b">
        <v>1</v>
      </c>
      <c r="F3159" s="72" t="str">
        <f>HYPERLINK("http://nsgreg.nga.mil/genc/view?v=294812&amp;end_month=6&amp;end_day=30&amp;end_year=2019","Shamāl al Bāţinah")</f>
        <v>Shamāl al Bāţinah</v>
      </c>
      <c r="G3159" s="72" t="str">
        <f>HYPERLINK("http://api.nsgreg.nga.mil/geo-division/GENC/6/3-11/OM-BS","as:GENC:6:3-11:OM-BS")</f>
        <v>as:GENC:6:3-11:OM-BS</v>
      </c>
    </row>
    <row r="3160" spans="1:7" x14ac:dyDescent="0.25">
      <c r="A3160" s="112"/>
      <c r="B3160" s="21" t="s">
        <v>7971</v>
      </c>
      <c r="C3160" s="21" t="s">
        <v>7972</v>
      </c>
      <c r="D3160" s="21" t="s">
        <v>2255</v>
      </c>
      <c r="E3160" s="50" t="b">
        <v>1</v>
      </c>
      <c r="F3160" s="72" t="str">
        <f>HYPERLINK("http://nsgreg.nga.mil/genc/view?v=294818&amp;end_month=6&amp;end_day=30&amp;end_year=2019","Shamāl ash Sharqīyah")</f>
        <v>Shamāl ash Sharqīyah</v>
      </c>
      <c r="G3160" s="72" t="str">
        <f>HYPERLINK("http://api.nsgreg.nga.mil/geo-division/GENC/6/3-11/OM-SS","as:GENC:6:3-11:OM-SS")</f>
        <v>as:GENC:6:3-11:OM-SS</v>
      </c>
    </row>
    <row r="3161" spans="1:7" x14ac:dyDescent="0.25">
      <c r="A3161" s="113"/>
      <c r="B3161" s="47" t="s">
        <v>7973</v>
      </c>
      <c r="C3161" s="47" t="s">
        <v>7974</v>
      </c>
      <c r="D3161" s="47" t="s">
        <v>2255</v>
      </c>
      <c r="E3161" s="51" t="b">
        <v>1</v>
      </c>
      <c r="F3161" s="73" t="str">
        <f>HYPERLINK("http://nsgreg.nga.mil/genc/view?v=294821&amp;end_month=6&amp;end_day=30&amp;end_year=2019","Z̧ufār")</f>
        <v>Z̧ufār</v>
      </c>
      <c r="G3161" s="73" t="str">
        <f>HYPERLINK("http://api.nsgreg.nga.mil/geo-division/GENC/6/3-11/OM-ZU","as:GENC:6:3-11:OM-ZU")</f>
        <v>as:GENC:6:3-11:OM-ZU</v>
      </c>
    </row>
    <row r="3162" spans="1:7" x14ac:dyDescent="0.25">
      <c r="A3162" s="111" t="str">
        <f>HYPERLINK("[#]Codes_for_GE_Names!A197:I197","PAKISTAN")</f>
        <v>PAKISTAN</v>
      </c>
      <c r="B3162" s="42" t="s">
        <v>7975</v>
      </c>
      <c r="C3162" s="42" t="s">
        <v>7976</v>
      </c>
      <c r="D3162" s="42" t="s">
        <v>7977</v>
      </c>
      <c r="E3162" s="49" t="b">
        <v>1</v>
      </c>
      <c r="F3162" s="74" t="str">
        <f>HYPERLINK("http://nsgreg.nga.mil/genc/view?v=295027&amp;end_month=6&amp;end_day=30&amp;end_year=2019","Azad Kashmir")</f>
        <v>Azad Kashmir</v>
      </c>
      <c r="G3162" s="74" t="str">
        <f>HYPERLINK("http://api.nsgreg.nga.mil/geo-division/GENC/6/3-11/PK-JK","as:GENC:6:3-11:PK-JK")</f>
        <v>as:GENC:6:3-11:PK-JK</v>
      </c>
    </row>
    <row r="3163" spans="1:7" x14ac:dyDescent="0.25">
      <c r="A3163" s="112"/>
      <c r="B3163" s="21" t="s">
        <v>7978</v>
      </c>
      <c r="C3163" s="21" t="s">
        <v>7979</v>
      </c>
      <c r="D3163" s="21" t="s">
        <v>1668</v>
      </c>
      <c r="E3163" s="50" t="b">
        <v>1</v>
      </c>
      <c r="F3163" s="72" t="str">
        <f>HYPERLINK("http://nsgreg.nga.mil/genc/view?v=295024&amp;end_month=6&amp;end_day=30&amp;end_year=2019","Balochistan")</f>
        <v>Balochistan</v>
      </c>
      <c r="G3163" s="72" t="str">
        <f>HYPERLINK("http://api.nsgreg.nga.mil/geo-division/GENC/6/3-11/PK-BA","as:GENC:6:3-11:PK-BA")</f>
        <v>as:GENC:6:3-11:PK-BA</v>
      </c>
    </row>
    <row r="3164" spans="1:7" x14ac:dyDescent="0.25">
      <c r="A3164" s="112"/>
      <c r="B3164" s="21" t="s">
        <v>7980</v>
      </c>
      <c r="C3164" s="21" t="s">
        <v>7981</v>
      </c>
      <c r="D3164" s="21" t="s">
        <v>7977</v>
      </c>
      <c r="E3164" s="50" t="b">
        <v>1</v>
      </c>
      <c r="F3164" s="72" t="str">
        <f>HYPERLINK("http://nsgreg.nga.mil/genc/view?v=295025&amp;end_month=6&amp;end_day=30&amp;end_year=2019","Gilgit-Baltistan")</f>
        <v>Gilgit-Baltistan</v>
      </c>
      <c r="G3164" s="72" t="str">
        <f>HYPERLINK("http://api.nsgreg.nga.mil/geo-division/GENC/6/3-11/PK-GB","as:GENC:6:3-11:PK-GB")</f>
        <v>as:GENC:6:3-11:PK-GB</v>
      </c>
    </row>
    <row r="3165" spans="1:7" x14ac:dyDescent="0.25">
      <c r="A3165" s="112"/>
      <c r="B3165" s="21" t="s">
        <v>7982</v>
      </c>
      <c r="C3165" s="21" t="s">
        <v>7983</v>
      </c>
      <c r="D3165" s="21" t="s">
        <v>7732</v>
      </c>
      <c r="E3165" s="50" t="b">
        <v>1</v>
      </c>
      <c r="F3165" s="72" t="str">
        <f>HYPERLINK("http://nsgreg.nga.mil/genc/view?v=295026&amp;end_month=6&amp;end_day=30&amp;end_year=2019","Islamabad")</f>
        <v>Islamabad</v>
      </c>
      <c r="G3165" s="72" t="str">
        <f>HYPERLINK("http://api.nsgreg.nga.mil/geo-division/GENC/6/3-11/PK-IS","as:GENC:6:3-11:PK-IS")</f>
        <v>as:GENC:6:3-11:PK-IS</v>
      </c>
    </row>
    <row r="3166" spans="1:7" x14ac:dyDescent="0.25">
      <c r="A3166" s="112"/>
      <c r="B3166" s="21" t="s">
        <v>7984</v>
      </c>
      <c r="C3166" s="21" t="s">
        <v>7985</v>
      </c>
      <c r="D3166" s="21" t="s">
        <v>1668</v>
      </c>
      <c r="E3166" s="50" t="b">
        <v>1</v>
      </c>
      <c r="F3166" s="72" t="str">
        <f>HYPERLINK("http://nsgreg.nga.mil/genc/view?v=295028&amp;end_month=6&amp;end_day=30&amp;end_year=2019","Khyber Pakhtunkhwa")</f>
        <v>Khyber Pakhtunkhwa</v>
      </c>
      <c r="G3166" s="72" t="str">
        <f>HYPERLINK("http://api.nsgreg.nga.mil/geo-division/GENC/6/3-11/PK-KP","as:GENC:6:3-11:PK-KP")</f>
        <v>as:GENC:6:3-11:PK-KP</v>
      </c>
    </row>
    <row r="3167" spans="1:7" x14ac:dyDescent="0.25">
      <c r="A3167" s="112"/>
      <c r="B3167" s="21" t="s">
        <v>7986</v>
      </c>
      <c r="C3167" s="21" t="s">
        <v>5080</v>
      </c>
      <c r="D3167" s="21" t="s">
        <v>1668</v>
      </c>
      <c r="E3167" s="50" t="b">
        <v>1</v>
      </c>
      <c r="F3167" s="72" t="str">
        <f>HYPERLINK("http://nsgreg.nga.mil/genc/view?v=295029&amp;end_month=6&amp;end_day=30&amp;end_year=2019","Punjab")</f>
        <v>Punjab</v>
      </c>
      <c r="G3167" s="72" t="str">
        <f>HYPERLINK("http://api.nsgreg.nga.mil/geo-division/GENC/6/3-11/PK-PB","as:GENC:6:3-11:PK-PB")</f>
        <v>as:GENC:6:3-11:PK-PB</v>
      </c>
    </row>
    <row r="3168" spans="1:7" x14ac:dyDescent="0.25">
      <c r="A3168" s="113"/>
      <c r="B3168" s="47" t="s">
        <v>7987</v>
      </c>
      <c r="C3168" s="47" t="s">
        <v>7988</v>
      </c>
      <c r="D3168" s="47" t="s">
        <v>1668</v>
      </c>
      <c r="E3168" s="51" t="b">
        <v>1</v>
      </c>
      <c r="F3168" s="73" t="str">
        <f>HYPERLINK("http://nsgreg.nga.mil/genc/view?v=295030&amp;end_month=6&amp;end_day=30&amp;end_year=2019","Sindh")</f>
        <v>Sindh</v>
      </c>
      <c r="G3168" s="73" t="str">
        <f>HYPERLINK("http://api.nsgreg.nga.mil/geo-division/GENC/6/3-11/PK-SD","as:GENC:6:3-11:PK-SD")</f>
        <v>as:GENC:6:3-11:PK-SD</v>
      </c>
    </row>
    <row r="3169" spans="1:7" x14ac:dyDescent="0.25">
      <c r="A3169" s="111" t="str">
        <f>HYPERLINK("[#]Codes_for_GE_Names!A198:I198","PALAU")</f>
        <v>PALAU</v>
      </c>
      <c r="B3169" s="42" t="s">
        <v>7989</v>
      </c>
      <c r="C3169" s="42" t="s">
        <v>7990</v>
      </c>
      <c r="D3169" s="42" t="s">
        <v>2002</v>
      </c>
      <c r="E3169" s="49" t="b">
        <v>1</v>
      </c>
      <c r="F3169" s="74" t="str">
        <f>HYPERLINK("http://nsgreg.nga.mil/genc/view?v=295084&amp;end_month=6&amp;end_day=30&amp;end_year=2019","Aimeliik")</f>
        <v>Aimeliik</v>
      </c>
      <c r="G3169" s="74" t="str">
        <f>HYPERLINK("http://api.nsgreg.nga.mil/geo-division/GENC/6/3-11/PW-002","as:GENC:6:3-11:PW-002")</f>
        <v>as:GENC:6:3-11:PW-002</v>
      </c>
    </row>
    <row r="3170" spans="1:7" x14ac:dyDescent="0.25">
      <c r="A3170" s="112"/>
      <c r="B3170" s="21" t="s">
        <v>7991</v>
      </c>
      <c r="C3170" s="21" t="s">
        <v>7992</v>
      </c>
      <c r="D3170" s="21" t="s">
        <v>2002</v>
      </c>
      <c r="E3170" s="50" t="b">
        <v>1</v>
      </c>
      <c r="F3170" s="72" t="str">
        <f>HYPERLINK("http://nsgreg.nga.mil/genc/view?v=295085&amp;end_month=6&amp;end_day=30&amp;end_year=2019","Airai")</f>
        <v>Airai</v>
      </c>
      <c r="G3170" s="72" t="str">
        <f>HYPERLINK("http://api.nsgreg.nga.mil/geo-division/GENC/6/3-11/PW-004","as:GENC:6:3-11:PW-004")</f>
        <v>as:GENC:6:3-11:PW-004</v>
      </c>
    </row>
    <row r="3171" spans="1:7" x14ac:dyDescent="0.25">
      <c r="A3171" s="112"/>
      <c r="B3171" s="21" t="s">
        <v>7993</v>
      </c>
      <c r="C3171" s="21" t="s">
        <v>7994</v>
      </c>
      <c r="D3171" s="21" t="s">
        <v>2002</v>
      </c>
      <c r="E3171" s="50" t="b">
        <v>1</v>
      </c>
      <c r="F3171" s="72" t="str">
        <f>HYPERLINK("http://nsgreg.nga.mil/genc/view?v=295086&amp;end_month=6&amp;end_day=30&amp;end_year=2019","Angaur")</f>
        <v>Angaur</v>
      </c>
      <c r="G3171" s="72" t="str">
        <f>HYPERLINK("http://api.nsgreg.nga.mil/geo-division/GENC/6/3-11/PW-010","as:GENC:6:3-11:PW-010")</f>
        <v>as:GENC:6:3-11:PW-010</v>
      </c>
    </row>
    <row r="3172" spans="1:7" x14ac:dyDescent="0.25">
      <c r="A3172" s="112"/>
      <c r="B3172" s="21" t="s">
        <v>7995</v>
      </c>
      <c r="C3172" s="21" t="s">
        <v>7996</v>
      </c>
      <c r="D3172" s="21" t="s">
        <v>2002</v>
      </c>
      <c r="E3172" s="50" t="b">
        <v>1</v>
      </c>
      <c r="F3172" s="72" t="str">
        <f>HYPERLINK("http://nsgreg.nga.mil/genc/view?v=295087&amp;end_month=6&amp;end_day=30&amp;end_year=2019","Hatohobei")</f>
        <v>Hatohobei</v>
      </c>
      <c r="G3172" s="72" t="str">
        <f>HYPERLINK("http://api.nsgreg.nga.mil/geo-division/GENC/6/3-11/PW-050","as:GENC:6:3-11:PW-050")</f>
        <v>as:GENC:6:3-11:PW-050</v>
      </c>
    </row>
    <row r="3173" spans="1:7" x14ac:dyDescent="0.25">
      <c r="A3173" s="112"/>
      <c r="B3173" s="21" t="s">
        <v>7997</v>
      </c>
      <c r="C3173" s="21" t="s">
        <v>7998</v>
      </c>
      <c r="D3173" s="21" t="s">
        <v>2002</v>
      </c>
      <c r="E3173" s="50" t="b">
        <v>1</v>
      </c>
      <c r="F3173" s="72" t="str">
        <f>HYPERLINK("http://nsgreg.nga.mil/genc/view?v=295088&amp;end_month=6&amp;end_day=30&amp;end_year=2019","Kayangel")</f>
        <v>Kayangel</v>
      </c>
      <c r="G3173" s="72" t="str">
        <f>HYPERLINK("http://api.nsgreg.nga.mil/geo-division/GENC/6/3-11/PW-100","as:GENC:6:3-11:PW-100")</f>
        <v>as:GENC:6:3-11:PW-100</v>
      </c>
    </row>
    <row r="3174" spans="1:7" x14ac:dyDescent="0.25">
      <c r="A3174" s="112"/>
      <c r="B3174" s="21" t="s">
        <v>7999</v>
      </c>
      <c r="C3174" s="21" t="s">
        <v>8000</v>
      </c>
      <c r="D3174" s="21" t="s">
        <v>2002</v>
      </c>
      <c r="E3174" s="50" t="b">
        <v>1</v>
      </c>
      <c r="F3174" s="72" t="str">
        <f>HYPERLINK("http://nsgreg.nga.mil/genc/view?v=295089&amp;end_month=6&amp;end_day=30&amp;end_year=2019","Koror")</f>
        <v>Koror</v>
      </c>
      <c r="G3174" s="72" t="str">
        <f>HYPERLINK("http://api.nsgreg.nga.mil/geo-division/GENC/6/3-11/PW-150","as:GENC:6:3-11:PW-150")</f>
        <v>as:GENC:6:3-11:PW-150</v>
      </c>
    </row>
    <row r="3175" spans="1:7" x14ac:dyDescent="0.25">
      <c r="A3175" s="112"/>
      <c r="B3175" s="21" t="s">
        <v>8001</v>
      </c>
      <c r="C3175" s="21" t="s">
        <v>8002</v>
      </c>
      <c r="D3175" s="21" t="s">
        <v>2002</v>
      </c>
      <c r="E3175" s="50" t="b">
        <v>1</v>
      </c>
      <c r="F3175" s="72" t="str">
        <f>HYPERLINK("http://nsgreg.nga.mil/genc/view?v=295090&amp;end_month=6&amp;end_day=30&amp;end_year=2019","Melekeok")</f>
        <v>Melekeok</v>
      </c>
      <c r="G3175" s="72" t="str">
        <f>HYPERLINK("http://api.nsgreg.nga.mil/geo-division/GENC/6/3-11/PW-212","as:GENC:6:3-11:PW-212")</f>
        <v>as:GENC:6:3-11:PW-212</v>
      </c>
    </row>
    <row r="3176" spans="1:7" x14ac:dyDescent="0.25">
      <c r="A3176" s="112"/>
      <c r="B3176" s="21" t="s">
        <v>8003</v>
      </c>
      <c r="C3176" s="21" t="s">
        <v>8004</v>
      </c>
      <c r="D3176" s="21" t="s">
        <v>2002</v>
      </c>
      <c r="E3176" s="50" t="b">
        <v>1</v>
      </c>
      <c r="F3176" s="72" t="str">
        <f>HYPERLINK("http://nsgreg.nga.mil/genc/view?v=295091&amp;end_month=6&amp;end_day=30&amp;end_year=2019","Ngaraard")</f>
        <v>Ngaraard</v>
      </c>
      <c r="G3176" s="72" t="str">
        <f>HYPERLINK("http://api.nsgreg.nga.mil/geo-division/GENC/6/3-11/PW-214","as:GENC:6:3-11:PW-214")</f>
        <v>as:GENC:6:3-11:PW-214</v>
      </c>
    </row>
    <row r="3177" spans="1:7" x14ac:dyDescent="0.25">
      <c r="A3177" s="112"/>
      <c r="B3177" s="21" t="s">
        <v>8005</v>
      </c>
      <c r="C3177" s="21" t="s">
        <v>8006</v>
      </c>
      <c r="D3177" s="21" t="s">
        <v>2002</v>
      </c>
      <c r="E3177" s="50" t="b">
        <v>1</v>
      </c>
      <c r="F3177" s="72" t="str">
        <f>HYPERLINK("http://nsgreg.nga.mil/genc/view?v=295092&amp;end_month=6&amp;end_day=30&amp;end_year=2019","Ngarchelong")</f>
        <v>Ngarchelong</v>
      </c>
      <c r="G3177" s="72" t="str">
        <f>HYPERLINK("http://api.nsgreg.nga.mil/geo-division/GENC/6/3-11/PW-218","as:GENC:6:3-11:PW-218")</f>
        <v>as:GENC:6:3-11:PW-218</v>
      </c>
    </row>
    <row r="3178" spans="1:7" x14ac:dyDescent="0.25">
      <c r="A3178" s="112"/>
      <c r="B3178" s="21" t="s">
        <v>8007</v>
      </c>
      <c r="C3178" s="21" t="s">
        <v>8008</v>
      </c>
      <c r="D3178" s="21" t="s">
        <v>2002</v>
      </c>
      <c r="E3178" s="50" t="b">
        <v>1</v>
      </c>
      <c r="F3178" s="72" t="str">
        <f>HYPERLINK("http://nsgreg.nga.mil/genc/view?v=295093&amp;end_month=6&amp;end_day=30&amp;end_year=2019","Ngardmau")</f>
        <v>Ngardmau</v>
      </c>
      <c r="G3178" s="72" t="str">
        <f>HYPERLINK("http://api.nsgreg.nga.mil/geo-division/GENC/6/3-11/PW-222","as:GENC:6:3-11:PW-222")</f>
        <v>as:GENC:6:3-11:PW-222</v>
      </c>
    </row>
    <row r="3179" spans="1:7" x14ac:dyDescent="0.25">
      <c r="A3179" s="112"/>
      <c r="B3179" s="21" t="s">
        <v>8009</v>
      </c>
      <c r="C3179" s="21" t="s">
        <v>8010</v>
      </c>
      <c r="D3179" s="21" t="s">
        <v>2002</v>
      </c>
      <c r="E3179" s="50" t="b">
        <v>1</v>
      </c>
      <c r="F3179" s="72" t="str">
        <f>HYPERLINK("http://nsgreg.nga.mil/genc/view?v=295094&amp;end_month=6&amp;end_day=30&amp;end_year=2019","Ngatpang")</f>
        <v>Ngatpang</v>
      </c>
      <c r="G3179" s="72" t="str">
        <f>HYPERLINK("http://api.nsgreg.nga.mil/geo-division/GENC/6/3-11/PW-224","as:GENC:6:3-11:PW-224")</f>
        <v>as:GENC:6:3-11:PW-224</v>
      </c>
    </row>
    <row r="3180" spans="1:7" x14ac:dyDescent="0.25">
      <c r="A3180" s="112"/>
      <c r="B3180" s="21" t="s">
        <v>8011</v>
      </c>
      <c r="C3180" s="21" t="s">
        <v>8012</v>
      </c>
      <c r="D3180" s="21" t="s">
        <v>2002</v>
      </c>
      <c r="E3180" s="50" t="b">
        <v>1</v>
      </c>
      <c r="F3180" s="72" t="str">
        <f>HYPERLINK("http://nsgreg.nga.mil/genc/view?v=295095&amp;end_month=6&amp;end_day=30&amp;end_year=2019","Ngchesar")</f>
        <v>Ngchesar</v>
      </c>
      <c r="G3180" s="72" t="str">
        <f>HYPERLINK("http://api.nsgreg.nga.mil/geo-division/GENC/6/3-11/PW-226","as:GENC:6:3-11:PW-226")</f>
        <v>as:GENC:6:3-11:PW-226</v>
      </c>
    </row>
    <row r="3181" spans="1:7" x14ac:dyDescent="0.25">
      <c r="A3181" s="112"/>
      <c r="B3181" s="21" t="s">
        <v>8013</v>
      </c>
      <c r="C3181" s="21" t="s">
        <v>8014</v>
      </c>
      <c r="D3181" s="21" t="s">
        <v>2002</v>
      </c>
      <c r="E3181" s="50" t="b">
        <v>1</v>
      </c>
      <c r="F3181" s="72" t="str">
        <f>HYPERLINK("http://nsgreg.nga.mil/genc/view?v=295096&amp;end_month=6&amp;end_day=30&amp;end_year=2019","Ngeremlengui")</f>
        <v>Ngeremlengui</v>
      </c>
      <c r="G3181" s="72" t="str">
        <f>HYPERLINK("http://api.nsgreg.nga.mil/geo-division/GENC/6/3-11/PW-227","as:GENC:6:3-11:PW-227")</f>
        <v>as:GENC:6:3-11:PW-227</v>
      </c>
    </row>
    <row r="3182" spans="1:7" x14ac:dyDescent="0.25">
      <c r="A3182" s="112"/>
      <c r="B3182" s="21" t="s">
        <v>8015</v>
      </c>
      <c r="C3182" s="21" t="s">
        <v>8016</v>
      </c>
      <c r="D3182" s="21" t="s">
        <v>2002</v>
      </c>
      <c r="E3182" s="50" t="b">
        <v>1</v>
      </c>
      <c r="F3182" s="72" t="str">
        <f>HYPERLINK("http://nsgreg.nga.mil/genc/view?v=295097&amp;end_month=6&amp;end_day=30&amp;end_year=2019","Ngiwal")</f>
        <v>Ngiwal</v>
      </c>
      <c r="G3182" s="72" t="str">
        <f>HYPERLINK("http://api.nsgreg.nga.mil/geo-division/GENC/6/3-11/PW-228","as:GENC:6:3-11:PW-228")</f>
        <v>as:GENC:6:3-11:PW-228</v>
      </c>
    </row>
    <row r="3183" spans="1:7" x14ac:dyDescent="0.25">
      <c r="A3183" s="112"/>
      <c r="B3183" s="21" t="s">
        <v>8017</v>
      </c>
      <c r="C3183" s="21" t="s">
        <v>8018</v>
      </c>
      <c r="D3183" s="21" t="s">
        <v>2002</v>
      </c>
      <c r="E3183" s="50" t="b">
        <v>1</v>
      </c>
      <c r="F3183" s="72" t="str">
        <f>HYPERLINK("http://nsgreg.nga.mil/genc/view?v=295098&amp;end_month=6&amp;end_day=30&amp;end_year=2019","Peleliu")</f>
        <v>Peleliu</v>
      </c>
      <c r="G3183" s="72" t="str">
        <f>HYPERLINK("http://api.nsgreg.nga.mil/geo-division/GENC/6/3-11/PW-350","as:GENC:6:3-11:PW-350")</f>
        <v>as:GENC:6:3-11:PW-350</v>
      </c>
    </row>
    <row r="3184" spans="1:7" x14ac:dyDescent="0.25">
      <c r="A3184" s="113"/>
      <c r="B3184" s="47" t="s">
        <v>8019</v>
      </c>
      <c r="C3184" s="47" t="s">
        <v>8020</v>
      </c>
      <c r="D3184" s="47" t="s">
        <v>2002</v>
      </c>
      <c r="E3184" s="51" t="b">
        <v>1</v>
      </c>
      <c r="F3184" s="73" t="str">
        <f>HYPERLINK("http://nsgreg.nga.mil/genc/view?v=295099&amp;end_month=6&amp;end_day=30&amp;end_year=2019","Sonsorol")</f>
        <v>Sonsorol</v>
      </c>
      <c r="G3184" s="73" t="str">
        <f>HYPERLINK("http://api.nsgreg.nga.mil/geo-division/GENC/6/3-11/PW-370","as:GENC:6:3-11:PW-370")</f>
        <v>as:GENC:6:3-11:PW-370</v>
      </c>
    </row>
    <row r="3185" spans="1:7" x14ac:dyDescent="0.25">
      <c r="A3185" s="111" t="str">
        <f>HYPERLINK("[#]Codes_for_GE_Names!A200:I200","PANAMA")</f>
        <v>PANAMA</v>
      </c>
      <c r="B3185" s="42" t="s">
        <v>8021</v>
      </c>
      <c r="C3185" s="42" t="s">
        <v>8022</v>
      </c>
      <c r="D3185" s="42" t="s">
        <v>1668</v>
      </c>
      <c r="E3185" s="49" t="b">
        <v>1</v>
      </c>
      <c r="F3185" s="74" t="str">
        <f>HYPERLINK("http://nsgreg.nga.mil/genc/view?v=294822&amp;end_month=6&amp;end_day=30&amp;end_year=2019","Bocas del Toro")</f>
        <v>Bocas del Toro</v>
      </c>
      <c r="G3185" s="74" t="str">
        <f>HYPERLINK("http://api.nsgreg.nga.mil/geo-division/GENC/6/3-11/PA-1","as:GENC:6:3-11:PA-1")</f>
        <v>as:GENC:6:3-11:PA-1</v>
      </c>
    </row>
    <row r="3186" spans="1:7" x14ac:dyDescent="0.25">
      <c r="A3186" s="112"/>
      <c r="B3186" s="21" t="s">
        <v>8023</v>
      </c>
      <c r="C3186" s="21" t="s">
        <v>8024</v>
      </c>
      <c r="D3186" s="21" t="s">
        <v>1668</v>
      </c>
      <c r="E3186" s="50" t="b">
        <v>1</v>
      </c>
      <c r="F3186" s="72" t="str">
        <f>HYPERLINK("http://nsgreg.nga.mil/genc/view?v=294826&amp;end_month=6&amp;end_day=30&amp;end_year=2019","Chiriquí")</f>
        <v>Chiriquí</v>
      </c>
      <c r="G3186" s="72" t="str">
        <f>HYPERLINK("http://api.nsgreg.nga.mil/geo-division/GENC/6/3-11/PA-4","as:GENC:6:3-11:PA-4")</f>
        <v>as:GENC:6:3-11:PA-4</v>
      </c>
    </row>
    <row r="3187" spans="1:7" x14ac:dyDescent="0.25">
      <c r="A3187" s="112"/>
      <c r="B3187" s="21" t="s">
        <v>8025</v>
      </c>
      <c r="C3187" s="21" t="s">
        <v>8026</v>
      </c>
      <c r="D3187" s="21" t="s">
        <v>1668</v>
      </c>
      <c r="E3187" s="50" t="b">
        <v>1</v>
      </c>
      <c r="F3187" s="72" t="str">
        <f>HYPERLINK("http://nsgreg.nga.mil/genc/view?v=294824&amp;end_month=6&amp;end_day=30&amp;end_year=2019","Coclé")</f>
        <v>Coclé</v>
      </c>
      <c r="G3187" s="72" t="str">
        <f>HYPERLINK("http://api.nsgreg.nga.mil/geo-division/GENC/6/3-11/PA-2","as:GENC:6:3-11:PA-2")</f>
        <v>as:GENC:6:3-11:PA-2</v>
      </c>
    </row>
    <row r="3188" spans="1:7" x14ac:dyDescent="0.25">
      <c r="A3188" s="112"/>
      <c r="B3188" s="21" t="s">
        <v>8027</v>
      </c>
      <c r="C3188" s="21" t="s">
        <v>4760</v>
      </c>
      <c r="D3188" s="21" t="s">
        <v>1668</v>
      </c>
      <c r="E3188" s="50" t="b">
        <v>1</v>
      </c>
      <c r="F3188" s="72" t="str">
        <f>HYPERLINK("http://nsgreg.nga.mil/genc/view?v=294825&amp;end_month=6&amp;end_day=30&amp;end_year=2019","Colón")</f>
        <v>Colón</v>
      </c>
      <c r="G3188" s="72" t="str">
        <f>HYPERLINK("http://api.nsgreg.nga.mil/geo-division/GENC/6/3-11/PA-3","as:GENC:6:3-11:PA-3")</f>
        <v>as:GENC:6:3-11:PA-3</v>
      </c>
    </row>
    <row r="3189" spans="1:7" x14ac:dyDescent="0.25">
      <c r="A3189" s="112"/>
      <c r="B3189" s="21" t="s">
        <v>8028</v>
      </c>
      <c r="C3189" s="21" t="s">
        <v>8029</v>
      </c>
      <c r="D3189" s="21" t="s">
        <v>1668</v>
      </c>
      <c r="E3189" s="50" t="b">
        <v>1</v>
      </c>
      <c r="F3189" s="72" t="str">
        <f>HYPERLINK("http://nsgreg.nga.mil/genc/view?v=294827&amp;end_month=6&amp;end_day=30&amp;end_year=2019","Darién")</f>
        <v>Darién</v>
      </c>
      <c r="G3189" s="72" t="str">
        <f>HYPERLINK("http://api.nsgreg.nga.mil/geo-division/GENC/6/3-11/PA-5","as:GENC:6:3-11:PA-5")</f>
        <v>as:GENC:6:3-11:PA-5</v>
      </c>
    </row>
    <row r="3190" spans="1:7" x14ac:dyDescent="0.25">
      <c r="A3190" s="112"/>
      <c r="B3190" s="21" t="s">
        <v>8030</v>
      </c>
      <c r="C3190" s="21" t="s">
        <v>8031</v>
      </c>
      <c r="D3190" s="21" t="s">
        <v>8032</v>
      </c>
      <c r="E3190" s="50" t="b">
        <v>1</v>
      </c>
      <c r="F3190" s="72" t="str">
        <f>HYPERLINK("http://nsgreg.nga.mil/genc/view?v=294832&amp;end_month=6&amp;end_day=30&amp;end_year=2019","Emberá-Wounaan")</f>
        <v>Emberá-Wounaan</v>
      </c>
      <c r="G3190" s="72" t="str">
        <f>HYPERLINK("http://api.nsgreg.nga.mil/geo-division/GENC/6/3-11/PA-EM","as:GENC:6:3-11:PA-EM")</f>
        <v>as:GENC:6:3-11:PA-EM</v>
      </c>
    </row>
    <row r="3191" spans="1:7" x14ac:dyDescent="0.25">
      <c r="A3191" s="112"/>
      <c r="B3191" s="21" t="s">
        <v>8033</v>
      </c>
      <c r="C3191" s="21" t="s">
        <v>8034</v>
      </c>
      <c r="D3191" s="21" t="s">
        <v>8032</v>
      </c>
      <c r="E3191" s="50" t="b">
        <v>1</v>
      </c>
      <c r="F3191" s="72" t="str">
        <f>HYPERLINK("http://nsgreg.nga.mil/genc/view?v=294833&amp;end_month=6&amp;end_day=30&amp;end_year=2019","Guna Yala")</f>
        <v>Guna Yala</v>
      </c>
      <c r="G3191" s="72" t="str">
        <f>HYPERLINK("http://api.nsgreg.nga.mil/geo-division/GENC/6/3-11/PA-KY","as:GENC:6:3-11:PA-KY")</f>
        <v>as:GENC:6:3-11:PA-KY</v>
      </c>
    </row>
    <row r="3192" spans="1:7" x14ac:dyDescent="0.25">
      <c r="A3192" s="112"/>
      <c r="B3192" s="21" t="s">
        <v>8035</v>
      </c>
      <c r="C3192" s="21" t="s">
        <v>8036</v>
      </c>
      <c r="D3192" s="21" t="s">
        <v>1668</v>
      </c>
      <c r="E3192" s="50" t="b">
        <v>1</v>
      </c>
      <c r="F3192" s="72" t="str">
        <f>HYPERLINK("http://nsgreg.nga.mil/genc/view?v=294828&amp;end_month=6&amp;end_day=30&amp;end_year=2019","Herrera")</f>
        <v>Herrera</v>
      </c>
      <c r="G3192" s="72" t="str">
        <f>HYPERLINK("http://api.nsgreg.nga.mil/geo-division/GENC/6/3-11/PA-6","as:GENC:6:3-11:PA-6")</f>
        <v>as:GENC:6:3-11:PA-6</v>
      </c>
    </row>
    <row r="3193" spans="1:7" x14ac:dyDescent="0.25">
      <c r="A3193" s="112"/>
      <c r="B3193" s="21" t="s">
        <v>8037</v>
      </c>
      <c r="C3193" s="21" t="s">
        <v>8038</v>
      </c>
      <c r="D3193" s="21" t="s">
        <v>1668</v>
      </c>
      <c r="E3193" s="50" t="b">
        <v>1</v>
      </c>
      <c r="F3193" s="72" t="str">
        <f>HYPERLINK("http://nsgreg.nga.mil/genc/view?v=294829&amp;end_month=6&amp;end_day=30&amp;end_year=2019","Los Santos")</f>
        <v>Los Santos</v>
      </c>
      <c r="G3193" s="72" t="str">
        <f>HYPERLINK("http://api.nsgreg.nga.mil/geo-division/GENC/6/3-11/PA-7","as:GENC:6:3-11:PA-7")</f>
        <v>as:GENC:6:3-11:PA-7</v>
      </c>
    </row>
    <row r="3194" spans="1:7" x14ac:dyDescent="0.25">
      <c r="A3194" s="112"/>
      <c r="B3194" s="21" t="s">
        <v>8039</v>
      </c>
      <c r="C3194" s="21" t="s">
        <v>8040</v>
      </c>
      <c r="D3194" s="21" t="s">
        <v>8032</v>
      </c>
      <c r="E3194" s="50" t="b">
        <v>1</v>
      </c>
      <c r="F3194" s="72" t="str">
        <f>HYPERLINK("http://nsgreg.nga.mil/genc/view?v=294834&amp;end_month=6&amp;end_day=30&amp;end_year=2019","Ngöbe-Buglé")</f>
        <v>Ngöbe-Buglé</v>
      </c>
      <c r="G3194" s="72" t="str">
        <f>HYPERLINK("http://api.nsgreg.nga.mil/geo-division/GENC/6/3-11/PA-NB","as:GENC:6:3-11:PA-NB")</f>
        <v>as:GENC:6:3-11:PA-NB</v>
      </c>
    </row>
    <row r="3195" spans="1:7" x14ac:dyDescent="0.25">
      <c r="A3195" s="112"/>
      <c r="B3195" s="21" t="s">
        <v>8041</v>
      </c>
      <c r="C3195" s="21" t="s">
        <v>8042</v>
      </c>
      <c r="D3195" s="21" t="s">
        <v>1668</v>
      </c>
      <c r="E3195" s="50" t="b">
        <v>1</v>
      </c>
      <c r="F3195" s="72" t="str">
        <f>HYPERLINK("http://nsgreg.nga.mil/genc/view?v=294830&amp;end_month=6&amp;end_day=30&amp;end_year=2019","Panamá")</f>
        <v>Panamá</v>
      </c>
      <c r="G3195" s="72" t="str">
        <f>HYPERLINK("http://api.nsgreg.nga.mil/geo-division/GENC/6/3-11/PA-8","as:GENC:6:3-11:PA-8")</f>
        <v>as:GENC:6:3-11:PA-8</v>
      </c>
    </row>
    <row r="3196" spans="1:7" x14ac:dyDescent="0.25">
      <c r="A3196" s="112"/>
      <c r="B3196" s="21" t="s">
        <v>8043</v>
      </c>
      <c r="C3196" s="21" t="s">
        <v>8044</v>
      </c>
      <c r="D3196" s="21" t="s">
        <v>1668</v>
      </c>
      <c r="E3196" s="50" t="b">
        <v>1</v>
      </c>
      <c r="F3196" s="72" t="str">
        <f>HYPERLINK("http://nsgreg.nga.mil/genc/view?v=294823&amp;end_month=6&amp;end_day=30&amp;end_year=2019","Panamá Oeste")</f>
        <v>Panamá Oeste</v>
      </c>
      <c r="G3196" s="72" t="str">
        <f>HYPERLINK("http://api.nsgreg.nga.mil/geo-division/GENC/6/3-11/PA-10","as:GENC:6:3-11:PA-10")</f>
        <v>as:GENC:6:3-11:PA-10</v>
      </c>
    </row>
    <row r="3197" spans="1:7" x14ac:dyDescent="0.25">
      <c r="A3197" s="113"/>
      <c r="B3197" s="47" t="s">
        <v>8045</v>
      </c>
      <c r="C3197" s="47" t="s">
        <v>8046</v>
      </c>
      <c r="D3197" s="47" t="s">
        <v>1668</v>
      </c>
      <c r="E3197" s="51" t="b">
        <v>1</v>
      </c>
      <c r="F3197" s="73" t="str">
        <f>HYPERLINK("http://nsgreg.nga.mil/genc/view?v=294831&amp;end_month=6&amp;end_day=30&amp;end_year=2019","Veraguas")</f>
        <v>Veraguas</v>
      </c>
      <c r="G3197" s="73" t="str">
        <f>HYPERLINK("http://api.nsgreg.nga.mil/geo-division/GENC/6/3-11/PA-9","as:GENC:6:3-11:PA-9")</f>
        <v>as:GENC:6:3-11:PA-9</v>
      </c>
    </row>
    <row r="3198" spans="1:7" x14ac:dyDescent="0.25">
      <c r="A3198" s="111" t="str">
        <f>HYPERLINK("[#]Codes_for_GE_Names!A201:I201","PAPUA NEW GUINEA")</f>
        <v>PAPUA NEW GUINEA</v>
      </c>
      <c r="B3198" s="42" t="s">
        <v>8047</v>
      </c>
      <c r="C3198" s="42" t="s">
        <v>8048</v>
      </c>
      <c r="D3198" s="42" t="s">
        <v>3199</v>
      </c>
      <c r="E3198" s="49" t="b">
        <v>1</v>
      </c>
      <c r="F3198" s="74" t="str">
        <f>HYPERLINK("http://nsgreg.nga.mil/genc/view?v=294882&amp;end_month=6&amp;end_day=30&amp;end_year=2019","Bougainville")</f>
        <v>Bougainville</v>
      </c>
      <c r="G3198" s="74" t="str">
        <f>HYPERLINK("http://api.nsgreg.nga.mil/geo-division/GENC/6/3-11/PG-NSB","as:GENC:6:3-11:PG-NSB")</f>
        <v>as:GENC:6:3-11:PG-NSB</v>
      </c>
    </row>
    <row r="3199" spans="1:7" x14ac:dyDescent="0.25">
      <c r="A3199" s="112"/>
      <c r="B3199" s="21" t="s">
        <v>8049</v>
      </c>
      <c r="C3199" s="21" t="s">
        <v>2595</v>
      </c>
      <c r="D3199" s="21" t="s">
        <v>1668</v>
      </c>
      <c r="E3199" s="50" t="b">
        <v>1</v>
      </c>
      <c r="F3199" s="72" t="str">
        <f>HYPERLINK("http://nsgreg.nga.mil/genc/view?v=294867&amp;end_month=6&amp;end_day=30&amp;end_year=2019","Central")</f>
        <v>Central</v>
      </c>
      <c r="G3199" s="72" t="str">
        <f>HYPERLINK("http://api.nsgreg.nga.mil/geo-division/GENC/6/3-11/PG-CPM","as:GENC:6:3-11:PG-CPM")</f>
        <v>as:GENC:6:3-11:PG-CPM</v>
      </c>
    </row>
    <row r="3200" spans="1:7" x14ac:dyDescent="0.25">
      <c r="A3200" s="112"/>
      <c r="B3200" s="21" t="s">
        <v>8050</v>
      </c>
      <c r="C3200" s="21" t="s">
        <v>8051</v>
      </c>
      <c r="D3200" s="21" t="s">
        <v>1668</v>
      </c>
      <c r="E3200" s="50" t="b">
        <v>1</v>
      </c>
      <c r="F3200" s="72" t="str">
        <f>HYPERLINK("http://nsgreg.nga.mil/genc/view?v=294866&amp;end_month=6&amp;end_day=30&amp;end_year=2019","Chimbu")</f>
        <v>Chimbu</v>
      </c>
      <c r="G3200" s="72" t="str">
        <f>HYPERLINK("http://api.nsgreg.nga.mil/geo-division/GENC/6/3-11/PG-CPK","as:GENC:6:3-11:PG-CPK")</f>
        <v>as:GENC:6:3-11:PG-CPK</v>
      </c>
    </row>
    <row r="3201" spans="1:7" x14ac:dyDescent="0.25">
      <c r="A3201" s="112"/>
      <c r="B3201" s="21" t="s">
        <v>8052</v>
      </c>
      <c r="C3201" s="21" t="s">
        <v>8053</v>
      </c>
      <c r="D3201" s="21" t="s">
        <v>1668</v>
      </c>
      <c r="E3201" s="50" t="b">
        <v>1</v>
      </c>
      <c r="F3201" s="72" t="str">
        <f>HYPERLINK("http://nsgreg.nga.mil/genc/view?v=294869&amp;end_month=6&amp;end_day=30&amp;end_year=2019","Eastern Highlands")</f>
        <v>Eastern Highlands</v>
      </c>
      <c r="G3201" s="72" t="str">
        <f>HYPERLINK("http://api.nsgreg.nga.mil/geo-division/GENC/6/3-11/PG-EHG","as:GENC:6:3-11:PG-EHG")</f>
        <v>as:GENC:6:3-11:PG-EHG</v>
      </c>
    </row>
    <row r="3202" spans="1:7" x14ac:dyDescent="0.25">
      <c r="A3202" s="112"/>
      <c r="B3202" s="21" t="s">
        <v>8054</v>
      </c>
      <c r="C3202" s="21" t="s">
        <v>8055</v>
      </c>
      <c r="D3202" s="21" t="s">
        <v>1668</v>
      </c>
      <c r="E3202" s="50" t="b">
        <v>1</v>
      </c>
      <c r="F3202" s="72" t="str">
        <f>HYPERLINK("http://nsgreg.nga.mil/genc/view?v=294868&amp;end_month=6&amp;end_day=30&amp;end_year=2019","East New Britain")</f>
        <v>East New Britain</v>
      </c>
      <c r="G3202" s="72" t="str">
        <f>HYPERLINK("http://api.nsgreg.nga.mil/geo-division/GENC/6/3-11/PG-EBR","as:GENC:6:3-11:PG-EBR")</f>
        <v>as:GENC:6:3-11:PG-EBR</v>
      </c>
    </row>
    <row r="3203" spans="1:7" x14ac:dyDescent="0.25">
      <c r="A3203" s="112"/>
      <c r="B3203" s="21" t="s">
        <v>8056</v>
      </c>
      <c r="C3203" s="21" t="s">
        <v>8057</v>
      </c>
      <c r="D3203" s="21" t="s">
        <v>1668</v>
      </c>
      <c r="E3203" s="50" t="b">
        <v>1</v>
      </c>
      <c r="F3203" s="72" t="str">
        <f>HYPERLINK("http://nsgreg.nga.mil/genc/view?v=294871&amp;end_month=6&amp;end_day=30&amp;end_year=2019","East Sepik")</f>
        <v>East Sepik</v>
      </c>
      <c r="G3203" s="72" t="str">
        <f>HYPERLINK("http://api.nsgreg.nga.mil/geo-division/GENC/6/3-11/PG-ESW","as:GENC:6:3-11:PG-ESW")</f>
        <v>as:GENC:6:3-11:PG-ESW</v>
      </c>
    </row>
    <row r="3204" spans="1:7" x14ac:dyDescent="0.25">
      <c r="A3204" s="112"/>
      <c r="B3204" s="21" t="s">
        <v>8058</v>
      </c>
      <c r="C3204" s="21" t="s">
        <v>8059</v>
      </c>
      <c r="D3204" s="21" t="s">
        <v>1668</v>
      </c>
      <c r="E3204" s="50" t="b">
        <v>1</v>
      </c>
      <c r="F3204" s="72" t="str">
        <f>HYPERLINK("http://nsgreg.nga.mil/genc/view?v=294870&amp;end_month=6&amp;end_day=30&amp;end_year=2019","Enga")</f>
        <v>Enga</v>
      </c>
      <c r="G3204" s="72" t="str">
        <f>HYPERLINK("http://api.nsgreg.nga.mil/geo-division/GENC/6/3-11/PG-EPW","as:GENC:6:3-11:PG-EPW")</f>
        <v>as:GENC:6:3-11:PG-EPW</v>
      </c>
    </row>
    <row r="3205" spans="1:7" x14ac:dyDescent="0.25">
      <c r="A3205" s="112"/>
      <c r="B3205" s="21" t="s">
        <v>8060</v>
      </c>
      <c r="C3205" s="21" t="s">
        <v>8061</v>
      </c>
      <c r="D3205" s="21" t="s">
        <v>1668</v>
      </c>
      <c r="E3205" s="50" t="b">
        <v>1</v>
      </c>
      <c r="F3205" s="72" t="str">
        <f>HYPERLINK("http://nsgreg.nga.mil/genc/view?v=294872&amp;end_month=6&amp;end_day=30&amp;end_year=2019","Gulf")</f>
        <v>Gulf</v>
      </c>
      <c r="G3205" s="72" t="str">
        <f>HYPERLINK("http://api.nsgreg.nga.mil/geo-division/GENC/6/3-11/PG-GPK","as:GENC:6:3-11:PG-GPK")</f>
        <v>as:GENC:6:3-11:PG-GPK</v>
      </c>
    </row>
    <row r="3206" spans="1:7" x14ac:dyDescent="0.25">
      <c r="A3206" s="112"/>
      <c r="B3206" s="21" t="s">
        <v>8062</v>
      </c>
      <c r="C3206" s="21" t="s">
        <v>8063</v>
      </c>
      <c r="D3206" s="21" t="s">
        <v>1668</v>
      </c>
      <c r="E3206" s="50" t="b">
        <v>1</v>
      </c>
      <c r="F3206" s="72" t="str">
        <f>HYPERLINK("http://nsgreg.nga.mil/genc/view?v=294873&amp;end_month=6&amp;end_day=30&amp;end_year=2019","Hela")</f>
        <v>Hela</v>
      </c>
      <c r="G3206" s="72" t="str">
        <f>HYPERLINK("http://api.nsgreg.nga.mil/geo-division/GENC/6/3-11/PG-HLA","as:GENC:6:3-11:PG-HLA")</f>
        <v>as:GENC:6:3-11:PG-HLA</v>
      </c>
    </row>
    <row r="3207" spans="1:7" x14ac:dyDescent="0.25">
      <c r="A3207" s="112"/>
      <c r="B3207" s="21" t="s">
        <v>8064</v>
      </c>
      <c r="C3207" s="21" t="s">
        <v>8065</v>
      </c>
      <c r="D3207" s="21" t="s">
        <v>1668</v>
      </c>
      <c r="E3207" s="50" t="b">
        <v>1</v>
      </c>
      <c r="F3207" s="72" t="str">
        <f>HYPERLINK("http://nsgreg.nga.mil/genc/view?v=294874&amp;end_month=6&amp;end_day=30&amp;end_year=2019","Jiwaka")</f>
        <v>Jiwaka</v>
      </c>
      <c r="G3207" s="72" t="str">
        <f>HYPERLINK("http://api.nsgreg.nga.mil/geo-division/GENC/6/3-11/PG-JWK","as:GENC:6:3-11:PG-JWK")</f>
        <v>as:GENC:6:3-11:PG-JWK</v>
      </c>
    </row>
    <row r="3208" spans="1:7" x14ac:dyDescent="0.25">
      <c r="A3208" s="112"/>
      <c r="B3208" s="21" t="s">
        <v>8066</v>
      </c>
      <c r="C3208" s="21" t="s">
        <v>8067</v>
      </c>
      <c r="D3208" s="21" t="s">
        <v>1668</v>
      </c>
      <c r="E3208" s="50" t="b">
        <v>1</v>
      </c>
      <c r="F3208" s="72" t="str">
        <f>HYPERLINK("http://nsgreg.nga.mil/genc/view?v=294877&amp;end_month=6&amp;end_day=30&amp;end_year=2019","Madang")</f>
        <v>Madang</v>
      </c>
      <c r="G3208" s="72" t="str">
        <f>HYPERLINK("http://api.nsgreg.nga.mil/geo-division/GENC/6/3-11/PG-MPM","as:GENC:6:3-11:PG-MPM")</f>
        <v>as:GENC:6:3-11:PG-MPM</v>
      </c>
    </row>
    <row r="3209" spans="1:7" x14ac:dyDescent="0.25">
      <c r="A3209" s="112"/>
      <c r="B3209" s="21" t="s">
        <v>8068</v>
      </c>
      <c r="C3209" s="21" t="s">
        <v>8069</v>
      </c>
      <c r="D3209" s="21" t="s">
        <v>1668</v>
      </c>
      <c r="E3209" s="50" t="b">
        <v>1</v>
      </c>
      <c r="F3209" s="72" t="str">
        <f>HYPERLINK("http://nsgreg.nga.mil/genc/view?v=294878&amp;end_month=6&amp;end_day=30&amp;end_year=2019","Manus")</f>
        <v>Manus</v>
      </c>
      <c r="G3209" s="72" t="str">
        <f>HYPERLINK("http://api.nsgreg.nga.mil/geo-division/GENC/6/3-11/PG-MRL","as:GENC:6:3-11:PG-MRL")</f>
        <v>as:GENC:6:3-11:PG-MRL</v>
      </c>
    </row>
    <row r="3210" spans="1:7" x14ac:dyDescent="0.25">
      <c r="A3210" s="112"/>
      <c r="B3210" s="21" t="s">
        <v>8070</v>
      </c>
      <c r="C3210" s="21" t="s">
        <v>8071</v>
      </c>
      <c r="D3210" s="21" t="s">
        <v>1668</v>
      </c>
      <c r="E3210" s="50" t="b">
        <v>1</v>
      </c>
      <c r="F3210" s="72" t="str">
        <f>HYPERLINK("http://nsgreg.nga.mil/genc/view?v=294875&amp;end_month=6&amp;end_day=30&amp;end_year=2019","Milne Bay")</f>
        <v>Milne Bay</v>
      </c>
      <c r="G3210" s="72" t="str">
        <f>HYPERLINK("http://api.nsgreg.nga.mil/geo-division/GENC/6/3-11/PG-MBA","as:GENC:6:3-11:PG-MBA")</f>
        <v>as:GENC:6:3-11:PG-MBA</v>
      </c>
    </row>
    <row r="3211" spans="1:7" x14ac:dyDescent="0.25">
      <c r="A3211" s="112"/>
      <c r="B3211" s="21" t="s">
        <v>8072</v>
      </c>
      <c r="C3211" s="21" t="s">
        <v>8073</v>
      </c>
      <c r="D3211" s="21" t="s">
        <v>1668</v>
      </c>
      <c r="E3211" s="50" t="b">
        <v>1</v>
      </c>
      <c r="F3211" s="72" t="str">
        <f>HYPERLINK("http://nsgreg.nga.mil/genc/view?v=294876&amp;end_month=6&amp;end_day=30&amp;end_year=2019","Morobe")</f>
        <v>Morobe</v>
      </c>
      <c r="G3211" s="72" t="str">
        <f>HYPERLINK("http://api.nsgreg.nga.mil/geo-division/GENC/6/3-11/PG-MPL","as:GENC:6:3-11:PG-MPL")</f>
        <v>as:GENC:6:3-11:PG-MPL</v>
      </c>
    </row>
    <row r="3212" spans="1:7" x14ac:dyDescent="0.25">
      <c r="A3212" s="112"/>
      <c r="B3212" s="21" t="s">
        <v>8074</v>
      </c>
      <c r="C3212" s="21" t="s">
        <v>8075</v>
      </c>
      <c r="D3212" s="21" t="s">
        <v>2035</v>
      </c>
      <c r="E3212" s="50" t="b">
        <v>1</v>
      </c>
      <c r="F3212" s="72" t="str">
        <f>HYPERLINK("http://nsgreg.nga.mil/genc/view?v=294879&amp;end_month=6&amp;end_day=30&amp;end_year=2019","National Capital")</f>
        <v>National Capital</v>
      </c>
      <c r="G3212" s="72" t="str">
        <f>HYPERLINK("http://api.nsgreg.nga.mil/geo-division/GENC/6/3-11/PG-NCD","as:GENC:6:3-11:PG-NCD")</f>
        <v>as:GENC:6:3-11:PG-NCD</v>
      </c>
    </row>
    <row r="3213" spans="1:7" x14ac:dyDescent="0.25">
      <c r="A3213" s="112"/>
      <c r="B3213" s="21" t="s">
        <v>8076</v>
      </c>
      <c r="C3213" s="21" t="s">
        <v>8077</v>
      </c>
      <c r="D3213" s="21" t="s">
        <v>1668</v>
      </c>
      <c r="E3213" s="50" t="b">
        <v>1</v>
      </c>
      <c r="F3213" s="72" t="str">
        <f>HYPERLINK("http://nsgreg.nga.mil/genc/view?v=294880&amp;end_month=6&amp;end_day=30&amp;end_year=2019","New Ireland")</f>
        <v>New Ireland</v>
      </c>
      <c r="G3213" s="72" t="str">
        <f>HYPERLINK("http://api.nsgreg.nga.mil/geo-division/GENC/6/3-11/PG-NIK","as:GENC:6:3-11:PG-NIK")</f>
        <v>as:GENC:6:3-11:PG-NIK</v>
      </c>
    </row>
    <row r="3214" spans="1:7" x14ac:dyDescent="0.25">
      <c r="A3214" s="112"/>
      <c r="B3214" s="21" t="s">
        <v>8078</v>
      </c>
      <c r="C3214" s="21" t="s">
        <v>4121</v>
      </c>
      <c r="D3214" s="21" t="s">
        <v>1668</v>
      </c>
      <c r="E3214" s="50" t="b">
        <v>1</v>
      </c>
      <c r="F3214" s="72" t="str">
        <f>HYPERLINK("http://nsgreg.nga.mil/genc/view?v=294881&amp;end_month=6&amp;end_day=30&amp;end_year=2019","Northern")</f>
        <v>Northern</v>
      </c>
      <c r="G3214" s="72" t="str">
        <f>HYPERLINK("http://api.nsgreg.nga.mil/geo-division/GENC/6/3-11/PG-NPP","as:GENC:6:3-11:PG-NPP")</f>
        <v>as:GENC:6:3-11:PG-NPP</v>
      </c>
    </row>
    <row r="3215" spans="1:7" x14ac:dyDescent="0.25">
      <c r="A3215" s="112"/>
      <c r="B3215" s="21" t="s">
        <v>8079</v>
      </c>
      <c r="C3215" s="21" t="s">
        <v>8080</v>
      </c>
      <c r="D3215" s="21" t="s">
        <v>1668</v>
      </c>
      <c r="E3215" s="50" t="b">
        <v>1</v>
      </c>
      <c r="F3215" s="72" t="str">
        <f>HYPERLINK("http://nsgreg.nga.mil/genc/view?v=294884&amp;end_month=6&amp;end_day=30&amp;end_year=2019","Southern Highlands")</f>
        <v>Southern Highlands</v>
      </c>
      <c r="G3215" s="72" t="str">
        <f>HYPERLINK("http://api.nsgreg.nga.mil/geo-division/GENC/6/3-11/PG-SHM","as:GENC:6:3-11:PG-SHM")</f>
        <v>as:GENC:6:3-11:PG-SHM</v>
      </c>
    </row>
    <row r="3216" spans="1:7" x14ac:dyDescent="0.25">
      <c r="A3216" s="112"/>
      <c r="B3216" s="21" t="s">
        <v>8081</v>
      </c>
      <c r="C3216" s="21" t="s">
        <v>4131</v>
      </c>
      <c r="D3216" s="21" t="s">
        <v>1668</v>
      </c>
      <c r="E3216" s="50" t="b">
        <v>1</v>
      </c>
      <c r="F3216" s="72" t="str">
        <f>HYPERLINK("http://nsgreg.nga.mil/genc/view?v=294887&amp;end_month=6&amp;end_day=30&amp;end_year=2019","Western")</f>
        <v>Western</v>
      </c>
      <c r="G3216" s="72" t="str">
        <f>HYPERLINK("http://api.nsgreg.nga.mil/geo-division/GENC/6/3-11/PG-WPD","as:GENC:6:3-11:PG-WPD")</f>
        <v>as:GENC:6:3-11:PG-WPD</v>
      </c>
    </row>
    <row r="3217" spans="1:7" x14ac:dyDescent="0.25">
      <c r="A3217" s="112"/>
      <c r="B3217" s="21" t="s">
        <v>8082</v>
      </c>
      <c r="C3217" s="21" t="s">
        <v>8083</v>
      </c>
      <c r="D3217" s="21" t="s">
        <v>1668</v>
      </c>
      <c r="E3217" s="50" t="b">
        <v>1</v>
      </c>
      <c r="F3217" s="72" t="str">
        <f>HYPERLINK("http://nsgreg.nga.mil/genc/view?v=294886&amp;end_month=6&amp;end_day=30&amp;end_year=2019","Western Highlands")</f>
        <v>Western Highlands</v>
      </c>
      <c r="G3217" s="72" t="str">
        <f>HYPERLINK("http://api.nsgreg.nga.mil/geo-division/GENC/6/3-11/PG-WHM","as:GENC:6:3-11:PG-WHM")</f>
        <v>as:GENC:6:3-11:PG-WHM</v>
      </c>
    </row>
    <row r="3218" spans="1:7" x14ac:dyDescent="0.25">
      <c r="A3218" s="112"/>
      <c r="B3218" s="21" t="s">
        <v>8084</v>
      </c>
      <c r="C3218" s="21" t="s">
        <v>8085</v>
      </c>
      <c r="D3218" s="21" t="s">
        <v>1668</v>
      </c>
      <c r="E3218" s="50" t="b">
        <v>1</v>
      </c>
      <c r="F3218" s="72" t="str">
        <f>HYPERLINK("http://nsgreg.nga.mil/genc/view?v=294885&amp;end_month=6&amp;end_day=30&amp;end_year=2019","West New Britain")</f>
        <v>West New Britain</v>
      </c>
      <c r="G3218" s="72" t="str">
        <f>HYPERLINK("http://api.nsgreg.nga.mil/geo-division/GENC/6/3-11/PG-WBK","as:GENC:6:3-11:PG-WBK")</f>
        <v>as:GENC:6:3-11:PG-WBK</v>
      </c>
    </row>
    <row r="3219" spans="1:7" x14ac:dyDescent="0.25">
      <c r="A3219" s="113"/>
      <c r="B3219" s="47" t="s">
        <v>8086</v>
      </c>
      <c r="C3219" s="47" t="s">
        <v>8087</v>
      </c>
      <c r="D3219" s="47" t="s">
        <v>1668</v>
      </c>
      <c r="E3219" s="51" t="b">
        <v>1</v>
      </c>
      <c r="F3219" s="73" t="str">
        <f>HYPERLINK("http://nsgreg.nga.mil/genc/view?v=294883&amp;end_month=6&amp;end_day=30&amp;end_year=2019","West Sepik")</f>
        <v>West Sepik</v>
      </c>
      <c r="G3219" s="73" t="str">
        <f>HYPERLINK("http://api.nsgreg.nga.mil/geo-division/GENC/6/3-11/PG-SAN","as:GENC:6:3-11:PG-SAN")</f>
        <v>as:GENC:6:3-11:PG-SAN</v>
      </c>
    </row>
    <row r="3220" spans="1:7" x14ac:dyDescent="0.25">
      <c r="A3220" s="111" t="str">
        <f>HYPERLINK("[#]Codes_for_GE_Names!A203:I203","PARAGUAY")</f>
        <v>PARAGUAY</v>
      </c>
      <c r="B3220" s="42" t="s">
        <v>8088</v>
      </c>
      <c r="C3220" s="42" t="s">
        <v>8089</v>
      </c>
      <c r="D3220" s="42" t="s">
        <v>2478</v>
      </c>
      <c r="E3220" s="49" t="b">
        <v>1</v>
      </c>
      <c r="F3220" s="74" t="str">
        <f>HYPERLINK("http://nsgreg.nga.mil/genc/view?v=295107&amp;end_month=6&amp;end_day=30&amp;end_year=2019","Alto Paraguay")</f>
        <v>Alto Paraguay</v>
      </c>
      <c r="G3220" s="74" t="str">
        <f>HYPERLINK("http://api.nsgreg.nga.mil/geo-division/GENC/6/3-11/PY-16","as:GENC:6:3-11:PY-16")</f>
        <v>as:GENC:6:3-11:PY-16</v>
      </c>
    </row>
    <row r="3221" spans="1:7" x14ac:dyDescent="0.25">
      <c r="A3221" s="112"/>
      <c r="B3221" s="21" t="s">
        <v>8090</v>
      </c>
      <c r="C3221" s="21" t="s">
        <v>8091</v>
      </c>
      <c r="D3221" s="21" t="s">
        <v>2478</v>
      </c>
      <c r="E3221" s="50" t="b">
        <v>1</v>
      </c>
      <c r="F3221" s="72" t="str">
        <f>HYPERLINK("http://nsgreg.nga.mil/genc/view?v=295101&amp;end_month=6&amp;end_day=30&amp;end_year=2019","Alto Paraná")</f>
        <v>Alto Paraná</v>
      </c>
      <c r="G3221" s="72" t="str">
        <f>HYPERLINK("http://api.nsgreg.nga.mil/geo-division/GENC/6/3-11/PY-10","as:GENC:6:3-11:PY-10")</f>
        <v>as:GENC:6:3-11:PY-10</v>
      </c>
    </row>
    <row r="3222" spans="1:7" x14ac:dyDescent="0.25">
      <c r="A3222" s="112"/>
      <c r="B3222" s="21" t="s">
        <v>8092</v>
      </c>
      <c r="C3222" s="21" t="s">
        <v>8093</v>
      </c>
      <c r="D3222" s="21" t="s">
        <v>2478</v>
      </c>
      <c r="E3222" s="50" t="b">
        <v>1</v>
      </c>
      <c r="F3222" s="72" t="str">
        <f>HYPERLINK("http://nsgreg.nga.mil/genc/view?v=295104&amp;end_month=6&amp;end_day=30&amp;end_year=2019","Amambay")</f>
        <v>Amambay</v>
      </c>
      <c r="G3222" s="72" t="str">
        <f>HYPERLINK("http://api.nsgreg.nga.mil/geo-division/GENC/6/3-11/PY-13","as:GENC:6:3-11:PY-13")</f>
        <v>as:GENC:6:3-11:PY-13</v>
      </c>
    </row>
    <row r="3223" spans="1:7" x14ac:dyDescent="0.25">
      <c r="A3223" s="112"/>
      <c r="B3223" s="21" t="s">
        <v>8094</v>
      </c>
      <c r="C3223" s="21" t="s">
        <v>8095</v>
      </c>
      <c r="D3223" s="21" t="s">
        <v>3257</v>
      </c>
      <c r="E3223" s="50" t="b">
        <v>1</v>
      </c>
      <c r="F3223" s="72" t="str">
        <f>HYPERLINK("http://nsgreg.nga.mil/genc/view?v=295117&amp;end_month=6&amp;end_day=30&amp;end_year=2019","Asunción")</f>
        <v>Asunción</v>
      </c>
      <c r="G3223" s="72" t="str">
        <f>HYPERLINK("http://api.nsgreg.nga.mil/geo-division/GENC/6/3-11/PY-ASU","as:GENC:6:3-11:PY-ASU")</f>
        <v>as:GENC:6:3-11:PY-ASU</v>
      </c>
    </row>
    <row r="3224" spans="1:7" x14ac:dyDescent="0.25">
      <c r="A3224" s="112"/>
      <c r="B3224" s="21" t="s">
        <v>8096</v>
      </c>
      <c r="C3224" s="21" t="s">
        <v>8097</v>
      </c>
      <c r="D3224" s="21" t="s">
        <v>2478</v>
      </c>
      <c r="E3224" s="50" t="b">
        <v>1</v>
      </c>
      <c r="F3224" s="72" t="str">
        <f>HYPERLINK("http://nsgreg.nga.mil/genc/view?v=295108&amp;end_month=6&amp;end_day=30&amp;end_year=2019","Boquerón")</f>
        <v>Boquerón</v>
      </c>
      <c r="G3224" s="72" t="str">
        <f>HYPERLINK("http://api.nsgreg.nga.mil/geo-division/GENC/6/3-11/PY-19","as:GENC:6:3-11:PY-19")</f>
        <v>as:GENC:6:3-11:PY-19</v>
      </c>
    </row>
    <row r="3225" spans="1:7" x14ac:dyDescent="0.25">
      <c r="A3225" s="112"/>
      <c r="B3225" s="21" t="s">
        <v>8098</v>
      </c>
      <c r="C3225" s="21" t="s">
        <v>8099</v>
      </c>
      <c r="D3225" s="21" t="s">
        <v>2478</v>
      </c>
      <c r="E3225" s="50" t="b">
        <v>1</v>
      </c>
      <c r="F3225" s="72" t="str">
        <f>HYPERLINK("http://nsgreg.nga.mil/genc/view?v=295112&amp;end_month=6&amp;end_day=30&amp;end_year=2019","Caaguazú")</f>
        <v>Caaguazú</v>
      </c>
      <c r="G3225" s="72" t="str">
        <f>HYPERLINK("http://api.nsgreg.nga.mil/geo-division/GENC/6/3-11/PY-5","as:GENC:6:3-11:PY-5")</f>
        <v>as:GENC:6:3-11:PY-5</v>
      </c>
    </row>
    <row r="3226" spans="1:7" x14ac:dyDescent="0.25">
      <c r="A3226" s="112"/>
      <c r="B3226" s="21" t="s">
        <v>8100</v>
      </c>
      <c r="C3226" s="21" t="s">
        <v>8101</v>
      </c>
      <c r="D3226" s="21" t="s">
        <v>2478</v>
      </c>
      <c r="E3226" s="50" t="b">
        <v>1</v>
      </c>
      <c r="F3226" s="72" t="str">
        <f>HYPERLINK("http://nsgreg.nga.mil/genc/view?v=295113&amp;end_month=6&amp;end_day=30&amp;end_year=2019","Caazapá")</f>
        <v>Caazapá</v>
      </c>
      <c r="G3226" s="72" t="str">
        <f>HYPERLINK("http://api.nsgreg.nga.mil/geo-division/GENC/6/3-11/PY-6","as:GENC:6:3-11:PY-6")</f>
        <v>as:GENC:6:3-11:PY-6</v>
      </c>
    </row>
    <row r="3227" spans="1:7" x14ac:dyDescent="0.25">
      <c r="A3227" s="112"/>
      <c r="B3227" s="21" t="s">
        <v>8102</v>
      </c>
      <c r="C3227" s="21" t="s">
        <v>8103</v>
      </c>
      <c r="D3227" s="21" t="s">
        <v>2478</v>
      </c>
      <c r="E3227" s="50" t="b">
        <v>1</v>
      </c>
      <c r="F3227" s="72" t="str">
        <f>HYPERLINK("http://nsgreg.nga.mil/genc/view?v=295105&amp;end_month=6&amp;end_day=30&amp;end_year=2019","Canindeyú")</f>
        <v>Canindeyú</v>
      </c>
      <c r="G3227" s="72" t="str">
        <f>HYPERLINK("http://api.nsgreg.nga.mil/geo-division/GENC/6/3-11/PY-14","as:GENC:6:3-11:PY-14")</f>
        <v>as:GENC:6:3-11:PY-14</v>
      </c>
    </row>
    <row r="3228" spans="1:7" x14ac:dyDescent="0.25">
      <c r="A3228" s="112"/>
      <c r="B3228" s="21" t="s">
        <v>8104</v>
      </c>
      <c r="C3228" s="21" t="s">
        <v>2595</v>
      </c>
      <c r="D3228" s="21" t="s">
        <v>2478</v>
      </c>
      <c r="E3228" s="50" t="b">
        <v>1</v>
      </c>
      <c r="F3228" s="72" t="str">
        <f>HYPERLINK("http://nsgreg.nga.mil/genc/view?v=295102&amp;end_month=6&amp;end_day=30&amp;end_year=2019","Central")</f>
        <v>Central</v>
      </c>
      <c r="G3228" s="72" t="str">
        <f>HYPERLINK("http://api.nsgreg.nga.mil/geo-division/GENC/6/3-11/PY-11","as:GENC:6:3-11:PY-11")</f>
        <v>as:GENC:6:3-11:PY-11</v>
      </c>
    </row>
    <row r="3229" spans="1:7" x14ac:dyDescent="0.25">
      <c r="A3229" s="112"/>
      <c r="B3229" s="21" t="s">
        <v>8105</v>
      </c>
      <c r="C3229" s="21" t="s">
        <v>8106</v>
      </c>
      <c r="D3229" s="21" t="s">
        <v>2478</v>
      </c>
      <c r="E3229" s="50" t="b">
        <v>1</v>
      </c>
      <c r="F3229" s="72" t="str">
        <f>HYPERLINK("http://nsgreg.nga.mil/genc/view?v=295100&amp;end_month=6&amp;end_day=30&amp;end_year=2019","Concepción")</f>
        <v>Concepción</v>
      </c>
      <c r="G3229" s="72" t="str">
        <f>HYPERLINK("http://api.nsgreg.nga.mil/geo-division/GENC/6/3-11/PY-1","as:GENC:6:3-11:PY-1")</f>
        <v>as:GENC:6:3-11:PY-1</v>
      </c>
    </row>
    <row r="3230" spans="1:7" x14ac:dyDescent="0.25">
      <c r="A3230" s="112"/>
      <c r="B3230" s="21" t="s">
        <v>8107</v>
      </c>
      <c r="C3230" s="21" t="s">
        <v>8108</v>
      </c>
      <c r="D3230" s="21" t="s">
        <v>2478</v>
      </c>
      <c r="E3230" s="50" t="b">
        <v>1</v>
      </c>
      <c r="F3230" s="72" t="str">
        <f>HYPERLINK("http://nsgreg.nga.mil/genc/view?v=295110&amp;end_month=6&amp;end_day=30&amp;end_year=2019","Cordillera")</f>
        <v>Cordillera</v>
      </c>
      <c r="G3230" s="72" t="str">
        <f>HYPERLINK("http://api.nsgreg.nga.mil/geo-division/GENC/6/3-11/PY-3","as:GENC:6:3-11:PY-3")</f>
        <v>as:GENC:6:3-11:PY-3</v>
      </c>
    </row>
    <row r="3231" spans="1:7" x14ac:dyDescent="0.25">
      <c r="A3231" s="112"/>
      <c r="B3231" s="21" t="s">
        <v>8109</v>
      </c>
      <c r="C3231" s="21" t="s">
        <v>8110</v>
      </c>
      <c r="D3231" s="21" t="s">
        <v>2478</v>
      </c>
      <c r="E3231" s="50" t="b">
        <v>1</v>
      </c>
      <c r="F3231" s="72" t="str">
        <f>HYPERLINK("http://nsgreg.nga.mil/genc/view?v=295111&amp;end_month=6&amp;end_day=30&amp;end_year=2019","Guairá")</f>
        <v>Guairá</v>
      </c>
      <c r="G3231" s="72" t="str">
        <f>HYPERLINK("http://api.nsgreg.nga.mil/geo-division/GENC/6/3-11/PY-4","as:GENC:6:3-11:PY-4")</f>
        <v>as:GENC:6:3-11:PY-4</v>
      </c>
    </row>
    <row r="3232" spans="1:7" x14ac:dyDescent="0.25">
      <c r="A3232" s="112"/>
      <c r="B3232" s="21" t="s">
        <v>8111</v>
      </c>
      <c r="C3232" s="21" t="s">
        <v>8112</v>
      </c>
      <c r="D3232" s="21" t="s">
        <v>2478</v>
      </c>
      <c r="E3232" s="50" t="b">
        <v>1</v>
      </c>
      <c r="F3232" s="72" t="str">
        <f>HYPERLINK("http://nsgreg.nga.mil/genc/view?v=295114&amp;end_month=6&amp;end_day=30&amp;end_year=2019","Itapúa")</f>
        <v>Itapúa</v>
      </c>
      <c r="G3232" s="72" t="str">
        <f>HYPERLINK("http://api.nsgreg.nga.mil/geo-division/GENC/6/3-11/PY-7","as:GENC:6:3-11:PY-7")</f>
        <v>as:GENC:6:3-11:PY-7</v>
      </c>
    </row>
    <row r="3233" spans="1:7" x14ac:dyDescent="0.25">
      <c r="A3233" s="112"/>
      <c r="B3233" s="21" t="s">
        <v>8113</v>
      </c>
      <c r="C3233" s="21" t="s">
        <v>1952</v>
      </c>
      <c r="D3233" s="21" t="s">
        <v>2478</v>
      </c>
      <c r="E3233" s="50" t="b">
        <v>1</v>
      </c>
      <c r="F3233" s="72" t="str">
        <f>HYPERLINK("http://nsgreg.nga.mil/genc/view?v=295115&amp;end_month=6&amp;end_day=30&amp;end_year=2019","Misiones")</f>
        <v>Misiones</v>
      </c>
      <c r="G3233" s="72" t="str">
        <f>HYPERLINK("http://api.nsgreg.nga.mil/geo-division/GENC/6/3-11/PY-8","as:GENC:6:3-11:PY-8")</f>
        <v>as:GENC:6:3-11:PY-8</v>
      </c>
    </row>
    <row r="3234" spans="1:7" x14ac:dyDescent="0.25">
      <c r="A3234" s="112"/>
      <c r="B3234" s="21" t="s">
        <v>8114</v>
      </c>
      <c r="C3234" s="21" t="s">
        <v>8115</v>
      </c>
      <c r="D3234" s="21" t="s">
        <v>2478</v>
      </c>
      <c r="E3234" s="50" t="b">
        <v>1</v>
      </c>
      <c r="F3234" s="72" t="str">
        <f>HYPERLINK("http://nsgreg.nga.mil/genc/view?v=295103&amp;end_month=6&amp;end_day=30&amp;end_year=2019","Ñeembucú")</f>
        <v>Ñeembucú</v>
      </c>
      <c r="G3234" s="72" t="str">
        <f>HYPERLINK("http://api.nsgreg.nga.mil/geo-division/GENC/6/3-11/PY-12","as:GENC:6:3-11:PY-12")</f>
        <v>as:GENC:6:3-11:PY-12</v>
      </c>
    </row>
    <row r="3235" spans="1:7" x14ac:dyDescent="0.25">
      <c r="A3235" s="112"/>
      <c r="B3235" s="21" t="s">
        <v>8116</v>
      </c>
      <c r="C3235" s="21" t="s">
        <v>8117</v>
      </c>
      <c r="D3235" s="21" t="s">
        <v>2478</v>
      </c>
      <c r="E3235" s="50" t="b">
        <v>1</v>
      </c>
      <c r="F3235" s="72" t="str">
        <f>HYPERLINK("http://nsgreg.nga.mil/genc/view?v=295116&amp;end_month=6&amp;end_day=30&amp;end_year=2019","Paraguarí")</f>
        <v>Paraguarí</v>
      </c>
      <c r="G3235" s="72" t="str">
        <f>HYPERLINK("http://api.nsgreg.nga.mil/geo-division/GENC/6/3-11/PY-9","as:GENC:6:3-11:PY-9")</f>
        <v>as:GENC:6:3-11:PY-9</v>
      </c>
    </row>
    <row r="3236" spans="1:7" x14ac:dyDescent="0.25">
      <c r="A3236" s="112"/>
      <c r="B3236" s="21" t="s">
        <v>8118</v>
      </c>
      <c r="C3236" s="21" t="s">
        <v>8119</v>
      </c>
      <c r="D3236" s="21" t="s">
        <v>2478</v>
      </c>
      <c r="E3236" s="50" t="b">
        <v>1</v>
      </c>
      <c r="F3236" s="72" t="str">
        <f>HYPERLINK("http://nsgreg.nga.mil/genc/view?v=295106&amp;end_month=6&amp;end_day=30&amp;end_year=2019","Presidente Hayes")</f>
        <v>Presidente Hayes</v>
      </c>
      <c r="G3236" s="72" t="str">
        <f>HYPERLINK("http://api.nsgreg.nga.mil/geo-division/GENC/6/3-11/PY-15","as:GENC:6:3-11:PY-15")</f>
        <v>as:GENC:6:3-11:PY-15</v>
      </c>
    </row>
    <row r="3237" spans="1:7" x14ac:dyDescent="0.25">
      <c r="A3237" s="113"/>
      <c r="B3237" s="47" t="s">
        <v>8120</v>
      </c>
      <c r="C3237" s="47" t="s">
        <v>8121</v>
      </c>
      <c r="D3237" s="47" t="s">
        <v>2478</v>
      </c>
      <c r="E3237" s="51" t="b">
        <v>1</v>
      </c>
      <c r="F3237" s="73" t="str">
        <f>HYPERLINK("http://nsgreg.nga.mil/genc/view?v=295109&amp;end_month=6&amp;end_day=30&amp;end_year=2019","San Pedro")</f>
        <v>San Pedro</v>
      </c>
      <c r="G3237" s="73" t="str">
        <f>HYPERLINK("http://api.nsgreg.nga.mil/geo-division/GENC/6/3-11/PY-2","as:GENC:6:3-11:PY-2")</f>
        <v>as:GENC:6:3-11:PY-2</v>
      </c>
    </row>
    <row r="3238" spans="1:7" x14ac:dyDescent="0.25">
      <c r="A3238" s="111" t="str">
        <f>HYPERLINK("[#]Codes_for_GE_Names!A204:I204","PERU")</f>
        <v>PERU</v>
      </c>
      <c r="B3238" s="42" t="s">
        <v>8122</v>
      </c>
      <c r="C3238" s="42" t="s">
        <v>2634</v>
      </c>
      <c r="D3238" s="42" t="s">
        <v>1975</v>
      </c>
      <c r="E3238" s="49" t="b">
        <v>1</v>
      </c>
      <c r="F3238" s="74" t="str">
        <f>HYPERLINK("http://nsgreg.nga.mil/genc/view?v=294835&amp;end_month=6&amp;end_day=30&amp;end_year=2019","Amazonas")</f>
        <v>Amazonas</v>
      </c>
      <c r="G3238" s="74" t="str">
        <f>HYPERLINK("http://api.nsgreg.nga.mil/geo-division/GENC/6/3-11/PE-AMA","as:GENC:6:3-11:PE-AMA")</f>
        <v>as:GENC:6:3-11:PE-AMA</v>
      </c>
    </row>
    <row r="3239" spans="1:7" x14ac:dyDescent="0.25">
      <c r="A3239" s="112"/>
      <c r="B3239" s="21" t="s">
        <v>8123</v>
      </c>
      <c r="C3239" s="21" t="s">
        <v>8124</v>
      </c>
      <c r="D3239" s="21" t="s">
        <v>1975</v>
      </c>
      <c r="E3239" s="50" t="b">
        <v>1</v>
      </c>
      <c r="F3239" s="72" t="str">
        <f>HYPERLINK("http://nsgreg.nga.mil/genc/view?v=294836&amp;end_month=6&amp;end_day=30&amp;end_year=2019","Ancash")</f>
        <v>Ancash</v>
      </c>
      <c r="G3239" s="72" t="str">
        <f>HYPERLINK("http://api.nsgreg.nga.mil/geo-division/GENC/6/3-11/PE-ANC","as:GENC:6:3-11:PE-ANC")</f>
        <v>as:GENC:6:3-11:PE-ANC</v>
      </c>
    </row>
    <row r="3240" spans="1:7" x14ac:dyDescent="0.25">
      <c r="A3240" s="112"/>
      <c r="B3240" s="21" t="s">
        <v>8125</v>
      </c>
      <c r="C3240" s="21" t="s">
        <v>8126</v>
      </c>
      <c r="D3240" s="21" t="s">
        <v>1975</v>
      </c>
      <c r="E3240" s="50" t="b">
        <v>1</v>
      </c>
      <c r="F3240" s="72" t="str">
        <f>HYPERLINK("http://nsgreg.nga.mil/genc/view?v=294837&amp;end_month=6&amp;end_day=30&amp;end_year=2019","Apurímac")</f>
        <v>Apurímac</v>
      </c>
      <c r="G3240" s="72" t="str">
        <f>HYPERLINK("http://api.nsgreg.nga.mil/geo-division/GENC/6/3-11/PE-APU","as:GENC:6:3-11:PE-APU")</f>
        <v>as:GENC:6:3-11:PE-APU</v>
      </c>
    </row>
    <row r="3241" spans="1:7" x14ac:dyDescent="0.25">
      <c r="A3241" s="112"/>
      <c r="B3241" s="21" t="s">
        <v>8127</v>
      </c>
      <c r="C3241" s="21" t="s">
        <v>8128</v>
      </c>
      <c r="D3241" s="21" t="s">
        <v>1975</v>
      </c>
      <c r="E3241" s="50" t="b">
        <v>1</v>
      </c>
      <c r="F3241" s="72" t="str">
        <f>HYPERLINK("http://nsgreg.nga.mil/genc/view?v=294838&amp;end_month=6&amp;end_day=30&amp;end_year=2019","Arequipa")</f>
        <v>Arequipa</v>
      </c>
      <c r="G3241" s="72" t="str">
        <f>HYPERLINK("http://api.nsgreg.nga.mil/geo-division/GENC/6/3-11/PE-ARE","as:GENC:6:3-11:PE-ARE")</f>
        <v>as:GENC:6:3-11:PE-ARE</v>
      </c>
    </row>
    <row r="3242" spans="1:7" x14ac:dyDescent="0.25">
      <c r="A3242" s="112"/>
      <c r="B3242" s="21" t="s">
        <v>8129</v>
      </c>
      <c r="C3242" s="21" t="s">
        <v>8130</v>
      </c>
      <c r="D3242" s="21" t="s">
        <v>1975</v>
      </c>
      <c r="E3242" s="50" t="b">
        <v>1</v>
      </c>
      <c r="F3242" s="72" t="str">
        <f>HYPERLINK("http://nsgreg.nga.mil/genc/view?v=294839&amp;end_month=6&amp;end_day=30&amp;end_year=2019","Ayacucho")</f>
        <v>Ayacucho</v>
      </c>
      <c r="G3242" s="72" t="str">
        <f>HYPERLINK("http://api.nsgreg.nga.mil/geo-division/GENC/6/3-11/PE-AYA","as:GENC:6:3-11:PE-AYA")</f>
        <v>as:GENC:6:3-11:PE-AYA</v>
      </c>
    </row>
    <row r="3243" spans="1:7" x14ac:dyDescent="0.25">
      <c r="A3243" s="112"/>
      <c r="B3243" s="21" t="s">
        <v>8131</v>
      </c>
      <c r="C3243" s="21" t="s">
        <v>8132</v>
      </c>
      <c r="D3243" s="21" t="s">
        <v>1975</v>
      </c>
      <c r="E3243" s="50" t="b">
        <v>1</v>
      </c>
      <c r="F3243" s="72" t="str">
        <f>HYPERLINK("http://nsgreg.nga.mil/genc/view?v=294840&amp;end_month=6&amp;end_day=30&amp;end_year=2019","Cajamarca")</f>
        <v>Cajamarca</v>
      </c>
      <c r="G3243" s="72" t="str">
        <f>HYPERLINK("http://api.nsgreg.nga.mil/geo-division/GENC/6/3-11/PE-CAJ","as:GENC:6:3-11:PE-CAJ")</f>
        <v>as:GENC:6:3-11:PE-CAJ</v>
      </c>
    </row>
    <row r="3244" spans="1:7" x14ac:dyDescent="0.25">
      <c r="A3244" s="112"/>
      <c r="B3244" s="21" t="s">
        <v>8133</v>
      </c>
      <c r="C3244" s="21" t="s">
        <v>8134</v>
      </c>
      <c r="D3244" s="21" t="s">
        <v>1975</v>
      </c>
      <c r="E3244" s="50" t="b">
        <v>1</v>
      </c>
      <c r="F3244" s="72" t="str">
        <f>HYPERLINK("http://nsgreg.nga.mil/genc/view?v=294841&amp;end_month=6&amp;end_day=30&amp;end_year=2019","Callao")</f>
        <v>Callao</v>
      </c>
      <c r="G3244" s="72" t="str">
        <f>HYPERLINK("http://api.nsgreg.nga.mil/geo-division/GENC/6/3-11/PE-CAL","as:GENC:6:3-11:PE-CAL")</f>
        <v>as:GENC:6:3-11:PE-CAL</v>
      </c>
    </row>
    <row r="3245" spans="1:7" x14ac:dyDescent="0.25">
      <c r="A3245" s="112"/>
      <c r="B3245" s="21" t="s">
        <v>8135</v>
      </c>
      <c r="C3245" s="21" t="s">
        <v>8136</v>
      </c>
      <c r="D3245" s="21" t="s">
        <v>1975</v>
      </c>
      <c r="E3245" s="50" t="b">
        <v>1</v>
      </c>
      <c r="F3245" s="72" t="str">
        <f>HYPERLINK("http://nsgreg.nga.mil/genc/view?v=294842&amp;end_month=6&amp;end_day=30&amp;end_year=2019","Cusco")</f>
        <v>Cusco</v>
      </c>
      <c r="G3245" s="72" t="str">
        <f>HYPERLINK("http://api.nsgreg.nga.mil/geo-division/GENC/6/3-11/PE-CUS","as:GENC:6:3-11:PE-CUS")</f>
        <v>as:GENC:6:3-11:PE-CUS</v>
      </c>
    </row>
    <row r="3246" spans="1:7" x14ac:dyDescent="0.25">
      <c r="A3246" s="112"/>
      <c r="B3246" s="21" t="s">
        <v>8137</v>
      </c>
      <c r="C3246" s="21" t="s">
        <v>8138</v>
      </c>
      <c r="D3246" s="21" t="s">
        <v>1975</v>
      </c>
      <c r="E3246" s="50" t="b">
        <v>1</v>
      </c>
      <c r="F3246" s="72" t="str">
        <f>HYPERLINK("http://nsgreg.nga.mil/genc/view?v=294844&amp;end_month=6&amp;end_day=30&amp;end_year=2019","Huancavelica")</f>
        <v>Huancavelica</v>
      </c>
      <c r="G3246" s="72" t="str">
        <f>HYPERLINK("http://api.nsgreg.nga.mil/geo-division/GENC/6/3-11/PE-HUV","as:GENC:6:3-11:PE-HUV")</f>
        <v>as:GENC:6:3-11:PE-HUV</v>
      </c>
    </row>
    <row r="3247" spans="1:7" x14ac:dyDescent="0.25">
      <c r="A3247" s="112"/>
      <c r="B3247" s="21" t="s">
        <v>8139</v>
      </c>
      <c r="C3247" s="21" t="s">
        <v>8140</v>
      </c>
      <c r="D3247" s="21" t="s">
        <v>1975</v>
      </c>
      <c r="E3247" s="50" t="b">
        <v>1</v>
      </c>
      <c r="F3247" s="72" t="str">
        <f>HYPERLINK("http://nsgreg.nga.mil/genc/view?v=294843&amp;end_month=6&amp;end_day=30&amp;end_year=2019","Huánuco")</f>
        <v>Huánuco</v>
      </c>
      <c r="G3247" s="72" t="str">
        <f>HYPERLINK("http://api.nsgreg.nga.mil/geo-division/GENC/6/3-11/PE-HUC","as:GENC:6:3-11:PE-HUC")</f>
        <v>as:GENC:6:3-11:PE-HUC</v>
      </c>
    </row>
    <row r="3248" spans="1:7" x14ac:dyDescent="0.25">
      <c r="A3248" s="112"/>
      <c r="B3248" s="21" t="s">
        <v>8141</v>
      </c>
      <c r="C3248" s="21" t="s">
        <v>8142</v>
      </c>
      <c r="D3248" s="21" t="s">
        <v>1975</v>
      </c>
      <c r="E3248" s="50" t="b">
        <v>1</v>
      </c>
      <c r="F3248" s="72" t="str">
        <f>HYPERLINK("http://nsgreg.nga.mil/genc/view?v=294845&amp;end_month=6&amp;end_day=30&amp;end_year=2019","Ica")</f>
        <v>Ica</v>
      </c>
      <c r="G3248" s="72" t="str">
        <f>HYPERLINK("http://api.nsgreg.nga.mil/geo-division/GENC/6/3-11/PE-ICA","as:GENC:6:3-11:PE-ICA")</f>
        <v>as:GENC:6:3-11:PE-ICA</v>
      </c>
    </row>
    <row r="3249" spans="1:7" x14ac:dyDescent="0.25">
      <c r="A3249" s="112"/>
      <c r="B3249" s="21" t="s">
        <v>8143</v>
      </c>
      <c r="C3249" s="21" t="s">
        <v>8144</v>
      </c>
      <c r="D3249" s="21" t="s">
        <v>1975</v>
      </c>
      <c r="E3249" s="50" t="b">
        <v>1</v>
      </c>
      <c r="F3249" s="72" t="str">
        <f>HYPERLINK("http://nsgreg.nga.mil/genc/view?v=294846&amp;end_month=6&amp;end_day=30&amp;end_year=2019","Junín")</f>
        <v>Junín</v>
      </c>
      <c r="G3249" s="72" t="str">
        <f>HYPERLINK("http://api.nsgreg.nga.mil/geo-division/GENC/6/3-11/PE-JUN","as:GENC:6:3-11:PE-JUN")</f>
        <v>as:GENC:6:3-11:PE-JUN</v>
      </c>
    </row>
    <row r="3250" spans="1:7" x14ac:dyDescent="0.25">
      <c r="A3250" s="112"/>
      <c r="B3250" s="21" t="s">
        <v>8145</v>
      </c>
      <c r="C3250" s="21" t="s">
        <v>3934</v>
      </c>
      <c r="D3250" s="21" t="s">
        <v>1975</v>
      </c>
      <c r="E3250" s="50" t="b">
        <v>1</v>
      </c>
      <c r="F3250" s="72" t="str">
        <f>HYPERLINK("http://nsgreg.nga.mil/genc/view?v=294847&amp;end_month=6&amp;end_day=30&amp;end_year=2019","La Libertad")</f>
        <v>La Libertad</v>
      </c>
      <c r="G3250" s="72" t="str">
        <f>HYPERLINK("http://api.nsgreg.nga.mil/geo-division/GENC/6/3-11/PE-LAL","as:GENC:6:3-11:PE-LAL")</f>
        <v>as:GENC:6:3-11:PE-LAL</v>
      </c>
    </row>
    <row r="3251" spans="1:7" x14ac:dyDescent="0.25">
      <c r="A3251" s="112"/>
      <c r="B3251" s="21" t="s">
        <v>8146</v>
      </c>
      <c r="C3251" s="21" t="s">
        <v>8147</v>
      </c>
      <c r="D3251" s="21" t="s">
        <v>1975</v>
      </c>
      <c r="E3251" s="50" t="b">
        <v>1</v>
      </c>
      <c r="F3251" s="72" t="str">
        <f>HYPERLINK("http://nsgreg.nga.mil/genc/view?v=294848&amp;end_month=6&amp;end_day=30&amp;end_year=2019","Lambayeque")</f>
        <v>Lambayeque</v>
      </c>
      <c r="G3251" s="72" t="str">
        <f>HYPERLINK("http://api.nsgreg.nga.mil/geo-division/GENC/6/3-11/PE-LAM","as:GENC:6:3-11:PE-LAM")</f>
        <v>as:GENC:6:3-11:PE-LAM</v>
      </c>
    </row>
    <row r="3252" spans="1:7" x14ac:dyDescent="0.25">
      <c r="A3252" s="112"/>
      <c r="B3252" s="21" t="s">
        <v>8148</v>
      </c>
      <c r="C3252" s="21" t="s">
        <v>8149</v>
      </c>
      <c r="D3252" s="21" t="s">
        <v>1668</v>
      </c>
      <c r="E3252" s="50" t="b">
        <v>1</v>
      </c>
      <c r="F3252" s="72" t="str">
        <f>HYPERLINK("http://nsgreg.nga.mil/genc/view?v=294850&amp;end_month=6&amp;end_day=30&amp;end_year=2019","Lima")</f>
        <v>Lima</v>
      </c>
      <c r="G3252" s="72" t="str">
        <f>HYPERLINK("http://api.nsgreg.nga.mil/geo-division/GENC/6/3-11/PE-LMA","as:GENC:6:3-11:PE-LMA")</f>
        <v>as:GENC:6:3-11:PE-LMA</v>
      </c>
    </row>
    <row r="3253" spans="1:7" x14ac:dyDescent="0.25">
      <c r="A3253" s="112"/>
      <c r="B3253" s="21" t="s">
        <v>8150</v>
      </c>
      <c r="C3253" s="21" t="s">
        <v>8149</v>
      </c>
      <c r="D3253" s="21" t="s">
        <v>1975</v>
      </c>
      <c r="E3253" s="50" t="b">
        <v>1</v>
      </c>
      <c r="F3253" s="72" t="str">
        <f>HYPERLINK("http://nsgreg.nga.mil/genc/view?v=294849&amp;end_month=6&amp;end_day=30&amp;end_year=2019","Lima")</f>
        <v>Lima</v>
      </c>
      <c r="G3253" s="72" t="str">
        <f>HYPERLINK("http://api.nsgreg.nga.mil/geo-division/GENC/6/3-11/PE-LIM","as:GENC:6:3-11:PE-LIM")</f>
        <v>as:GENC:6:3-11:PE-LIM</v>
      </c>
    </row>
    <row r="3254" spans="1:7" x14ac:dyDescent="0.25">
      <c r="A3254" s="112"/>
      <c r="B3254" s="21" t="s">
        <v>8151</v>
      </c>
      <c r="C3254" s="21" t="s">
        <v>8152</v>
      </c>
      <c r="D3254" s="21" t="s">
        <v>1975</v>
      </c>
      <c r="E3254" s="50" t="b">
        <v>1</v>
      </c>
      <c r="F3254" s="72" t="str">
        <f>HYPERLINK("http://nsgreg.nga.mil/genc/view?v=294851&amp;end_month=6&amp;end_day=30&amp;end_year=2019","Loreto")</f>
        <v>Loreto</v>
      </c>
      <c r="G3254" s="72" t="str">
        <f>HYPERLINK("http://api.nsgreg.nga.mil/geo-division/GENC/6/3-11/PE-LOR","as:GENC:6:3-11:PE-LOR")</f>
        <v>as:GENC:6:3-11:PE-LOR</v>
      </c>
    </row>
    <row r="3255" spans="1:7" x14ac:dyDescent="0.25">
      <c r="A3255" s="112"/>
      <c r="B3255" s="21" t="s">
        <v>8153</v>
      </c>
      <c r="C3255" s="21" t="s">
        <v>8154</v>
      </c>
      <c r="D3255" s="21" t="s">
        <v>1975</v>
      </c>
      <c r="E3255" s="50" t="b">
        <v>1</v>
      </c>
      <c r="F3255" s="72" t="str">
        <f>HYPERLINK("http://nsgreg.nga.mil/genc/view?v=294852&amp;end_month=6&amp;end_day=30&amp;end_year=2019","Madre de Dios")</f>
        <v>Madre de Dios</v>
      </c>
      <c r="G3255" s="72" t="str">
        <f>HYPERLINK("http://api.nsgreg.nga.mil/geo-division/GENC/6/3-11/PE-MDD","as:GENC:6:3-11:PE-MDD")</f>
        <v>as:GENC:6:3-11:PE-MDD</v>
      </c>
    </row>
    <row r="3256" spans="1:7" x14ac:dyDescent="0.25">
      <c r="A3256" s="112"/>
      <c r="B3256" s="21" t="s">
        <v>8155</v>
      </c>
      <c r="C3256" s="21" t="s">
        <v>8156</v>
      </c>
      <c r="D3256" s="21" t="s">
        <v>1975</v>
      </c>
      <c r="E3256" s="50" t="b">
        <v>1</v>
      </c>
      <c r="F3256" s="72" t="str">
        <f>HYPERLINK("http://nsgreg.nga.mil/genc/view?v=294853&amp;end_month=6&amp;end_day=30&amp;end_year=2019","Moquegua")</f>
        <v>Moquegua</v>
      </c>
      <c r="G3256" s="72" t="str">
        <f>HYPERLINK("http://api.nsgreg.nga.mil/geo-division/GENC/6/3-11/PE-MOQ","as:GENC:6:3-11:PE-MOQ")</f>
        <v>as:GENC:6:3-11:PE-MOQ</v>
      </c>
    </row>
    <row r="3257" spans="1:7" x14ac:dyDescent="0.25">
      <c r="A3257" s="112"/>
      <c r="B3257" s="21" t="s">
        <v>8157</v>
      </c>
      <c r="C3257" s="21" t="s">
        <v>8158</v>
      </c>
      <c r="D3257" s="21" t="s">
        <v>1975</v>
      </c>
      <c r="E3257" s="50" t="b">
        <v>1</v>
      </c>
      <c r="F3257" s="72" t="str">
        <f>HYPERLINK("http://nsgreg.nga.mil/genc/view?v=294854&amp;end_month=6&amp;end_day=30&amp;end_year=2019","Pasco")</f>
        <v>Pasco</v>
      </c>
      <c r="G3257" s="72" t="str">
        <f>HYPERLINK("http://api.nsgreg.nga.mil/geo-division/GENC/6/3-11/PE-PAS","as:GENC:6:3-11:PE-PAS")</f>
        <v>as:GENC:6:3-11:PE-PAS</v>
      </c>
    </row>
    <row r="3258" spans="1:7" x14ac:dyDescent="0.25">
      <c r="A3258" s="112"/>
      <c r="B3258" s="21" t="s">
        <v>8159</v>
      </c>
      <c r="C3258" s="21" t="s">
        <v>8160</v>
      </c>
      <c r="D3258" s="21" t="s">
        <v>1975</v>
      </c>
      <c r="E3258" s="50" t="b">
        <v>1</v>
      </c>
      <c r="F3258" s="72" t="str">
        <f>HYPERLINK("http://nsgreg.nga.mil/genc/view?v=294855&amp;end_month=6&amp;end_day=30&amp;end_year=2019","Piura")</f>
        <v>Piura</v>
      </c>
      <c r="G3258" s="72" t="str">
        <f>HYPERLINK("http://api.nsgreg.nga.mil/geo-division/GENC/6/3-11/PE-PIU","as:GENC:6:3-11:PE-PIU")</f>
        <v>as:GENC:6:3-11:PE-PIU</v>
      </c>
    </row>
    <row r="3259" spans="1:7" x14ac:dyDescent="0.25">
      <c r="A3259" s="112"/>
      <c r="B3259" s="21" t="s">
        <v>8161</v>
      </c>
      <c r="C3259" s="21" t="s">
        <v>8162</v>
      </c>
      <c r="D3259" s="21" t="s">
        <v>1975</v>
      </c>
      <c r="E3259" s="50" t="b">
        <v>1</v>
      </c>
      <c r="F3259" s="72" t="str">
        <f>HYPERLINK("http://nsgreg.nga.mil/genc/view?v=294856&amp;end_month=6&amp;end_day=30&amp;end_year=2019","Puno")</f>
        <v>Puno</v>
      </c>
      <c r="G3259" s="72" t="str">
        <f>HYPERLINK("http://api.nsgreg.nga.mil/geo-division/GENC/6/3-11/PE-PUN","as:GENC:6:3-11:PE-PUN")</f>
        <v>as:GENC:6:3-11:PE-PUN</v>
      </c>
    </row>
    <row r="3260" spans="1:7" x14ac:dyDescent="0.25">
      <c r="A3260" s="112"/>
      <c r="B3260" s="21" t="s">
        <v>8163</v>
      </c>
      <c r="C3260" s="21" t="s">
        <v>8164</v>
      </c>
      <c r="D3260" s="21" t="s">
        <v>1975</v>
      </c>
      <c r="E3260" s="50" t="b">
        <v>1</v>
      </c>
      <c r="F3260" s="72" t="str">
        <f>HYPERLINK("http://nsgreg.nga.mil/genc/view?v=294857&amp;end_month=6&amp;end_day=30&amp;end_year=2019","San Martín")</f>
        <v>San Martín</v>
      </c>
      <c r="G3260" s="72" t="str">
        <f>HYPERLINK("http://api.nsgreg.nga.mil/geo-division/GENC/6/3-11/PE-SAM","as:GENC:6:3-11:PE-SAM")</f>
        <v>as:GENC:6:3-11:PE-SAM</v>
      </c>
    </row>
    <row r="3261" spans="1:7" x14ac:dyDescent="0.25">
      <c r="A3261" s="112"/>
      <c r="B3261" s="21" t="s">
        <v>8165</v>
      </c>
      <c r="C3261" s="21" t="s">
        <v>8166</v>
      </c>
      <c r="D3261" s="21" t="s">
        <v>1975</v>
      </c>
      <c r="E3261" s="50" t="b">
        <v>1</v>
      </c>
      <c r="F3261" s="72" t="str">
        <f>HYPERLINK("http://nsgreg.nga.mil/genc/view?v=294858&amp;end_month=6&amp;end_day=30&amp;end_year=2019","Tacna")</f>
        <v>Tacna</v>
      </c>
      <c r="G3261" s="72" t="str">
        <f>HYPERLINK("http://api.nsgreg.nga.mil/geo-division/GENC/6/3-11/PE-TAC","as:GENC:6:3-11:PE-TAC")</f>
        <v>as:GENC:6:3-11:PE-TAC</v>
      </c>
    </row>
    <row r="3262" spans="1:7" x14ac:dyDescent="0.25">
      <c r="A3262" s="112"/>
      <c r="B3262" s="21" t="s">
        <v>8167</v>
      </c>
      <c r="C3262" s="21" t="s">
        <v>8168</v>
      </c>
      <c r="D3262" s="21" t="s">
        <v>1975</v>
      </c>
      <c r="E3262" s="50" t="b">
        <v>1</v>
      </c>
      <c r="F3262" s="72" t="str">
        <f>HYPERLINK("http://nsgreg.nga.mil/genc/view?v=294859&amp;end_month=6&amp;end_day=30&amp;end_year=2019","Tumbes")</f>
        <v>Tumbes</v>
      </c>
      <c r="G3262" s="72" t="str">
        <f>HYPERLINK("http://api.nsgreg.nga.mil/geo-division/GENC/6/3-11/PE-TUM","as:GENC:6:3-11:PE-TUM")</f>
        <v>as:GENC:6:3-11:PE-TUM</v>
      </c>
    </row>
    <row r="3263" spans="1:7" x14ac:dyDescent="0.25">
      <c r="A3263" s="113"/>
      <c r="B3263" s="47" t="s">
        <v>8169</v>
      </c>
      <c r="C3263" s="47" t="s">
        <v>8170</v>
      </c>
      <c r="D3263" s="47" t="s">
        <v>1975</v>
      </c>
      <c r="E3263" s="51" t="b">
        <v>1</v>
      </c>
      <c r="F3263" s="73" t="str">
        <f>HYPERLINK("http://nsgreg.nga.mil/genc/view?v=294860&amp;end_month=6&amp;end_day=30&amp;end_year=2019","Ucayali")</f>
        <v>Ucayali</v>
      </c>
      <c r="G3263" s="73" t="str">
        <f>HYPERLINK("http://api.nsgreg.nga.mil/geo-division/GENC/6/3-11/PE-UCA","as:GENC:6:3-11:PE-UCA")</f>
        <v>as:GENC:6:3-11:PE-UCA</v>
      </c>
    </row>
    <row r="3264" spans="1:7" x14ac:dyDescent="0.25">
      <c r="A3264" s="111" t="str">
        <f>HYPERLINK("[#]Codes_for_GE_Names!A205:I205","PHILIPPINES")</f>
        <v>PHILIPPINES</v>
      </c>
      <c r="B3264" s="42" t="s">
        <v>8171</v>
      </c>
      <c r="C3264" s="42" t="s">
        <v>8172</v>
      </c>
      <c r="D3264" s="80" t="s">
        <v>1975</v>
      </c>
      <c r="E3264" s="81" t="b">
        <v>0</v>
      </c>
      <c r="F3264" s="74" t="str">
        <f>HYPERLINK("http://nsgreg.nga.mil/genc/view?v=294901&amp;end_month=6&amp;end_day=30&amp;end_year=2019","Autonomous Region in Muslim Mindanao (ARMM)")</f>
        <v>Autonomous Region in Muslim Mindanao (ARMM)</v>
      </c>
      <c r="G3264" s="74" t="str">
        <f>HYPERLINK("http://api.nsgreg.nga.mil/geo-division/GENC/6/3-11/PH-14","as:GENC:6:3-11:PH-14")</f>
        <v>as:GENC:6:3-11:PH-14</v>
      </c>
    </row>
    <row r="3265" spans="1:7" x14ac:dyDescent="0.25">
      <c r="A3265" s="112"/>
      <c r="B3265" s="21" t="s">
        <v>8173</v>
      </c>
      <c r="C3265" s="21" t="s">
        <v>8174</v>
      </c>
      <c r="D3265" s="21" t="s">
        <v>1668</v>
      </c>
      <c r="E3265" s="50" t="b">
        <v>1</v>
      </c>
      <c r="F3265" s="72" t="str">
        <f>HYPERLINK("http://nsgreg.nga.mil/genc/view?v=294917&amp;end_month=6&amp;end_day=30&amp;end_year=2019","Basilan")</f>
        <v>Basilan</v>
      </c>
      <c r="G3265" s="72" t="str">
        <f>HYPERLINK("http://api.nsgreg.nga.mil/geo-division/GENC/6/3-11/PH-BAS","as:GENC:6:3-11:PH-BAS")</f>
        <v>as:GENC:6:3-11:PH-BAS</v>
      </c>
    </row>
    <row r="3266" spans="1:7" x14ac:dyDescent="0.25">
      <c r="A3266" s="112"/>
      <c r="B3266" s="21" t="s">
        <v>8175</v>
      </c>
      <c r="C3266" s="21" t="s">
        <v>8176</v>
      </c>
      <c r="D3266" s="21" t="s">
        <v>1668</v>
      </c>
      <c r="E3266" s="50" t="b">
        <v>1</v>
      </c>
      <c r="F3266" s="72" t="str">
        <f>HYPERLINK("http://nsgreg.nga.mil/genc/view?v=294961&amp;end_month=6&amp;end_day=30&amp;end_year=2019","Lanao del Sur")</f>
        <v>Lanao del Sur</v>
      </c>
      <c r="G3266" s="72" t="str">
        <f>HYPERLINK("http://api.nsgreg.nga.mil/geo-division/GENC/6/3-11/PH-LAS","as:GENC:6:3-11:PH-LAS")</f>
        <v>as:GENC:6:3-11:PH-LAS</v>
      </c>
    </row>
    <row r="3267" spans="1:7" x14ac:dyDescent="0.25">
      <c r="A3267" s="112"/>
      <c r="B3267" s="21" t="s">
        <v>8177</v>
      </c>
      <c r="C3267" s="21" t="s">
        <v>8178</v>
      </c>
      <c r="D3267" s="21" t="s">
        <v>1668</v>
      </c>
      <c r="E3267" s="50" t="b">
        <v>1</v>
      </c>
      <c r="F3267" s="72" t="str">
        <f>HYPERLINK("http://nsgreg.nga.mil/genc/view?v=294966&amp;end_month=6&amp;end_day=30&amp;end_year=2019","Maguindanao")</f>
        <v>Maguindanao</v>
      </c>
      <c r="G3267" s="72" t="str">
        <f>HYPERLINK("http://api.nsgreg.nga.mil/geo-division/GENC/6/3-11/PH-MAG","as:GENC:6:3-11:PH-MAG")</f>
        <v>as:GENC:6:3-11:PH-MAG</v>
      </c>
    </row>
    <row r="3268" spans="1:7" x14ac:dyDescent="0.25">
      <c r="A3268" s="112"/>
      <c r="B3268" s="21" t="s">
        <v>8179</v>
      </c>
      <c r="C3268" s="21" t="s">
        <v>8180</v>
      </c>
      <c r="D3268" s="21" t="s">
        <v>1668</v>
      </c>
      <c r="E3268" s="50" t="b">
        <v>1</v>
      </c>
      <c r="F3268" s="72" t="str">
        <f>HYPERLINK("http://nsgreg.nga.mil/genc/view?v=295007&amp;end_month=6&amp;end_day=30&amp;end_year=2019","Sulu")</f>
        <v>Sulu</v>
      </c>
      <c r="G3268" s="72" t="str">
        <f>HYPERLINK("http://api.nsgreg.nga.mil/geo-division/GENC/6/3-11/PH-SLU","as:GENC:6:3-11:PH-SLU")</f>
        <v>as:GENC:6:3-11:PH-SLU</v>
      </c>
    </row>
    <row r="3269" spans="1:7" x14ac:dyDescent="0.25">
      <c r="A3269" s="112"/>
      <c r="B3269" s="21" t="s">
        <v>8181</v>
      </c>
      <c r="C3269" s="21" t="s">
        <v>8182</v>
      </c>
      <c r="D3269" s="21" t="s">
        <v>1668</v>
      </c>
      <c r="E3269" s="50" t="b">
        <v>1</v>
      </c>
      <c r="F3269" s="72" t="str">
        <f>HYPERLINK("http://nsgreg.nga.mil/genc/view?v=295016&amp;end_month=6&amp;end_day=30&amp;end_year=2019","Tawi-Tawi")</f>
        <v>Tawi-Tawi</v>
      </c>
      <c r="G3269" s="72" t="str">
        <f>HYPERLINK("http://api.nsgreg.nga.mil/geo-division/GENC/6/3-11/PH-TAW","as:GENC:6:3-11:PH-TAW")</f>
        <v>as:GENC:6:3-11:PH-TAW</v>
      </c>
    </row>
    <row r="3270" spans="1:7" x14ac:dyDescent="0.25">
      <c r="A3270" s="112"/>
      <c r="B3270" s="21" t="s">
        <v>8183</v>
      </c>
      <c r="C3270" s="21" t="s">
        <v>8184</v>
      </c>
      <c r="D3270" s="76" t="s">
        <v>1975</v>
      </c>
      <c r="E3270" s="77" t="b">
        <v>0</v>
      </c>
      <c r="F3270" s="72" t="str">
        <f>HYPERLINK("http://nsgreg.nga.mil/genc/view?v=294892&amp;end_month=6&amp;end_day=30&amp;end_year=2019","Bicol Region")</f>
        <v>Bicol Region</v>
      </c>
      <c r="G3270" s="72" t="str">
        <f>HYPERLINK("http://api.nsgreg.nga.mil/geo-division/GENC/6/3-11/PH-05","as:GENC:6:3-11:PH-05")</f>
        <v>as:GENC:6:3-11:PH-05</v>
      </c>
    </row>
    <row r="3271" spans="1:7" x14ac:dyDescent="0.25">
      <c r="A3271" s="112"/>
      <c r="B3271" s="21" t="s">
        <v>8185</v>
      </c>
      <c r="C3271" s="21" t="s">
        <v>8186</v>
      </c>
      <c r="D3271" s="21" t="s">
        <v>1668</v>
      </c>
      <c r="E3271" s="50" t="b">
        <v>1</v>
      </c>
      <c r="F3271" s="72" t="str">
        <f>HYPERLINK("http://nsgreg.nga.mil/genc/view?v=294909&amp;end_month=6&amp;end_day=30&amp;end_year=2019","Albay")</f>
        <v>Albay</v>
      </c>
      <c r="G3271" s="72" t="str">
        <f>HYPERLINK("http://api.nsgreg.nga.mil/geo-division/GENC/6/3-11/PH-ALB","as:GENC:6:3-11:PH-ALB")</f>
        <v>as:GENC:6:3-11:PH-ALB</v>
      </c>
    </row>
    <row r="3272" spans="1:7" x14ac:dyDescent="0.25">
      <c r="A3272" s="112"/>
      <c r="B3272" s="21" t="s">
        <v>8187</v>
      </c>
      <c r="C3272" s="21" t="s">
        <v>8188</v>
      </c>
      <c r="D3272" s="21" t="s">
        <v>1668</v>
      </c>
      <c r="E3272" s="50" t="b">
        <v>1</v>
      </c>
      <c r="F3272" s="72" t="str">
        <f>HYPERLINK("http://nsgreg.nga.mil/genc/view?v=294929&amp;end_month=6&amp;end_day=30&amp;end_year=2019","Camarines Norte")</f>
        <v>Camarines Norte</v>
      </c>
      <c r="G3272" s="72" t="str">
        <f>HYPERLINK("http://api.nsgreg.nga.mil/geo-division/GENC/6/3-11/PH-CAN","as:GENC:6:3-11:PH-CAN")</f>
        <v>as:GENC:6:3-11:PH-CAN</v>
      </c>
    </row>
    <row r="3273" spans="1:7" x14ac:dyDescent="0.25">
      <c r="A3273" s="112"/>
      <c r="B3273" s="21" t="s">
        <v>8189</v>
      </c>
      <c r="C3273" s="21" t="s">
        <v>8190</v>
      </c>
      <c r="D3273" s="21" t="s">
        <v>1668</v>
      </c>
      <c r="E3273" s="50" t="b">
        <v>1</v>
      </c>
      <c r="F3273" s="72" t="str">
        <f>HYPERLINK("http://nsgreg.nga.mil/genc/view?v=294931&amp;end_month=6&amp;end_day=30&amp;end_year=2019","Camarines Sur")</f>
        <v>Camarines Sur</v>
      </c>
      <c r="G3273" s="72" t="str">
        <f>HYPERLINK("http://api.nsgreg.nga.mil/geo-division/GENC/6/3-11/PH-CAS","as:GENC:6:3-11:PH-CAS")</f>
        <v>as:GENC:6:3-11:PH-CAS</v>
      </c>
    </row>
    <row r="3274" spans="1:7" x14ac:dyDescent="0.25">
      <c r="A3274" s="112"/>
      <c r="B3274" s="21" t="s">
        <v>8191</v>
      </c>
      <c r="C3274" s="21" t="s">
        <v>8192</v>
      </c>
      <c r="D3274" s="21" t="s">
        <v>1668</v>
      </c>
      <c r="E3274" s="50" t="b">
        <v>1</v>
      </c>
      <c r="F3274" s="72" t="str">
        <f>HYPERLINK("http://nsgreg.nga.mil/genc/view?v=294932&amp;end_month=6&amp;end_day=30&amp;end_year=2019","Catanduanes")</f>
        <v>Catanduanes</v>
      </c>
      <c r="G3274" s="72" t="str">
        <f>HYPERLINK("http://api.nsgreg.nga.mil/geo-division/GENC/6/3-11/PH-CAT","as:GENC:6:3-11:PH-CAT")</f>
        <v>as:GENC:6:3-11:PH-CAT</v>
      </c>
    </row>
    <row r="3275" spans="1:7" x14ac:dyDescent="0.25">
      <c r="A3275" s="112"/>
      <c r="B3275" s="21" t="s">
        <v>8193</v>
      </c>
      <c r="C3275" s="21" t="s">
        <v>8194</v>
      </c>
      <c r="D3275" s="21" t="s">
        <v>1668</v>
      </c>
      <c r="E3275" s="50" t="b">
        <v>1</v>
      </c>
      <c r="F3275" s="72" t="str">
        <f>HYPERLINK("http://nsgreg.nga.mil/genc/view?v=294971&amp;end_month=6&amp;end_day=30&amp;end_year=2019","Masbate")</f>
        <v>Masbate</v>
      </c>
      <c r="G3275" s="72" t="str">
        <f>HYPERLINK("http://api.nsgreg.nga.mil/geo-division/GENC/6/3-11/PH-MAS","as:GENC:6:3-11:PH-MAS")</f>
        <v>as:GENC:6:3-11:PH-MAS</v>
      </c>
    </row>
    <row r="3276" spans="1:7" x14ac:dyDescent="0.25">
      <c r="A3276" s="112"/>
      <c r="B3276" s="21" t="s">
        <v>8195</v>
      </c>
      <c r="C3276" s="21" t="s">
        <v>8196</v>
      </c>
      <c r="D3276" s="21" t="s">
        <v>8197</v>
      </c>
      <c r="E3276" s="50" t="b">
        <v>1</v>
      </c>
      <c r="F3276" s="72" t="str">
        <f>HYPERLINK("http://nsgreg.nga.mil/genc/view?v=294980&amp;end_month=6&amp;end_day=30&amp;end_year=2019","Naga")</f>
        <v>Naga</v>
      </c>
      <c r="G3276" s="72" t="str">
        <f>HYPERLINK("http://api.nsgreg.nga.mil/geo-division/GENC/6/3-11/PH-NAG","as:GENC:6:3-11:PH-NAG")</f>
        <v>as:GENC:6:3-11:PH-NAG</v>
      </c>
    </row>
    <row r="3277" spans="1:7" x14ac:dyDescent="0.25">
      <c r="A3277" s="112"/>
      <c r="B3277" s="21" t="s">
        <v>8198</v>
      </c>
      <c r="C3277" s="21" t="s">
        <v>8199</v>
      </c>
      <c r="D3277" s="21" t="s">
        <v>1668</v>
      </c>
      <c r="E3277" s="50" t="b">
        <v>1</v>
      </c>
      <c r="F3277" s="72" t="str">
        <f>HYPERLINK("http://nsgreg.nga.mil/genc/view?v=295009&amp;end_month=6&amp;end_day=30&amp;end_year=2019","Sorsogon")</f>
        <v>Sorsogon</v>
      </c>
      <c r="G3277" s="72" t="str">
        <f>HYPERLINK("http://api.nsgreg.nga.mil/geo-division/GENC/6/3-11/PH-SOR","as:GENC:6:3-11:PH-SOR")</f>
        <v>as:GENC:6:3-11:PH-SOR</v>
      </c>
    </row>
    <row r="3278" spans="1:7" x14ac:dyDescent="0.25">
      <c r="A3278" s="112"/>
      <c r="B3278" s="21" t="s">
        <v>8200</v>
      </c>
      <c r="C3278" s="21" t="s">
        <v>8201</v>
      </c>
      <c r="D3278" s="76" t="s">
        <v>1975</v>
      </c>
      <c r="E3278" s="77" t="b">
        <v>0</v>
      </c>
      <c r="F3278" s="72" t="str">
        <f>HYPERLINK("http://nsgreg.nga.mil/genc/view?v=294890&amp;end_month=6&amp;end_day=30&amp;end_year=2019","Cagayan Valley")</f>
        <v>Cagayan Valley</v>
      </c>
      <c r="G3278" s="72" t="str">
        <f>HYPERLINK("http://api.nsgreg.nga.mil/geo-division/GENC/6/3-11/PH-02","as:GENC:6:3-11:PH-02")</f>
        <v>as:GENC:6:3-11:PH-02</v>
      </c>
    </row>
    <row r="3279" spans="1:7" x14ac:dyDescent="0.25">
      <c r="A3279" s="112"/>
      <c r="B3279" s="21" t="s">
        <v>8202</v>
      </c>
      <c r="C3279" s="21" t="s">
        <v>8203</v>
      </c>
      <c r="D3279" s="21" t="s">
        <v>1668</v>
      </c>
      <c r="E3279" s="50" t="b">
        <v>1</v>
      </c>
      <c r="F3279" s="72" t="str">
        <f>HYPERLINK("http://nsgreg.nga.mil/genc/view?v=294922&amp;end_month=6&amp;end_day=30&amp;end_year=2019","Batanes")</f>
        <v>Batanes</v>
      </c>
      <c r="G3279" s="72" t="str">
        <f>HYPERLINK("http://api.nsgreg.nga.mil/geo-division/GENC/6/3-11/PH-BTN","as:GENC:6:3-11:PH-BTN")</f>
        <v>as:GENC:6:3-11:PH-BTN</v>
      </c>
    </row>
    <row r="3280" spans="1:7" x14ac:dyDescent="0.25">
      <c r="A3280" s="112"/>
      <c r="B3280" s="21" t="s">
        <v>8204</v>
      </c>
      <c r="C3280" s="21" t="s">
        <v>8205</v>
      </c>
      <c r="D3280" s="21" t="s">
        <v>1668</v>
      </c>
      <c r="E3280" s="50" t="b">
        <v>1</v>
      </c>
      <c r="F3280" s="72" t="str">
        <f>HYPERLINK("http://nsgreg.nga.mil/genc/view?v=294926&amp;end_month=6&amp;end_day=30&amp;end_year=2019","Cagayan")</f>
        <v>Cagayan</v>
      </c>
      <c r="G3280" s="72" t="str">
        <f>HYPERLINK("http://api.nsgreg.nga.mil/geo-division/GENC/6/3-11/PH-CAG","as:GENC:6:3-11:PH-CAG")</f>
        <v>as:GENC:6:3-11:PH-CAG</v>
      </c>
    </row>
    <row r="3281" spans="1:7" x14ac:dyDescent="0.25">
      <c r="A3281" s="112"/>
      <c r="B3281" s="21" t="s">
        <v>8206</v>
      </c>
      <c r="C3281" s="21" t="s">
        <v>8207</v>
      </c>
      <c r="D3281" s="21" t="s">
        <v>1668</v>
      </c>
      <c r="E3281" s="50" t="b">
        <v>1</v>
      </c>
      <c r="F3281" s="72" t="str">
        <f>HYPERLINK("http://nsgreg.nga.mil/genc/view?v=294956&amp;end_month=6&amp;end_day=30&amp;end_year=2019","Isabela")</f>
        <v>Isabela</v>
      </c>
      <c r="G3281" s="72" t="str">
        <f>HYPERLINK("http://api.nsgreg.nga.mil/geo-division/GENC/6/3-11/PH-ISA","as:GENC:6:3-11:PH-ISA")</f>
        <v>as:GENC:6:3-11:PH-ISA</v>
      </c>
    </row>
    <row r="3282" spans="1:7" x14ac:dyDescent="0.25">
      <c r="A3282" s="112"/>
      <c r="B3282" s="21" t="s">
        <v>8208</v>
      </c>
      <c r="C3282" s="21" t="s">
        <v>8209</v>
      </c>
      <c r="D3282" s="21" t="s">
        <v>1668</v>
      </c>
      <c r="E3282" s="50" t="b">
        <v>1</v>
      </c>
      <c r="F3282" s="72" t="str">
        <f>HYPERLINK("http://nsgreg.nga.mil/genc/view?v=294987&amp;end_month=6&amp;end_day=30&amp;end_year=2019","Nueva Vizcaya")</f>
        <v>Nueva Vizcaya</v>
      </c>
      <c r="G3282" s="72" t="str">
        <f>HYPERLINK("http://api.nsgreg.nga.mil/geo-division/GENC/6/3-11/PH-NUV","as:GENC:6:3-11:PH-NUV")</f>
        <v>as:GENC:6:3-11:PH-NUV</v>
      </c>
    </row>
    <row r="3283" spans="1:7" x14ac:dyDescent="0.25">
      <c r="A3283" s="112"/>
      <c r="B3283" s="21" t="s">
        <v>8210</v>
      </c>
      <c r="C3283" s="21" t="s">
        <v>8211</v>
      </c>
      <c r="D3283" s="21" t="s">
        <v>1668</v>
      </c>
      <c r="E3283" s="50" t="b">
        <v>1</v>
      </c>
      <c r="F3283" s="72" t="str">
        <f>HYPERLINK("http://nsgreg.nga.mil/genc/view?v=294998&amp;end_month=6&amp;end_day=30&amp;end_year=2019","Quirino")</f>
        <v>Quirino</v>
      </c>
      <c r="G3283" s="72" t="str">
        <f>HYPERLINK("http://api.nsgreg.nga.mil/geo-division/GENC/6/3-11/PH-QUI","as:GENC:6:3-11:PH-QUI")</f>
        <v>as:GENC:6:3-11:PH-QUI</v>
      </c>
    </row>
    <row r="3284" spans="1:7" x14ac:dyDescent="0.25">
      <c r="A3284" s="112"/>
      <c r="B3284" s="21" t="s">
        <v>8212</v>
      </c>
      <c r="C3284" s="21" t="s">
        <v>3768</v>
      </c>
      <c r="D3284" s="21" t="s">
        <v>8197</v>
      </c>
      <c r="E3284" s="50" t="b">
        <v>1</v>
      </c>
      <c r="F3284" s="72" t="str">
        <f>HYPERLINK("http://nsgreg.nga.mil/genc/view?v=295002&amp;end_month=6&amp;end_day=30&amp;end_year=2019","Santiago")</f>
        <v>Santiago</v>
      </c>
      <c r="G3284" s="72" t="str">
        <f>HYPERLINK("http://api.nsgreg.nga.mil/geo-division/GENC/6/3-11/PH-SAN","as:GENC:6:3-11:PH-SAN")</f>
        <v>as:GENC:6:3-11:PH-SAN</v>
      </c>
    </row>
    <row r="3285" spans="1:7" x14ac:dyDescent="0.25">
      <c r="A3285" s="112"/>
      <c r="B3285" s="21" t="s">
        <v>8213</v>
      </c>
      <c r="C3285" s="21" t="s">
        <v>8214</v>
      </c>
      <c r="D3285" s="76" t="s">
        <v>1975</v>
      </c>
      <c r="E3285" s="77" t="b">
        <v>0</v>
      </c>
      <c r="F3285" s="72" t="str">
        <f>HYPERLINK("http://nsgreg.nga.mil/genc/view?v=294903&amp;end_month=6&amp;end_day=30&amp;end_year=2019","CALABARZON")</f>
        <v>CALABARZON</v>
      </c>
      <c r="G3285" s="72" t="str">
        <f>HYPERLINK("http://api.nsgreg.nga.mil/geo-division/GENC/6/3-11/PH-40","as:GENC:6:3-11:PH-40")</f>
        <v>as:GENC:6:3-11:PH-40</v>
      </c>
    </row>
    <row r="3286" spans="1:7" x14ac:dyDescent="0.25">
      <c r="A3286" s="112"/>
      <c r="B3286" s="21" t="s">
        <v>8215</v>
      </c>
      <c r="C3286" s="21" t="s">
        <v>8216</v>
      </c>
      <c r="D3286" s="21" t="s">
        <v>1668</v>
      </c>
      <c r="E3286" s="50" t="b">
        <v>1</v>
      </c>
      <c r="F3286" s="72" t="str">
        <f>HYPERLINK("http://nsgreg.nga.mil/genc/view?v=294921&amp;end_month=6&amp;end_day=30&amp;end_year=2019","Batangas")</f>
        <v>Batangas</v>
      </c>
      <c r="G3286" s="72" t="str">
        <f>HYPERLINK("http://api.nsgreg.nga.mil/geo-division/GENC/6/3-11/PH-BTG","as:GENC:6:3-11:PH-BTG")</f>
        <v>as:GENC:6:3-11:PH-BTG</v>
      </c>
    </row>
    <row r="3287" spans="1:7" x14ac:dyDescent="0.25">
      <c r="A3287" s="112"/>
      <c r="B3287" s="21" t="s">
        <v>8217</v>
      </c>
      <c r="C3287" s="21" t="s">
        <v>8218</v>
      </c>
      <c r="D3287" s="21" t="s">
        <v>1668</v>
      </c>
      <c r="E3287" s="50" t="b">
        <v>1</v>
      </c>
      <c r="F3287" s="72" t="str">
        <f>HYPERLINK("http://nsgreg.nga.mil/genc/view?v=294933&amp;end_month=6&amp;end_day=30&amp;end_year=2019","Cavite")</f>
        <v>Cavite</v>
      </c>
      <c r="G3287" s="72" t="str">
        <f>HYPERLINK("http://api.nsgreg.nga.mil/geo-division/GENC/6/3-11/PH-CAV","as:GENC:6:3-11:PH-CAV")</f>
        <v>as:GENC:6:3-11:PH-CAV</v>
      </c>
    </row>
    <row r="3288" spans="1:7" x14ac:dyDescent="0.25">
      <c r="A3288" s="112"/>
      <c r="B3288" s="21" t="s">
        <v>8219</v>
      </c>
      <c r="C3288" s="21" t="s">
        <v>8220</v>
      </c>
      <c r="D3288" s="21" t="s">
        <v>1668</v>
      </c>
      <c r="E3288" s="50" t="b">
        <v>1</v>
      </c>
      <c r="F3288" s="72" t="str">
        <f>HYPERLINK("http://nsgreg.nga.mil/genc/view?v=294958&amp;end_month=6&amp;end_day=30&amp;end_year=2019","Laguna")</f>
        <v>Laguna</v>
      </c>
      <c r="G3288" s="72" t="str">
        <f>HYPERLINK("http://api.nsgreg.nga.mil/geo-division/GENC/6/3-11/PH-LAG","as:GENC:6:3-11:PH-LAG")</f>
        <v>as:GENC:6:3-11:PH-LAG</v>
      </c>
    </row>
    <row r="3289" spans="1:7" x14ac:dyDescent="0.25">
      <c r="A3289" s="112"/>
      <c r="B3289" s="21" t="s">
        <v>8221</v>
      </c>
      <c r="C3289" s="21" t="s">
        <v>8222</v>
      </c>
      <c r="D3289" s="21" t="s">
        <v>8223</v>
      </c>
      <c r="E3289" s="50" t="b">
        <v>1</v>
      </c>
      <c r="F3289" s="72" t="str">
        <f>HYPERLINK("http://nsgreg.nga.mil/genc/view?v=294963&amp;end_month=6&amp;end_day=30&amp;end_year=2019","Lucena")</f>
        <v>Lucena</v>
      </c>
      <c r="G3289" s="72" t="str">
        <f>HYPERLINK("http://api.nsgreg.nga.mil/geo-division/GENC/6/3-11/PH-LUC","as:GENC:6:3-11:PH-LUC")</f>
        <v>as:GENC:6:3-11:PH-LUC</v>
      </c>
    </row>
    <row r="3290" spans="1:7" x14ac:dyDescent="0.25">
      <c r="A3290" s="112"/>
      <c r="B3290" s="21" t="s">
        <v>8224</v>
      </c>
      <c r="C3290" s="21" t="s">
        <v>8225</v>
      </c>
      <c r="D3290" s="21" t="s">
        <v>1668</v>
      </c>
      <c r="E3290" s="50" t="b">
        <v>1</v>
      </c>
      <c r="F3290" s="72" t="str">
        <f>HYPERLINK("http://nsgreg.nga.mil/genc/view?v=294997&amp;end_month=6&amp;end_day=30&amp;end_year=2019","Quezon")</f>
        <v>Quezon</v>
      </c>
      <c r="G3290" s="72" t="str">
        <f>HYPERLINK("http://api.nsgreg.nga.mil/geo-division/GENC/6/3-11/PH-QUE","as:GENC:6:3-11:PH-QUE")</f>
        <v>as:GENC:6:3-11:PH-QUE</v>
      </c>
    </row>
    <row r="3291" spans="1:7" x14ac:dyDescent="0.25">
      <c r="A3291" s="112"/>
      <c r="B3291" s="21" t="s">
        <v>8226</v>
      </c>
      <c r="C3291" s="21" t="s">
        <v>8227</v>
      </c>
      <c r="D3291" s="21" t="s">
        <v>1668</v>
      </c>
      <c r="E3291" s="50" t="b">
        <v>1</v>
      </c>
      <c r="F3291" s="72" t="str">
        <f>HYPERLINK("http://nsgreg.nga.mil/genc/view?v=295000&amp;end_month=6&amp;end_day=30&amp;end_year=2019","Rizal")</f>
        <v>Rizal</v>
      </c>
      <c r="G3291" s="72" t="str">
        <f>HYPERLINK("http://api.nsgreg.nga.mil/geo-division/GENC/6/3-11/PH-RIZ","as:GENC:6:3-11:PH-RIZ")</f>
        <v>as:GENC:6:3-11:PH-RIZ</v>
      </c>
    </row>
    <row r="3292" spans="1:7" x14ac:dyDescent="0.25">
      <c r="A3292" s="112"/>
      <c r="B3292" s="21" t="s">
        <v>8228</v>
      </c>
      <c r="C3292" s="21" t="s">
        <v>8229</v>
      </c>
      <c r="D3292" s="76" t="s">
        <v>1975</v>
      </c>
      <c r="E3292" s="77" t="b">
        <v>0</v>
      </c>
      <c r="F3292" s="72" t="str">
        <f>HYPERLINK("http://nsgreg.nga.mil/genc/view?v=294900&amp;end_month=6&amp;end_day=30&amp;end_year=2019","CARAGA Region")</f>
        <v>CARAGA Region</v>
      </c>
      <c r="G3292" s="72" t="str">
        <f>HYPERLINK("http://api.nsgreg.nga.mil/geo-division/GENC/6/3-11/PH-13","as:GENC:6:3-11:PH-13")</f>
        <v>as:GENC:6:3-11:PH-13</v>
      </c>
    </row>
    <row r="3293" spans="1:7" x14ac:dyDescent="0.25">
      <c r="A3293" s="112"/>
      <c r="B3293" s="21" t="s">
        <v>8230</v>
      </c>
      <c r="C3293" s="21" t="s">
        <v>8231</v>
      </c>
      <c r="D3293" s="21" t="s">
        <v>1668</v>
      </c>
      <c r="E3293" s="50" t="b">
        <v>1</v>
      </c>
      <c r="F3293" s="72" t="str">
        <f>HYPERLINK("http://nsgreg.nga.mil/genc/view?v=294906&amp;end_month=6&amp;end_day=30&amp;end_year=2019","Agusan del Norte")</f>
        <v>Agusan del Norte</v>
      </c>
      <c r="G3293" s="72" t="str">
        <f>HYPERLINK("http://api.nsgreg.nga.mil/geo-division/GENC/6/3-11/PH-AGN","as:GENC:6:3-11:PH-AGN")</f>
        <v>as:GENC:6:3-11:PH-AGN</v>
      </c>
    </row>
    <row r="3294" spans="1:7" x14ac:dyDescent="0.25">
      <c r="A3294" s="112"/>
      <c r="B3294" s="21" t="s">
        <v>8232</v>
      </c>
      <c r="C3294" s="21" t="s">
        <v>8233</v>
      </c>
      <c r="D3294" s="21" t="s">
        <v>1668</v>
      </c>
      <c r="E3294" s="50" t="b">
        <v>1</v>
      </c>
      <c r="F3294" s="72" t="str">
        <f>HYPERLINK("http://nsgreg.nga.mil/genc/view?v=294907&amp;end_month=6&amp;end_day=30&amp;end_year=2019","Agusan del Sur")</f>
        <v>Agusan del Sur</v>
      </c>
      <c r="G3294" s="72" t="str">
        <f>HYPERLINK("http://api.nsgreg.nga.mil/geo-division/GENC/6/3-11/PH-AGS","as:GENC:6:3-11:PH-AGS")</f>
        <v>as:GENC:6:3-11:PH-AGS</v>
      </c>
    </row>
    <row r="3295" spans="1:7" x14ac:dyDescent="0.25">
      <c r="A3295" s="112"/>
      <c r="B3295" s="21" t="s">
        <v>8234</v>
      </c>
      <c r="C3295" s="21" t="s">
        <v>8235</v>
      </c>
      <c r="D3295" s="21" t="s">
        <v>8223</v>
      </c>
      <c r="E3295" s="50" t="b">
        <v>1</v>
      </c>
      <c r="F3295" s="72" t="str">
        <f>HYPERLINK("http://nsgreg.nga.mil/genc/view?v=294925&amp;end_month=6&amp;end_day=30&amp;end_year=2019","Butuan")</f>
        <v>Butuan</v>
      </c>
      <c r="G3295" s="72" t="str">
        <f>HYPERLINK("http://api.nsgreg.nga.mil/geo-division/GENC/6/3-11/PH-BUT","as:GENC:6:3-11:PH-BUT")</f>
        <v>as:GENC:6:3-11:PH-BUT</v>
      </c>
    </row>
    <row r="3296" spans="1:7" x14ac:dyDescent="0.25">
      <c r="A3296" s="112"/>
      <c r="B3296" s="21" t="s">
        <v>8236</v>
      </c>
      <c r="C3296" s="21" t="s">
        <v>8237</v>
      </c>
      <c r="D3296" s="21" t="s">
        <v>1668</v>
      </c>
      <c r="E3296" s="50" t="b">
        <v>1</v>
      </c>
      <c r="F3296" s="72" t="str">
        <f>HYPERLINK("http://nsgreg.nga.mil/genc/view?v=294943&amp;end_month=6&amp;end_day=30&amp;end_year=2019","Dinagat Islands")</f>
        <v>Dinagat Islands</v>
      </c>
      <c r="G3296" s="72" t="str">
        <f>HYPERLINK("http://api.nsgreg.nga.mil/geo-division/GENC/6/3-11/PH-DIN","as:GENC:6:3-11:PH-DIN")</f>
        <v>as:GENC:6:3-11:PH-DIN</v>
      </c>
    </row>
    <row r="3297" spans="1:7" x14ac:dyDescent="0.25">
      <c r="A3297" s="112"/>
      <c r="B3297" s="21" t="s">
        <v>8238</v>
      </c>
      <c r="C3297" s="21" t="s">
        <v>8239</v>
      </c>
      <c r="D3297" s="21" t="s">
        <v>1668</v>
      </c>
      <c r="E3297" s="50" t="b">
        <v>1</v>
      </c>
      <c r="F3297" s="72" t="str">
        <f>HYPERLINK("http://nsgreg.nga.mil/genc/view?v=295011&amp;end_month=6&amp;end_day=30&amp;end_year=2019","Surigao del Norte")</f>
        <v>Surigao del Norte</v>
      </c>
      <c r="G3297" s="72" t="str">
        <f>HYPERLINK("http://api.nsgreg.nga.mil/geo-division/GENC/6/3-11/PH-SUN","as:GENC:6:3-11:PH-SUN")</f>
        <v>as:GENC:6:3-11:PH-SUN</v>
      </c>
    </row>
    <row r="3298" spans="1:7" x14ac:dyDescent="0.25">
      <c r="A3298" s="112"/>
      <c r="B3298" s="21" t="s">
        <v>8240</v>
      </c>
      <c r="C3298" s="21" t="s">
        <v>8241</v>
      </c>
      <c r="D3298" s="21" t="s">
        <v>1668</v>
      </c>
      <c r="E3298" s="50" t="b">
        <v>1</v>
      </c>
      <c r="F3298" s="72" t="str">
        <f>HYPERLINK("http://nsgreg.nga.mil/genc/view?v=295012&amp;end_month=6&amp;end_day=30&amp;end_year=2019","Surigao del Sur")</f>
        <v>Surigao del Sur</v>
      </c>
      <c r="G3298" s="72" t="str">
        <f>HYPERLINK("http://api.nsgreg.nga.mil/geo-division/GENC/6/3-11/PH-SUR","as:GENC:6:3-11:PH-SUR")</f>
        <v>as:GENC:6:3-11:PH-SUR</v>
      </c>
    </row>
    <row r="3299" spans="1:7" x14ac:dyDescent="0.25">
      <c r="A3299" s="112"/>
      <c r="B3299" s="21" t="s">
        <v>8242</v>
      </c>
      <c r="C3299" s="21" t="s">
        <v>8243</v>
      </c>
      <c r="D3299" s="76" t="s">
        <v>1975</v>
      </c>
      <c r="E3299" s="77" t="b">
        <v>0</v>
      </c>
      <c r="F3299" s="72" t="str">
        <f>HYPERLINK("http://nsgreg.nga.mil/genc/view?v=294891&amp;end_month=6&amp;end_day=30&amp;end_year=2019","Central Luzon")</f>
        <v>Central Luzon</v>
      </c>
      <c r="G3299" s="72" t="str">
        <f>HYPERLINK("http://api.nsgreg.nga.mil/geo-division/GENC/6/3-11/PH-03","as:GENC:6:3-11:PH-03")</f>
        <v>as:GENC:6:3-11:PH-03</v>
      </c>
    </row>
    <row r="3300" spans="1:7" x14ac:dyDescent="0.25">
      <c r="A3300" s="112"/>
      <c r="B3300" s="21" t="s">
        <v>8244</v>
      </c>
      <c r="C3300" s="21" t="s">
        <v>8245</v>
      </c>
      <c r="D3300" s="21" t="s">
        <v>8223</v>
      </c>
      <c r="E3300" s="50" t="b">
        <v>1</v>
      </c>
      <c r="F3300" s="72" t="str">
        <f>HYPERLINK("http://nsgreg.nga.mil/genc/view?v=294910&amp;end_month=6&amp;end_day=30&amp;end_year=2019","Angeles")</f>
        <v>Angeles</v>
      </c>
      <c r="G3300" s="72" t="str">
        <f>HYPERLINK("http://api.nsgreg.nga.mil/geo-division/GENC/6/3-11/PH-ANG","as:GENC:6:3-11:PH-ANG")</f>
        <v>as:GENC:6:3-11:PH-ANG</v>
      </c>
    </row>
    <row r="3301" spans="1:7" x14ac:dyDescent="0.25">
      <c r="A3301" s="112"/>
      <c r="B3301" s="21" t="s">
        <v>8246</v>
      </c>
      <c r="C3301" s="21" t="s">
        <v>8247</v>
      </c>
      <c r="D3301" s="21" t="s">
        <v>1668</v>
      </c>
      <c r="E3301" s="50" t="b">
        <v>1</v>
      </c>
      <c r="F3301" s="72" t="str">
        <f>HYPERLINK("http://nsgreg.nga.mil/genc/view?v=294913&amp;end_month=6&amp;end_day=30&amp;end_year=2019","Aurora")</f>
        <v>Aurora</v>
      </c>
      <c r="G3301" s="72" t="str">
        <f>HYPERLINK("http://api.nsgreg.nga.mil/geo-division/GENC/6/3-11/PH-AUR","as:GENC:6:3-11:PH-AUR")</f>
        <v>as:GENC:6:3-11:PH-AUR</v>
      </c>
    </row>
    <row r="3302" spans="1:7" x14ac:dyDescent="0.25">
      <c r="A3302" s="112"/>
      <c r="B3302" s="21" t="s">
        <v>8248</v>
      </c>
      <c r="C3302" s="21" t="s">
        <v>8249</v>
      </c>
      <c r="D3302" s="21" t="s">
        <v>1668</v>
      </c>
      <c r="E3302" s="50" t="b">
        <v>1</v>
      </c>
      <c r="F3302" s="72" t="str">
        <f>HYPERLINK("http://nsgreg.nga.mil/genc/view?v=294916&amp;end_month=6&amp;end_day=30&amp;end_year=2019","Bataan")</f>
        <v>Bataan</v>
      </c>
      <c r="G3302" s="72" t="str">
        <f>HYPERLINK("http://api.nsgreg.nga.mil/geo-division/GENC/6/3-11/PH-BAN","as:GENC:6:3-11:PH-BAN")</f>
        <v>as:GENC:6:3-11:PH-BAN</v>
      </c>
    </row>
    <row r="3303" spans="1:7" x14ac:dyDescent="0.25">
      <c r="A3303" s="112"/>
      <c r="B3303" s="21" t="s">
        <v>8250</v>
      </c>
      <c r="C3303" s="21" t="s">
        <v>8251</v>
      </c>
      <c r="D3303" s="21" t="s">
        <v>1668</v>
      </c>
      <c r="E3303" s="50" t="b">
        <v>1</v>
      </c>
      <c r="F3303" s="72" t="str">
        <f>HYPERLINK("http://nsgreg.nga.mil/genc/view?v=294924&amp;end_month=6&amp;end_day=30&amp;end_year=2019","Bulacan")</f>
        <v>Bulacan</v>
      </c>
      <c r="G3303" s="72" t="str">
        <f>HYPERLINK("http://api.nsgreg.nga.mil/geo-division/GENC/6/3-11/PH-BUL","as:GENC:6:3-11:PH-BUL")</f>
        <v>as:GENC:6:3-11:PH-BUL</v>
      </c>
    </row>
    <row r="3304" spans="1:7" x14ac:dyDescent="0.25">
      <c r="A3304" s="112"/>
      <c r="B3304" s="21" t="s">
        <v>8252</v>
      </c>
      <c r="C3304" s="21" t="s">
        <v>8253</v>
      </c>
      <c r="D3304" s="21" t="s">
        <v>1668</v>
      </c>
      <c r="E3304" s="50" t="b">
        <v>1</v>
      </c>
      <c r="F3304" s="72" t="str">
        <f>HYPERLINK("http://nsgreg.nga.mil/genc/view?v=294986&amp;end_month=6&amp;end_day=30&amp;end_year=2019","Nueva Ecija")</f>
        <v>Nueva Ecija</v>
      </c>
      <c r="G3304" s="72" t="str">
        <f>HYPERLINK("http://api.nsgreg.nga.mil/geo-division/GENC/6/3-11/PH-NUE","as:GENC:6:3-11:PH-NUE")</f>
        <v>as:GENC:6:3-11:PH-NUE</v>
      </c>
    </row>
    <row r="3305" spans="1:7" x14ac:dyDescent="0.25">
      <c r="A3305" s="112"/>
      <c r="B3305" s="21" t="s">
        <v>8254</v>
      </c>
      <c r="C3305" s="21" t="s">
        <v>8255</v>
      </c>
      <c r="D3305" s="21" t="s">
        <v>8223</v>
      </c>
      <c r="E3305" s="50" t="b">
        <v>1</v>
      </c>
      <c r="F3305" s="72" t="str">
        <f>HYPERLINK("http://nsgreg.nga.mil/genc/view?v=294988&amp;end_month=6&amp;end_day=30&amp;end_year=2019","Olongapo")</f>
        <v>Olongapo</v>
      </c>
      <c r="G3305" s="72" t="str">
        <f>HYPERLINK("http://api.nsgreg.nga.mil/geo-division/GENC/6/3-11/PH-OLG","as:GENC:6:3-11:PH-OLG")</f>
        <v>as:GENC:6:3-11:PH-OLG</v>
      </c>
    </row>
    <row r="3306" spans="1:7" x14ac:dyDescent="0.25">
      <c r="A3306" s="112"/>
      <c r="B3306" s="21" t="s">
        <v>8256</v>
      </c>
      <c r="C3306" s="21" t="s">
        <v>8257</v>
      </c>
      <c r="D3306" s="21" t="s">
        <v>1668</v>
      </c>
      <c r="E3306" s="50" t="b">
        <v>1</v>
      </c>
      <c r="F3306" s="72" t="str">
        <f>HYPERLINK("http://nsgreg.nga.mil/genc/view?v=294990&amp;end_month=6&amp;end_day=30&amp;end_year=2019","Pampanga")</f>
        <v>Pampanga</v>
      </c>
      <c r="G3306" s="72" t="str">
        <f>HYPERLINK("http://api.nsgreg.nga.mil/geo-division/GENC/6/3-11/PH-PAM","as:GENC:6:3-11:PH-PAM")</f>
        <v>as:GENC:6:3-11:PH-PAM</v>
      </c>
    </row>
    <row r="3307" spans="1:7" x14ac:dyDescent="0.25">
      <c r="A3307" s="112"/>
      <c r="B3307" s="21" t="s">
        <v>8258</v>
      </c>
      <c r="C3307" s="21" t="s">
        <v>8259</v>
      </c>
      <c r="D3307" s="21" t="s">
        <v>1668</v>
      </c>
      <c r="E3307" s="50" t="b">
        <v>1</v>
      </c>
      <c r="F3307" s="72" t="str">
        <f>HYPERLINK("http://nsgreg.nga.mil/genc/view?v=295015&amp;end_month=6&amp;end_day=30&amp;end_year=2019","Tarlac")</f>
        <v>Tarlac</v>
      </c>
      <c r="G3307" s="72" t="str">
        <f>HYPERLINK("http://api.nsgreg.nga.mil/geo-division/GENC/6/3-11/PH-TAR","as:GENC:6:3-11:PH-TAR")</f>
        <v>as:GENC:6:3-11:PH-TAR</v>
      </c>
    </row>
    <row r="3308" spans="1:7" x14ac:dyDescent="0.25">
      <c r="A3308" s="112"/>
      <c r="B3308" s="21" t="s">
        <v>8260</v>
      </c>
      <c r="C3308" s="21" t="s">
        <v>8261</v>
      </c>
      <c r="D3308" s="21" t="s">
        <v>1668</v>
      </c>
      <c r="E3308" s="50" t="b">
        <v>1</v>
      </c>
      <c r="F3308" s="72" t="str">
        <f>HYPERLINK("http://nsgreg.nga.mil/genc/view?v=295022&amp;end_month=6&amp;end_day=30&amp;end_year=2019","Zambales")</f>
        <v>Zambales</v>
      </c>
      <c r="G3308" s="72" t="str">
        <f>HYPERLINK("http://api.nsgreg.nga.mil/geo-division/GENC/6/3-11/PH-ZMB","as:GENC:6:3-11:PH-ZMB")</f>
        <v>as:GENC:6:3-11:PH-ZMB</v>
      </c>
    </row>
    <row r="3309" spans="1:7" x14ac:dyDescent="0.25">
      <c r="A3309" s="112"/>
      <c r="B3309" s="21" t="s">
        <v>8262</v>
      </c>
      <c r="C3309" s="21" t="s">
        <v>8263</v>
      </c>
      <c r="D3309" s="76" t="s">
        <v>1975</v>
      </c>
      <c r="E3309" s="77" t="b">
        <v>0</v>
      </c>
      <c r="F3309" s="72" t="str">
        <f>HYPERLINK("http://nsgreg.nga.mil/genc/view?v=294894&amp;end_month=6&amp;end_day=30&amp;end_year=2019","Central Visayas")</f>
        <v>Central Visayas</v>
      </c>
      <c r="G3309" s="72" t="str">
        <f>HYPERLINK("http://api.nsgreg.nga.mil/geo-division/GENC/6/3-11/PH-07","as:GENC:6:3-11:PH-07")</f>
        <v>as:GENC:6:3-11:PH-07</v>
      </c>
    </row>
    <row r="3310" spans="1:7" x14ac:dyDescent="0.25">
      <c r="A3310" s="112"/>
      <c r="B3310" s="21" t="s">
        <v>8264</v>
      </c>
      <c r="C3310" s="21" t="s">
        <v>8265</v>
      </c>
      <c r="D3310" s="21" t="s">
        <v>1668</v>
      </c>
      <c r="E3310" s="50" t="b">
        <v>1</v>
      </c>
      <c r="F3310" s="72" t="str">
        <f>HYPERLINK("http://nsgreg.nga.mil/genc/view?v=294920&amp;end_month=6&amp;end_day=30&amp;end_year=2019","Bohol")</f>
        <v>Bohol</v>
      </c>
      <c r="G3310" s="72" t="str">
        <f>HYPERLINK("http://api.nsgreg.nga.mil/geo-division/GENC/6/3-11/PH-BOH","as:GENC:6:3-11:PH-BOH")</f>
        <v>as:GENC:6:3-11:PH-BOH</v>
      </c>
    </row>
    <row r="3311" spans="1:7" x14ac:dyDescent="0.25">
      <c r="A3311" s="112"/>
      <c r="B3311" s="21" t="s">
        <v>8266</v>
      </c>
      <c r="C3311" s="21" t="s">
        <v>8267</v>
      </c>
      <c r="D3311" s="21" t="s">
        <v>8223</v>
      </c>
      <c r="E3311" s="50" t="b">
        <v>1</v>
      </c>
      <c r="F3311" s="72" t="str">
        <f>HYPERLINK("http://nsgreg.nga.mil/genc/view?v=294934&amp;end_month=6&amp;end_day=30&amp;end_year=2019","Cebu")</f>
        <v>Cebu</v>
      </c>
      <c r="G3311" s="72" t="str">
        <f>HYPERLINK("http://api.nsgreg.nga.mil/geo-division/GENC/6/3-11/PH-CBU","as:GENC:6:3-11:PH-CBU")</f>
        <v>as:GENC:6:3-11:PH-CBU</v>
      </c>
    </row>
    <row r="3312" spans="1:7" x14ac:dyDescent="0.25">
      <c r="A3312" s="112"/>
      <c r="B3312" s="21" t="s">
        <v>8268</v>
      </c>
      <c r="C3312" s="21" t="s">
        <v>8267</v>
      </c>
      <c r="D3312" s="21" t="s">
        <v>1668</v>
      </c>
      <c r="E3312" s="50" t="b">
        <v>1</v>
      </c>
      <c r="F3312" s="72" t="str">
        <f>HYPERLINK("http://nsgreg.nga.mil/genc/view?v=294935&amp;end_month=6&amp;end_day=30&amp;end_year=2019","Cebu")</f>
        <v>Cebu</v>
      </c>
      <c r="G3312" s="72" t="str">
        <f>HYPERLINK("http://api.nsgreg.nga.mil/geo-division/GENC/6/3-11/PH-CEB","as:GENC:6:3-11:PH-CEB")</f>
        <v>as:GENC:6:3-11:PH-CEB</v>
      </c>
    </row>
    <row r="3313" spans="1:7" x14ac:dyDescent="0.25">
      <c r="A3313" s="112"/>
      <c r="B3313" s="21" t="s">
        <v>8269</v>
      </c>
      <c r="C3313" s="21" t="s">
        <v>8270</v>
      </c>
      <c r="D3313" s="21" t="s">
        <v>8223</v>
      </c>
      <c r="E3313" s="50" t="b">
        <v>1</v>
      </c>
      <c r="F3313" s="72" t="str">
        <f>HYPERLINK("http://nsgreg.nga.mil/genc/view?v=294960&amp;end_month=6&amp;end_day=30&amp;end_year=2019","Lapu-Lapu")</f>
        <v>Lapu-Lapu</v>
      </c>
      <c r="G3313" s="72" t="str">
        <f>HYPERLINK("http://api.nsgreg.nga.mil/geo-division/GENC/6/3-11/PH-LAP","as:GENC:6:3-11:PH-LAP")</f>
        <v>as:GENC:6:3-11:PH-LAP</v>
      </c>
    </row>
    <row r="3314" spans="1:7" x14ac:dyDescent="0.25">
      <c r="A3314" s="112"/>
      <c r="B3314" s="21" t="s">
        <v>8271</v>
      </c>
      <c r="C3314" s="21" t="s">
        <v>8272</v>
      </c>
      <c r="D3314" s="21" t="s">
        <v>8223</v>
      </c>
      <c r="E3314" s="50" t="b">
        <v>1</v>
      </c>
      <c r="F3314" s="72" t="str">
        <f>HYPERLINK("http://nsgreg.nga.mil/genc/view?v=294974&amp;end_month=6&amp;end_day=30&amp;end_year=2019","Mandaue")</f>
        <v>Mandaue</v>
      </c>
      <c r="G3314" s="72" t="str">
        <f>HYPERLINK("http://api.nsgreg.nga.mil/geo-division/GENC/6/3-11/PH-MDU","as:GENC:6:3-11:PH-MDU")</f>
        <v>as:GENC:6:3-11:PH-MDU</v>
      </c>
    </row>
    <row r="3315" spans="1:7" x14ac:dyDescent="0.25">
      <c r="A3315" s="112"/>
      <c r="B3315" s="21" t="s">
        <v>8273</v>
      </c>
      <c r="C3315" s="21" t="s">
        <v>8274</v>
      </c>
      <c r="D3315" s="21" t="s">
        <v>1668</v>
      </c>
      <c r="E3315" s="50" t="b">
        <v>1</v>
      </c>
      <c r="F3315" s="72" t="str">
        <f>HYPERLINK("http://nsgreg.nga.mil/genc/view?v=294984&amp;end_month=6&amp;end_day=30&amp;end_year=2019","Negros Oriental")</f>
        <v>Negros Oriental</v>
      </c>
      <c r="G3315" s="72" t="str">
        <f>HYPERLINK("http://api.nsgreg.nga.mil/geo-division/GENC/6/3-11/PH-NER","as:GENC:6:3-11:PH-NER")</f>
        <v>as:GENC:6:3-11:PH-NER</v>
      </c>
    </row>
    <row r="3316" spans="1:7" x14ac:dyDescent="0.25">
      <c r="A3316" s="112"/>
      <c r="B3316" s="21" t="s">
        <v>8275</v>
      </c>
      <c r="C3316" s="21" t="s">
        <v>8276</v>
      </c>
      <c r="D3316" s="21" t="s">
        <v>1668</v>
      </c>
      <c r="E3316" s="50" t="b">
        <v>1</v>
      </c>
      <c r="F3316" s="72" t="str">
        <f>HYPERLINK("http://nsgreg.nga.mil/genc/view?v=295005&amp;end_month=6&amp;end_day=30&amp;end_year=2019","Siquijor")</f>
        <v>Siquijor</v>
      </c>
      <c r="G3316" s="72" t="str">
        <f>HYPERLINK("http://api.nsgreg.nga.mil/geo-division/GENC/6/3-11/PH-SIG","as:GENC:6:3-11:PH-SIG")</f>
        <v>as:GENC:6:3-11:PH-SIG</v>
      </c>
    </row>
    <row r="3317" spans="1:7" x14ac:dyDescent="0.25">
      <c r="A3317" s="112"/>
      <c r="B3317" s="21" t="s">
        <v>8277</v>
      </c>
      <c r="C3317" s="21" t="s">
        <v>8278</v>
      </c>
      <c r="D3317" s="76" t="s">
        <v>1975</v>
      </c>
      <c r="E3317" s="77" t="b">
        <v>0</v>
      </c>
      <c r="F3317" s="72" t="str">
        <f>HYPERLINK("http://nsgreg.nga.mil/genc/view?v=294902&amp;end_month=6&amp;end_day=30&amp;end_year=2019","Cordillera Administrative Region")</f>
        <v>Cordillera Administrative Region</v>
      </c>
      <c r="G3317" s="72" t="str">
        <f>HYPERLINK("http://api.nsgreg.nga.mil/geo-division/GENC/6/3-11/PH-15","as:GENC:6:3-11:PH-15")</f>
        <v>as:GENC:6:3-11:PH-15</v>
      </c>
    </row>
    <row r="3318" spans="1:7" x14ac:dyDescent="0.25">
      <c r="A3318" s="112"/>
      <c r="B3318" s="21" t="s">
        <v>8279</v>
      </c>
      <c r="C3318" s="21" t="s">
        <v>8280</v>
      </c>
      <c r="D3318" s="21" t="s">
        <v>1668</v>
      </c>
      <c r="E3318" s="50" t="b">
        <v>1</v>
      </c>
      <c r="F3318" s="72" t="str">
        <f>HYPERLINK("http://nsgreg.nga.mil/genc/view?v=294905&amp;end_month=6&amp;end_day=30&amp;end_year=2019","Abra")</f>
        <v>Abra</v>
      </c>
      <c r="G3318" s="72" t="str">
        <f>HYPERLINK("http://api.nsgreg.nga.mil/geo-division/GENC/6/3-11/PH-ABR","as:GENC:6:3-11:PH-ABR")</f>
        <v>as:GENC:6:3-11:PH-ABR</v>
      </c>
    </row>
    <row r="3319" spans="1:7" x14ac:dyDescent="0.25">
      <c r="A3319" s="112"/>
      <c r="B3319" s="21" t="s">
        <v>8281</v>
      </c>
      <c r="C3319" s="21" t="s">
        <v>8282</v>
      </c>
      <c r="D3319" s="21" t="s">
        <v>1668</v>
      </c>
      <c r="E3319" s="50" t="b">
        <v>1</v>
      </c>
      <c r="F3319" s="72" t="str">
        <f>HYPERLINK("http://nsgreg.nga.mil/genc/view?v=294912&amp;end_month=6&amp;end_day=30&amp;end_year=2019","Apayao")</f>
        <v>Apayao</v>
      </c>
      <c r="G3319" s="72" t="str">
        <f>HYPERLINK("http://api.nsgreg.nga.mil/geo-division/GENC/6/3-11/PH-APA","as:GENC:6:3-11:PH-APA")</f>
        <v>as:GENC:6:3-11:PH-APA</v>
      </c>
    </row>
    <row r="3320" spans="1:7" x14ac:dyDescent="0.25">
      <c r="A3320" s="112"/>
      <c r="B3320" s="21" t="s">
        <v>8283</v>
      </c>
      <c r="C3320" s="21" t="s">
        <v>8284</v>
      </c>
      <c r="D3320" s="21" t="s">
        <v>8223</v>
      </c>
      <c r="E3320" s="50" t="b">
        <v>1</v>
      </c>
      <c r="F3320" s="72" t="str">
        <f>HYPERLINK("http://nsgreg.nga.mil/genc/view?v=294915&amp;end_month=6&amp;end_day=30&amp;end_year=2019","Baguio")</f>
        <v>Baguio</v>
      </c>
      <c r="G3320" s="72" t="str">
        <f>HYPERLINK("http://api.nsgreg.nga.mil/geo-division/GENC/6/3-11/PH-BAG","as:GENC:6:3-11:PH-BAG")</f>
        <v>as:GENC:6:3-11:PH-BAG</v>
      </c>
    </row>
    <row r="3321" spans="1:7" x14ac:dyDescent="0.25">
      <c r="A3321" s="112"/>
      <c r="B3321" s="21" t="s">
        <v>8285</v>
      </c>
      <c r="C3321" s="21" t="s">
        <v>8286</v>
      </c>
      <c r="D3321" s="21" t="s">
        <v>1668</v>
      </c>
      <c r="E3321" s="50" t="b">
        <v>1</v>
      </c>
      <c r="F3321" s="72" t="str">
        <f>HYPERLINK("http://nsgreg.nga.mil/genc/view?v=294918&amp;end_month=6&amp;end_day=30&amp;end_year=2019","Benguet")</f>
        <v>Benguet</v>
      </c>
      <c r="G3321" s="72" t="str">
        <f>HYPERLINK("http://api.nsgreg.nga.mil/geo-division/GENC/6/3-11/PH-BEN","as:GENC:6:3-11:PH-BEN")</f>
        <v>as:GENC:6:3-11:PH-BEN</v>
      </c>
    </row>
    <row r="3322" spans="1:7" x14ac:dyDescent="0.25">
      <c r="A3322" s="112"/>
      <c r="B3322" s="21" t="s">
        <v>8287</v>
      </c>
      <c r="C3322" s="21" t="s">
        <v>8288</v>
      </c>
      <c r="D3322" s="21" t="s">
        <v>1668</v>
      </c>
      <c r="E3322" s="50" t="b">
        <v>1</v>
      </c>
      <c r="F3322" s="72" t="str">
        <f>HYPERLINK("http://nsgreg.nga.mil/genc/view?v=294949&amp;end_month=6&amp;end_day=30&amp;end_year=2019","Ifugao")</f>
        <v>Ifugao</v>
      </c>
      <c r="G3322" s="72" t="str">
        <f>HYPERLINK("http://api.nsgreg.nga.mil/geo-division/GENC/6/3-11/PH-IFU","as:GENC:6:3-11:PH-IFU")</f>
        <v>as:GENC:6:3-11:PH-IFU</v>
      </c>
    </row>
    <row r="3323" spans="1:7" x14ac:dyDescent="0.25">
      <c r="A3323" s="112"/>
      <c r="B3323" s="21" t="s">
        <v>8289</v>
      </c>
      <c r="C3323" s="21" t="s">
        <v>8290</v>
      </c>
      <c r="D3323" s="21" t="s">
        <v>1668</v>
      </c>
      <c r="E3323" s="50" t="b">
        <v>1</v>
      </c>
      <c r="F3323" s="72" t="str">
        <f>HYPERLINK("http://nsgreg.nga.mil/genc/view?v=294957&amp;end_month=6&amp;end_day=30&amp;end_year=2019","Kalinga")</f>
        <v>Kalinga</v>
      </c>
      <c r="G3323" s="72" t="str">
        <f>HYPERLINK("http://api.nsgreg.nga.mil/geo-division/GENC/6/3-11/PH-KAL","as:GENC:6:3-11:PH-KAL")</f>
        <v>as:GENC:6:3-11:PH-KAL</v>
      </c>
    </row>
    <row r="3324" spans="1:7" x14ac:dyDescent="0.25">
      <c r="A3324" s="112"/>
      <c r="B3324" s="21" t="s">
        <v>8291</v>
      </c>
      <c r="C3324" s="21" t="s">
        <v>8292</v>
      </c>
      <c r="D3324" s="21" t="s">
        <v>1668</v>
      </c>
      <c r="E3324" s="50" t="b">
        <v>1</v>
      </c>
      <c r="F3324" s="72" t="str">
        <f>HYPERLINK("http://nsgreg.nga.mil/genc/view?v=294976&amp;end_month=6&amp;end_day=30&amp;end_year=2019","Mountain")</f>
        <v>Mountain</v>
      </c>
      <c r="G3324" s="72" t="str">
        <f>HYPERLINK("http://api.nsgreg.nga.mil/geo-division/GENC/6/3-11/PH-MOU","as:GENC:6:3-11:PH-MOU")</f>
        <v>as:GENC:6:3-11:PH-MOU</v>
      </c>
    </row>
    <row r="3325" spans="1:7" x14ac:dyDescent="0.25">
      <c r="A3325" s="112"/>
      <c r="B3325" s="21" t="s">
        <v>8293</v>
      </c>
      <c r="C3325" s="21" t="s">
        <v>8294</v>
      </c>
      <c r="D3325" s="76" t="s">
        <v>1975</v>
      </c>
      <c r="E3325" s="77" t="b">
        <v>0</v>
      </c>
      <c r="F3325" s="72" t="str">
        <f>HYPERLINK("http://nsgreg.nga.mil/genc/view?v=294898&amp;end_month=6&amp;end_day=30&amp;end_year=2019","Davao")</f>
        <v>Davao</v>
      </c>
      <c r="G3325" s="72" t="str">
        <f>HYPERLINK("http://api.nsgreg.nga.mil/geo-division/GENC/6/3-11/PH-11","as:GENC:6:3-11:PH-11")</f>
        <v>as:GENC:6:3-11:PH-11</v>
      </c>
    </row>
    <row r="3326" spans="1:7" x14ac:dyDescent="0.25">
      <c r="A3326" s="112"/>
      <c r="B3326" s="21" t="s">
        <v>8295</v>
      </c>
      <c r="C3326" s="21" t="s">
        <v>8296</v>
      </c>
      <c r="D3326" s="21" t="s">
        <v>1668</v>
      </c>
      <c r="E3326" s="50" t="b">
        <v>1</v>
      </c>
      <c r="F3326" s="72" t="str">
        <f>HYPERLINK("http://nsgreg.nga.mil/genc/view?v=294937&amp;end_month=6&amp;end_day=30&amp;end_year=2019","Compostela Valley")</f>
        <v>Compostela Valley</v>
      </c>
      <c r="G3326" s="72" t="str">
        <f>HYPERLINK("http://api.nsgreg.nga.mil/geo-division/GENC/6/3-11/PH-COM","as:GENC:6:3-11:PH-COM")</f>
        <v>as:GENC:6:3-11:PH-COM</v>
      </c>
    </row>
    <row r="3327" spans="1:7" x14ac:dyDescent="0.25">
      <c r="A3327" s="112"/>
      <c r="B3327" s="21" t="s">
        <v>8297</v>
      </c>
      <c r="C3327" s="21" t="s">
        <v>8298</v>
      </c>
      <c r="D3327" s="21" t="s">
        <v>8223</v>
      </c>
      <c r="E3327" s="50" t="b">
        <v>1</v>
      </c>
      <c r="F3327" s="72" t="str">
        <f>HYPERLINK("http://nsgreg.nga.mil/genc/view?v=294944&amp;end_month=6&amp;end_day=30&amp;end_year=2019","Davao")</f>
        <v>Davao</v>
      </c>
      <c r="G3327" s="72" t="str">
        <f>HYPERLINK("http://api.nsgreg.nga.mil/geo-division/GENC/6/3-11/PH-DVC","as:GENC:6:3-11:PH-DVC")</f>
        <v>as:GENC:6:3-11:PH-DVC</v>
      </c>
    </row>
    <row r="3328" spans="1:7" x14ac:dyDescent="0.25">
      <c r="A3328" s="112"/>
      <c r="B3328" s="21" t="s">
        <v>8299</v>
      </c>
      <c r="C3328" s="21" t="s">
        <v>8300</v>
      </c>
      <c r="D3328" s="21" t="s">
        <v>1668</v>
      </c>
      <c r="E3328" s="50" t="b">
        <v>1</v>
      </c>
      <c r="F3328" s="72" t="str">
        <f>HYPERLINK("http://nsgreg.nga.mil/genc/view?v=294942&amp;end_month=6&amp;end_day=30&amp;end_year=2019","Davao del Norte")</f>
        <v>Davao del Norte</v>
      </c>
      <c r="G3328" s="72" t="str">
        <f>HYPERLINK("http://api.nsgreg.nga.mil/geo-division/GENC/6/3-11/PH-DAV","as:GENC:6:3-11:PH-DAV")</f>
        <v>as:GENC:6:3-11:PH-DAV</v>
      </c>
    </row>
    <row r="3329" spans="1:7" x14ac:dyDescent="0.25">
      <c r="A3329" s="112"/>
      <c r="B3329" s="21" t="s">
        <v>8301</v>
      </c>
      <c r="C3329" s="21" t="s">
        <v>8302</v>
      </c>
      <c r="D3329" s="21" t="s">
        <v>1668</v>
      </c>
      <c r="E3329" s="50" t="b">
        <v>1</v>
      </c>
      <c r="F3329" s="72" t="str">
        <f>HYPERLINK("http://nsgreg.nga.mil/genc/view?v=294941&amp;end_month=6&amp;end_day=30&amp;end_year=2019","Davao del Sur")</f>
        <v>Davao del Sur</v>
      </c>
      <c r="G3329" s="72" t="str">
        <f>HYPERLINK("http://api.nsgreg.nga.mil/geo-division/GENC/6/3-11/PH-DAS","as:GENC:6:3-11:PH-DAS")</f>
        <v>as:GENC:6:3-11:PH-DAS</v>
      </c>
    </row>
    <row r="3330" spans="1:7" x14ac:dyDescent="0.25">
      <c r="A3330" s="112"/>
      <c r="B3330" s="21" t="s">
        <v>8303</v>
      </c>
      <c r="C3330" s="21" t="s">
        <v>8304</v>
      </c>
      <c r="D3330" s="21" t="s">
        <v>1668</v>
      </c>
      <c r="E3330" s="50" t="b">
        <v>1</v>
      </c>
      <c r="F3330" s="72" t="str">
        <f>HYPERLINK("http://nsgreg.nga.mil/genc/view?v=294945&amp;end_month=6&amp;end_day=30&amp;end_year=2019","Davao Occidental")</f>
        <v>Davao Occidental</v>
      </c>
      <c r="G3330" s="72" t="str">
        <f>HYPERLINK("http://api.nsgreg.nga.mil/geo-division/GENC/6/3-11/PH-DVO","as:GENC:6:3-11:PH-DVO")</f>
        <v>as:GENC:6:3-11:PH-DVO</v>
      </c>
    </row>
    <row r="3331" spans="1:7" x14ac:dyDescent="0.25">
      <c r="A3331" s="112"/>
      <c r="B3331" s="21" t="s">
        <v>8305</v>
      </c>
      <c r="C3331" s="21" t="s">
        <v>8306</v>
      </c>
      <c r="D3331" s="21" t="s">
        <v>1668</v>
      </c>
      <c r="E3331" s="50" t="b">
        <v>1</v>
      </c>
      <c r="F3331" s="72" t="str">
        <f>HYPERLINK("http://nsgreg.nga.mil/genc/view?v=294940&amp;end_month=6&amp;end_day=30&amp;end_year=2019","Davao Oriental")</f>
        <v>Davao Oriental</v>
      </c>
      <c r="G3331" s="72" t="str">
        <f>HYPERLINK("http://api.nsgreg.nga.mil/geo-division/GENC/6/3-11/PH-DAO","as:GENC:6:3-11:PH-DAO")</f>
        <v>as:GENC:6:3-11:PH-DAO</v>
      </c>
    </row>
    <row r="3332" spans="1:7" x14ac:dyDescent="0.25">
      <c r="A3332" s="112"/>
      <c r="B3332" s="21" t="s">
        <v>8307</v>
      </c>
      <c r="C3332" s="21" t="s">
        <v>8308</v>
      </c>
      <c r="D3332" s="76" t="s">
        <v>1975</v>
      </c>
      <c r="E3332" s="77" t="b">
        <v>0</v>
      </c>
      <c r="F3332" s="72" t="str">
        <f>HYPERLINK("http://nsgreg.nga.mil/genc/view?v=294895&amp;end_month=6&amp;end_day=30&amp;end_year=2019","Eastern Visayas")</f>
        <v>Eastern Visayas</v>
      </c>
      <c r="G3332" s="72" t="str">
        <f>HYPERLINK("http://api.nsgreg.nga.mil/geo-division/GENC/6/3-11/PH-08","as:GENC:6:3-11:PH-08")</f>
        <v>as:GENC:6:3-11:PH-08</v>
      </c>
    </row>
    <row r="3333" spans="1:7" x14ac:dyDescent="0.25">
      <c r="A3333" s="112"/>
      <c r="B3333" s="21" t="s">
        <v>8309</v>
      </c>
      <c r="C3333" s="21" t="s">
        <v>8310</v>
      </c>
      <c r="D3333" s="21" t="s">
        <v>1668</v>
      </c>
      <c r="E3333" s="50" t="b">
        <v>1</v>
      </c>
      <c r="F3333" s="72" t="str">
        <f>HYPERLINK("http://nsgreg.nga.mil/genc/view?v=294919&amp;end_month=6&amp;end_day=30&amp;end_year=2019","Biliran")</f>
        <v>Biliran</v>
      </c>
      <c r="G3333" s="72" t="str">
        <f>HYPERLINK("http://api.nsgreg.nga.mil/geo-division/GENC/6/3-11/PH-BIL","as:GENC:6:3-11:PH-BIL")</f>
        <v>as:GENC:6:3-11:PH-BIL</v>
      </c>
    </row>
    <row r="3334" spans="1:7" x14ac:dyDescent="0.25">
      <c r="A3334" s="112"/>
      <c r="B3334" s="21" t="s">
        <v>8311</v>
      </c>
      <c r="C3334" s="21" t="s">
        <v>8312</v>
      </c>
      <c r="D3334" s="21" t="s">
        <v>1668</v>
      </c>
      <c r="E3334" s="50" t="b">
        <v>1</v>
      </c>
      <c r="F3334" s="72" t="str">
        <f>HYPERLINK("http://nsgreg.nga.mil/genc/view?v=294946&amp;end_month=6&amp;end_day=30&amp;end_year=2019","Eastern Samar")</f>
        <v>Eastern Samar</v>
      </c>
      <c r="G3334" s="72" t="str">
        <f>HYPERLINK("http://api.nsgreg.nga.mil/geo-division/GENC/6/3-11/PH-EAS","as:GENC:6:3-11:PH-EAS")</f>
        <v>as:GENC:6:3-11:PH-EAS</v>
      </c>
    </row>
    <row r="3335" spans="1:7" x14ac:dyDescent="0.25">
      <c r="A3335" s="112"/>
      <c r="B3335" s="21" t="s">
        <v>8313</v>
      </c>
      <c r="C3335" s="21" t="s">
        <v>8314</v>
      </c>
      <c r="D3335" s="21" t="s">
        <v>1668</v>
      </c>
      <c r="E3335" s="50" t="b">
        <v>1</v>
      </c>
      <c r="F3335" s="72" t="str">
        <f>HYPERLINK("http://nsgreg.nga.mil/genc/view?v=294962&amp;end_month=6&amp;end_day=30&amp;end_year=2019","Leyte")</f>
        <v>Leyte</v>
      </c>
      <c r="G3335" s="72" t="str">
        <f>HYPERLINK("http://api.nsgreg.nga.mil/geo-division/GENC/6/3-11/PH-LEY","as:GENC:6:3-11:PH-LEY")</f>
        <v>as:GENC:6:3-11:PH-LEY</v>
      </c>
    </row>
    <row r="3336" spans="1:7" x14ac:dyDescent="0.25">
      <c r="A3336" s="112"/>
      <c r="B3336" s="21" t="s">
        <v>8315</v>
      </c>
      <c r="C3336" s="21" t="s">
        <v>8316</v>
      </c>
      <c r="D3336" s="21" t="s">
        <v>1668</v>
      </c>
      <c r="E3336" s="50" t="b">
        <v>1</v>
      </c>
      <c r="F3336" s="72" t="str">
        <f>HYPERLINK("http://nsgreg.nga.mil/genc/view?v=294985&amp;end_month=6&amp;end_day=30&amp;end_year=2019","Northern Samar")</f>
        <v>Northern Samar</v>
      </c>
      <c r="G3336" s="72" t="str">
        <f>HYPERLINK("http://api.nsgreg.nga.mil/geo-division/GENC/6/3-11/PH-NSA","as:GENC:6:3-11:PH-NSA")</f>
        <v>as:GENC:6:3-11:PH-NSA</v>
      </c>
    </row>
    <row r="3337" spans="1:7" x14ac:dyDescent="0.25">
      <c r="A3337" s="112"/>
      <c r="B3337" s="21" t="s">
        <v>8317</v>
      </c>
      <c r="C3337" s="21" t="s">
        <v>8318</v>
      </c>
      <c r="D3337" s="21" t="s">
        <v>8197</v>
      </c>
      <c r="E3337" s="50" t="b">
        <v>1</v>
      </c>
      <c r="F3337" s="72" t="str">
        <f>HYPERLINK("http://nsgreg.nga.mil/genc/view?v=294989&amp;end_month=6&amp;end_day=30&amp;end_year=2019","Ormoc")</f>
        <v>Ormoc</v>
      </c>
      <c r="G3337" s="72" t="str">
        <f>HYPERLINK("http://api.nsgreg.nga.mil/geo-division/GENC/6/3-11/PH-ORM","as:GENC:6:3-11:PH-ORM")</f>
        <v>as:GENC:6:3-11:PH-ORM</v>
      </c>
    </row>
    <row r="3338" spans="1:7" x14ac:dyDescent="0.25">
      <c r="A3338" s="112"/>
      <c r="B3338" s="21" t="s">
        <v>8319</v>
      </c>
      <c r="C3338" s="21" t="s">
        <v>8320</v>
      </c>
      <c r="D3338" s="21" t="s">
        <v>1668</v>
      </c>
      <c r="E3338" s="50" t="b">
        <v>1</v>
      </c>
      <c r="F3338" s="72" t="str">
        <f>HYPERLINK("http://nsgreg.nga.mil/genc/view?v=295018&amp;end_month=6&amp;end_day=30&amp;end_year=2019","Samar")</f>
        <v>Samar</v>
      </c>
      <c r="G3338" s="72" t="str">
        <f>HYPERLINK("http://api.nsgreg.nga.mil/geo-division/GENC/6/3-11/PH-WSA","as:GENC:6:3-11:PH-WSA")</f>
        <v>as:GENC:6:3-11:PH-WSA</v>
      </c>
    </row>
    <row r="3339" spans="1:7" x14ac:dyDescent="0.25">
      <c r="A3339" s="112"/>
      <c r="B3339" s="21" t="s">
        <v>8321</v>
      </c>
      <c r="C3339" s="21" t="s">
        <v>8322</v>
      </c>
      <c r="D3339" s="21" t="s">
        <v>1668</v>
      </c>
      <c r="E3339" s="50" t="b">
        <v>1</v>
      </c>
      <c r="F3339" s="72" t="str">
        <f>HYPERLINK("http://nsgreg.nga.mil/genc/view?v=295006&amp;end_month=6&amp;end_day=30&amp;end_year=2019","Southern Leyte")</f>
        <v>Southern Leyte</v>
      </c>
      <c r="G3339" s="72" t="str">
        <f>HYPERLINK("http://api.nsgreg.nga.mil/geo-division/GENC/6/3-11/PH-SLE","as:GENC:6:3-11:PH-SLE")</f>
        <v>as:GENC:6:3-11:PH-SLE</v>
      </c>
    </row>
    <row r="3340" spans="1:7" x14ac:dyDescent="0.25">
      <c r="A3340" s="112"/>
      <c r="B3340" s="21" t="s">
        <v>8323</v>
      </c>
      <c r="C3340" s="21" t="s">
        <v>8324</v>
      </c>
      <c r="D3340" s="21" t="s">
        <v>8223</v>
      </c>
      <c r="E3340" s="50" t="b">
        <v>1</v>
      </c>
      <c r="F3340" s="72" t="str">
        <f>HYPERLINK("http://nsgreg.nga.mil/genc/view?v=295013&amp;end_month=6&amp;end_day=30&amp;end_year=2019","Tacloban")</f>
        <v>Tacloban</v>
      </c>
      <c r="G3340" s="72" t="str">
        <f>HYPERLINK("http://api.nsgreg.nga.mil/geo-division/GENC/6/3-11/PH-TAC","as:GENC:6:3-11:PH-TAC")</f>
        <v>as:GENC:6:3-11:PH-TAC</v>
      </c>
    </row>
    <row r="3341" spans="1:7" x14ac:dyDescent="0.25">
      <c r="A3341" s="112"/>
      <c r="B3341" s="21" t="s">
        <v>8325</v>
      </c>
      <c r="C3341" s="21" t="s">
        <v>8326</v>
      </c>
      <c r="D3341" s="76" t="s">
        <v>1975</v>
      </c>
      <c r="E3341" s="77" t="b">
        <v>0</v>
      </c>
      <c r="F3341" s="72" t="str">
        <f>HYPERLINK("http://nsgreg.nga.mil/genc/view?v=294889&amp;end_month=6&amp;end_day=30&amp;end_year=2019","Ilocos")</f>
        <v>Ilocos</v>
      </c>
      <c r="G3341" s="72" t="str">
        <f>HYPERLINK("http://api.nsgreg.nga.mil/geo-division/GENC/6/3-11/PH-01","as:GENC:6:3-11:PH-01")</f>
        <v>as:GENC:6:3-11:PH-01</v>
      </c>
    </row>
    <row r="3342" spans="1:7" x14ac:dyDescent="0.25">
      <c r="A3342" s="112"/>
      <c r="B3342" s="21" t="s">
        <v>8327</v>
      </c>
      <c r="C3342" s="21" t="s">
        <v>8328</v>
      </c>
      <c r="D3342" s="21" t="s">
        <v>8197</v>
      </c>
      <c r="E3342" s="50" t="b">
        <v>1</v>
      </c>
      <c r="F3342" s="72" t="str">
        <f>HYPERLINK("http://nsgreg.nga.mil/genc/view?v=294939&amp;end_month=6&amp;end_day=30&amp;end_year=2019","Dagupan")</f>
        <v>Dagupan</v>
      </c>
      <c r="G3342" s="72" t="str">
        <f>HYPERLINK("http://api.nsgreg.nga.mil/geo-division/GENC/6/3-11/PH-DAG","as:GENC:6:3-11:PH-DAG")</f>
        <v>as:GENC:6:3-11:PH-DAG</v>
      </c>
    </row>
    <row r="3343" spans="1:7" x14ac:dyDescent="0.25">
      <c r="A3343" s="112"/>
      <c r="B3343" s="21" t="s">
        <v>8329</v>
      </c>
      <c r="C3343" s="21" t="s">
        <v>8330</v>
      </c>
      <c r="D3343" s="21" t="s">
        <v>1668</v>
      </c>
      <c r="E3343" s="50" t="b">
        <v>1</v>
      </c>
      <c r="F3343" s="72" t="str">
        <f>HYPERLINK("http://nsgreg.nga.mil/genc/view?v=294952&amp;end_month=6&amp;end_day=30&amp;end_year=2019","Ilocos Norte")</f>
        <v>Ilocos Norte</v>
      </c>
      <c r="G3343" s="72" t="str">
        <f>HYPERLINK("http://api.nsgreg.nga.mil/geo-division/GENC/6/3-11/PH-ILN","as:GENC:6:3-11:PH-ILN")</f>
        <v>as:GENC:6:3-11:PH-ILN</v>
      </c>
    </row>
    <row r="3344" spans="1:7" x14ac:dyDescent="0.25">
      <c r="A3344" s="112"/>
      <c r="B3344" s="21" t="s">
        <v>8331</v>
      </c>
      <c r="C3344" s="21" t="s">
        <v>8332</v>
      </c>
      <c r="D3344" s="21" t="s">
        <v>1668</v>
      </c>
      <c r="E3344" s="50" t="b">
        <v>1</v>
      </c>
      <c r="F3344" s="72" t="str">
        <f>HYPERLINK("http://nsgreg.nga.mil/genc/view?v=294955&amp;end_month=6&amp;end_day=30&amp;end_year=2019","Ilocos Sur")</f>
        <v>Ilocos Sur</v>
      </c>
      <c r="G3344" s="72" t="str">
        <f>HYPERLINK("http://api.nsgreg.nga.mil/geo-division/GENC/6/3-11/PH-ILS","as:GENC:6:3-11:PH-ILS")</f>
        <v>as:GENC:6:3-11:PH-ILS</v>
      </c>
    </row>
    <row r="3345" spans="1:7" x14ac:dyDescent="0.25">
      <c r="A3345" s="112"/>
      <c r="B3345" s="21" t="s">
        <v>8333</v>
      </c>
      <c r="C3345" s="21" t="s">
        <v>8334</v>
      </c>
      <c r="D3345" s="21" t="s">
        <v>1668</v>
      </c>
      <c r="E3345" s="50" t="b">
        <v>1</v>
      </c>
      <c r="F3345" s="72" t="str">
        <f>HYPERLINK("http://nsgreg.nga.mil/genc/view?v=294964&amp;end_month=6&amp;end_day=30&amp;end_year=2019","La Union")</f>
        <v>La Union</v>
      </c>
      <c r="G3345" s="72" t="str">
        <f>HYPERLINK("http://api.nsgreg.nga.mil/geo-division/GENC/6/3-11/PH-LUN","as:GENC:6:3-11:PH-LUN")</f>
        <v>as:GENC:6:3-11:PH-LUN</v>
      </c>
    </row>
    <row r="3346" spans="1:7" x14ac:dyDescent="0.25">
      <c r="A3346" s="112"/>
      <c r="B3346" s="21" t="s">
        <v>8335</v>
      </c>
      <c r="C3346" s="21" t="s">
        <v>8336</v>
      </c>
      <c r="D3346" s="21" t="s">
        <v>1668</v>
      </c>
      <c r="E3346" s="50" t="b">
        <v>1</v>
      </c>
      <c r="F3346" s="72" t="str">
        <f>HYPERLINK("http://nsgreg.nga.mil/genc/view?v=294991&amp;end_month=6&amp;end_day=30&amp;end_year=2019","Pangasinan")</f>
        <v>Pangasinan</v>
      </c>
      <c r="G3346" s="72" t="str">
        <f>HYPERLINK("http://api.nsgreg.nga.mil/geo-division/GENC/6/3-11/PH-PAN","as:GENC:6:3-11:PH-PAN")</f>
        <v>as:GENC:6:3-11:PH-PAN</v>
      </c>
    </row>
    <row r="3347" spans="1:7" x14ac:dyDescent="0.25">
      <c r="A3347" s="112"/>
      <c r="B3347" s="21" t="s">
        <v>8337</v>
      </c>
      <c r="C3347" s="21" t="s">
        <v>8338</v>
      </c>
      <c r="D3347" s="76" t="s">
        <v>1975</v>
      </c>
      <c r="E3347" s="77" t="b">
        <v>0</v>
      </c>
      <c r="F3347" s="72" t="str">
        <f>HYPERLINK("http://nsgreg.nga.mil/genc/view?v=294904&amp;end_month=6&amp;end_day=30&amp;end_year=2019","MIMAROPA")</f>
        <v>MIMAROPA</v>
      </c>
      <c r="G3347" s="72" t="str">
        <f>HYPERLINK("http://api.nsgreg.nga.mil/geo-division/GENC/6/3-11/PH-41","as:GENC:6:3-11:PH-41")</f>
        <v>as:GENC:6:3-11:PH-41</v>
      </c>
    </row>
    <row r="3348" spans="1:7" x14ac:dyDescent="0.25">
      <c r="A3348" s="112"/>
      <c r="B3348" s="21" t="s">
        <v>8339</v>
      </c>
      <c r="C3348" s="21" t="s">
        <v>8340</v>
      </c>
      <c r="D3348" s="21" t="s">
        <v>1668</v>
      </c>
      <c r="E3348" s="50" t="b">
        <v>1</v>
      </c>
      <c r="F3348" s="72" t="str">
        <f>HYPERLINK("http://nsgreg.nga.mil/genc/view?v=294965&amp;end_month=6&amp;end_day=30&amp;end_year=2019","Marinduque")</f>
        <v>Marinduque</v>
      </c>
      <c r="G3348" s="72" t="str">
        <f>HYPERLINK("http://api.nsgreg.nga.mil/geo-division/GENC/6/3-11/PH-MAD","as:GENC:6:3-11:PH-MAD")</f>
        <v>as:GENC:6:3-11:PH-MAD</v>
      </c>
    </row>
    <row r="3349" spans="1:7" x14ac:dyDescent="0.25">
      <c r="A3349" s="112"/>
      <c r="B3349" s="21" t="s">
        <v>8341</v>
      </c>
      <c r="C3349" s="21" t="s">
        <v>8342</v>
      </c>
      <c r="D3349" s="21" t="s">
        <v>1668</v>
      </c>
      <c r="E3349" s="50" t="b">
        <v>1</v>
      </c>
      <c r="F3349" s="72" t="str">
        <f>HYPERLINK("http://nsgreg.nga.mil/genc/view?v=294972&amp;end_month=6&amp;end_day=30&amp;end_year=2019","Occidental Mindoro")</f>
        <v>Occidental Mindoro</v>
      </c>
      <c r="G3349" s="72" t="str">
        <f>HYPERLINK("http://api.nsgreg.nga.mil/geo-division/GENC/6/3-11/PH-MDC","as:GENC:6:3-11:PH-MDC")</f>
        <v>as:GENC:6:3-11:PH-MDC</v>
      </c>
    </row>
    <row r="3350" spans="1:7" x14ac:dyDescent="0.25">
      <c r="A3350" s="112"/>
      <c r="B3350" s="21" t="s">
        <v>8343</v>
      </c>
      <c r="C3350" s="21" t="s">
        <v>8344</v>
      </c>
      <c r="D3350" s="21" t="s">
        <v>1668</v>
      </c>
      <c r="E3350" s="50" t="b">
        <v>1</v>
      </c>
      <c r="F3350" s="72" t="str">
        <f>HYPERLINK("http://nsgreg.nga.mil/genc/view?v=294973&amp;end_month=6&amp;end_day=30&amp;end_year=2019","Oriental Mindoro")</f>
        <v>Oriental Mindoro</v>
      </c>
      <c r="G3350" s="72" t="str">
        <f>HYPERLINK("http://api.nsgreg.nga.mil/geo-division/GENC/6/3-11/PH-MDR","as:GENC:6:3-11:PH-MDR")</f>
        <v>as:GENC:6:3-11:PH-MDR</v>
      </c>
    </row>
    <row r="3351" spans="1:7" x14ac:dyDescent="0.25">
      <c r="A3351" s="112"/>
      <c r="B3351" s="21" t="s">
        <v>8345</v>
      </c>
      <c r="C3351" s="21" t="s">
        <v>8346</v>
      </c>
      <c r="D3351" s="21" t="s">
        <v>1668</v>
      </c>
      <c r="E3351" s="50" t="b">
        <v>1</v>
      </c>
      <c r="F3351" s="72" t="str">
        <f>HYPERLINK("http://nsgreg.nga.mil/genc/view?v=294994&amp;end_month=6&amp;end_day=30&amp;end_year=2019","Palawan")</f>
        <v>Palawan</v>
      </c>
      <c r="G3351" s="72" t="str">
        <f>HYPERLINK("http://api.nsgreg.nga.mil/geo-division/GENC/6/3-11/PH-PLW","as:GENC:6:3-11:PH-PLW")</f>
        <v>as:GENC:6:3-11:PH-PLW</v>
      </c>
    </row>
    <row r="3352" spans="1:7" x14ac:dyDescent="0.25">
      <c r="A3352" s="112"/>
      <c r="B3352" s="21" t="s">
        <v>8347</v>
      </c>
      <c r="C3352" s="21" t="s">
        <v>8348</v>
      </c>
      <c r="D3352" s="21" t="s">
        <v>8223</v>
      </c>
      <c r="E3352" s="50" t="b">
        <v>1</v>
      </c>
      <c r="F3352" s="72" t="str">
        <f>HYPERLINK("http://nsgreg.nga.mil/genc/view?v=294995&amp;end_month=6&amp;end_day=30&amp;end_year=2019","Puerto Princesa")</f>
        <v>Puerto Princesa</v>
      </c>
      <c r="G3352" s="72" t="str">
        <f>HYPERLINK("http://api.nsgreg.nga.mil/geo-division/GENC/6/3-11/PH-PPR","as:GENC:6:3-11:PH-PPR")</f>
        <v>as:GENC:6:3-11:PH-PPR</v>
      </c>
    </row>
    <row r="3353" spans="1:7" x14ac:dyDescent="0.25">
      <c r="A3353" s="112"/>
      <c r="B3353" s="21" t="s">
        <v>8349</v>
      </c>
      <c r="C3353" s="21" t="s">
        <v>8350</v>
      </c>
      <c r="D3353" s="21" t="s">
        <v>1668</v>
      </c>
      <c r="E3353" s="50" t="b">
        <v>1</v>
      </c>
      <c r="F3353" s="72" t="str">
        <f>HYPERLINK("http://nsgreg.nga.mil/genc/view?v=295001&amp;end_month=6&amp;end_day=30&amp;end_year=2019","Romblon")</f>
        <v>Romblon</v>
      </c>
      <c r="G3353" s="72" t="str">
        <f>HYPERLINK("http://api.nsgreg.nga.mil/geo-division/GENC/6/3-11/PH-ROM","as:GENC:6:3-11:PH-ROM")</f>
        <v>as:GENC:6:3-11:PH-ROM</v>
      </c>
    </row>
    <row r="3354" spans="1:7" x14ac:dyDescent="0.25">
      <c r="A3354" s="112"/>
      <c r="B3354" s="21" t="s">
        <v>8351</v>
      </c>
      <c r="C3354" s="21" t="s">
        <v>8352</v>
      </c>
      <c r="D3354" s="76" t="s">
        <v>1975</v>
      </c>
      <c r="E3354" s="77" t="b">
        <v>0</v>
      </c>
      <c r="F3354" s="72" t="str">
        <f>HYPERLINK("http://nsgreg.nga.mil/genc/view?v=294888&amp;end_month=6&amp;end_day=30&amp;end_year=2019","National Capital Region")</f>
        <v>National Capital Region</v>
      </c>
      <c r="G3354" s="72" t="str">
        <f>HYPERLINK("http://api.nsgreg.nga.mil/geo-division/GENC/6/3-11/PH-00","as:GENC:6:3-11:PH-00")</f>
        <v>as:GENC:6:3-11:PH-00</v>
      </c>
    </row>
    <row r="3355" spans="1:7" x14ac:dyDescent="0.25">
      <c r="A3355" s="112"/>
      <c r="B3355" s="21" t="s">
        <v>8353</v>
      </c>
      <c r="C3355" s="21" t="s">
        <v>8354</v>
      </c>
      <c r="D3355" s="21" t="s">
        <v>8223</v>
      </c>
      <c r="E3355" s="50" t="b">
        <v>1</v>
      </c>
      <c r="F3355" s="72" t="str">
        <f>HYPERLINK("http://nsgreg.nga.mil/genc/view?v=294927&amp;end_month=6&amp;end_day=30&amp;end_year=2019","Caloocan")</f>
        <v>Caloocan</v>
      </c>
      <c r="G3355" s="72" t="str">
        <f>HYPERLINK("http://api.nsgreg.nga.mil/geo-division/GENC/6/3-11/PH-CAL","as:GENC:6:3-11:PH-CAL")</f>
        <v>as:GENC:6:3-11:PH-CAL</v>
      </c>
    </row>
    <row r="3356" spans="1:7" x14ac:dyDescent="0.25">
      <c r="A3356" s="112"/>
      <c r="B3356" s="21" t="s">
        <v>8355</v>
      </c>
      <c r="C3356" s="21" t="s">
        <v>8356</v>
      </c>
      <c r="D3356" s="21" t="s">
        <v>8223</v>
      </c>
      <c r="E3356" s="50" t="b">
        <v>1</v>
      </c>
      <c r="F3356" s="72" t="str">
        <f>HYPERLINK("http://nsgreg.nga.mil/genc/view?v=294954&amp;end_month=6&amp;end_day=30&amp;end_year=2019","Las Piñas")</f>
        <v>Las Piñas</v>
      </c>
      <c r="G3356" s="72" t="str">
        <f>HYPERLINK("http://api.nsgreg.nga.mil/geo-division/GENC/6/3-11/PH-ILP","as:GENC:6:3-11:PH-ILP")</f>
        <v>as:GENC:6:3-11:PH-ILP</v>
      </c>
    </row>
    <row r="3357" spans="1:7" x14ac:dyDescent="0.25">
      <c r="A3357" s="112"/>
      <c r="B3357" s="21" t="s">
        <v>8357</v>
      </c>
      <c r="C3357" s="21" t="s">
        <v>8358</v>
      </c>
      <c r="D3357" s="21" t="s">
        <v>8223</v>
      </c>
      <c r="E3357" s="50" t="b">
        <v>1</v>
      </c>
      <c r="F3357" s="72" t="str">
        <f>HYPERLINK("http://nsgreg.nga.mil/genc/view?v=294967&amp;end_month=6&amp;end_day=30&amp;end_year=2019","Makati")</f>
        <v>Makati</v>
      </c>
      <c r="G3357" s="72" t="str">
        <f>HYPERLINK("http://api.nsgreg.nga.mil/geo-division/GENC/6/3-11/PH-MAK","as:GENC:6:3-11:PH-MAK")</f>
        <v>as:GENC:6:3-11:PH-MAK</v>
      </c>
    </row>
    <row r="3358" spans="1:7" x14ac:dyDescent="0.25">
      <c r="A3358" s="112"/>
      <c r="B3358" s="21" t="s">
        <v>8359</v>
      </c>
      <c r="C3358" s="21" t="s">
        <v>8360</v>
      </c>
      <c r="D3358" s="21" t="s">
        <v>8223</v>
      </c>
      <c r="E3358" s="50" t="b">
        <v>1</v>
      </c>
      <c r="F3358" s="72" t="str">
        <f>HYPERLINK("http://nsgreg.nga.mil/genc/view?v=294968&amp;end_month=6&amp;end_day=30&amp;end_year=2019","Malabon")</f>
        <v>Malabon</v>
      </c>
      <c r="G3358" s="72" t="str">
        <f>HYPERLINK("http://api.nsgreg.nga.mil/geo-division/GENC/6/3-11/PH-MAL","as:GENC:6:3-11:PH-MAL")</f>
        <v>as:GENC:6:3-11:PH-MAL</v>
      </c>
    </row>
    <row r="3359" spans="1:7" x14ac:dyDescent="0.25">
      <c r="A3359" s="112"/>
      <c r="B3359" s="21" t="s">
        <v>8361</v>
      </c>
      <c r="C3359" s="21" t="s">
        <v>8362</v>
      </c>
      <c r="D3359" s="21" t="s">
        <v>8223</v>
      </c>
      <c r="E3359" s="50" t="b">
        <v>1</v>
      </c>
      <c r="F3359" s="72" t="str">
        <f>HYPERLINK("http://nsgreg.nga.mil/genc/view?v=294975&amp;end_month=6&amp;end_day=30&amp;end_year=2019","Mandaluyong")</f>
        <v>Mandaluyong</v>
      </c>
      <c r="G3359" s="72" t="str">
        <f>HYPERLINK("http://api.nsgreg.nga.mil/geo-division/GENC/6/3-11/PH-MDY","as:GENC:6:3-11:PH-MDY")</f>
        <v>as:GENC:6:3-11:PH-MDY</v>
      </c>
    </row>
    <row r="3360" spans="1:7" x14ac:dyDescent="0.25">
      <c r="A3360" s="112"/>
      <c r="B3360" s="21" t="s">
        <v>8363</v>
      </c>
      <c r="C3360" s="21" t="s">
        <v>8364</v>
      </c>
      <c r="D3360" s="21" t="s">
        <v>8223</v>
      </c>
      <c r="E3360" s="50" t="b">
        <v>1</v>
      </c>
      <c r="F3360" s="72" t="str">
        <f>HYPERLINK("http://nsgreg.nga.mil/genc/view?v=294969&amp;end_month=6&amp;end_day=30&amp;end_year=2019","Manila")</f>
        <v>Manila</v>
      </c>
      <c r="G3360" s="72" t="str">
        <f>HYPERLINK("http://api.nsgreg.nga.mil/geo-division/GENC/6/3-11/PH-MAN","as:GENC:6:3-11:PH-MAN")</f>
        <v>as:GENC:6:3-11:PH-MAN</v>
      </c>
    </row>
    <row r="3361" spans="1:7" x14ac:dyDescent="0.25">
      <c r="A3361" s="112"/>
      <c r="B3361" s="21" t="s">
        <v>8365</v>
      </c>
      <c r="C3361" s="21" t="s">
        <v>8366</v>
      </c>
      <c r="D3361" s="21" t="s">
        <v>8223</v>
      </c>
      <c r="E3361" s="50" t="b">
        <v>1</v>
      </c>
      <c r="F3361" s="72" t="str">
        <f>HYPERLINK("http://nsgreg.nga.mil/genc/view?v=294970&amp;end_month=6&amp;end_day=30&amp;end_year=2019","Marikina")</f>
        <v>Marikina</v>
      </c>
      <c r="G3361" s="72" t="str">
        <f>HYPERLINK("http://api.nsgreg.nga.mil/geo-division/GENC/6/3-11/PH-MAR","as:GENC:6:3-11:PH-MAR")</f>
        <v>as:GENC:6:3-11:PH-MAR</v>
      </c>
    </row>
    <row r="3362" spans="1:7" x14ac:dyDescent="0.25">
      <c r="A3362" s="112"/>
      <c r="B3362" s="21" t="s">
        <v>8367</v>
      </c>
      <c r="C3362" s="21" t="s">
        <v>8368</v>
      </c>
      <c r="D3362" s="21" t="s">
        <v>8223</v>
      </c>
      <c r="E3362" s="50" t="b">
        <v>1</v>
      </c>
      <c r="F3362" s="72" t="str">
        <f>HYPERLINK("http://nsgreg.nga.mil/genc/view?v=294979&amp;end_month=6&amp;end_day=30&amp;end_year=2019","Muntinlupa")</f>
        <v>Muntinlupa</v>
      </c>
      <c r="G3362" s="72" t="str">
        <f>HYPERLINK("http://api.nsgreg.nga.mil/geo-division/GENC/6/3-11/PH-MUN","as:GENC:6:3-11:PH-MUN")</f>
        <v>as:GENC:6:3-11:PH-MUN</v>
      </c>
    </row>
    <row r="3363" spans="1:7" x14ac:dyDescent="0.25">
      <c r="A3363" s="112"/>
      <c r="B3363" s="21" t="s">
        <v>8369</v>
      </c>
      <c r="C3363" s="21" t="s">
        <v>8370</v>
      </c>
      <c r="D3363" s="21" t="s">
        <v>8223</v>
      </c>
      <c r="E3363" s="50" t="b">
        <v>1</v>
      </c>
      <c r="F3363" s="72" t="str">
        <f>HYPERLINK("http://nsgreg.nga.mil/genc/view?v=294981&amp;end_month=6&amp;end_day=30&amp;end_year=2019","Navotas")</f>
        <v>Navotas</v>
      </c>
      <c r="G3363" s="72" t="str">
        <f>HYPERLINK("http://api.nsgreg.nga.mil/geo-division/GENC/6/3-11/PH-NAV","as:GENC:6:3-11:PH-NAV")</f>
        <v>as:GENC:6:3-11:PH-NAV</v>
      </c>
    </row>
    <row r="3364" spans="1:7" x14ac:dyDescent="0.25">
      <c r="A3364" s="112"/>
      <c r="B3364" s="21" t="s">
        <v>8371</v>
      </c>
      <c r="C3364" s="21" t="s">
        <v>8372</v>
      </c>
      <c r="D3364" s="21" t="s">
        <v>8223</v>
      </c>
      <c r="E3364" s="50" t="b">
        <v>1</v>
      </c>
      <c r="F3364" s="72" t="str">
        <f>HYPERLINK("http://nsgreg.nga.mil/genc/view?v=294992&amp;end_month=6&amp;end_day=30&amp;end_year=2019","Parañaque")</f>
        <v>Parañaque</v>
      </c>
      <c r="G3364" s="72" t="str">
        <f>HYPERLINK("http://api.nsgreg.nga.mil/geo-division/GENC/6/3-11/PH-PAR","as:GENC:6:3-11:PH-PAR")</f>
        <v>as:GENC:6:3-11:PH-PAR</v>
      </c>
    </row>
    <row r="3365" spans="1:7" x14ac:dyDescent="0.25">
      <c r="A3365" s="112"/>
      <c r="B3365" s="21" t="s">
        <v>8373</v>
      </c>
      <c r="C3365" s="21" t="s">
        <v>8374</v>
      </c>
      <c r="D3365" s="21" t="s">
        <v>8223</v>
      </c>
      <c r="E3365" s="50" t="b">
        <v>1</v>
      </c>
      <c r="F3365" s="72" t="str">
        <f>HYPERLINK("http://nsgreg.nga.mil/genc/view?v=294993&amp;end_month=6&amp;end_day=30&amp;end_year=2019","Pasay")</f>
        <v>Pasay</v>
      </c>
      <c r="G3365" s="72" t="str">
        <f>HYPERLINK("http://api.nsgreg.nga.mil/geo-division/GENC/6/3-11/PH-PAS","as:GENC:6:3-11:PH-PAS")</f>
        <v>as:GENC:6:3-11:PH-PAS</v>
      </c>
    </row>
    <row r="3366" spans="1:7" x14ac:dyDescent="0.25">
      <c r="A3366" s="112"/>
      <c r="B3366" s="21" t="s">
        <v>8375</v>
      </c>
      <c r="C3366" s="21" t="s">
        <v>8376</v>
      </c>
      <c r="D3366" s="21" t="s">
        <v>8223</v>
      </c>
      <c r="E3366" s="50" t="b">
        <v>1</v>
      </c>
      <c r="F3366" s="72" t="str">
        <f>HYPERLINK("http://nsgreg.nga.mil/genc/view?v=294996&amp;end_month=6&amp;end_day=30&amp;end_year=2019","Pasig")</f>
        <v>Pasig</v>
      </c>
      <c r="G3366" s="72" t="str">
        <f>HYPERLINK("http://api.nsgreg.nga.mil/geo-division/GENC/6/3-11/PH-PSG","as:GENC:6:3-11:PH-PSG")</f>
        <v>as:GENC:6:3-11:PH-PSG</v>
      </c>
    </row>
    <row r="3367" spans="1:7" x14ac:dyDescent="0.25">
      <c r="A3367" s="112"/>
      <c r="B3367" s="21" t="s">
        <v>8377</v>
      </c>
      <c r="C3367" s="21" t="s">
        <v>8225</v>
      </c>
      <c r="D3367" s="21" t="s">
        <v>8223</v>
      </c>
      <c r="E3367" s="50" t="b">
        <v>1</v>
      </c>
      <c r="F3367" s="72" t="str">
        <f>HYPERLINK("http://nsgreg.nga.mil/genc/view?v=294999&amp;end_month=6&amp;end_day=30&amp;end_year=2019","Quezon")</f>
        <v>Quezon</v>
      </c>
      <c r="G3367" s="72" t="str">
        <f>HYPERLINK("http://api.nsgreg.nga.mil/geo-division/GENC/6/3-11/PH-QZN","as:GENC:6:3-11:PH-QZN")</f>
        <v>as:GENC:6:3-11:PH-QZN</v>
      </c>
    </row>
    <row r="3368" spans="1:7" x14ac:dyDescent="0.25">
      <c r="A3368" s="112"/>
      <c r="B3368" s="21" t="s">
        <v>8378</v>
      </c>
      <c r="C3368" s="21" t="s">
        <v>3782</v>
      </c>
      <c r="D3368" s="21" t="s">
        <v>8223</v>
      </c>
      <c r="E3368" s="50" t="b">
        <v>1</v>
      </c>
      <c r="F3368" s="72" t="str">
        <f>HYPERLINK("http://nsgreg.nga.mil/genc/view?v=295008&amp;end_month=6&amp;end_day=30&amp;end_year=2019","San Juan")</f>
        <v>San Juan</v>
      </c>
      <c r="G3368" s="72" t="str">
        <f>HYPERLINK("http://api.nsgreg.nga.mil/geo-division/GENC/6/3-11/PH-SNJ","as:GENC:6:3-11:PH-SNJ")</f>
        <v>as:GENC:6:3-11:PH-SNJ</v>
      </c>
    </row>
    <row r="3369" spans="1:7" x14ac:dyDescent="0.25">
      <c r="A3369" s="112"/>
      <c r="B3369" s="21" t="s">
        <v>8379</v>
      </c>
      <c r="C3369" s="21" t="s">
        <v>8380</v>
      </c>
      <c r="D3369" s="21" t="s">
        <v>8223</v>
      </c>
      <c r="E3369" s="50" t="b">
        <v>1</v>
      </c>
      <c r="F3369" s="72" t="str">
        <f>HYPERLINK("http://nsgreg.nga.mil/genc/view?v=295014&amp;end_month=6&amp;end_day=30&amp;end_year=2019","Taguig")</f>
        <v>Taguig</v>
      </c>
      <c r="G3369" s="72" t="str">
        <f>HYPERLINK("http://api.nsgreg.nga.mil/geo-division/GENC/6/3-11/PH-TAG","as:GENC:6:3-11:PH-TAG")</f>
        <v>as:GENC:6:3-11:PH-TAG</v>
      </c>
    </row>
    <row r="3370" spans="1:7" x14ac:dyDescent="0.25">
      <c r="A3370" s="112"/>
      <c r="B3370" s="21" t="s">
        <v>8381</v>
      </c>
      <c r="C3370" s="21" t="s">
        <v>8382</v>
      </c>
      <c r="D3370" s="21" t="s">
        <v>8223</v>
      </c>
      <c r="E3370" s="50" t="b">
        <v>1</v>
      </c>
      <c r="F3370" s="72" t="str">
        <f>HYPERLINK("http://nsgreg.nga.mil/genc/view?v=295017&amp;end_month=6&amp;end_day=30&amp;end_year=2019","Valenzuela")</f>
        <v>Valenzuela</v>
      </c>
      <c r="G3370" s="72" t="str">
        <f>HYPERLINK("http://api.nsgreg.nga.mil/geo-division/GENC/6/3-11/PH-VAL","as:GENC:6:3-11:PH-VAL")</f>
        <v>as:GENC:6:3-11:PH-VAL</v>
      </c>
    </row>
    <row r="3371" spans="1:7" x14ac:dyDescent="0.25">
      <c r="A3371" s="112"/>
      <c r="B3371" s="21" t="s">
        <v>8383</v>
      </c>
      <c r="C3371" s="21" t="s">
        <v>8384</v>
      </c>
      <c r="D3371" s="76" t="s">
        <v>1975</v>
      </c>
      <c r="E3371" s="77" t="b">
        <v>0</v>
      </c>
      <c r="F3371" s="72" t="str">
        <f>HYPERLINK("http://nsgreg.nga.mil/genc/view?v=294897&amp;end_month=6&amp;end_day=30&amp;end_year=2019","Northern Mindanao")</f>
        <v>Northern Mindanao</v>
      </c>
      <c r="G3371" s="72" t="str">
        <f>HYPERLINK("http://api.nsgreg.nga.mil/geo-division/GENC/6/3-11/PH-10","as:GENC:6:3-11:PH-10")</f>
        <v>as:GENC:6:3-11:PH-10</v>
      </c>
    </row>
    <row r="3372" spans="1:7" x14ac:dyDescent="0.25">
      <c r="A3372" s="112"/>
      <c r="B3372" s="21" t="s">
        <v>8385</v>
      </c>
      <c r="C3372" s="21" t="s">
        <v>8386</v>
      </c>
      <c r="D3372" s="21" t="s">
        <v>1668</v>
      </c>
      <c r="E3372" s="50" t="b">
        <v>1</v>
      </c>
      <c r="F3372" s="72" t="str">
        <f>HYPERLINK("http://nsgreg.nga.mil/genc/view?v=294923&amp;end_month=6&amp;end_day=30&amp;end_year=2019","Bukidnon")</f>
        <v>Bukidnon</v>
      </c>
      <c r="G3372" s="72" t="str">
        <f>HYPERLINK("http://api.nsgreg.nga.mil/geo-division/GENC/6/3-11/PH-BUK","as:GENC:6:3-11:PH-BUK")</f>
        <v>as:GENC:6:3-11:PH-BUK</v>
      </c>
    </row>
    <row r="3373" spans="1:7" x14ac:dyDescent="0.25">
      <c r="A3373" s="112"/>
      <c r="B3373" s="21" t="s">
        <v>8387</v>
      </c>
      <c r="C3373" s="21" t="s">
        <v>8388</v>
      </c>
      <c r="D3373" s="21" t="s">
        <v>8223</v>
      </c>
      <c r="E3373" s="50" t="b">
        <v>1</v>
      </c>
      <c r="F3373" s="72" t="str">
        <f>HYPERLINK("http://nsgreg.nga.mil/genc/view?v=294936&amp;end_month=6&amp;end_day=30&amp;end_year=2019","Cagayan de Oro")</f>
        <v>Cagayan de Oro</v>
      </c>
      <c r="G3373" s="72" t="str">
        <f>HYPERLINK("http://api.nsgreg.nga.mil/geo-division/GENC/6/3-11/PH-CGO","as:GENC:6:3-11:PH-CGO")</f>
        <v>as:GENC:6:3-11:PH-CGO</v>
      </c>
    </row>
    <row r="3374" spans="1:7" x14ac:dyDescent="0.25">
      <c r="A3374" s="112"/>
      <c r="B3374" s="21" t="s">
        <v>8389</v>
      </c>
      <c r="C3374" s="21" t="s">
        <v>8390</v>
      </c>
      <c r="D3374" s="21" t="s">
        <v>1668</v>
      </c>
      <c r="E3374" s="50" t="b">
        <v>1</v>
      </c>
      <c r="F3374" s="72" t="str">
        <f>HYPERLINK("http://nsgreg.nga.mil/genc/view?v=294928&amp;end_month=6&amp;end_day=30&amp;end_year=2019","Camiguin")</f>
        <v>Camiguin</v>
      </c>
      <c r="G3374" s="72" t="str">
        <f>HYPERLINK("http://api.nsgreg.nga.mil/geo-division/GENC/6/3-11/PH-CAM","as:GENC:6:3-11:PH-CAM")</f>
        <v>as:GENC:6:3-11:PH-CAM</v>
      </c>
    </row>
    <row r="3375" spans="1:7" x14ac:dyDescent="0.25">
      <c r="A3375" s="112"/>
      <c r="B3375" s="21" t="s">
        <v>8391</v>
      </c>
      <c r="C3375" s="21" t="s">
        <v>8392</v>
      </c>
      <c r="D3375" s="21" t="s">
        <v>8223</v>
      </c>
      <c r="E3375" s="50" t="b">
        <v>1</v>
      </c>
      <c r="F3375" s="72" t="str">
        <f>HYPERLINK("http://nsgreg.nga.mil/genc/view?v=294950&amp;end_month=6&amp;end_day=30&amp;end_year=2019","Iligan")</f>
        <v>Iligan</v>
      </c>
      <c r="G3375" s="72" t="str">
        <f>HYPERLINK("http://api.nsgreg.nga.mil/geo-division/GENC/6/3-11/PH-ILG","as:GENC:6:3-11:PH-ILG")</f>
        <v>as:GENC:6:3-11:PH-ILG</v>
      </c>
    </row>
    <row r="3376" spans="1:7" x14ac:dyDescent="0.25">
      <c r="A3376" s="112"/>
      <c r="B3376" s="21" t="s">
        <v>8393</v>
      </c>
      <c r="C3376" s="21" t="s">
        <v>8394</v>
      </c>
      <c r="D3376" s="21" t="s">
        <v>1668</v>
      </c>
      <c r="E3376" s="50" t="b">
        <v>1</v>
      </c>
      <c r="F3376" s="72" t="str">
        <f>HYPERLINK("http://nsgreg.nga.mil/genc/view?v=294959&amp;end_month=6&amp;end_day=30&amp;end_year=2019","Lanao del Norte")</f>
        <v>Lanao del Norte</v>
      </c>
      <c r="G3376" s="72" t="str">
        <f>HYPERLINK("http://api.nsgreg.nga.mil/geo-division/GENC/6/3-11/PH-LAN","as:GENC:6:3-11:PH-LAN")</f>
        <v>as:GENC:6:3-11:PH-LAN</v>
      </c>
    </row>
    <row r="3377" spans="1:7" x14ac:dyDescent="0.25">
      <c r="A3377" s="112"/>
      <c r="B3377" s="21" t="s">
        <v>8395</v>
      </c>
      <c r="C3377" s="21" t="s">
        <v>8396</v>
      </c>
      <c r="D3377" s="21" t="s">
        <v>1668</v>
      </c>
      <c r="E3377" s="50" t="b">
        <v>1</v>
      </c>
      <c r="F3377" s="72" t="str">
        <f>HYPERLINK("http://nsgreg.nga.mil/genc/view?v=294977&amp;end_month=6&amp;end_day=30&amp;end_year=2019","Misamis Occidental")</f>
        <v>Misamis Occidental</v>
      </c>
      <c r="G3377" s="72" t="str">
        <f>HYPERLINK("http://api.nsgreg.nga.mil/geo-division/GENC/6/3-11/PH-MSC","as:GENC:6:3-11:PH-MSC")</f>
        <v>as:GENC:6:3-11:PH-MSC</v>
      </c>
    </row>
    <row r="3378" spans="1:7" x14ac:dyDescent="0.25">
      <c r="A3378" s="112"/>
      <c r="B3378" s="21" t="s">
        <v>8397</v>
      </c>
      <c r="C3378" s="21" t="s">
        <v>8398</v>
      </c>
      <c r="D3378" s="21" t="s">
        <v>1668</v>
      </c>
      <c r="E3378" s="50" t="b">
        <v>1</v>
      </c>
      <c r="F3378" s="72" t="str">
        <f>HYPERLINK("http://nsgreg.nga.mil/genc/view?v=294978&amp;end_month=6&amp;end_day=30&amp;end_year=2019","Misamis Oriental")</f>
        <v>Misamis Oriental</v>
      </c>
      <c r="G3378" s="72" t="str">
        <f>HYPERLINK("http://api.nsgreg.nga.mil/geo-division/GENC/6/3-11/PH-MSR","as:GENC:6:3-11:PH-MSR")</f>
        <v>as:GENC:6:3-11:PH-MSR</v>
      </c>
    </row>
    <row r="3379" spans="1:7" x14ac:dyDescent="0.25">
      <c r="A3379" s="112"/>
      <c r="B3379" s="21" t="s">
        <v>8399</v>
      </c>
      <c r="C3379" s="21" t="s">
        <v>8400</v>
      </c>
      <c r="D3379" s="76" t="s">
        <v>1975</v>
      </c>
      <c r="E3379" s="77" t="b">
        <v>0</v>
      </c>
      <c r="F3379" s="72" t="str">
        <f>HYPERLINK("http://nsgreg.nga.mil/genc/view?v=294899&amp;end_month=6&amp;end_day=30&amp;end_year=2019","SOCCSKSARGEN Region")</f>
        <v>SOCCSKSARGEN Region</v>
      </c>
      <c r="G3379" s="72" t="str">
        <f>HYPERLINK("http://api.nsgreg.nga.mil/geo-division/GENC/6/3-11/PH-12","as:GENC:6:3-11:PH-12")</f>
        <v>as:GENC:6:3-11:PH-12</v>
      </c>
    </row>
    <row r="3380" spans="1:7" x14ac:dyDescent="0.25">
      <c r="A3380" s="112"/>
      <c r="B3380" s="21" t="s">
        <v>8401</v>
      </c>
      <c r="C3380" s="21" t="s">
        <v>8402</v>
      </c>
      <c r="D3380" s="21" t="s">
        <v>8197</v>
      </c>
      <c r="E3380" s="50" t="b">
        <v>1</v>
      </c>
      <c r="F3380" s="72" t="str">
        <f>HYPERLINK("http://nsgreg.nga.mil/genc/view?v=294938&amp;end_month=6&amp;end_day=30&amp;end_year=2019","Cotabato")</f>
        <v>Cotabato</v>
      </c>
      <c r="G3380" s="72" t="str">
        <f>HYPERLINK("http://api.nsgreg.nga.mil/geo-division/GENC/6/3-11/PH-COT","as:GENC:6:3-11:PH-COT")</f>
        <v>as:GENC:6:3-11:PH-COT</v>
      </c>
    </row>
    <row r="3381" spans="1:7" x14ac:dyDescent="0.25">
      <c r="A3381" s="112"/>
      <c r="B3381" s="21" t="s">
        <v>8403</v>
      </c>
      <c r="C3381" s="21" t="s">
        <v>8402</v>
      </c>
      <c r="D3381" s="21" t="s">
        <v>1668</v>
      </c>
      <c r="E3381" s="50" t="b">
        <v>1</v>
      </c>
      <c r="F3381" s="72" t="str">
        <f>HYPERLINK("http://nsgreg.nga.mil/genc/view?v=294982&amp;end_month=6&amp;end_day=30&amp;end_year=2019","Cotabato")</f>
        <v>Cotabato</v>
      </c>
      <c r="G3381" s="72" t="str">
        <f>HYPERLINK("http://api.nsgreg.nga.mil/geo-division/GENC/6/3-11/PH-NCO","as:GENC:6:3-11:PH-NCO")</f>
        <v>as:GENC:6:3-11:PH-NCO</v>
      </c>
    </row>
    <row r="3382" spans="1:7" x14ac:dyDescent="0.25">
      <c r="A3382" s="112"/>
      <c r="B3382" s="21" t="s">
        <v>8404</v>
      </c>
      <c r="C3382" s="21" t="s">
        <v>8405</v>
      </c>
      <c r="D3382" s="21" t="s">
        <v>8223</v>
      </c>
      <c r="E3382" s="50" t="b">
        <v>1</v>
      </c>
      <c r="F3382" s="72" t="str">
        <f>HYPERLINK("http://nsgreg.nga.mil/genc/view?v=294947&amp;end_month=6&amp;end_day=30&amp;end_year=2019","General Santos")</f>
        <v>General Santos</v>
      </c>
      <c r="G3382" s="72" t="str">
        <f>HYPERLINK("http://api.nsgreg.nga.mil/geo-division/GENC/6/3-11/PH-GNS","as:GENC:6:3-11:PH-GNS")</f>
        <v>as:GENC:6:3-11:PH-GNS</v>
      </c>
    </row>
    <row r="3383" spans="1:7" x14ac:dyDescent="0.25">
      <c r="A3383" s="112"/>
      <c r="B3383" s="21" t="s">
        <v>8406</v>
      </c>
      <c r="C3383" s="21" t="s">
        <v>8407</v>
      </c>
      <c r="D3383" s="21" t="s">
        <v>1668</v>
      </c>
      <c r="E3383" s="50" t="b">
        <v>1</v>
      </c>
      <c r="F3383" s="72" t="str">
        <f>HYPERLINK("http://nsgreg.nga.mil/genc/view?v=295003&amp;end_month=6&amp;end_day=30&amp;end_year=2019","Sarangani")</f>
        <v>Sarangani</v>
      </c>
      <c r="G3383" s="72" t="str">
        <f>HYPERLINK("http://api.nsgreg.nga.mil/geo-division/GENC/6/3-11/PH-SAR","as:GENC:6:3-11:PH-SAR")</f>
        <v>as:GENC:6:3-11:PH-SAR</v>
      </c>
    </row>
    <row r="3384" spans="1:7" x14ac:dyDescent="0.25">
      <c r="A3384" s="112"/>
      <c r="B3384" s="21" t="s">
        <v>8408</v>
      </c>
      <c r="C3384" s="21" t="s">
        <v>8409</v>
      </c>
      <c r="D3384" s="21" t="s">
        <v>1668</v>
      </c>
      <c r="E3384" s="50" t="b">
        <v>1</v>
      </c>
      <c r="F3384" s="72" t="str">
        <f>HYPERLINK("http://nsgreg.nga.mil/genc/view?v=295004&amp;end_month=6&amp;end_day=30&amp;end_year=2019","South Cotabato")</f>
        <v>South Cotabato</v>
      </c>
      <c r="G3384" s="72" t="str">
        <f>HYPERLINK("http://api.nsgreg.nga.mil/geo-division/GENC/6/3-11/PH-SCO","as:GENC:6:3-11:PH-SCO")</f>
        <v>as:GENC:6:3-11:PH-SCO</v>
      </c>
    </row>
    <row r="3385" spans="1:7" x14ac:dyDescent="0.25">
      <c r="A3385" s="112"/>
      <c r="B3385" s="21" t="s">
        <v>8410</v>
      </c>
      <c r="C3385" s="21" t="s">
        <v>8411</v>
      </c>
      <c r="D3385" s="21" t="s">
        <v>1668</v>
      </c>
      <c r="E3385" s="50" t="b">
        <v>1</v>
      </c>
      <c r="F3385" s="72" t="str">
        <f>HYPERLINK("http://nsgreg.nga.mil/genc/view?v=295010&amp;end_month=6&amp;end_day=30&amp;end_year=2019","Sultan Kudarat")</f>
        <v>Sultan Kudarat</v>
      </c>
      <c r="G3385" s="72" t="str">
        <f>HYPERLINK("http://api.nsgreg.nga.mil/geo-division/GENC/6/3-11/PH-SUK","as:GENC:6:3-11:PH-SUK")</f>
        <v>as:GENC:6:3-11:PH-SUK</v>
      </c>
    </row>
    <row r="3386" spans="1:7" x14ac:dyDescent="0.25">
      <c r="A3386" s="112"/>
      <c r="B3386" s="21" t="s">
        <v>8412</v>
      </c>
      <c r="C3386" s="21" t="s">
        <v>8413</v>
      </c>
      <c r="D3386" s="76" t="s">
        <v>1975</v>
      </c>
      <c r="E3386" s="77" t="b">
        <v>0</v>
      </c>
      <c r="F3386" s="72" t="str">
        <f>HYPERLINK("http://nsgreg.nga.mil/genc/view?v=294893&amp;end_month=6&amp;end_day=30&amp;end_year=2019","Western Visayas")</f>
        <v>Western Visayas</v>
      </c>
      <c r="G3386" s="72" t="str">
        <f>HYPERLINK("http://api.nsgreg.nga.mil/geo-division/GENC/6/3-11/PH-06","as:GENC:6:3-11:PH-06")</f>
        <v>as:GENC:6:3-11:PH-06</v>
      </c>
    </row>
    <row r="3387" spans="1:7" x14ac:dyDescent="0.25">
      <c r="A3387" s="112"/>
      <c r="B3387" s="21" t="s">
        <v>8414</v>
      </c>
      <c r="C3387" s="21" t="s">
        <v>8415</v>
      </c>
      <c r="D3387" s="21" t="s">
        <v>1668</v>
      </c>
      <c r="E3387" s="50" t="b">
        <v>1</v>
      </c>
      <c r="F3387" s="72" t="str">
        <f>HYPERLINK("http://nsgreg.nga.mil/genc/view?v=294908&amp;end_month=6&amp;end_day=30&amp;end_year=2019","Aklan")</f>
        <v>Aklan</v>
      </c>
      <c r="G3387" s="72" t="str">
        <f>HYPERLINK("http://api.nsgreg.nga.mil/geo-division/GENC/6/3-11/PH-AKL","as:GENC:6:3-11:PH-AKL")</f>
        <v>as:GENC:6:3-11:PH-AKL</v>
      </c>
    </row>
    <row r="3388" spans="1:7" x14ac:dyDescent="0.25">
      <c r="A3388" s="112"/>
      <c r="B3388" s="21" t="s">
        <v>8416</v>
      </c>
      <c r="C3388" s="21" t="s">
        <v>8417</v>
      </c>
      <c r="D3388" s="21" t="s">
        <v>1668</v>
      </c>
      <c r="E3388" s="50" t="b">
        <v>1</v>
      </c>
      <c r="F3388" s="72" t="str">
        <f>HYPERLINK("http://nsgreg.nga.mil/genc/view?v=294911&amp;end_month=6&amp;end_day=30&amp;end_year=2019","Antique")</f>
        <v>Antique</v>
      </c>
      <c r="G3388" s="72" t="str">
        <f>HYPERLINK("http://api.nsgreg.nga.mil/geo-division/GENC/6/3-11/PH-ANT","as:GENC:6:3-11:PH-ANT")</f>
        <v>as:GENC:6:3-11:PH-ANT</v>
      </c>
    </row>
    <row r="3389" spans="1:7" x14ac:dyDescent="0.25">
      <c r="A3389" s="112"/>
      <c r="B3389" s="21" t="s">
        <v>8418</v>
      </c>
      <c r="C3389" s="21" t="s">
        <v>8419</v>
      </c>
      <c r="D3389" s="21" t="s">
        <v>8223</v>
      </c>
      <c r="E3389" s="50" t="b">
        <v>1</v>
      </c>
      <c r="F3389" s="72" t="str">
        <f>HYPERLINK("http://nsgreg.nga.mil/genc/view?v=294914&amp;end_month=6&amp;end_day=30&amp;end_year=2019","Bacolod")</f>
        <v>Bacolod</v>
      </c>
      <c r="G3389" s="72" t="str">
        <f>HYPERLINK("http://api.nsgreg.nga.mil/geo-division/GENC/6/3-11/PH-BAC","as:GENC:6:3-11:PH-BAC")</f>
        <v>as:GENC:6:3-11:PH-BAC</v>
      </c>
    </row>
    <row r="3390" spans="1:7" x14ac:dyDescent="0.25">
      <c r="A3390" s="112"/>
      <c r="B3390" s="21" t="s">
        <v>8420</v>
      </c>
      <c r="C3390" s="21" t="s">
        <v>8421</v>
      </c>
      <c r="D3390" s="21" t="s">
        <v>1668</v>
      </c>
      <c r="E3390" s="50" t="b">
        <v>1</v>
      </c>
      <c r="F3390" s="72" t="str">
        <f>HYPERLINK("http://nsgreg.nga.mil/genc/view?v=294930&amp;end_month=6&amp;end_day=30&amp;end_year=2019","Capiz")</f>
        <v>Capiz</v>
      </c>
      <c r="G3390" s="72" t="str">
        <f>HYPERLINK("http://api.nsgreg.nga.mil/geo-division/GENC/6/3-11/PH-CAP","as:GENC:6:3-11:PH-CAP")</f>
        <v>as:GENC:6:3-11:PH-CAP</v>
      </c>
    </row>
    <row r="3391" spans="1:7" x14ac:dyDescent="0.25">
      <c r="A3391" s="112"/>
      <c r="B3391" s="21" t="s">
        <v>8422</v>
      </c>
      <c r="C3391" s="21" t="s">
        <v>8423</v>
      </c>
      <c r="D3391" s="21" t="s">
        <v>1668</v>
      </c>
      <c r="E3391" s="50" t="b">
        <v>1</v>
      </c>
      <c r="F3391" s="72" t="str">
        <f>HYPERLINK("http://nsgreg.nga.mil/genc/view?v=294948&amp;end_month=6&amp;end_day=30&amp;end_year=2019","Guimaras")</f>
        <v>Guimaras</v>
      </c>
      <c r="G3391" s="72" t="str">
        <f>HYPERLINK("http://api.nsgreg.nga.mil/geo-division/GENC/6/3-11/PH-GUI","as:GENC:6:3-11:PH-GUI")</f>
        <v>as:GENC:6:3-11:PH-GUI</v>
      </c>
    </row>
    <row r="3392" spans="1:7" x14ac:dyDescent="0.25">
      <c r="A3392" s="112"/>
      <c r="B3392" s="21" t="s">
        <v>8424</v>
      </c>
      <c r="C3392" s="21" t="s">
        <v>8425</v>
      </c>
      <c r="D3392" s="21" t="s">
        <v>8223</v>
      </c>
      <c r="E3392" s="50" t="b">
        <v>1</v>
      </c>
      <c r="F3392" s="72" t="str">
        <f>HYPERLINK("http://nsgreg.nga.mil/genc/view?v=294953&amp;end_month=6&amp;end_day=30&amp;end_year=2019","Iloilo")</f>
        <v>Iloilo</v>
      </c>
      <c r="G3392" s="72" t="str">
        <f>HYPERLINK("http://api.nsgreg.nga.mil/geo-division/GENC/6/3-11/PH-ILO","as:GENC:6:3-11:PH-ILO")</f>
        <v>as:GENC:6:3-11:PH-ILO</v>
      </c>
    </row>
    <row r="3393" spans="1:7" x14ac:dyDescent="0.25">
      <c r="A3393" s="112"/>
      <c r="B3393" s="21" t="s">
        <v>8426</v>
      </c>
      <c r="C3393" s="21" t="s">
        <v>8425</v>
      </c>
      <c r="D3393" s="21" t="s">
        <v>1668</v>
      </c>
      <c r="E3393" s="50" t="b">
        <v>1</v>
      </c>
      <c r="F3393" s="72" t="str">
        <f>HYPERLINK("http://nsgreg.nga.mil/genc/view?v=294951&amp;end_month=6&amp;end_day=30&amp;end_year=2019","Iloilo")</f>
        <v>Iloilo</v>
      </c>
      <c r="G3393" s="72" t="str">
        <f>HYPERLINK("http://api.nsgreg.nga.mil/geo-division/GENC/6/3-11/PH-ILI","as:GENC:6:3-11:PH-ILI")</f>
        <v>as:GENC:6:3-11:PH-ILI</v>
      </c>
    </row>
    <row r="3394" spans="1:7" x14ac:dyDescent="0.25">
      <c r="A3394" s="112"/>
      <c r="B3394" s="21" t="s">
        <v>8427</v>
      </c>
      <c r="C3394" s="21" t="s">
        <v>8428</v>
      </c>
      <c r="D3394" s="21" t="s">
        <v>1668</v>
      </c>
      <c r="E3394" s="50" t="b">
        <v>1</v>
      </c>
      <c r="F3394" s="72" t="str">
        <f>HYPERLINK("http://nsgreg.nga.mil/genc/view?v=294983&amp;end_month=6&amp;end_day=30&amp;end_year=2019","Negros Occidental")</f>
        <v>Negros Occidental</v>
      </c>
      <c r="G3394" s="72" t="str">
        <f>HYPERLINK("http://api.nsgreg.nga.mil/geo-division/GENC/6/3-11/PH-NEC","as:GENC:6:3-11:PH-NEC")</f>
        <v>as:GENC:6:3-11:PH-NEC</v>
      </c>
    </row>
    <row r="3395" spans="1:7" x14ac:dyDescent="0.25">
      <c r="A3395" s="112"/>
      <c r="B3395" s="21" t="s">
        <v>8429</v>
      </c>
      <c r="C3395" s="21" t="s">
        <v>8430</v>
      </c>
      <c r="D3395" s="76" t="s">
        <v>1975</v>
      </c>
      <c r="E3395" s="77" t="b">
        <v>0</v>
      </c>
      <c r="F3395" s="72" t="str">
        <f>HYPERLINK("http://nsgreg.nga.mil/genc/view?v=294896&amp;end_month=6&amp;end_day=30&amp;end_year=2019","Zamboanga Peninsula")</f>
        <v>Zamboanga Peninsula</v>
      </c>
      <c r="G3395" s="72" t="str">
        <f>HYPERLINK("http://api.nsgreg.nga.mil/geo-division/GENC/6/3-11/PH-09","as:GENC:6:3-11:PH-09")</f>
        <v>as:GENC:6:3-11:PH-09</v>
      </c>
    </row>
    <row r="3396" spans="1:7" x14ac:dyDescent="0.25">
      <c r="A3396" s="112"/>
      <c r="B3396" s="21" t="s">
        <v>8431</v>
      </c>
      <c r="C3396" s="21" t="s">
        <v>8432</v>
      </c>
      <c r="D3396" s="21" t="s">
        <v>8223</v>
      </c>
      <c r="E3396" s="50" t="b">
        <v>1</v>
      </c>
      <c r="F3396" s="72" t="str">
        <f>HYPERLINK("http://nsgreg.nga.mil/genc/view?v=295019&amp;end_month=6&amp;end_day=30&amp;end_year=2019","Zamboanga")</f>
        <v>Zamboanga</v>
      </c>
      <c r="G3396" s="72" t="str">
        <f>HYPERLINK("http://api.nsgreg.nga.mil/geo-division/GENC/6/3-11/PH-ZAM","as:GENC:6:3-11:PH-ZAM")</f>
        <v>as:GENC:6:3-11:PH-ZAM</v>
      </c>
    </row>
    <row r="3397" spans="1:7" x14ac:dyDescent="0.25">
      <c r="A3397" s="112"/>
      <c r="B3397" s="21" t="s">
        <v>8433</v>
      </c>
      <c r="C3397" s="21" t="s">
        <v>8434</v>
      </c>
      <c r="D3397" s="21" t="s">
        <v>1668</v>
      </c>
      <c r="E3397" s="50" t="b">
        <v>1</v>
      </c>
      <c r="F3397" s="72" t="str">
        <f>HYPERLINK("http://nsgreg.nga.mil/genc/view?v=295020&amp;end_month=6&amp;end_day=30&amp;end_year=2019","Zamboanga del Norte")</f>
        <v>Zamboanga del Norte</v>
      </c>
      <c r="G3397" s="72" t="str">
        <f>HYPERLINK("http://api.nsgreg.nga.mil/geo-division/GENC/6/3-11/PH-ZAN","as:GENC:6:3-11:PH-ZAN")</f>
        <v>as:GENC:6:3-11:PH-ZAN</v>
      </c>
    </row>
    <row r="3398" spans="1:7" x14ac:dyDescent="0.25">
      <c r="A3398" s="112"/>
      <c r="B3398" s="21" t="s">
        <v>8435</v>
      </c>
      <c r="C3398" s="21" t="s">
        <v>8436</v>
      </c>
      <c r="D3398" s="21" t="s">
        <v>1668</v>
      </c>
      <c r="E3398" s="50" t="b">
        <v>1</v>
      </c>
      <c r="F3398" s="72" t="str">
        <f>HYPERLINK("http://nsgreg.nga.mil/genc/view?v=295021&amp;end_month=6&amp;end_day=30&amp;end_year=2019","Zamboanga del Sur")</f>
        <v>Zamboanga del Sur</v>
      </c>
      <c r="G3398" s="72" t="str">
        <f>HYPERLINK("http://api.nsgreg.nga.mil/geo-division/GENC/6/3-11/PH-ZAS","as:GENC:6:3-11:PH-ZAS")</f>
        <v>as:GENC:6:3-11:PH-ZAS</v>
      </c>
    </row>
    <row r="3399" spans="1:7" x14ac:dyDescent="0.25">
      <c r="A3399" s="113"/>
      <c r="B3399" s="47" t="s">
        <v>8437</v>
      </c>
      <c r="C3399" s="47" t="s">
        <v>8438</v>
      </c>
      <c r="D3399" s="47" t="s">
        <v>1668</v>
      </c>
      <c r="E3399" s="51" t="b">
        <v>1</v>
      </c>
      <c r="F3399" s="73" t="str">
        <f>HYPERLINK("http://nsgreg.nga.mil/genc/view?v=295023&amp;end_month=6&amp;end_day=30&amp;end_year=2019","Zamboanga Sibugay")</f>
        <v>Zamboanga Sibugay</v>
      </c>
      <c r="G3399" s="73" t="str">
        <f>HYPERLINK("http://api.nsgreg.nga.mil/geo-division/GENC/6/3-11/PH-ZSI","as:GENC:6:3-11:PH-ZSI")</f>
        <v>as:GENC:6:3-11:PH-ZSI</v>
      </c>
    </row>
    <row r="3400" spans="1:7" x14ac:dyDescent="0.25">
      <c r="A3400" s="111" t="str">
        <f>HYPERLINK("[#]Codes_for_GE_Names!A207:I207","POLAND")</f>
        <v>POLAND</v>
      </c>
      <c r="B3400" s="42" t="s">
        <v>8439</v>
      </c>
      <c r="C3400" s="42" t="s">
        <v>8440</v>
      </c>
      <c r="D3400" s="42" t="s">
        <v>8441</v>
      </c>
      <c r="E3400" s="49" t="b">
        <v>1</v>
      </c>
      <c r="F3400" s="74" t="str">
        <f>HYPERLINK("http://nsgreg.nga.mil/genc/view?v=295032&amp;end_month=6&amp;end_day=30&amp;end_year=2019","Dolnośląskie")</f>
        <v>Dolnośląskie</v>
      </c>
      <c r="G3400" s="74" t="str">
        <f>HYPERLINK("http://api.nsgreg.nga.mil/geo-division/GENC/6/3-11/PL-02","as:GENC:6:3-11:PL-02")</f>
        <v>as:GENC:6:3-11:PL-02</v>
      </c>
    </row>
    <row r="3401" spans="1:7" x14ac:dyDescent="0.25">
      <c r="A3401" s="112"/>
      <c r="B3401" s="21" t="s">
        <v>8442</v>
      </c>
      <c r="C3401" s="21" t="s">
        <v>8443</v>
      </c>
      <c r="D3401" s="21" t="s">
        <v>8441</v>
      </c>
      <c r="E3401" s="50" t="b">
        <v>1</v>
      </c>
      <c r="F3401" s="72" t="str">
        <f>HYPERLINK("http://nsgreg.nga.mil/genc/view?v=295033&amp;end_month=6&amp;end_day=30&amp;end_year=2019","Kujawsko-Pomorskie")</f>
        <v>Kujawsko-Pomorskie</v>
      </c>
      <c r="G3401" s="72" t="str">
        <f>HYPERLINK("http://api.nsgreg.nga.mil/geo-division/GENC/6/3-11/PL-04","as:GENC:6:3-11:PL-04")</f>
        <v>as:GENC:6:3-11:PL-04</v>
      </c>
    </row>
    <row r="3402" spans="1:7" x14ac:dyDescent="0.25">
      <c r="A3402" s="112"/>
      <c r="B3402" s="21" t="s">
        <v>8444</v>
      </c>
      <c r="C3402" s="21" t="s">
        <v>8445</v>
      </c>
      <c r="D3402" s="21" t="s">
        <v>8441</v>
      </c>
      <c r="E3402" s="50" t="b">
        <v>1</v>
      </c>
      <c r="F3402" s="72" t="str">
        <f>HYPERLINK("http://nsgreg.nga.mil/genc/view?v=295036&amp;end_month=6&amp;end_day=30&amp;end_year=2019","Łódzkie")</f>
        <v>Łódzkie</v>
      </c>
      <c r="G3402" s="72" t="str">
        <f>HYPERLINK("http://api.nsgreg.nga.mil/geo-division/GENC/6/3-11/PL-10","as:GENC:6:3-11:PL-10")</f>
        <v>as:GENC:6:3-11:PL-10</v>
      </c>
    </row>
    <row r="3403" spans="1:7" x14ac:dyDescent="0.25">
      <c r="A3403" s="112"/>
      <c r="B3403" s="21" t="s">
        <v>8446</v>
      </c>
      <c r="C3403" s="21" t="s">
        <v>8447</v>
      </c>
      <c r="D3403" s="21" t="s">
        <v>8441</v>
      </c>
      <c r="E3403" s="50" t="b">
        <v>1</v>
      </c>
      <c r="F3403" s="72" t="str">
        <f>HYPERLINK("http://nsgreg.nga.mil/genc/view?v=295034&amp;end_month=6&amp;end_day=30&amp;end_year=2019","Lubelskie")</f>
        <v>Lubelskie</v>
      </c>
      <c r="G3403" s="72" t="str">
        <f>HYPERLINK("http://api.nsgreg.nga.mil/geo-division/GENC/6/3-11/PL-06","as:GENC:6:3-11:PL-06")</f>
        <v>as:GENC:6:3-11:PL-06</v>
      </c>
    </row>
    <row r="3404" spans="1:7" x14ac:dyDescent="0.25">
      <c r="A3404" s="112"/>
      <c r="B3404" s="21" t="s">
        <v>8448</v>
      </c>
      <c r="C3404" s="21" t="s">
        <v>8449</v>
      </c>
      <c r="D3404" s="21" t="s">
        <v>8441</v>
      </c>
      <c r="E3404" s="50" t="b">
        <v>1</v>
      </c>
      <c r="F3404" s="72" t="str">
        <f>HYPERLINK("http://nsgreg.nga.mil/genc/view?v=295035&amp;end_month=6&amp;end_day=30&amp;end_year=2019","Lubuskie")</f>
        <v>Lubuskie</v>
      </c>
      <c r="G3404" s="72" t="str">
        <f>HYPERLINK("http://api.nsgreg.nga.mil/geo-division/GENC/6/3-11/PL-08","as:GENC:6:3-11:PL-08")</f>
        <v>as:GENC:6:3-11:PL-08</v>
      </c>
    </row>
    <row r="3405" spans="1:7" x14ac:dyDescent="0.25">
      <c r="A3405" s="112"/>
      <c r="B3405" s="21" t="s">
        <v>8450</v>
      </c>
      <c r="C3405" s="21" t="s">
        <v>8451</v>
      </c>
      <c r="D3405" s="21" t="s">
        <v>8441</v>
      </c>
      <c r="E3405" s="50" t="b">
        <v>1</v>
      </c>
      <c r="F3405" s="72" t="str">
        <f>HYPERLINK("http://nsgreg.nga.mil/genc/view?v=295037&amp;end_month=6&amp;end_day=30&amp;end_year=2019","Małopolskie")</f>
        <v>Małopolskie</v>
      </c>
      <c r="G3405" s="72" t="str">
        <f>HYPERLINK("http://api.nsgreg.nga.mil/geo-division/GENC/6/3-11/PL-12","as:GENC:6:3-11:PL-12")</f>
        <v>as:GENC:6:3-11:PL-12</v>
      </c>
    </row>
    <row r="3406" spans="1:7" x14ac:dyDescent="0.25">
      <c r="A3406" s="112"/>
      <c r="B3406" s="21" t="s">
        <v>8452</v>
      </c>
      <c r="C3406" s="21" t="s">
        <v>8453</v>
      </c>
      <c r="D3406" s="21" t="s">
        <v>8441</v>
      </c>
      <c r="E3406" s="50" t="b">
        <v>1</v>
      </c>
      <c r="F3406" s="72" t="str">
        <f>HYPERLINK("http://nsgreg.nga.mil/genc/view?v=295038&amp;end_month=6&amp;end_day=30&amp;end_year=2019","Mazowieckie")</f>
        <v>Mazowieckie</v>
      </c>
      <c r="G3406" s="72" t="str">
        <f>HYPERLINK("http://api.nsgreg.nga.mil/geo-division/GENC/6/3-11/PL-14","as:GENC:6:3-11:PL-14")</f>
        <v>as:GENC:6:3-11:PL-14</v>
      </c>
    </row>
    <row r="3407" spans="1:7" x14ac:dyDescent="0.25">
      <c r="A3407" s="112"/>
      <c r="B3407" s="21" t="s">
        <v>8454</v>
      </c>
      <c r="C3407" s="21" t="s">
        <v>8455</v>
      </c>
      <c r="D3407" s="21" t="s">
        <v>8441</v>
      </c>
      <c r="E3407" s="50" t="b">
        <v>1</v>
      </c>
      <c r="F3407" s="72" t="str">
        <f>HYPERLINK("http://nsgreg.nga.mil/genc/view?v=295039&amp;end_month=6&amp;end_day=30&amp;end_year=2019","Opolskie")</f>
        <v>Opolskie</v>
      </c>
      <c r="G3407" s="72" t="str">
        <f>HYPERLINK("http://api.nsgreg.nga.mil/geo-division/GENC/6/3-11/PL-16","as:GENC:6:3-11:PL-16")</f>
        <v>as:GENC:6:3-11:PL-16</v>
      </c>
    </row>
    <row r="3408" spans="1:7" x14ac:dyDescent="0.25">
      <c r="A3408" s="112"/>
      <c r="B3408" s="21" t="s">
        <v>8456</v>
      </c>
      <c r="C3408" s="21" t="s">
        <v>8457</v>
      </c>
      <c r="D3408" s="21" t="s">
        <v>8441</v>
      </c>
      <c r="E3408" s="50" t="b">
        <v>1</v>
      </c>
      <c r="F3408" s="72" t="str">
        <f>HYPERLINK("http://nsgreg.nga.mil/genc/view?v=295040&amp;end_month=6&amp;end_day=30&amp;end_year=2019","Podkarpackie")</f>
        <v>Podkarpackie</v>
      </c>
      <c r="G3408" s="72" t="str">
        <f>HYPERLINK("http://api.nsgreg.nga.mil/geo-division/GENC/6/3-11/PL-18","as:GENC:6:3-11:PL-18")</f>
        <v>as:GENC:6:3-11:PL-18</v>
      </c>
    </row>
    <row r="3409" spans="1:7" x14ac:dyDescent="0.25">
      <c r="A3409" s="112"/>
      <c r="B3409" s="21" t="s">
        <v>8458</v>
      </c>
      <c r="C3409" s="21" t="s">
        <v>8459</v>
      </c>
      <c r="D3409" s="21" t="s">
        <v>8441</v>
      </c>
      <c r="E3409" s="50" t="b">
        <v>1</v>
      </c>
      <c r="F3409" s="72" t="str">
        <f>HYPERLINK("http://nsgreg.nga.mil/genc/view?v=295041&amp;end_month=6&amp;end_day=30&amp;end_year=2019","Podlaskie")</f>
        <v>Podlaskie</v>
      </c>
      <c r="G3409" s="72" t="str">
        <f>HYPERLINK("http://api.nsgreg.nga.mil/geo-division/GENC/6/3-11/PL-20","as:GENC:6:3-11:PL-20")</f>
        <v>as:GENC:6:3-11:PL-20</v>
      </c>
    </row>
    <row r="3410" spans="1:7" x14ac:dyDescent="0.25">
      <c r="A3410" s="112"/>
      <c r="B3410" s="21" t="s">
        <v>8460</v>
      </c>
      <c r="C3410" s="21" t="s">
        <v>8461</v>
      </c>
      <c r="D3410" s="21" t="s">
        <v>8441</v>
      </c>
      <c r="E3410" s="50" t="b">
        <v>1</v>
      </c>
      <c r="F3410" s="72" t="str">
        <f>HYPERLINK("http://nsgreg.nga.mil/genc/view?v=295042&amp;end_month=6&amp;end_day=30&amp;end_year=2019","Pomorskie")</f>
        <v>Pomorskie</v>
      </c>
      <c r="G3410" s="72" t="str">
        <f>HYPERLINK("http://api.nsgreg.nga.mil/geo-division/GENC/6/3-11/PL-22","as:GENC:6:3-11:PL-22")</f>
        <v>as:GENC:6:3-11:PL-22</v>
      </c>
    </row>
    <row r="3411" spans="1:7" x14ac:dyDescent="0.25">
      <c r="A3411" s="112"/>
      <c r="B3411" s="21" t="s">
        <v>8462</v>
      </c>
      <c r="C3411" s="21" t="s">
        <v>8463</v>
      </c>
      <c r="D3411" s="21" t="s">
        <v>8441</v>
      </c>
      <c r="E3411" s="50" t="b">
        <v>1</v>
      </c>
      <c r="F3411" s="72" t="str">
        <f>HYPERLINK("http://nsgreg.nga.mil/genc/view?v=295043&amp;end_month=6&amp;end_day=30&amp;end_year=2019","Śląskie")</f>
        <v>Śląskie</v>
      </c>
      <c r="G3411" s="72" t="str">
        <f>HYPERLINK("http://api.nsgreg.nga.mil/geo-division/GENC/6/3-11/PL-24","as:GENC:6:3-11:PL-24")</f>
        <v>as:GENC:6:3-11:PL-24</v>
      </c>
    </row>
    <row r="3412" spans="1:7" x14ac:dyDescent="0.25">
      <c r="A3412" s="112"/>
      <c r="B3412" s="21" t="s">
        <v>8464</v>
      </c>
      <c r="C3412" s="21" t="s">
        <v>8465</v>
      </c>
      <c r="D3412" s="21" t="s">
        <v>8441</v>
      </c>
      <c r="E3412" s="50" t="b">
        <v>1</v>
      </c>
      <c r="F3412" s="72" t="str">
        <f>HYPERLINK("http://nsgreg.nga.mil/genc/view?v=295044&amp;end_month=6&amp;end_day=30&amp;end_year=2019","Świętokrzyskie")</f>
        <v>Świętokrzyskie</v>
      </c>
      <c r="G3412" s="72" t="str">
        <f>HYPERLINK("http://api.nsgreg.nga.mil/geo-division/GENC/6/3-11/PL-26","as:GENC:6:3-11:PL-26")</f>
        <v>as:GENC:6:3-11:PL-26</v>
      </c>
    </row>
    <row r="3413" spans="1:7" x14ac:dyDescent="0.25">
      <c r="A3413" s="112"/>
      <c r="B3413" s="21" t="s">
        <v>8466</v>
      </c>
      <c r="C3413" s="21" t="s">
        <v>8467</v>
      </c>
      <c r="D3413" s="21" t="s">
        <v>8441</v>
      </c>
      <c r="E3413" s="50" t="b">
        <v>1</v>
      </c>
      <c r="F3413" s="72" t="str">
        <f>HYPERLINK("http://nsgreg.nga.mil/genc/view?v=295045&amp;end_month=6&amp;end_day=30&amp;end_year=2019","Warmińsko-Mazurskie")</f>
        <v>Warmińsko-Mazurskie</v>
      </c>
      <c r="G3413" s="72" t="str">
        <f>HYPERLINK("http://api.nsgreg.nga.mil/geo-division/GENC/6/3-11/PL-28","as:GENC:6:3-11:PL-28")</f>
        <v>as:GENC:6:3-11:PL-28</v>
      </c>
    </row>
    <row r="3414" spans="1:7" x14ac:dyDescent="0.25">
      <c r="A3414" s="112"/>
      <c r="B3414" s="21" t="s">
        <v>8468</v>
      </c>
      <c r="C3414" s="21" t="s">
        <v>8469</v>
      </c>
      <c r="D3414" s="21" t="s">
        <v>8441</v>
      </c>
      <c r="E3414" s="50" t="b">
        <v>1</v>
      </c>
      <c r="F3414" s="72" t="str">
        <f>HYPERLINK("http://nsgreg.nga.mil/genc/view?v=295046&amp;end_month=6&amp;end_day=30&amp;end_year=2019","Wielkopolskie")</f>
        <v>Wielkopolskie</v>
      </c>
      <c r="G3414" s="72" t="str">
        <f>HYPERLINK("http://api.nsgreg.nga.mil/geo-division/GENC/6/3-11/PL-30","as:GENC:6:3-11:PL-30")</f>
        <v>as:GENC:6:3-11:PL-30</v>
      </c>
    </row>
    <row r="3415" spans="1:7" x14ac:dyDescent="0.25">
      <c r="A3415" s="113"/>
      <c r="B3415" s="47" t="s">
        <v>8470</v>
      </c>
      <c r="C3415" s="47" t="s">
        <v>8471</v>
      </c>
      <c r="D3415" s="47" t="s">
        <v>8441</v>
      </c>
      <c r="E3415" s="51" t="b">
        <v>1</v>
      </c>
      <c r="F3415" s="73" t="str">
        <f>HYPERLINK("http://nsgreg.nga.mil/genc/view?v=295047&amp;end_month=6&amp;end_day=30&amp;end_year=2019","Zachodniopomorskie")</f>
        <v>Zachodniopomorskie</v>
      </c>
      <c r="G3415" s="73" t="str">
        <f>HYPERLINK("http://api.nsgreg.nga.mil/geo-division/GENC/6/3-11/PL-32","as:GENC:6:3-11:PL-32")</f>
        <v>as:GENC:6:3-11:PL-32</v>
      </c>
    </row>
    <row r="3416" spans="1:7" x14ac:dyDescent="0.25">
      <c r="A3416" s="111" t="str">
        <f>HYPERLINK("[#]Codes_for_GE_Names!A208:I208","PORTUGAL")</f>
        <v>PORTUGAL</v>
      </c>
      <c r="B3416" s="42" t="s">
        <v>8472</v>
      </c>
      <c r="C3416" s="42" t="s">
        <v>8473</v>
      </c>
      <c r="D3416" s="42" t="s">
        <v>2035</v>
      </c>
      <c r="E3416" s="49" t="b">
        <v>1</v>
      </c>
      <c r="F3416" s="74" t="str">
        <f>HYPERLINK("http://nsgreg.nga.mil/genc/view?v=295064&amp;end_month=6&amp;end_day=30&amp;end_year=2019","Aveiro")</f>
        <v>Aveiro</v>
      </c>
      <c r="G3416" s="74" t="str">
        <f>HYPERLINK("http://api.nsgreg.nga.mil/geo-division/GENC/6/3-11/PT-01","as:GENC:6:3-11:PT-01")</f>
        <v>as:GENC:6:3-11:PT-01</v>
      </c>
    </row>
    <row r="3417" spans="1:7" x14ac:dyDescent="0.25">
      <c r="A3417" s="112"/>
      <c r="B3417" s="21" t="s">
        <v>8474</v>
      </c>
      <c r="C3417" s="21" t="s">
        <v>8475</v>
      </c>
      <c r="D3417" s="21" t="s">
        <v>3199</v>
      </c>
      <c r="E3417" s="50" t="b">
        <v>1</v>
      </c>
      <c r="F3417" s="72" t="str">
        <f>HYPERLINK("http://nsgreg.nga.mil/genc/view?v=295082&amp;end_month=6&amp;end_day=30&amp;end_year=2019","Azores")</f>
        <v>Azores</v>
      </c>
      <c r="G3417" s="72" t="str">
        <f>HYPERLINK("http://api.nsgreg.nga.mil/geo-division/GENC/6/3-11/PT-20","as:GENC:6:3-11:PT-20")</f>
        <v>as:GENC:6:3-11:PT-20</v>
      </c>
    </row>
    <row r="3418" spans="1:7" x14ac:dyDescent="0.25">
      <c r="A3418" s="112"/>
      <c r="B3418" s="21" t="s">
        <v>8476</v>
      </c>
      <c r="C3418" s="21" t="s">
        <v>8477</v>
      </c>
      <c r="D3418" s="21" t="s">
        <v>2035</v>
      </c>
      <c r="E3418" s="50" t="b">
        <v>1</v>
      </c>
      <c r="F3418" s="72" t="str">
        <f>HYPERLINK("http://nsgreg.nga.mil/genc/view?v=295065&amp;end_month=6&amp;end_day=30&amp;end_year=2019","Beja")</f>
        <v>Beja</v>
      </c>
      <c r="G3418" s="72" t="str">
        <f>HYPERLINK("http://api.nsgreg.nga.mil/geo-division/GENC/6/3-11/PT-02","as:GENC:6:3-11:PT-02")</f>
        <v>as:GENC:6:3-11:PT-02</v>
      </c>
    </row>
    <row r="3419" spans="1:7" x14ac:dyDescent="0.25">
      <c r="A3419" s="112"/>
      <c r="B3419" s="21" t="s">
        <v>8478</v>
      </c>
      <c r="C3419" s="21" t="s">
        <v>8479</v>
      </c>
      <c r="D3419" s="21" t="s">
        <v>2035</v>
      </c>
      <c r="E3419" s="50" t="b">
        <v>1</v>
      </c>
      <c r="F3419" s="72" t="str">
        <f>HYPERLINK("http://nsgreg.nga.mil/genc/view?v=295066&amp;end_month=6&amp;end_day=30&amp;end_year=2019","Braga")</f>
        <v>Braga</v>
      </c>
      <c r="G3419" s="72" t="str">
        <f>HYPERLINK("http://api.nsgreg.nga.mil/geo-division/GENC/6/3-11/PT-03","as:GENC:6:3-11:PT-03")</f>
        <v>as:GENC:6:3-11:PT-03</v>
      </c>
    </row>
    <row r="3420" spans="1:7" x14ac:dyDescent="0.25">
      <c r="A3420" s="112"/>
      <c r="B3420" s="21" t="s">
        <v>8480</v>
      </c>
      <c r="C3420" s="21" t="s">
        <v>8481</v>
      </c>
      <c r="D3420" s="21" t="s">
        <v>2035</v>
      </c>
      <c r="E3420" s="50" t="b">
        <v>1</v>
      </c>
      <c r="F3420" s="72" t="str">
        <f>HYPERLINK("http://nsgreg.nga.mil/genc/view?v=295067&amp;end_month=6&amp;end_day=30&amp;end_year=2019","Bragança")</f>
        <v>Bragança</v>
      </c>
      <c r="G3420" s="72" t="str">
        <f>HYPERLINK("http://api.nsgreg.nga.mil/geo-division/GENC/6/3-11/PT-04","as:GENC:6:3-11:PT-04")</f>
        <v>as:GENC:6:3-11:PT-04</v>
      </c>
    </row>
    <row r="3421" spans="1:7" x14ac:dyDescent="0.25">
      <c r="A3421" s="112"/>
      <c r="B3421" s="21" t="s">
        <v>8482</v>
      </c>
      <c r="C3421" s="21" t="s">
        <v>8483</v>
      </c>
      <c r="D3421" s="21" t="s">
        <v>2035</v>
      </c>
      <c r="E3421" s="50" t="b">
        <v>1</v>
      </c>
      <c r="F3421" s="72" t="str">
        <f>HYPERLINK("http://nsgreg.nga.mil/genc/view?v=295068&amp;end_month=6&amp;end_day=30&amp;end_year=2019","Castelo Branco")</f>
        <v>Castelo Branco</v>
      </c>
      <c r="G3421" s="72" t="str">
        <f>HYPERLINK("http://api.nsgreg.nga.mil/geo-division/GENC/6/3-11/PT-05","as:GENC:6:3-11:PT-05")</f>
        <v>as:GENC:6:3-11:PT-05</v>
      </c>
    </row>
    <row r="3422" spans="1:7" x14ac:dyDescent="0.25">
      <c r="A3422" s="112"/>
      <c r="B3422" s="21" t="s">
        <v>8484</v>
      </c>
      <c r="C3422" s="21" t="s">
        <v>8485</v>
      </c>
      <c r="D3422" s="21" t="s">
        <v>2035</v>
      </c>
      <c r="E3422" s="50" t="b">
        <v>1</v>
      </c>
      <c r="F3422" s="72" t="str">
        <f>HYPERLINK("http://nsgreg.nga.mil/genc/view?v=295069&amp;end_month=6&amp;end_day=30&amp;end_year=2019","Coimbra")</f>
        <v>Coimbra</v>
      </c>
      <c r="G3422" s="72" t="str">
        <f>HYPERLINK("http://api.nsgreg.nga.mil/geo-division/GENC/6/3-11/PT-06","as:GENC:6:3-11:PT-06")</f>
        <v>as:GENC:6:3-11:PT-06</v>
      </c>
    </row>
    <row r="3423" spans="1:7" x14ac:dyDescent="0.25">
      <c r="A3423" s="112"/>
      <c r="B3423" s="21" t="s">
        <v>8486</v>
      </c>
      <c r="C3423" s="21" t="s">
        <v>8487</v>
      </c>
      <c r="D3423" s="21" t="s">
        <v>2035</v>
      </c>
      <c r="E3423" s="50" t="b">
        <v>1</v>
      </c>
      <c r="F3423" s="72" t="str">
        <f>HYPERLINK("http://nsgreg.nga.mil/genc/view?v=295070&amp;end_month=6&amp;end_day=30&amp;end_year=2019","Évora")</f>
        <v>Évora</v>
      </c>
      <c r="G3423" s="72" t="str">
        <f>HYPERLINK("http://api.nsgreg.nga.mil/geo-division/GENC/6/3-11/PT-07","as:GENC:6:3-11:PT-07")</f>
        <v>as:GENC:6:3-11:PT-07</v>
      </c>
    </row>
    <row r="3424" spans="1:7" x14ac:dyDescent="0.25">
      <c r="A3424" s="112"/>
      <c r="B3424" s="21" t="s">
        <v>8488</v>
      </c>
      <c r="C3424" s="21" t="s">
        <v>8489</v>
      </c>
      <c r="D3424" s="21" t="s">
        <v>2035</v>
      </c>
      <c r="E3424" s="50" t="b">
        <v>1</v>
      </c>
      <c r="F3424" s="72" t="str">
        <f>HYPERLINK("http://nsgreg.nga.mil/genc/view?v=295071&amp;end_month=6&amp;end_day=30&amp;end_year=2019","Faro")</f>
        <v>Faro</v>
      </c>
      <c r="G3424" s="72" t="str">
        <f>HYPERLINK("http://api.nsgreg.nga.mil/geo-division/GENC/6/3-11/PT-08","as:GENC:6:3-11:PT-08")</f>
        <v>as:GENC:6:3-11:PT-08</v>
      </c>
    </row>
    <row r="3425" spans="1:7" x14ac:dyDescent="0.25">
      <c r="A3425" s="112"/>
      <c r="B3425" s="21" t="s">
        <v>8490</v>
      </c>
      <c r="C3425" s="21" t="s">
        <v>8491</v>
      </c>
      <c r="D3425" s="21" t="s">
        <v>2035</v>
      </c>
      <c r="E3425" s="50" t="b">
        <v>1</v>
      </c>
      <c r="F3425" s="72" t="str">
        <f>HYPERLINK("http://nsgreg.nga.mil/genc/view?v=295072&amp;end_month=6&amp;end_day=30&amp;end_year=2019","Guarda")</f>
        <v>Guarda</v>
      </c>
      <c r="G3425" s="72" t="str">
        <f>HYPERLINK("http://api.nsgreg.nga.mil/geo-division/GENC/6/3-11/PT-09","as:GENC:6:3-11:PT-09")</f>
        <v>as:GENC:6:3-11:PT-09</v>
      </c>
    </row>
    <row r="3426" spans="1:7" x14ac:dyDescent="0.25">
      <c r="A3426" s="112"/>
      <c r="B3426" s="21" t="s">
        <v>8492</v>
      </c>
      <c r="C3426" s="21" t="s">
        <v>8493</v>
      </c>
      <c r="D3426" s="21" t="s">
        <v>2035</v>
      </c>
      <c r="E3426" s="50" t="b">
        <v>1</v>
      </c>
      <c r="F3426" s="72" t="str">
        <f>HYPERLINK("http://nsgreg.nga.mil/genc/view?v=295073&amp;end_month=6&amp;end_day=30&amp;end_year=2019","Leiria")</f>
        <v>Leiria</v>
      </c>
      <c r="G3426" s="72" t="str">
        <f>HYPERLINK("http://api.nsgreg.nga.mil/geo-division/GENC/6/3-11/PT-10","as:GENC:6:3-11:PT-10")</f>
        <v>as:GENC:6:3-11:PT-10</v>
      </c>
    </row>
    <row r="3427" spans="1:7" x14ac:dyDescent="0.25">
      <c r="A3427" s="112"/>
      <c r="B3427" s="21" t="s">
        <v>8494</v>
      </c>
      <c r="C3427" s="21" t="s">
        <v>8495</v>
      </c>
      <c r="D3427" s="21" t="s">
        <v>2035</v>
      </c>
      <c r="E3427" s="50" t="b">
        <v>1</v>
      </c>
      <c r="F3427" s="72" t="str">
        <f>HYPERLINK("http://nsgreg.nga.mil/genc/view?v=295074&amp;end_month=6&amp;end_day=30&amp;end_year=2019","Lisboa")</f>
        <v>Lisboa</v>
      </c>
      <c r="G3427" s="72" t="str">
        <f>HYPERLINK("http://api.nsgreg.nga.mil/geo-division/GENC/6/3-11/PT-11","as:GENC:6:3-11:PT-11")</f>
        <v>as:GENC:6:3-11:PT-11</v>
      </c>
    </row>
    <row r="3428" spans="1:7" x14ac:dyDescent="0.25">
      <c r="A3428" s="112"/>
      <c r="B3428" s="21" t="s">
        <v>8496</v>
      </c>
      <c r="C3428" s="21" t="s">
        <v>8497</v>
      </c>
      <c r="D3428" s="21" t="s">
        <v>3199</v>
      </c>
      <c r="E3428" s="50" t="b">
        <v>1</v>
      </c>
      <c r="F3428" s="72" t="str">
        <f>HYPERLINK("http://nsgreg.nga.mil/genc/view?v=295083&amp;end_month=6&amp;end_day=30&amp;end_year=2019","Madeira")</f>
        <v>Madeira</v>
      </c>
      <c r="G3428" s="72" t="str">
        <f>HYPERLINK("http://api.nsgreg.nga.mil/geo-division/GENC/6/3-11/PT-30","as:GENC:6:3-11:PT-30")</f>
        <v>as:GENC:6:3-11:PT-30</v>
      </c>
    </row>
    <row r="3429" spans="1:7" x14ac:dyDescent="0.25">
      <c r="A3429" s="112"/>
      <c r="B3429" s="21" t="s">
        <v>8498</v>
      </c>
      <c r="C3429" s="21" t="s">
        <v>8499</v>
      </c>
      <c r="D3429" s="21" t="s">
        <v>2035</v>
      </c>
      <c r="E3429" s="50" t="b">
        <v>1</v>
      </c>
      <c r="F3429" s="72" t="str">
        <f>HYPERLINK("http://nsgreg.nga.mil/genc/view?v=295075&amp;end_month=6&amp;end_day=30&amp;end_year=2019","Portalegre")</f>
        <v>Portalegre</v>
      </c>
      <c r="G3429" s="72" t="str">
        <f>HYPERLINK("http://api.nsgreg.nga.mil/geo-division/GENC/6/3-11/PT-12","as:GENC:6:3-11:PT-12")</f>
        <v>as:GENC:6:3-11:PT-12</v>
      </c>
    </row>
    <row r="3430" spans="1:7" x14ac:dyDescent="0.25">
      <c r="A3430" s="112"/>
      <c r="B3430" s="21" t="s">
        <v>8500</v>
      </c>
      <c r="C3430" s="21" t="s">
        <v>8501</v>
      </c>
      <c r="D3430" s="21" t="s">
        <v>2035</v>
      </c>
      <c r="E3430" s="50" t="b">
        <v>1</v>
      </c>
      <c r="F3430" s="72" t="str">
        <f>HYPERLINK("http://nsgreg.nga.mil/genc/view?v=295076&amp;end_month=6&amp;end_day=30&amp;end_year=2019","Porto")</f>
        <v>Porto</v>
      </c>
      <c r="G3430" s="72" t="str">
        <f>HYPERLINK("http://api.nsgreg.nga.mil/geo-division/GENC/6/3-11/PT-13","as:GENC:6:3-11:PT-13")</f>
        <v>as:GENC:6:3-11:PT-13</v>
      </c>
    </row>
    <row r="3431" spans="1:7" x14ac:dyDescent="0.25">
      <c r="A3431" s="112"/>
      <c r="B3431" s="21" t="s">
        <v>8502</v>
      </c>
      <c r="C3431" s="21" t="s">
        <v>8503</v>
      </c>
      <c r="D3431" s="21" t="s">
        <v>2035</v>
      </c>
      <c r="E3431" s="50" t="b">
        <v>1</v>
      </c>
      <c r="F3431" s="72" t="str">
        <f>HYPERLINK("http://nsgreg.nga.mil/genc/view?v=295077&amp;end_month=6&amp;end_day=30&amp;end_year=2019","Santarém")</f>
        <v>Santarém</v>
      </c>
      <c r="G3431" s="72" t="str">
        <f>HYPERLINK("http://api.nsgreg.nga.mil/geo-division/GENC/6/3-11/PT-14","as:GENC:6:3-11:PT-14")</f>
        <v>as:GENC:6:3-11:PT-14</v>
      </c>
    </row>
    <row r="3432" spans="1:7" x14ac:dyDescent="0.25">
      <c r="A3432" s="112"/>
      <c r="B3432" s="21" t="s">
        <v>8504</v>
      </c>
      <c r="C3432" s="21" t="s">
        <v>8505</v>
      </c>
      <c r="D3432" s="21" t="s">
        <v>2035</v>
      </c>
      <c r="E3432" s="50" t="b">
        <v>1</v>
      </c>
      <c r="F3432" s="72" t="str">
        <f>HYPERLINK("http://nsgreg.nga.mil/genc/view?v=295078&amp;end_month=6&amp;end_day=30&amp;end_year=2019","Setúbal")</f>
        <v>Setúbal</v>
      </c>
      <c r="G3432" s="72" t="str">
        <f>HYPERLINK("http://api.nsgreg.nga.mil/geo-division/GENC/6/3-11/PT-15","as:GENC:6:3-11:PT-15")</f>
        <v>as:GENC:6:3-11:PT-15</v>
      </c>
    </row>
    <row r="3433" spans="1:7" x14ac:dyDescent="0.25">
      <c r="A3433" s="112"/>
      <c r="B3433" s="21" t="s">
        <v>8506</v>
      </c>
      <c r="C3433" s="21" t="s">
        <v>8507</v>
      </c>
      <c r="D3433" s="21" t="s">
        <v>2035</v>
      </c>
      <c r="E3433" s="50" t="b">
        <v>1</v>
      </c>
      <c r="F3433" s="72" t="str">
        <f>HYPERLINK("http://nsgreg.nga.mil/genc/view?v=295079&amp;end_month=6&amp;end_day=30&amp;end_year=2019","Viana do Castelo")</f>
        <v>Viana do Castelo</v>
      </c>
      <c r="G3433" s="72" t="str">
        <f>HYPERLINK("http://api.nsgreg.nga.mil/geo-division/GENC/6/3-11/PT-16","as:GENC:6:3-11:PT-16")</f>
        <v>as:GENC:6:3-11:PT-16</v>
      </c>
    </row>
    <row r="3434" spans="1:7" x14ac:dyDescent="0.25">
      <c r="A3434" s="112"/>
      <c r="B3434" s="21" t="s">
        <v>8508</v>
      </c>
      <c r="C3434" s="21" t="s">
        <v>8509</v>
      </c>
      <c r="D3434" s="21" t="s">
        <v>2035</v>
      </c>
      <c r="E3434" s="50" t="b">
        <v>1</v>
      </c>
      <c r="F3434" s="72" t="str">
        <f>HYPERLINK("http://nsgreg.nga.mil/genc/view?v=295080&amp;end_month=6&amp;end_day=30&amp;end_year=2019","Vila Real")</f>
        <v>Vila Real</v>
      </c>
      <c r="G3434" s="72" t="str">
        <f>HYPERLINK("http://api.nsgreg.nga.mil/geo-division/GENC/6/3-11/PT-17","as:GENC:6:3-11:PT-17")</f>
        <v>as:GENC:6:3-11:PT-17</v>
      </c>
    </row>
    <row r="3435" spans="1:7" x14ac:dyDescent="0.25">
      <c r="A3435" s="113"/>
      <c r="B3435" s="47" t="s">
        <v>8510</v>
      </c>
      <c r="C3435" s="47" t="s">
        <v>8511</v>
      </c>
      <c r="D3435" s="47" t="s">
        <v>2035</v>
      </c>
      <c r="E3435" s="51" t="b">
        <v>1</v>
      </c>
      <c r="F3435" s="73" t="str">
        <f>HYPERLINK("http://nsgreg.nga.mil/genc/view?v=295081&amp;end_month=6&amp;end_day=30&amp;end_year=2019","Viseu")</f>
        <v>Viseu</v>
      </c>
      <c r="G3435" s="73" t="str">
        <f>HYPERLINK("http://api.nsgreg.nga.mil/geo-division/GENC/6/3-11/PT-18","as:GENC:6:3-11:PT-18")</f>
        <v>as:GENC:6:3-11:PT-18</v>
      </c>
    </row>
    <row r="3436" spans="1:7" x14ac:dyDescent="0.25">
      <c r="A3436" s="111" t="str">
        <f>HYPERLINK("[#]Codes_for_GE_Names!A210:I210","QATAR")</f>
        <v>QATAR</v>
      </c>
      <c r="B3436" s="42" t="s">
        <v>8512</v>
      </c>
      <c r="C3436" s="42" t="s">
        <v>8513</v>
      </c>
      <c r="D3436" s="42" t="s">
        <v>2505</v>
      </c>
      <c r="E3436" s="49" t="b">
        <v>1</v>
      </c>
      <c r="F3436" s="74" t="str">
        <f>HYPERLINK("http://nsgreg.nga.mil/genc/view?v=295118&amp;end_month=6&amp;end_day=30&amp;end_year=2019","Ad Dawḩah")</f>
        <v>Ad Dawḩah</v>
      </c>
      <c r="G3436" s="74" t="str">
        <f>HYPERLINK("http://api.nsgreg.nga.mil/geo-division/GENC/6/3-11/QA-DA","as:GENC:6:3-11:QA-DA")</f>
        <v>as:GENC:6:3-11:QA-DA</v>
      </c>
    </row>
    <row r="3437" spans="1:7" x14ac:dyDescent="0.25">
      <c r="A3437" s="112"/>
      <c r="B3437" s="21" t="s">
        <v>8514</v>
      </c>
      <c r="C3437" s="21" t="s">
        <v>8515</v>
      </c>
      <c r="D3437" s="21" t="s">
        <v>2505</v>
      </c>
      <c r="E3437" s="50" t="b">
        <v>1</v>
      </c>
      <c r="F3437" s="72" t="str">
        <f>HYPERLINK("http://nsgreg.nga.mil/genc/view?v=295119&amp;end_month=6&amp;end_day=30&amp;end_year=2019","Al Khawr wa adh Dhakhīrah")</f>
        <v>Al Khawr wa adh Dhakhīrah</v>
      </c>
      <c r="G3437" s="72" t="str">
        <f>HYPERLINK("http://api.nsgreg.nga.mil/geo-division/GENC/6/3-11/QA-KH","as:GENC:6:3-11:QA-KH")</f>
        <v>as:GENC:6:3-11:QA-KH</v>
      </c>
    </row>
    <row r="3438" spans="1:7" x14ac:dyDescent="0.25">
      <c r="A3438" s="112"/>
      <c r="B3438" s="21" t="s">
        <v>8516</v>
      </c>
      <c r="C3438" s="21" t="s">
        <v>8517</v>
      </c>
      <c r="D3438" s="21" t="s">
        <v>2505</v>
      </c>
      <c r="E3438" s="50" t="b">
        <v>1</v>
      </c>
      <c r="F3438" s="72" t="str">
        <f>HYPERLINK("http://nsgreg.nga.mil/genc/view?v=295124&amp;end_month=6&amp;end_day=30&amp;end_year=2019","Al Wakrah")</f>
        <v>Al Wakrah</v>
      </c>
      <c r="G3438" s="72" t="str">
        <f>HYPERLINK("http://api.nsgreg.nga.mil/geo-division/GENC/6/3-11/QA-WA","as:GENC:6:3-11:QA-WA")</f>
        <v>as:GENC:6:3-11:QA-WA</v>
      </c>
    </row>
    <row r="3439" spans="1:7" x14ac:dyDescent="0.25">
      <c r="A3439" s="112"/>
      <c r="B3439" s="21" t="s">
        <v>8518</v>
      </c>
      <c r="C3439" s="21" t="s">
        <v>8519</v>
      </c>
      <c r="D3439" s="21" t="s">
        <v>2505</v>
      </c>
      <c r="E3439" s="50" t="b">
        <v>1</v>
      </c>
      <c r="F3439" s="72" t="str">
        <f>HYPERLINK("http://nsgreg.nga.mil/genc/view?v=295121&amp;end_month=6&amp;end_day=30&amp;end_year=2019","Ar Rayyān")</f>
        <v>Ar Rayyān</v>
      </c>
      <c r="G3439" s="72" t="str">
        <f>HYPERLINK("http://api.nsgreg.nga.mil/geo-division/GENC/6/3-11/QA-RA","as:GENC:6:3-11:QA-RA")</f>
        <v>as:GENC:6:3-11:QA-RA</v>
      </c>
    </row>
    <row r="3440" spans="1:7" x14ac:dyDescent="0.25">
      <c r="A3440" s="112"/>
      <c r="B3440" s="21" t="s">
        <v>8520</v>
      </c>
      <c r="C3440" s="21" t="s">
        <v>8521</v>
      </c>
      <c r="D3440" s="21" t="s">
        <v>2505</v>
      </c>
      <c r="E3440" s="50" t="b">
        <v>1</v>
      </c>
      <c r="F3440" s="72" t="str">
        <f>HYPERLINK("http://nsgreg.nga.mil/genc/view?v=295120&amp;end_month=6&amp;end_day=30&amp;end_year=2019","Ash Shamāl")</f>
        <v>Ash Shamāl</v>
      </c>
      <c r="G3440" s="72" t="str">
        <f>HYPERLINK("http://api.nsgreg.nga.mil/geo-division/GENC/6/3-11/QA-MS","as:GENC:6:3-11:QA-MS")</f>
        <v>as:GENC:6:3-11:QA-MS</v>
      </c>
    </row>
    <row r="3441" spans="1:7" x14ac:dyDescent="0.25">
      <c r="A3441" s="112"/>
      <c r="B3441" s="21" t="s">
        <v>8522</v>
      </c>
      <c r="C3441" s="21" t="s">
        <v>8523</v>
      </c>
      <c r="D3441" s="21" t="s">
        <v>2505</v>
      </c>
      <c r="E3441" s="50" t="b">
        <v>1</v>
      </c>
      <c r="F3441" s="72" t="str">
        <f>HYPERLINK("http://nsgreg.nga.mil/genc/view?v=295122&amp;end_month=6&amp;end_day=30&amp;end_year=2019","Ash Shīḩānīyah")</f>
        <v>Ash Shīḩānīyah</v>
      </c>
      <c r="G3441" s="72" t="str">
        <f>HYPERLINK("http://api.nsgreg.nga.mil/geo-division/GENC/6/3-11/QA-SH","as:GENC:6:3-11:QA-SH")</f>
        <v>as:GENC:6:3-11:QA-SH</v>
      </c>
    </row>
    <row r="3442" spans="1:7" x14ac:dyDescent="0.25">
      <c r="A3442" s="112"/>
      <c r="B3442" s="21" t="s">
        <v>8524</v>
      </c>
      <c r="C3442" s="21" t="s">
        <v>8525</v>
      </c>
      <c r="D3442" s="21" t="s">
        <v>2505</v>
      </c>
      <c r="E3442" s="50" t="b">
        <v>1</v>
      </c>
      <c r="F3442" s="72" t="str">
        <f>HYPERLINK("http://nsgreg.nga.mil/genc/view?v=295125&amp;end_month=6&amp;end_day=30&amp;end_year=2019","Az̧ Z̧a‘āyin")</f>
        <v>Az̧ Z̧a‘āyin</v>
      </c>
      <c r="G3442" s="72" t="str">
        <f>HYPERLINK("http://api.nsgreg.nga.mil/geo-division/GENC/6/3-11/QA-ZA","as:GENC:6:3-11:QA-ZA")</f>
        <v>as:GENC:6:3-11:QA-ZA</v>
      </c>
    </row>
    <row r="3443" spans="1:7" x14ac:dyDescent="0.25">
      <c r="A3443" s="113"/>
      <c r="B3443" s="47" t="s">
        <v>8526</v>
      </c>
      <c r="C3443" s="47" t="s">
        <v>8527</v>
      </c>
      <c r="D3443" s="47" t="s">
        <v>2505</v>
      </c>
      <c r="E3443" s="51" t="b">
        <v>1</v>
      </c>
      <c r="F3443" s="73" t="str">
        <f>HYPERLINK("http://nsgreg.nga.mil/genc/view?v=295123&amp;end_month=6&amp;end_day=30&amp;end_year=2019","Umm Şalāl")</f>
        <v>Umm Şalāl</v>
      </c>
      <c r="G3443" s="73" t="str">
        <f>HYPERLINK("http://api.nsgreg.nga.mil/geo-division/GENC/6/3-11/QA-US","as:GENC:6:3-11:QA-US")</f>
        <v>as:GENC:6:3-11:QA-US</v>
      </c>
    </row>
    <row r="3444" spans="1:7" x14ac:dyDescent="0.25">
      <c r="A3444" s="111" t="str">
        <f>HYPERLINK("[#]Codes_for_GE_Names!A212:I212","ROMANIA")</f>
        <v>ROMANIA</v>
      </c>
      <c r="B3444" s="42" t="s">
        <v>8528</v>
      </c>
      <c r="C3444" s="42" t="s">
        <v>8529</v>
      </c>
      <c r="D3444" s="42" t="s">
        <v>1737</v>
      </c>
      <c r="E3444" s="49" t="b">
        <v>1</v>
      </c>
      <c r="F3444" s="74" t="str">
        <f>HYPERLINK("http://nsgreg.nga.mil/genc/view?v=295126&amp;end_month=6&amp;end_day=30&amp;end_year=2019","Alba")</f>
        <v>Alba</v>
      </c>
      <c r="G3444" s="74" t="str">
        <f>HYPERLINK("http://api.nsgreg.nga.mil/geo-division/GENC/6/3-11/RO-AB","as:GENC:6:3-11:RO-AB")</f>
        <v>as:GENC:6:3-11:RO-AB</v>
      </c>
    </row>
    <row r="3445" spans="1:7" x14ac:dyDescent="0.25">
      <c r="A3445" s="112"/>
      <c r="B3445" s="21" t="s">
        <v>8530</v>
      </c>
      <c r="C3445" s="21" t="s">
        <v>8531</v>
      </c>
      <c r="D3445" s="21" t="s">
        <v>1737</v>
      </c>
      <c r="E3445" s="50" t="b">
        <v>1</v>
      </c>
      <c r="F3445" s="72" t="str">
        <f>HYPERLINK("http://nsgreg.nga.mil/genc/view?v=295128&amp;end_month=6&amp;end_day=30&amp;end_year=2019","Arad")</f>
        <v>Arad</v>
      </c>
      <c r="G3445" s="72" t="str">
        <f>HYPERLINK("http://api.nsgreg.nga.mil/geo-division/GENC/6/3-11/RO-AR","as:GENC:6:3-11:RO-AR")</f>
        <v>as:GENC:6:3-11:RO-AR</v>
      </c>
    </row>
    <row r="3446" spans="1:7" x14ac:dyDescent="0.25">
      <c r="A3446" s="112"/>
      <c r="B3446" s="21" t="s">
        <v>8532</v>
      </c>
      <c r="C3446" s="21" t="s">
        <v>8533</v>
      </c>
      <c r="D3446" s="21" t="s">
        <v>1737</v>
      </c>
      <c r="E3446" s="50" t="b">
        <v>1</v>
      </c>
      <c r="F3446" s="72" t="str">
        <f>HYPERLINK("http://nsgreg.nga.mil/genc/view?v=295127&amp;end_month=6&amp;end_day=30&amp;end_year=2019","Argeş")</f>
        <v>Argeş</v>
      </c>
      <c r="G3446" s="72" t="str">
        <f>HYPERLINK("http://api.nsgreg.nga.mil/geo-division/GENC/6/3-11/RO-AG","as:GENC:6:3-11:RO-AG")</f>
        <v>as:GENC:6:3-11:RO-AG</v>
      </c>
    </row>
    <row r="3447" spans="1:7" x14ac:dyDescent="0.25">
      <c r="A3447" s="112"/>
      <c r="B3447" s="21" t="s">
        <v>8534</v>
      </c>
      <c r="C3447" s="21" t="s">
        <v>8535</v>
      </c>
      <c r="D3447" s="21" t="s">
        <v>1737</v>
      </c>
      <c r="E3447" s="50" t="b">
        <v>1</v>
      </c>
      <c r="F3447" s="72" t="str">
        <f>HYPERLINK("http://nsgreg.nga.mil/genc/view?v=295130&amp;end_month=6&amp;end_day=30&amp;end_year=2019","Bacău")</f>
        <v>Bacău</v>
      </c>
      <c r="G3447" s="72" t="str">
        <f>HYPERLINK("http://api.nsgreg.nga.mil/geo-division/GENC/6/3-11/RO-BC","as:GENC:6:3-11:RO-BC")</f>
        <v>as:GENC:6:3-11:RO-BC</v>
      </c>
    </row>
    <row r="3448" spans="1:7" x14ac:dyDescent="0.25">
      <c r="A3448" s="112"/>
      <c r="B3448" s="21" t="s">
        <v>8536</v>
      </c>
      <c r="C3448" s="21" t="s">
        <v>8537</v>
      </c>
      <c r="D3448" s="21" t="s">
        <v>1737</v>
      </c>
      <c r="E3448" s="50" t="b">
        <v>1</v>
      </c>
      <c r="F3448" s="72" t="str">
        <f>HYPERLINK("http://nsgreg.nga.mil/genc/view?v=295131&amp;end_month=6&amp;end_day=30&amp;end_year=2019","Bihor")</f>
        <v>Bihor</v>
      </c>
      <c r="G3448" s="72" t="str">
        <f>HYPERLINK("http://api.nsgreg.nga.mil/geo-division/GENC/6/3-11/RO-BH","as:GENC:6:3-11:RO-BH")</f>
        <v>as:GENC:6:3-11:RO-BH</v>
      </c>
    </row>
    <row r="3449" spans="1:7" x14ac:dyDescent="0.25">
      <c r="A3449" s="112"/>
      <c r="B3449" s="21" t="s">
        <v>8538</v>
      </c>
      <c r="C3449" s="21" t="s">
        <v>8539</v>
      </c>
      <c r="D3449" s="21" t="s">
        <v>1737</v>
      </c>
      <c r="E3449" s="50" t="b">
        <v>1</v>
      </c>
      <c r="F3449" s="72" t="str">
        <f>HYPERLINK("http://nsgreg.nga.mil/genc/view?v=295132&amp;end_month=6&amp;end_day=30&amp;end_year=2019","Bistriţa-Năsăud")</f>
        <v>Bistriţa-Năsăud</v>
      </c>
      <c r="G3449" s="72" t="str">
        <f>HYPERLINK("http://api.nsgreg.nga.mil/geo-division/GENC/6/3-11/RO-BN","as:GENC:6:3-11:RO-BN")</f>
        <v>as:GENC:6:3-11:RO-BN</v>
      </c>
    </row>
    <row r="3450" spans="1:7" x14ac:dyDescent="0.25">
      <c r="A3450" s="112"/>
      <c r="B3450" s="21" t="s">
        <v>8540</v>
      </c>
      <c r="C3450" s="21" t="s">
        <v>8541</v>
      </c>
      <c r="D3450" s="21" t="s">
        <v>1737</v>
      </c>
      <c r="E3450" s="50" t="b">
        <v>1</v>
      </c>
      <c r="F3450" s="72" t="str">
        <f>HYPERLINK("http://nsgreg.nga.mil/genc/view?v=295134&amp;end_month=6&amp;end_day=30&amp;end_year=2019","Botoşani")</f>
        <v>Botoşani</v>
      </c>
      <c r="G3450" s="72" t="str">
        <f>HYPERLINK("http://api.nsgreg.nga.mil/geo-division/GENC/6/3-11/RO-BT","as:GENC:6:3-11:RO-BT")</f>
        <v>as:GENC:6:3-11:RO-BT</v>
      </c>
    </row>
    <row r="3451" spans="1:7" x14ac:dyDescent="0.25">
      <c r="A3451" s="112"/>
      <c r="B3451" s="21" t="s">
        <v>8542</v>
      </c>
      <c r="C3451" s="21" t="s">
        <v>8543</v>
      </c>
      <c r="D3451" s="21" t="s">
        <v>1737</v>
      </c>
      <c r="E3451" s="50" t="b">
        <v>1</v>
      </c>
      <c r="F3451" s="72" t="str">
        <f>HYPERLINK("http://nsgreg.nga.mil/genc/view?v=295133&amp;end_month=6&amp;end_day=30&amp;end_year=2019","Brăila")</f>
        <v>Brăila</v>
      </c>
      <c r="G3451" s="72" t="str">
        <f>HYPERLINK("http://api.nsgreg.nga.mil/geo-division/GENC/6/3-11/RO-BR","as:GENC:6:3-11:RO-BR")</f>
        <v>as:GENC:6:3-11:RO-BR</v>
      </c>
    </row>
    <row r="3452" spans="1:7" x14ac:dyDescent="0.25">
      <c r="A3452" s="112"/>
      <c r="B3452" s="21" t="s">
        <v>8544</v>
      </c>
      <c r="C3452" s="21" t="s">
        <v>8545</v>
      </c>
      <c r="D3452" s="21" t="s">
        <v>1737</v>
      </c>
      <c r="E3452" s="50" t="b">
        <v>1</v>
      </c>
      <c r="F3452" s="72" t="str">
        <f>HYPERLINK("http://nsgreg.nga.mil/genc/view?v=295135&amp;end_month=6&amp;end_day=30&amp;end_year=2019","Braşov")</f>
        <v>Braşov</v>
      </c>
      <c r="G3452" s="72" t="str">
        <f>HYPERLINK("http://api.nsgreg.nga.mil/geo-division/GENC/6/3-11/RO-BV","as:GENC:6:3-11:RO-BV")</f>
        <v>as:GENC:6:3-11:RO-BV</v>
      </c>
    </row>
    <row r="3453" spans="1:7" x14ac:dyDescent="0.25">
      <c r="A3453" s="112"/>
      <c r="B3453" s="21" t="s">
        <v>8546</v>
      </c>
      <c r="C3453" s="21" t="s">
        <v>8547</v>
      </c>
      <c r="D3453" s="21" t="s">
        <v>2505</v>
      </c>
      <c r="E3453" s="50" t="b">
        <v>1</v>
      </c>
      <c r="F3453" s="72" t="str">
        <f>HYPERLINK("http://nsgreg.nga.mil/genc/view?v=295129&amp;end_month=6&amp;end_day=30&amp;end_year=2019","Bucureşti")</f>
        <v>Bucureşti</v>
      </c>
      <c r="G3453" s="72" t="str">
        <f>HYPERLINK("http://api.nsgreg.nga.mil/geo-division/GENC/6/3-11/RO-B","as:GENC:6:3-11:RO-B")</f>
        <v>as:GENC:6:3-11:RO-B</v>
      </c>
    </row>
    <row r="3454" spans="1:7" x14ac:dyDescent="0.25">
      <c r="A3454" s="112"/>
      <c r="B3454" s="21" t="s">
        <v>8548</v>
      </c>
      <c r="C3454" s="21" t="s">
        <v>8549</v>
      </c>
      <c r="D3454" s="21" t="s">
        <v>1737</v>
      </c>
      <c r="E3454" s="50" t="b">
        <v>1</v>
      </c>
      <c r="F3454" s="72" t="str">
        <f>HYPERLINK("http://nsgreg.nga.mil/genc/view?v=295136&amp;end_month=6&amp;end_day=30&amp;end_year=2019","Buzău")</f>
        <v>Buzău</v>
      </c>
      <c r="G3454" s="72" t="str">
        <f>HYPERLINK("http://api.nsgreg.nga.mil/geo-division/GENC/6/3-11/RO-BZ","as:GENC:6:3-11:RO-BZ")</f>
        <v>as:GENC:6:3-11:RO-BZ</v>
      </c>
    </row>
    <row r="3455" spans="1:7" x14ac:dyDescent="0.25">
      <c r="A3455" s="112"/>
      <c r="B3455" s="21" t="s">
        <v>8550</v>
      </c>
      <c r="C3455" s="21" t="s">
        <v>7113</v>
      </c>
      <c r="D3455" s="21" t="s">
        <v>1737</v>
      </c>
      <c r="E3455" s="50" t="b">
        <v>1</v>
      </c>
      <c r="F3455" s="72" t="str">
        <f>HYPERLINK("http://nsgreg.nga.mil/genc/view?v=295138&amp;end_month=6&amp;end_day=30&amp;end_year=2019","Călăraşi")</f>
        <v>Călăraşi</v>
      </c>
      <c r="G3455" s="72" t="str">
        <f>HYPERLINK("http://api.nsgreg.nga.mil/geo-division/GENC/6/3-11/RO-CL","as:GENC:6:3-11:RO-CL")</f>
        <v>as:GENC:6:3-11:RO-CL</v>
      </c>
    </row>
    <row r="3456" spans="1:7" x14ac:dyDescent="0.25">
      <c r="A3456" s="112"/>
      <c r="B3456" s="21" t="s">
        <v>8551</v>
      </c>
      <c r="C3456" s="21" t="s">
        <v>8552</v>
      </c>
      <c r="D3456" s="21" t="s">
        <v>1737</v>
      </c>
      <c r="E3456" s="50" t="b">
        <v>1</v>
      </c>
      <c r="F3456" s="72" t="str">
        <f>HYPERLINK("http://nsgreg.nga.mil/genc/view?v=295139&amp;end_month=6&amp;end_day=30&amp;end_year=2019","Caraş-Severin")</f>
        <v>Caraş-Severin</v>
      </c>
      <c r="G3456" s="72" t="str">
        <f>HYPERLINK("http://api.nsgreg.nga.mil/geo-division/GENC/6/3-11/RO-CS","as:GENC:6:3-11:RO-CS")</f>
        <v>as:GENC:6:3-11:RO-CS</v>
      </c>
    </row>
    <row r="3457" spans="1:7" x14ac:dyDescent="0.25">
      <c r="A3457" s="112"/>
      <c r="B3457" s="21" t="s">
        <v>8553</v>
      </c>
      <c r="C3457" s="21" t="s">
        <v>8554</v>
      </c>
      <c r="D3457" s="21" t="s">
        <v>1737</v>
      </c>
      <c r="E3457" s="50" t="b">
        <v>1</v>
      </c>
      <c r="F3457" s="72" t="str">
        <f>HYPERLINK("http://nsgreg.nga.mil/genc/view?v=295137&amp;end_month=6&amp;end_day=30&amp;end_year=2019","Cluj")</f>
        <v>Cluj</v>
      </c>
      <c r="G3457" s="72" t="str">
        <f>HYPERLINK("http://api.nsgreg.nga.mil/geo-division/GENC/6/3-11/RO-CJ","as:GENC:6:3-11:RO-CJ")</f>
        <v>as:GENC:6:3-11:RO-CJ</v>
      </c>
    </row>
    <row r="3458" spans="1:7" x14ac:dyDescent="0.25">
      <c r="A3458" s="112"/>
      <c r="B3458" s="21" t="s">
        <v>8555</v>
      </c>
      <c r="C3458" s="21" t="s">
        <v>8556</v>
      </c>
      <c r="D3458" s="21" t="s">
        <v>1737</v>
      </c>
      <c r="E3458" s="50" t="b">
        <v>1</v>
      </c>
      <c r="F3458" s="72" t="str">
        <f>HYPERLINK("http://nsgreg.nga.mil/genc/view?v=295140&amp;end_month=6&amp;end_day=30&amp;end_year=2019","Constanţa")</f>
        <v>Constanţa</v>
      </c>
      <c r="G3458" s="72" t="str">
        <f>HYPERLINK("http://api.nsgreg.nga.mil/geo-division/GENC/6/3-11/RO-CT","as:GENC:6:3-11:RO-CT")</f>
        <v>as:GENC:6:3-11:RO-CT</v>
      </c>
    </row>
    <row r="3459" spans="1:7" x14ac:dyDescent="0.25">
      <c r="A3459" s="112"/>
      <c r="B3459" s="21" t="s">
        <v>8557</v>
      </c>
      <c r="C3459" s="21" t="s">
        <v>8558</v>
      </c>
      <c r="D3459" s="21" t="s">
        <v>1737</v>
      </c>
      <c r="E3459" s="50" t="b">
        <v>1</v>
      </c>
      <c r="F3459" s="72" t="str">
        <f>HYPERLINK("http://nsgreg.nga.mil/genc/view?v=295141&amp;end_month=6&amp;end_day=30&amp;end_year=2019","Covasna")</f>
        <v>Covasna</v>
      </c>
      <c r="G3459" s="72" t="str">
        <f>HYPERLINK("http://api.nsgreg.nga.mil/geo-division/GENC/6/3-11/RO-CV","as:GENC:6:3-11:RO-CV")</f>
        <v>as:GENC:6:3-11:RO-CV</v>
      </c>
    </row>
    <row r="3460" spans="1:7" x14ac:dyDescent="0.25">
      <c r="A3460" s="112"/>
      <c r="B3460" s="21" t="s">
        <v>8559</v>
      </c>
      <c r="C3460" s="21" t="s">
        <v>8560</v>
      </c>
      <c r="D3460" s="21" t="s">
        <v>1737</v>
      </c>
      <c r="E3460" s="50" t="b">
        <v>1</v>
      </c>
      <c r="F3460" s="72" t="str">
        <f>HYPERLINK("http://nsgreg.nga.mil/genc/view?v=295142&amp;end_month=6&amp;end_day=30&amp;end_year=2019","Dâmboviţa")</f>
        <v>Dâmboviţa</v>
      </c>
      <c r="G3460" s="72" t="str">
        <f>HYPERLINK("http://api.nsgreg.nga.mil/geo-division/GENC/6/3-11/RO-DB","as:GENC:6:3-11:RO-DB")</f>
        <v>as:GENC:6:3-11:RO-DB</v>
      </c>
    </row>
    <row r="3461" spans="1:7" x14ac:dyDescent="0.25">
      <c r="A3461" s="112"/>
      <c r="B3461" s="21" t="s">
        <v>8561</v>
      </c>
      <c r="C3461" s="21" t="s">
        <v>8562</v>
      </c>
      <c r="D3461" s="21" t="s">
        <v>1737</v>
      </c>
      <c r="E3461" s="50" t="b">
        <v>1</v>
      </c>
      <c r="F3461" s="72" t="str">
        <f>HYPERLINK("http://nsgreg.nga.mil/genc/view?v=295143&amp;end_month=6&amp;end_day=30&amp;end_year=2019","Dolj")</f>
        <v>Dolj</v>
      </c>
      <c r="G3461" s="72" t="str">
        <f>HYPERLINK("http://api.nsgreg.nga.mil/geo-division/GENC/6/3-11/RO-DJ","as:GENC:6:3-11:RO-DJ")</f>
        <v>as:GENC:6:3-11:RO-DJ</v>
      </c>
    </row>
    <row r="3462" spans="1:7" x14ac:dyDescent="0.25">
      <c r="A3462" s="112"/>
      <c r="B3462" s="21" t="s">
        <v>8563</v>
      </c>
      <c r="C3462" s="21" t="s">
        <v>8564</v>
      </c>
      <c r="D3462" s="21" t="s">
        <v>1737</v>
      </c>
      <c r="E3462" s="50" t="b">
        <v>1</v>
      </c>
      <c r="F3462" s="72" t="str">
        <f>HYPERLINK("http://nsgreg.nga.mil/genc/view?v=295145&amp;end_month=6&amp;end_day=30&amp;end_year=2019","Galaţi")</f>
        <v>Galaţi</v>
      </c>
      <c r="G3462" s="72" t="str">
        <f>HYPERLINK("http://api.nsgreg.nga.mil/geo-division/GENC/6/3-11/RO-GL","as:GENC:6:3-11:RO-GL")</f>
        <v>as:GENC:6:3-11:RO-GL</v>
      </c>
    </row>
    <row r="3463" spans="1:7" x14ac:dyDescent="0.25">
      <c r="A3463" s="112"/>
      <c r="B3463" s="21" t="s">
        <v>8565</v>
      </c>
      <c r="C3463" s="21" t="s">
        <v>8566</v>
      </c>
      <c r="D3463" s="21" t="s">
        <v>1737</v>
      </c>
      <c r="E3463" s="50" t="b">
        <v>1</v>
      </c>
      <c r="F3463" s="72" t="str">
        <f>HYPERLINK("http://nsgreg.nga.mil/genc/view?v=295146&amp;end_month=6&amp;end_day=30&amp;end_year=2019","Giurgiu")</f>
        <v>Giurgiu</v>
      </c>
      <c r="G3463" s="72" t="str">
        <f>HYPERLINK("http://api.nsgreg.nga.mil/geo-division/GENC/6/3-11/RO-GR","as:GENC:6:3-11:RO-GR")</f>
        <v>as:GENC:6:3-11:RO-GR</v>
      </c>
    </row>
    <row r="3464" spans="1:7" x14ac:dyDescent="0.25">
      <c r="A3464" s="112"/>
      <c r="B3464" s="21" t="s">
        <v>8567</v>
      </c>
      <c r="C3464" s="21" t="s">
        <v>8568</v>
      </c>
      <c r="D3464" s="21" t="s">
        <v>1737</v>
      </c>
      <c r="E3464" s="50" t="b">
        <v>1</v>
      </c>
      <c r="F3464" s="72" t="str">
        <f>HYPERLINK("http://nsgreg.nga.mil/genc/view?v=295144&amp;end_month=6&amp;end_day=30&amp;end_year=2019","Gorj")</f>
        <v>Gorj</v>
      </c>
      <c r="G3464" s="72" t="str">
        <f>HYPERLINK("http://api.nsgreg.nga.mil/geo-division/GENC/6/3-11/RO-GJ","as:GENC:6:3-11:RO-GJ")</f>
        <v>as:GENC:6:3-11:RO-GJ</v>
      </c>
    </row>
    <row r="3465" spans="1:7" x14ac:dyDescent="0.25">
      <c r="A3465" s="112"/>
      <c r="B3465" s="21" t="s">
        <v>8569</v>
      </c>
      <c r="C3465" s="21" t="s">
        <v>8570</v>
      </c>
      <c r="D3465" s="21" t="s">
        <v>1737</v>
      </c>
      <c r="E3465" s="50" t="b">
        <v>1</v>
      </c>
      <c r="F3465" s="72" t="str">
        <f>HYPERLINK("http://nsgreg.nga.mil/genc/view?v=295148&amp;end_month=6&amp;end_day=30&amp;end_year=2019","Harghita")</f>
        <v>Harghita</v>
      </c>
      <c r="G3465" s="72" t="str">
        <f>HYPERLINK("http://api.nsgreg.nga.mil/geo-division/GENC/6/3-11/RO-HR","as:GENC:6:3-11:RO-HR")</f>
        <v>as:GENC:6:3-11:RO-HR</v>
      </c>
    </row>
    <row r="3466" spans="1:7" x14ac:dyDescent="0.25">
      <c r="A3466" s="112"/>
      <c r="B3466" s="21" t="s">
        <v>8571</v>
      </c>
      <c r="C3466" s="21" t="s">
        <v>8572</v>
      </c>
      <c r="D3466" s="21" t="s">
        <v>1737</v>
      </c>
      <c r="E3466" s="50" t="b">
        <v>1</v>
      </c>
      <c r="F3466" s="72" t="str">
        <f>HYPERLINK("http://nsgreg.nga.mil/genc/view?v=295147&amp;end_month=6&amp;end_day=30&amp;end_year=2019","Hunedoara")</f>
        <v>Hunedoara</v>
      </c>
      <c r="G3466" s="72" t="str">
        <f>HYPERLINK("http://api.nsgreg.nga.mil/geo-division/GENC/6/3-11/RO-HD","as:GENC:6:3-11:RO-HD")</f>
        <v>as:GENC:6:3-11:RO-HD</v>
      </c>
    </row>
    <row r="3467" spans="1:7" x14ac:dyDescent="0.25">
      <c r="A3467" s="112"/>
      <c r="B3467" s="21" t="s">
        <v>8573</v>
      </c>
      <c r="C3467" s="21" t="s">
        <v>8574</v>
      </c>
      <c r="D3467" s="21" t="s">
        <v>1737</v>
      </c>
      <c r="E3467" s="50" t="b">
        <v>1</v>
      </c>
      <c r="F3467" s="72" t="str">
        <f>HYPERLINK("http://nsgreg.nga.mil/genc/view?v=295150&amp;end_month=6&amp;end_day=30&amp;end_year=2019","Ialomiţa")</f>
        <v>Ialomiţa</v>
      </c>
      <c r="G3467" s="72" t="str">
        <f>HYPERLINK("http://api.nsgreg.nga.mil/geo-division/GENC/6/3-11/RO-IL","as:GENC:6:3-11:RO-IL")</f>
        <v>as:GENC:6:3-11:RO-IL</v>
      </c>
    </row>
    <row r="3468" spans="1:7" x14ac:dyDescent="0.25">
      <c r="A3468" s="112"/>
      <c r="B3468" s="21" t="s">
        <v>8575</v>
      </c>
      <c r="C3468" s="21" t="s">
        <v>8576</v>
      </c>
      <c r="D3468" s="21" t="s">
        <v>1737</v>
      </c>
      <c r="E3468" s="50" t="b">
        <v>1</v>
      </c>
      <c r="F3468" s="72" t="str">
        <f>HYPERLINK("http://nsgreg.nga.mil/genc/view?v=295151&amp;end_month=6&amp;end_day=30&amp;end_year=2019","Iaşi")</f>
        <v>Iaşi</v>
      </c>
      <c r="G3468" s="72" t="str">
        <f>HYPERLINK("http://api.nsgreg.nga.mil/geo-division/GENC/6/3-11/RO-IS","as:GENC:6:3-11:RO-IS")</f>
        <v>as:GENC:6:3-11:RO-IS</v>
      </c>
    </row>
    <row r="3469" spans="1:7" x14ac:dyDescent="0.25">
      <c r="A3469" s="112"/>
      <c r="B3469" s="21" t="s">
        <v>8577</v>
      </c>
      <c r="C3469" s="21" t="s">
        <v>8578</v>
      </c>
      <c r="D3469" s="21" t="s">
        <v>1737</v>
      </c>
      <c r="E3469" s="50" t="b">
        <v>1</v>
      </c>
      <c r="F3469" s="72" t="str">
        <f>HYPERLINK("http://nsgreg.nga.mil/genc/view?v=295149&amp;end_month=6&amp;end_day=30&amp;end_year=2019","Ilfov")</f>
        <v>Ilfov</v>
      </c>
      <c r="G3469" s="72" t="str">
        <f>HYPERLINK("http://api.nsgreg.nga.mil/geo-division/GENC/6/3-11/RO-IF","as:GENC:6:3-11:RO-IF")</f>
        <v>as:GENC:6:3-11:RO-IF</v>
      </c>
    </row>
    <row r="3470" spans="1:7" x14ac:dyDescent="0.25">
      <c r="A3470" s="112"/>
      <c r="B3470" s="21" t="s">
        <v>8579</v>
      </c>
      <c r="C3470" s="21" t="s">
        <v>8580</v>
      </c>
      <c r="D3470" s="21" t="s">
        <v>1737</v>
      </c>
      <c r="E3470" s="50" t="b">
        <v>1</v>
      </c>
      <c r="F3470" s="72" t="str">
        <f>HYPERLINK("http://nsgreg.nga.mil/genc/view?v=295153&amp;end_month=6&amp;end_day=30&amp;end_year=2019","Maramureş")</f>
        <v>Maramureş</v>
      </c>
      <c r="G3470" s="72" t="str">
        <f>HYPERLINK("http://api.nsgreg.nga.mil/geo-division/GENC/6/3-11/RO-MM","as:GENC:6:3-11:RO-MM")</f>
        <v>as:GENC:6:3-11:RO-MM</v>
      </c>
    </row>
    <row r="3471" spans="1:7" x14ac:dyDescent="0.25">
      <c r="A3471" s="112"/>
      <c r="B3471" s="21" t="s">
        <v>8581</v>
      </c>
      <c r="C3471" s="21" t="s">
        <v>8582</v>
      </c>
      <c r="D3471" s="21" t="s">
        <v>1737</v>
      </c>
      <c r="E3471" s="50" t="b">
        <v>1</v>
      </c>
      <c r="F3471" s="72" t="str">
        <f>HYPERLINK("http://nsgreg.nga.mil/genc/view?v=295152&amp;end_month=6&amp;end_day=30&amp;end_year=2019","Mehedinţi")</f>
        <v>Mehedinţi</v>
      </c>
      <c r="G3471" s="72" t="str">
        <f>HYPERLINK("http://api.nsgreg.nga.mil/geo-division/GENC/6/3-11/RO-MH","as:GENC:6:3-11:RO-MH")</f>
        <v>as:GENC:6:3-11:RO-MH</v>
      </c>
    </row>
    <row r="3472" spans="1:7" x14ac:dyDescent="0.25">
      <c r="A3472" s="112"/>
      <c r="B3472" s="21" t="s">
        <v>8583</v>
      </c>
      <c r="C3472" s="21" t="s">
        <v>8584</v>
      </c>
      <c r="D3472" s="21" t="s">
        <v>1737</v>
      </c>
      <c r="E3472" s="50" t="b">
        <v>1</v>
      </c>
      <c r="F3472" s="72" t="str">
        <f>HYPERLINK("http://nsgreg.nga.mil/genc/view?v=295154&amp;end_month=6&amp;end_day=30&amp;end_year=2019","Mureş")</f>
        <v>Mureş</v>
      </c>
      <c r="G3472" s="72" t="str">
        <f>HYPERLINK("http://api.nsgreg.nga.mil/geo-division/GENC/6/3-11/RO-MS","as:GENC:6:3-11:RO-MS")</f>
        <v>as:GENC:6:3-11:RO-MS</v>
      </c>
    </row>
    <row r="3473" spans="1:7" x14ac:dyDescent="0.25">
      <c r="A3473" s="112"/>
      <c r="B3473" s="21" t="s">
        <v>8585</v>
      </c>
      <c r="C3473" s="21" t="s">
        <v>8586</v>
      </c>
      <c r="D3473" s="21" t="s">
        <v>1737</v>
      </c>
      <c r="E3473" s="50" t="b">
        <v>1</v>
      </c>
      <c r="F3473" s="72" t="str">
        <f>HYPERLINK("http://nsgreg.nga.mil/genc/view?v=295155&amp;end_month=6&amp;end_day=30&amp;end_year=2019","Neamţ")</f>
        <v>Neamţ</v>
      </c>
      <c r="G3473" s="72" t="str">
        <f>HYPERLINK("http://api.nsgreg.nga.mil/geo-division/GENC/6/3-11/RO-NT","as:GENC:6:3-11:RO-NT")</f>
        <v>as:GENC:6:3-11:RO-NT</v>
      </c>
    </row>
    <row r="3474" spans="1:7" x14ac:dyDescent="0.25">
      <c r="A3474" s="112"/>
      <c r="B3474" s="21" t="s">
        <v>8587</v>
      </c>
      <c r="C3474" s="21" t="s">
        <v>8588</v>
      </c>
      <c r="D3474" s="21" t="s">
        <v>1737</v>
      </c>
      <c r="E3474" s="50" t="b">
        <v>1</v>
      </c>
      <c r="F3474" s="72" t="str">
        <f>HYPERLINK("http://nsgreg.nga.mil/genc/view?v=295156&amp;end_month=6&amp;end_day=30&amp;end_year=2019","Olt")</f>
        <v>Olt</v>
      </c>
      <c r="G3474" s="72" t="str">
        <f>HYPERLINK("http://api.nsgreg.nga.mil/geo-division/GENC/6/3-11/RO-OT","as:GENC:6:3-11:RO-OT")</f>
        <v>as:GENC:6:3-11:RO-OT</v>
      </c>
    </row>
    <row r="3475" spans="1:7" x14ac:dyDescent="0.25">
      <c r="A3475" s="112"/>
      <c r="B3475" s="21" t="s">
        <v>8589</v>
      </c>
      <c r="C3475" s="21" t="s">
        <v>8590</v>
      </c>
      <c r="D3475" s="21" t="s">
        <v>1737</v>
      </c>
      <c r="E3475" s="50" t="b">
        <v>1</v>
      </c>
      <c r="F3475" s="72" t="str">
        <f>HYPERLINK("http://nsgreg.nga.mil/genc/view?v=295157&amp;end_month=6&amp;end_day=30&amp;end_year=2019","Prahova")</f>
        <v>Prahova</v>
      </c>
      <c r="G3475" s="72" t="str">
        <f>HYPERLINK("http://api.nsgreg.nga.mil/geo-division/GENC/6/3-11/RO-PH","as:GENC:6:3-11:RO-PH")</f>
        <v>as:GENC:6:3-11:RO-PH</v>
      </c>
    </row>
    <row r="3476" spans="1:7" x14ac:dyDescent="0.25">
      <c r="A3476" s="112"/>
      <c r="B3476" s="21" t="s">
        <v>8591</v>
      </c>
      <c r="C3476" s="21" t="s">
        <v>8592</v>
      </c>
      <c r="D3476" s="21" t="s">
        <v>1737</v>
      </c>
      <c r="E3476" s="50" t="b">
        <v>1</v>
      </c>
      <c r="F3476" s="72" t="str">
        <f>HYPERLINK("http://nsgreg.nga.mil/genc/view?v=295159&amp;end_month=6&amp;end_day=30&amp;end_year=2019","Sălaj")</f>
        <v>Sălaj</v>
      </c>
      <c r="G3476" s="72" t="str">
        <f>HYPERLINK("http://api.nsgreg.nga.mil/geo-division/GENC/6/3-11/RO-SJ","as:GENC:6:3-11:RO-SJ")</f>
        <v>as:GENC:6:3-11:RO-SJ</v>
      </c>
    </row>
    <row r="3477" spans="1:7" x14ac:dyDescent="0.25">
      <c r="A3477" s="112"/>
      <c r="B3477" s="21" t="s">
        <v>8593</v>
      </c>
      <c r="C3477" s="21" t="s">
        <v>8594</v>
      </c>
      <c r="D3477" s="21" t="s">
        <v>1737</v>
      </c>
      <c r="E3477" s="50" t="b">
        <v>1</v>
      </c>
      <c r="F3477" s="72" t="str">
        <f>HYPERLINK("http://nsgreg.nga.mil/genc/view?v=295160&amp;end_month=6&amp;end_day=30&amp;end_year=2019","Satu Mare")</f>
        <v>Satu Mare</v>
      </c>
      <c r="G3477" s="72" t="str">
        <f>HYPERLINK("http://api.nsgreg.nga.mil/geo-division/GENC/6/3-11/RO-SM","as:GENC:6:3-11:RO-SM")</f>
        <v>as:GENC:6:3-11:RO-SM</v>
      </c>
    </row>
    <row r="3478" spans="1:7" x14ac:dyDescent="0.25">
      <c r="A3478" s="112"/>
      <c r="B3478" s="21" t="s">
        <v>8595</v>
      </c>
      <c r="C3478" s="21" t="s">
        <v>8596</v>
      </c>
      <c r="D3478" s="21" t="s">
        <v>1737</v>
      </c>
      <c r="E3478" s="50" t="b">
        <v>1</v>
      </c>
      <c r="F3478" s="72" t="str">
        <f>HYPERLINK("http://nsgreg.nga.mil/genc/view?v=295158&amp;end_month=6&amp;end_day=30&amp;end_year=2019","Sibiu")</f>
        <v>Sibiu</v>
      </c>
      <c r="G3478" s="72" t="str">
        <f>HYPERLINK("http://api.nsgreg.nga.mil/geo-division/GENC/6/3-11/RO-SB","as:GENC:6:3-11:RO-SB")</f>
        <v>as:GENC:6:3-11:RO-SB</v>
      </c>
    </row>
    <row r="3479" spans="1:7" x14ac:dyDescent="0.25">
      <c r="A3479" s="112"/>
      <c r="B3479" s="21" t="s">
        <v>8597</v>
      </c>
      <c r="C3479" s="21" t="s">
        <v>8598</v>
      </c>
      <c r="D3479" s="21" t="s">
        <v>1737</v>
      </c>
      <c r="E3479" s="50" t="b">
        <v>1</v>
      </c>
      <c r="F3479" s="72" t="str">
        <f>HYPERLINK("http://nsgreg.nga.mil/genc/view?v=295161&amp;end_month=6&amp;end_day=30&amp;end_year=2019","Suceava")</f>
        <v>Suceava</v>
      </c>
      <c r="G3479" s="72" t="str">
        <f>HYPERLINK("http://api.nsgreg.nga.mil/geo-division/GENC/6/3-11/RO-SV","as:GENC:6:3-11:RO-SV")</f>
        <v>as:GENC:6:3-11:RO-SV</v>
      </c>
    </row>
    <row r="3480" spans="1:7" x14ac:dyDescent="0.25">
      <c r="A3480" s="112"/>
      <c r="B3480" s="21" t="s">
        <v>8599</v>
      </c>
      <c r="C3480" s="21" t="s">
        <v>8600</v>
      </c>
      <c r="D3480" s="21" t="s">
        <v>1737</v>
      </c>
      <c r="E3480" s="50" t="b">
        <v>1</v>
      </c>
      <c r="F3480" s="72" t="str">
        <f>HYPERLINK("http://nsgreg.nga.mil/genc/view?v=295164&amp;end_month=6&amp;end_day=30&amp;end_year=2019","Teleorman")</f>
        <v>Teleorman</v>
      </c>
      <c r="G3480" s="72" t="str">
        <f>HYPERLINK("http://api.nsgreg.nga.mil/geo-division/GENC/6/3-11/RO-TR","as:GENC:6:3-11:RO-TR")</f>
        <v>as:GENC:6:3-11:RO-TR</v>
      </c>
    </row>
    <row r="3481" spans="1:7" x14ac:dyDescent="0.25">
      <c r="A3481" s="112"/>
      <c r="B3481" s="21" t="s">
        <v>8601</v>
      </c>
      <c r="C3481" s="21" t="s">
        <v>8602</v>
      </c>
      <c r="D3481" s="21" t="s">
        <v>1737</v>
      </c>
      <c r="E3481" s="50" t="b">
        <v>1</v>
      </c>
      <c r="F3481" s="72" t="str">
        <f>HYPERLINK("http://nsgreg.nga.mil/genc/view?v=295163&amp;end_month=6&amp;end_day=30&amp;end_year=2019","Timiş")</f>
        <v>Timiş</v>
      </c>
      <c r="G3481" s="72" t="str">
        <f>HYPERLINK("http://api.nsgreg.nga.mil/geo-division/GENC/6/3-11/RO-TM","as:GENC:6:3-11:RO-TM")</f>
        <v>as:GENC:6:3-11:RO-TM</v>
      </c>
    </row>
    <row r="3482" spans="1:7" x14ac:dyDescent="0.25">
      <c r="A3482" s="112"/>
      <c r="B3482" s="21" t="s">
        <v>8603</v>
      </c>
      <c r="C3482" s="21" t="s">
        <v>8604</v>
      </c>
      <c r="D3482" s="21" t="s">
        <v>1737</v>
      </c>
      <c r="E3482" s="50" t="b">
        <v>1</v>
      </c>
      <c r="F3482" s="72" t="str">
        <f>HYPERLINK("http://nsgreg.nga.mil/genc/view?v=295162&amp;end_month=6&amp;end_day=30&amp;end_year=2019","Tulcea")</f>
        <v>Tulcea</v>
      </c>
      <c r="G3482" s="72" t="str">
        <f>HYPERLINK("http://api.nsgreg.nga.mil/geo-division/GENC/6/3-11/RO-TL","as:GENC:6:3-11:RO-TL")</f>
        <v>as:GENC:6:3-11:RO-TL</v>
      </c>
    </row>
    <row r="3483" spans="1:7" x14ac:dyDescent="0.25">
      <c r="A3483" s="112"/>
      <c r="B3483" s="21" t="s">
        <v>8605</v>
      </c>
      <c r="C3483" s="21" t="s">
        <v>8606</v>
      </c>
      <c r="D3483" s="21" t="s">
        <v>1737</v>
      </c>
      <c r="E3483" s="50" t="b">
        <v>1</v>
      </c>
      <c r="F3483" s="72" t="str">
        <f>HYPERLINK("http://nsgreg.nga.mil/genc/view?v=295165&amp;end_month=6&amp;end_day=30&amp;end_year=2019","Vâlcea")</f>
        <v>Vâlcea</v>
      </c>
      <c r="G3483" s="72" t="str">
        <f>HYPERLINK("http://api.nsgreg.nga.mil/geo-division/GENC/6/3-11/RO-VL","as:GENC:6:3-11:RO-VL")</f>
        <v>as:GENC:6:3-11:RO-VL</v>
      </c>
    </row>
    <row r="3484" spans="1:7" x14ac:dyDescent="0.25">
      <c r="A3484" s="112"/>
      <c r="B3484" s="21" t="s">
        <v>8607</v>
      </c>
      <c r="C3484" s="21" t="s">
        <v>8608</v>
      </c>
      <c r="D3484" s="21" t="s">
        <v>1737</v>
      </c>
      <c r="E3484" s="50" t="b">
        <v>1</v>
      </c>
      <c r="F3484" s="72" t="str">
        <f>HYPERLINK("http://nsgreg.nga.mil/genc/view?v=295167&amp;end_month=6&amp;end_day=30&amp;end_year=2019","Vaslui")</f>
        <v>Vaslui</v>
      </c>
      <c r="G3484" s="72" t="str">
        <f>HYPERLINK("http://api.nsgreg.nga.mil/geo-division/GENC/6/3-11/RO-VS","as:GENC:6:3-11:RO-VS")</f>
        <v>as:GENC:6:3-11:RO-VS</v>
      </c>
    </row>
    <row r="3485" spans="1:7" x14ac:dyDescent="0.25">
      <c r="A3485" s="113"/>
      <c r="B3485" s="47" t="s">
        <v>8609</v>
      </c>
      <c r="C3485" s="47" t="s">
        <v>8610</v>
      </c>
      <c r="D3485" s="47" t="s">
        <v>1737</v>
      </c>
      <c r="E3485" s="51" t="b">
        <v>1</v>
      </c>
      <c r="F3485" s="73" t="str">
        <f>HYPERLINK("http://nsgreg.nga.mil/genc/view?v=295166&amp;end_month=6&amp;end_day=30&amp;end_year=2019","Vrancea")</f>
        <v>Vrancea</v>
      </c>
      <c r="G3485" s="73" t="str">
        <f>HYPERLINK("http://api.nsgreg.nga.mil/geo-division/GENC/6/3-11/RO-VN","as:GENC:6:3-11:RO-VN")</f>
        <v>as:GENC:6:3-11:RO-VN</v>
      </c>
    </row>
    <row r="3486" spans="1:7" x14ac:dyDescent="0.25">
      <c r="A3486" s="111" t="str">
        <f>HYPERLINK("[#]Codes_for_GE_Names!A213:I213","RUSSIA")</f>
        <v>RUSSIA</v>
      </c>
      <c r="B3486" s="42" t="s">
        <v>8611</v>
      </c>
      <c r="C3486" s="42" t="s">
        <v>8612</v>
      </c>
      <c r="D3486" s="42" t="s">
        <v>2593</v>
      </c>
      <c r="E3486" s="49" t="b">
        <v>1</v>
      </c>
      <c r="F3486" s="74" t="str">
        <f>HYPERLINK("http://nsgreg.nga.mil/genc/view?v=295344&amp;end_month=6&amp;end_day=30&amp;end_year=2019","Adygeya")</f>
        <v>Adygeya</v>
      </c>
      <c r="G3486" s="74" t="str">
        <f>HYPERLINK("http://api.nsgreg.nga.mil/geo-division/GENC/6/3-11/RU-AD","as:GENC:6:3-11:RU-AD")</f>
        <v>as:GENC:6:3-11:RU-AD</v>
      </c>
    </row>
    <row r="3487" spans="1:7" x14ac:dyDescent="0.25">
      <c r="A3487" s="112"/>
      <c r="B3487" s="21" t="s">
        <v>8613</v>
      </c>
      <c r="C3487" s="21" t="s">
        <v>8614</v>
      </c>
      <c r="D3487" s="21" t="s">
        <v>2593</v>
      </c>
      <c r="E3487" s="50" t="b">
        <v>1</v>
      </c>
      <c r="F3487" s="72" t="str">
        <f>HYPERLINK("http://nsgreg.nga.mil/genc/view?v=295345&amp;end_month=6&amp;end_day=30&amp;end_year=2019","Altay")</f>
        <v>Altay</v>
      </c>
      <c r="G3487" s="72" t="str">
        <f>HYPERLINK("http://api.nsgreg.nga.mil/geo-division/GENC/6/3-11/RU-AL","as:GENC:6:3-11:RU-AL")</f>
        <v>as:GENC:6:3-11:RU-AL</v>
      </c>
    </row>
    <row r="3488" spans="1:7" x14ac:dyDescent="0.25">
      <c r="A3488" s="112"/>
      <c r="B3488" s="21" t="s">
        <v>8615</v>
      </c>
      <c r="C3488" s="21" t="s">
        <v>8616</v>
      </c>
      <c r="D3488" s="21" t="s">
        <v>2035</v>
      </c>
      <c r="E3488" s="50" t="b">
        <v>1</v>
      </c>
      <c r="F3488" s="72" t="str">
        <f>HYPERLINK("http://nsgreg.nga.mil/genc/view?v=295346&amp;end_month=6&amp;end_day=30&amp;end_year=2019","Altayskiy Kray")</f>
        <v>Altayskiy Kray</v>
      </c>
      <c r="G3488" s="72" t="str">
        <f>HYPERLINK("http://api.nsgreg.nga.mil/geo-division/GENC/6/3-11/RU-ALT","as:GENC:6:3-11:RU-ALT")</f>
        <v>as:GENC:6:3-11:RU-ALT</v>
      </c>
    </row>
    <row r="3489" spans="1:7" x14ac:dyDescent="0.25">
      <c r="A3489" s="112"/>
      <c r="B3489" s="21" t="s">
        <v>8617</v>
      </c>
      <c r="C3489" s="21" t="s">
        <v>8618</v>
      </c>
      <c r="D3489" s="21" t="s">
        <v>1668</v>
      </c>
      <c r="E3489" s="50" t="b">
        <v>1</v>
      </c>
      <c r="F3489" s="72" t="str">
        <f>HYPERLINK("http://nsgreg.nga.mil/genc/view?v=295347&amp;end_month=6&amp;end_day=30&amp;end_year=2019","Amurskaya Oblast’")</f>
        <v>Amurskaya Oblast’</v>
      </c>
      <c r="G3489" s="72" t="str">
        <f>HYPERLINK("http://api.nsgreg.nga.mil/geo-division/GENC/6/3-11/RU-AMU","as:GENC:6:3-11:RU-AMU")</f>
        <v>as:GENC:6:3-11:RU-AMU</v>
      </c>
    </row>
    <row r="3490" spans="1:7" x14ac:dyDescent="0.25">
      <c r="A3490" s="112"/>
      <c r="B3490" s="21" t="s">
        <v>8619</v>
      </c>
      <c r="C3490" s="21" t="s">
        <v>8620</v>
      </c>
      <c r="D3490" s="21" t="s">
        <v>1668</v>
      </c>
      <c r="E3490" s="50" t="b">
        <v>1</v>
      </c>
      <c r="F3490" s="72" t="str">
        <f>HYPERLINK("http://nsgreg.nga.mil/genc/view?v=295348&amp;end_month=6&amp;end_day=30&amp;end_year=2019","Arkhangel’skaya Oblast’")</f>
        <v>Arkhangel’skaya Oblast’</v>
      </c>
      <c r="G3490" s="72" t="str">
        <f>HYPERLINK("http://api.nsgreg.nga.mil/geo-division/GENC/6/3-11/RU-ARK","as:GENC:6:3-11:RU-ARK")</f>
        <v>as:GENC:6:3-11:RU-ARK</v>
      </c>
    </row>
    <row r="3491" spans="1:7" x14ac:dyDescent="0.25">
      <c r="A3491" s="112"/>
      <c r="B3491" s="21" t="s">
        <v>8621</v>
      </c>
      <c r="C3491" s="21" t="s">
        <v>8622</v>
      </c>
      <c r="D3491" s="21" t="s">
        <v>1668</v>
      </c>
      <c r="E3491" s="50" t="b">
        <v>1</v>
      </c>
      <c r="F3491" s="72" t="str">
        <f>HYPERLINK("http://nsgreg.nga.mil/genc/view?v=295349&amp;end_month=6&amp;end_day=30&amp;end_year=2019","Astrakhanskaya Oblast’")</f>
        <v>Astrakhanskaya Oblast’</v>
      </c>
      <c r="G3491" s="72" t="str">
        <f>HYPERLINK("http://api.nsgreg.nga.mil/geo-division/GENC/6/3-11/RU-AST","as:GENC:6:3-11:RU-AST")</f>
        <v>as:GENC:6:3-11:RU-AST</v>
      </c>
    </row>
    <row r="3492" spans="1:7" x14ac:dyDescent="0.25">
      <c r="A3492" s="112"/>
      <c r="B3492" s="21" t="s">
        <v>8623</v>
      </c>
      <c r="C3492" s="21" t="s">
        <v>8624</v>
      </c>
      <c r="D3492" s="21" t="s">
        <v>2593</v>
      </c>
      <c r="E3492" s="50" t="b">
        <v>1</v>
      </c>
      <c r="F3492" s="72" t="str">
        <f>HYPERLINK("http://nsgreg.nga.mil/genc/view?v=295350&amp;end_month=6&amp;end_day=30&amp;end_year=2019","Bashkortostan")</f>
        <v>Bashkortostan</v>
      </c>
      <c r="G3492" s="72" t="str">
        <f>HYPERLINK("http://api.nsgreg.nga.mil/geo-division/GENC/6/3-11/RU-BA","as:GENC:6:3-11:RU-BA")</f>
        <v>as:GENC:6:3-11:RU-BA</v>
      </c>
    </row>
    <row r="3493" spans="1:7" x14ac:dyDescent="0.25">
      <c r="A3493" s="112"/>
      <c r="B3493" s="21" t="s">
        <v>8625</v>
      </c>
      <c r="C3493" s="21" t="s">
        <v>8626</v>
      </c>
      <c r="D3493" s="21" t="s">
        <v>1668</v>
      </c>
      <c r="E3493" s="50" t="b">
        <v>1</v>
      </c>
      <c r="F3493" s="72" t="str">
        <f>HYPERLINK("http://nsgreg.nga.mil/genc/view?v=295351&amp;end_month=6&amp;end_day=30&amp;end_year=2019","Belgorodskaya Oblast’")</f>
        <v>Belgorodskaya Oblast’</v>
      </c>
      <c r="G3493" s="72" t="str">
        <f>HYPERLINK("http://api.nsgreg.nga.mil/geo-division/GENC/6/3-11/RU-BEL","as:GENC:6:3-11:RU-BEL")</f>
        <v>as:GENC:6:3-11:RU-BEL</v>
      </c>
    </row>
    <row r="3494" spans="1:7" x14ac:dyDescent="0.25">
      <c r="A3494" s="112"/>
      <c r="B3494" s="21" t="s">
        <v>8627</v>
      </c>
      <c r="C3494" s="21" t="s">
        <v>8628</v>
      </c>
      <c r="D3494" s="21" t="s">
        <v>1668</v>
      </c>
      <c r="E3494" s="50" t="b">
        <v>1</v>
      </c>
      <c r="F3494" s="72" t="str">
        <f>HYPERLINK("http://nsgreg.nga.mil/genc/view?v=295352&amp;end_month=6&amp;end_day=30&amp;end_year=2019","Bryanskaya Oblast’")</f>
        <v>Bryanskaya Oblast’</v>
      </c>
      <c r="G3494" s="72" t="str">
        <f>HYPERLINK("http://api.nsgreg.nga.mil/geo-division/GENC/6/3-11/RU-BRY","as:GENC:6:3-11:RU-BRY")</f>
        <v>as:GENC:6:3-11:RU-BRY</v>
      </c>
    </row>
    <row r="3495" spans="1:7" x14ac:dyDescent="0.25">
      <c r="A3495" s="112"/>
      <c r="B3495" s="21" t="s">
        <v>8629</v>
      </c>
      <c r="C3495" s="21" t="s">
        <v>8630</v>
      </c>
      <c r="D3495" s="21" t="s">
        <v>2593</v>
      </c>
      <c r="E3495" s="50" t="b">
        <v>1</v>
      </c>
      <c r="F3495" s="72" t="str">
        <f>HYPERLINK("http://nsgreg.nga.mil/genc/view?v=295353&amp;end_month=6&amp;end_day=30&amp;end_year=2019","Buryatiya")</f>
        <v>Buryatiya</v>
      </c>
      <c r="G3495" s="72" t="str">
        <f>HYPERLINK("http://api.nsgreg.nga.mil/geo-division/GENC/6/3-11/RU-BU","as:GENC:6:3-11:RU-BU")</f>
        <v>as:GENC:6:3-11:RU-BU</v>
      </c>
    </row>
    <row r="3496" spans="1:7" x14ac:dyDescent="0.25">
      <c r="A3496" s="112"/>
      <c r="B3496" s="21" t="s">
        <v>8631</v>
      </c>
      <c r="C3496" s="21" t="s">
        <v>8632</v>
      </c>
      <c r="D3496" s="21" t="s">
        <v>2593</v>
      </c>
      <c r="E3496" s="50" t="b">
        <v>1</v>
      </c>
      <c r="F3496" s="72" t="str">
        <f>HYPERLINK("http://nsgreg.nga.mil/genc/view?v=295354&amp;end_month=6&amp;end_day=30&amp;end_year=2019","Chechnya")</f>
        <v>Chechnya</v>
      </c>
      <c r="G3496" s="72" t="str">
        <f>HYPERLINK("http://api.nsgreg.nga.mil/geo-division/GENC/6/3-11/RU-CE","as:GENC:6:3-11:RU-CE")</f>
        <v>as:GENC:6:3-11:RU-CE</v>
      </c>
    </row>
    <row r="3497" spans="1:7" x14ac:dyDescent="0.25">
      <c r="A3497" s="112"/>
      <c r="B3497" s="21" t="s">
        <v>8633</v>
      </c>
      <c r="C3497" s="21" t="s">
        <v>8634</v>
      </c>
      <c r="D3497" s="21" t="s">
        <v>1668</v>
      </c>
      <c r="E3497" s="50" t="b">
        <v>1</v>
      </c>
      <c r="F3497" s="72" t="str">
        <f>HYPERLINK("http://nsgreg.nga.mil/genc/view?v=295355&amp;end_month=6&amp;end_day=30&amp;end_year=2019","Chelyabinskaya Oblast’")</f>
        <v>Chelyabinskaya Oblast’</v>
      </c>
      <c r="G3497" s="72" t="str">
        <f>HYPERLINK("http://api.nsgreg.nga.mil/geo-division/GENC/6/3-11/RU-CHE","as:GENC:6:3-11:RU-CHE")</f>
        <v>as:GENC:6:3-11:RU-CHE</v>
      </c>
    </row>
    <row r="3498" spans="1:7" x14ac:dyDescent="0.25">
      <c r="A3498" s="112"/>
      <c r="B3498" s="21" t="s">
        <v>8635</v>
      </c>
      <c r="C3498" s="21" t="s">
        <v>8636</v>
      </c>
      <c r="D3498" s="21" t="s">
        <v>3199</v>
      </c>
      <c r="E3498" s="50" t="b">
        <v>1</v>
      </c>
      <c r="F3498" s="72" t="str">
        <f>HYPERLINK("http://nsgreg.nga.mil/genc/view?v=295356&amp;end_month=6&amp;end_day=30&amp;end_year=2019","Chukotskiy Avtonomnyy Okrug")</f>
        <v>Chukotskiy Avtonomnyy Okrug</v>
      </c>
      <c r="G3498" s="72" t="str">
        <f>HYPERLINK("http://api.nsgreg.nga.mil/geo-division/GENC/6/3-11/RU-CHU","as:GENC:6:3-11:RU-CHU")</f>
        <v>as:GENC:6:3-11:RU-CHU</v>
      </c>
    </row>
    <row r="3499" spans="1:7" x14ac:dyDescent="0.25">
      <c r="A3499" s="112"/>
      <c r="B3499" s="21" t="s">
        <v>8637</v>
      </c>
      <c r="C3499" s="21" t="s">
        <v>8638</v>
      </c>
      <c r="D3499" s="21" t="s">
        <v>2593</v>
      </c>
      <c r="E3499" s="50" t="b">
        <v>1</v>
      </c>
      <c r="F3499" s="72" t="str">
        <f>HYPERLINK("http://nsgreg.nga.mil/genc/view?v=295357&amp;end_month=6&amp;end_day=30&amp;end_year=2019","Chuvashiya")</f>
        <v>Chuvashiya</v>
      </c>
      <c r="G3499" s="72" t="str">
        <f>HYPERLINK("http://api.nsgreg.nga.mil/geo-division/GENC/6/3-11/RU-CU","as:GENC:6:3-11:RU-CU")</f>
        <v>as:GENC:6:3-11:RU-CU</v>
      </c>
    </row>
    <row r="3500" spans="1:7" x14ac:dyDescent="0.25">
      <c r="A3500" s="112"/>
      <c r="B3500" s="21" t="s">
        <v>8639</v>
      </c>
      <c r="C3500" s="21" t="s">
        <v>8640</v>
      </c>
      <c r="D3500" s="21" t="s">
        <v>2593</v>
      </c>
      <c r="E3500" s="50" t="b">
        <v>1</v>
      </c>
      <c r="F3500" s="72" t="str">
        <f>HYPERLINK("http://nsgreg.nga.mil/genc/view?v=295358&amp;end_month=6&amp;end_day=30&amp;end_year=2019","Dagestan")</f>
        <v>Dagestan</v>
      </c>
      <c r="G3500" s="72" t="str">
        <f>HYPERLINK("http://api.nsgreg.nga.mil/geo-division/GENC/6/3-11/RU-DA","as:GENC:6:3-11:RU-DA")</f>
        <v>as:GENC:6:3-11:RU-DA</v>
      </c>
    </row>
    <row r="3501" spans="1:7" x14ac:dyDescent="0.25">
      <c r="A3501" s="112"/>
      <c r="B3501" s="21" t="s">
        <v>8641</v>
      </c>
      <c r="C3501" s="21" t="s">
        <v>8642</v>
      </c>
      <c r="D3501" s="21" t="s">
        <v>2593</v>
      </c>
      <c r="E3501" s="50" t="b">
        <v>1</v>
      </c>
      <c r="F3501" s="72" t="str">
        <f>HYPERLINK("http://nsgreg.nga.mil/genc/view?v=295359&amp;end_month=6&amp;end_day=30&amp;end_year=2019","Ingushetiya")</f>
        <v>Ingushetiya</v>
      </c>
      <c r="G3501" s="72" t="str">
        <f>HYPERLINK("http://api.nsgreg.nga.mil/geo-division/GENC/6/3-11/RU-IN","as:GENC:6:3-11:RU-IN")</f>
        <v>as:GENC:6:3-11:RU-IN</v>
      </c>
    </row>
    <row r="3502" spans="1:7" x14ac:dyDescent="0.25">
      <c r="A3502" s="112"/>
      <c r="B3502" s="21" t="s">
        <v>8643</v>
      </c>
      <c r="C3502" s="21" t="s">
        <v>8644</v>
      </c>
      <c r="D3502" s="21" t="s">
        <v>1668</v>
      </c>
      <c r="E3502" s="50" t="b">
        <v>1</v>
      </c>
      <c r="F3502" s="72" t="str">
        <f>HYPERLINK("http://nsgreg.nga.mil/genc/view?v=295360&amp;end_month=6&amp;end_day=30&amp;end_year=2019","Irkutskaya Oblast’")</f>
        <v>Irkutskaya Oblast’</v>
      </c>
      <c r="G3502" s="72" t="str">
        <f>HYPERLINK("http://api.nsgreg.nga.mil/geo-division/GENC/6/3-11/RU-IRK","as:GENC:6:3-11:RU-IRK")</f>
        <v>as:GENC:6:3-11:RU-IRK</v>
      </c>
    </row>
    <row r="3503" spans="1:7" x14ac:dyDescent="0.25">
      <c r="A3503" s="112"/>
      <c r="B3503" s="21" t="s">
        <v>8645</v>
      </c>
      <c r="C3503" s="21" t="s">
        <v>8646</v>
      </c>
      <c r="D3503" s="21" t="s">
        <v>1668</v>
      </c>
      <c r="E3503" s="50" t="b">
        <v>1</v>
      </c>
      <c r="F3503" s="72" t="str">
        <f>HYPERLINK("http://nsgreg.nga.mil/genc/view?v=295361&amp;end_month=6&amp;end_day=30&amp;end_year=2019","Ivanovskaya Oblast’")</f>
        <v>Ivanovskaya Oblast’</v>
      </c>
      <c r="G3503" s="72" t="str">
        <f>HYPERLINK("http://api.nsgreg.nga.mil/geo-division/GENC/6/3-11/RU-IVA","as:GENC:6:3-11:RU-IVA")</f>
        <v>as:GENC:6:3-11:RU-IVA</v>
      </c>
    </row>
    <row r="3504" spans="1:7" x14ac:dyDescent="0.25">
      <c r="A3504" s="112"/>
      <c r="B3504" s="21" t="s">
        <v>8647</v>
      </c>
      <c r="C3504" s="21" t="s">
        <v>8648</v>
      </c>
      <c r="D3504" s="21" t="s">
        <v>2593</v>
      </c>
      <c r="E3504" s="50" t="b">
        <v>1</v>
      </c>
      <c r="F3504" s="72" t="str">
        <f>HYPERLINK("http://nsgreg.nga.mil/genc/view?v=295363&amp;end_month=6&amp;end_day=30&amp;end_year=2019","Kabardino-Balkariya")</f>
        <v>Kabardino-Balkariya</v>
      </c>
      <c r="G3504" s="72" t="str">
        <f>HYPERLINK("http://api.nsgreg.nga.mil/geo-division/GENC/6/3-11/RU-KB","as:GENC:6:3-11:RU-KB")</f>
        <v>as:GENC:6:3-11:RU-KB</v>
      </c>
    </row>
    <row r="3505" spans="1:7" x14ac:dyDescent="0.25">
      <c r="A3505" s="112"/>
      <c r="B3505" s="21" t="s">
        <v>8649</v>
      </c>
      <c r="C3505" s="21" t="s">
        <v>8650</v>
      </c>
      <c r="D3505" s="21" t="s">
        <v>1668</v>
      </c>
      <c r="E3505" s="50" t="b">
        <v>1</v>
      </c>
      <c r="F3505" s="72" t="str">
        <f>HYPERLINK("http://nsgreg.nga.mil/genc/view?v=295367&amp;end_month=6&amp;end_day=30&amp;end_year=2019","Kaliningradskaya Oblast’")</f>
        <v>Kaliningradskaya Oblast’</v>
      </c>
      <c r="G3505" s="72" t="str">
        <f>HYPERLINK("http://api.nsgreg.nga.mil/geo-division/GENC/6/3-11/RU-KGD","as:GENC:6:3-11:RU-KGD")</f>
        <v>as:GENC:6:3-11:RU-KGD</v>
      </c>
    </row>
    <row r="3506" spans="1:7" x14ac:dyDescent="0.25">
      <c r="A3506" s="112"/>
      <c r="B3506" s="21" t="s">
        <v>8651</v>
      </c>
      <c r="C3506" s="21" t="s">
        <v>8652</v>
      </c>
      <c r="D3506" s="21" t="s">
        <v>2593</v>
      </c>
      <c r="E3506" s="50" t="b">
        <v>1</v>
      </c>
      <c r="F3506" s="72" t="str">
        <f>HYPERLINK("http://nsgreg.nga.mil/genc/view?v=295373&amp;end_month=6&amp;end_day=30&amp;end_year=2019","Kalmykiya")</f>
        <v>Kalmykiya</v>
      </c>
      <c r="G3506" s="72" t="str">
        <f>HYPERLINK("http://api.nsgreg.nga.mil/geo-division/GENC/6/3-11/RU-KL","as:GENC:6:3-11:RU-KL")</f>
        <v>as:GENC:6:3-11:RU-KL</v>
      </c>
    </row>
    <row r="3507" spans="1:7" x14ac:dyDescent="0.25">
      <c r="A3507" s="112"/>
      <c r="B3507" s="21" t="s">
        <v>8653</v>
      </c>
      <c r="C3507" s="21" t="s">
        <v>8654</v>
      </c>
      <c r="D3507" s="21" t="s">
        <v>1668</v>
      </c>
      <c r="E3507" s="50" t="b">
        <v>1</v>
      </c>
      <c r="F3507" s="72" t="str">
        <f>HYPERLINK("http://nsgreg.nga.mil/genc/view?v=295374&amp;end_month=6&amp;end_day=30&amp;end_year=2019","Kaluzhskaya Oblast’")</f>
        <v>Kaluzhskaya Oblast’</v>
      </c>
      <c r="G3507" s="72" t="str">
        <f>HYPERLINK("http://api.nsgreg.nga.mil/geo-division/GENC/6/3-11/RU-KLU","as:GENC:6:3-11:RU-KLU")</f>
        <v>as:GENC:6:3-11:RU-KLU</v>
      </c>
    </row>
    <row r="3508" spans="1:7" x14ac:dyDescent="0.25">
      <c r="A3508" s="112"/>
      <c r="B3508" s="21" t="s">
        <v>8655</v>
      </c>
      <c r="C3508" s="21" t="s">
        <v>8656</v>
      </c>
      <c r="D3508" s="21" t="s">
        <v>2035</v>
      </c>
      <c r="E3508" s="50" t="b">
        <v>1</v>
      </c>
      <c r="F3508" s="72" t="str">
        <f>HYPERLINK("http://nsgreg.nga.mil/genc/view?v=295362&amp;end_month=6&amp;end_day=30&amp;end_year=2019","Kamchatskiy Kray")</f>
        <v>Kamchatskiy Kray</v>
      </c>
      <c r="G3508" s="72" t="str">
        <f>HYPERLINK("http://api.nsgreg.nga.mil/geo-division/GENC/6/3-11/RU-KAM","as:GENC:6:3-11:RU-KAM")</f>
        <v>as:GENC:6:3-11:RU-KAM</v>
      </c>
    </row>
    <row r="3509" spans="1:7" x14ac:dyDescent="0.25">
      <c r="A3509" s="112"/>
      <c r="B3509" s="21" t="s">
        <v>8657</v>
      </c>
      <c r="C3509" s="21" t="s">
        <v>8658</v>
      </c>
      <c r="D3509" s="21" t="s">
        <v>2593</v>
      </c>
      <c r="E3509" s="50" t="b">
        <v>1</v>
      </c>
      <c r="F3509" s="72" t="str">
        <f>HYPERLINK("http://nsgreg.nga.mil/genc/view?v=295364&amp;end_month=6&amp;end_day=30&amp;end_year=2019","Karachayevo-Cherkesiya")</f>
        <v>Karachayevo-Cherkesiya</v>
      </c>
      <c r="G3509" s="72" t="str">
        <f>HYPERLINK("http://api.nsgreg.nga.mil/geo-division/GENC/6/3-11/RU-KC","as:GENC:6:3-11:RU-KC")</f>
        <v>as:GENC:6:3-11:RU-KC</v>
      </c>
    </row>
    <row r="3510" spans="1:7" x14ac:dyDescent="0.25">
      <c r="A3510" s="112"/>
      <c r="B3510" s="21" t="s">
        <v>8659</v>
      </c>
      <c r="C3510" s="21" t="s">
        <v>8660</v>
      </c>
      <c r="D3510" s="21" t="s">
        <v>2593</v>
      </c>
      <c r="E3510" s="50" t="b">
        <v>1</v>
      </c>
      <c r="F3510" s="72" t="str">
        <f>HYPERLINK("http://nsgreg.nga.mil/genc/view?v=295377&amp;end_month=6&amp;end_day=30&amp;end_year=2019","Kareliya")</f>
        <v>Kareliya</v>
      </c>
      <c r="G3510" s="72" t="str">
        <f>HYPERLINK("http://api.nsgreg.nga.mil/geo-division/GENC/6/3-11/RU-KR","as:GENC:6:3-11:RU-KR")</f>
        <v>as:GENC:6:3-11:RU-KR</v>
      </c>
    </row>
    <row r="3511" spans="1:7" x14ac:dyDescent="0.25">
      <c r="A3511" s="112"/>
      <c r="B3511" s="21" t="s">
        <v>8661</v>
      </c>
      <c r="C3511" s="21" t="s">
        <v>8662</v>
      </c>
      <c r="D3511" s="21" t="s">
        <v>1668</v>
      </c>
      <c r="E3511" s="50" t="b">
        <v>1</v>
      </c>
      <c r="F3511" s="72" t="str">
        <f>HYPERLINK("http://nsgreg.nga.mil/genc/view?v=295366&amp;end_month=6&amp;end_day=30&amp;end_year=2019","Kemerovskaya Oblast’")</f>
        <v>Kemerovskaya Oblast’</v>
      </c>
      <c r="G3511" s="72" t="str">
        <f>HYPERLINK("http://api.nsgreg.nga.mil/geo-division/GENC/6/3-11/RU-KEM","as:GENC:6:3-11:RU-KEM")</f>
        <v>as:GENC:6:3-11:RU-KEM</v>
      </c>
    </row>
    <row r="3512" spans="1:7" x14ac:dyDescent="0.25">
      <c r="A3512" s="112"/>
      <c r="B3512" s="21" t="s">
        <v>8663</v>
      </c>
      <c r="C3512" s="21" t="s">
        <v>8664</v>
      </c>
      <c r="D3512" s="21" t="s">
        <v>2035</v>
      </c>
      <c r="E3512" s="50" t="b">
        <v>1</v>
      </c>
      <c r="F3512" s="72" t="str">
        <f>HYPERLINK("http://nsgreg.nga.mil/genc/view?v=295369&amp;end_month=6&amp;end_day=30&amp;end_year=2019","Khabarovskiy Kray")</f>
        <v>Khabarovskiy Kray</v>
      </c>
      <c r="G3512" s="72" t="str">
        <f>HYPERLINK("http://api.nsgreg.nga.mil/geo-division/GENC/6/3-11/RU-KHA","as:GENC:6:3-11:RU-KHA")</f>
        <v>as:GENC:6:3-11:RU-KHA</v>
      </c>
    </row>
    <row r="3513" spans="1:7" x14ac:dyDescent="0.25">
      <c r="A3513" s="112"/>
      <c r="B3513" s="21" t="s">
        <v>8665</v>
      </c>
      <c r="C3513" s="21" t="s">
        <v>8666</v>
      </c>
      <c r="D3513" s="21" t="s">
        <v>2593</v>
      </c>
      <c r="E3513" s="50" t="b">
        <v>1</v>
      </c>
      <c r="F3513" s="72" t="str">
        <f>HYPERLINK("http://nsgreg.nga.mil/genc/view?v=295372&amp;end_month=6&amp;end_day=30&amp;end_year=2019","Khakasiya")</f>
        <v>Khakasiya</v>
      </c>
      <c r="G3513" s="72" t="str">
        <f>HYPERLINK("http://api.nsgreg.nga.mil/geo-division/GENC/6/3-11/RU-KK","as:GENC:6:3-11:RU-KK")</f>
        <v>as:GENC:6:3-11:RU-KK</v>
      </c>
    </row>
    <row r="3514" spans="1:7" x14ac:dyDescent="0.25">
      <c r="A3514" s="112"/>
      <c r="B3514" s="21" t="s">
        <v>8667</v>
      </c>
      <c r="C3514" s="21" t="s">
        <v>8668</v>
      </c>
      <c r="D3514" s="21" t="s">
        <v>3199</v>
      </c>
      <c r="E3514" s="50" t="b">
        <v>1</v>
      </c>
      <c r="F3514" s="72" t="str">
        <f>HYPERLINK("http://nsgreg.nga.mil/genc/view?v=295370&amp;end_month=6&amp;end_day=30&amp;end_year=2019","Khanty-Mansiyskiy Avtonomnyy Okrug-Yugra")</f>
        <v>Khanty-Mansiyskiy Avtonomnyy Okrug-Yugra</v>
      </c>
      <c r="G3514" s="72" t="str">
        <f>HYPERLINK("http://api.nsgreg.nga.mil/geo-division/GENC/6/3-11/RU-KHM","as:GENC:6:3-11:RU-KHM")</f>
        <v>as:GENC:6:3-11:RU-KHM</v>
      </c>
    </row>
    <row r="3515" spans="1:7" x14ac:dyDescent="0.25">
      <c r="A3515" s="112"/>
      <c r="B3515" s="21" t="s">
        <v>8669</v>
      </c>
      <c r="C3515" s="21" t="s">
        <v>8670</v>
      </c>
      <c r="D3515" s="21" t="s">
        <v>1668</v>
      </c>
      <c r="E3515" s="50" t="b">
        <v>1</v>
      </c>
      <c r="F3515" s="72" t="str">
        <f>HYPERLINK("http://nsgreg.nga.mil/genc/view?v=295371&amp;end_month=6&amp;end_day=30&amp;end_year=2019","Kirovskaya Oblast’")</f>
        <v>Kirovskaya Oblast’</v>
      </c>
      <c r="G3515" s="72" t="str">
        <f>HYPERLINK("http://api.nsgreg.nga.mil/geo-division/GENC/6/3-11/RU-KIR","as:GENC:6:3-11:RU-KIR")</f>
        <v>as:GENC:6:3-11:RU-KIR</v>
      </c>
    </row>
    <row r="3516" spans="1:7" x14ac:dyDescent="0.25">
      <c r="A3516" s="112"/>
      <c r="B3516" s="21" t="s">
        <v>8671</v>
      </c>
      <c r="C3516" s="21" t="s">
        <v>8672</v>
      </c>
      <c r="D3516" s="21" t="s">
        <v>2593</v>
      </c>
      <c r="E3516" s="50" t="b">
        <v>1</v>
      </c>
      <c r="F3516" s="72" t="str">
        <f>HYPERLINK("http://nsgreg.nga.mil/genc/view?v=295375&amp;end_month=6&amp;end_day=30&amp;end_year=2019","Komi")</f>
        <v>Komi</v>
      </c>
      <c r="G3516" s="72" t="str">
        <f>HYPERLINK("http://api.nsgreg.nga.mil/geo-division/GENC/6/3-11/RU-KO","as:GENC:6:3-11:RU-KO")</f>
        <v>as:GENC:6:3-11:RU-KO</v>
      </c>
    </row>
    <row r="3517" spans="1:7" x14ac:dyDescent="0.25">
      <c r="A3517" s="112"/>
      <c r="B3517" s="21" t="s">
        <v>8673</v>
      </c>
      <c r="C3517" s="21" t="s">
        <v>8674</v>
      </c>
      <c r="D3517" s="21" t="s">
        <v>1668</v>
      </c>
      <c r="E3517" s="50" t="b">
        <v>1</v>
      </c>
      <c r="F3517" s="72" t="str">
        <f>HYPERLINK("http://nsgreg.nga.mil/genc/view?v=295376&amp;end_month=6&amp;end_day=30&amp;end_year=2019","Kostromskaya Oblast’")</f>
        <v>Kostromskaya Oblast’</v>
      </c>
      <c r="G3517" s="72" t="str">
        <f>HYPERLINK("http://api.nsgreg.nga.mil/geo-division/GENC/6/3-11/RU-KOS","as:GENC:6:3-11:RU-KOS")</f>
        <v>as:GENC:6:3-11:RU-KOS</v>
      </c>
    </row>
    <row r="3518" spans="1:7" x14ac:dyDescent="0.25">
      <c r="A3518" s="112"/>
      <c r="B3518" s="21" t="s">
        <v>8675</v>
      </c>
      <c r="C3518" s="21" t="s">
        <v>8676</v>
      </c>
      <c r="D3518" s="21" t="s">
        <v>2035</v>
      </c>
      <c r="E3518" s="50" t="b">
        <v>1</v>
      </c>
      <c r="F3518" s="72" t="str">
        <f>HYPERLINK("http://nsgreg.nga.mil/genc/view?v=295365&amp;end_month=6&amp;end_day=30&amp;end_year=2019","Krasnodarskiy Kray")</f>
        <v>Krasnodarskiy Kray</v>
      </c>
      <c r="G3518" s="72" t="str">
        <f>HYPERLINK("http://api.nsgreg.nga.mil/geo-division/GENC/6/3-11/RU-KDA","as:GENC:6:3-11:RU-KDA")</f>
        <v>as:GENC:6:3-11:RU-KDA</v>
      </c>
    </row>
    <row r="3519" spans="1:7" x14ac:dyDescent="0.25">
      <c r="A3519" s="112"/>
      <c r="B3519" s="21" t="s">
        <v>8677</v>
      </c>
      <c r="C3519" s="21" t="s">
        <v>8678</v>
      </c>
      <c r="D3519" s="21" t="s">
        <v>2035</v>
      </c>
      <c r="E3519" s="50" t="b">
        <v>1</v>
      </c>
      <c r="F3519" s="72" t="str">
        <f>HYPERLINK("http://nsgreg.nga.mil/genc/view?v=295379&amp;end_month=6&amp;end_day=30&amp;end_year=2019","Krasnoyarskiy Kray")</f>
        <v>Krasnoyarskiy Kray</v>
      </c>
      <c r="G3519" s="72" t="str">
        <f>HYPERLINK("http://api.nsgreg.nga.mil/geo-division/GENC/6/3-11/RU-KYA","as:GENC:6:3-11:RU-KYA")</f>
        <v>as:GENC:6:3-11:RU-KYA</v>
      </c>
    </row>
    <row r="3520" spans="1:7" x14ac:dyDescent="0.25">
      <c r="A3520" s="112"/>
      <c r="B3520" s="21" t="s">
        <v>8679</v>
      </c>
      <c r="C3520" s="21" t="s">
        <v>8680</v>
      </c>
      <c r="D3520" s="21" t="s">
        <v>1668</v>
      </c>
      <c r="E3520" s="50" t="b">
        <v>1</v>
      </c>
      <c r="F3520" s="72" t="str">
        <f>HYPERLINK("http://nsgreg.nga.mil/genc/view?v=295368&amp;end_month=6&amp;end_day=30&amp;end_year=2019","Kurganskaya Oblast’")</f>
        <v>Kurganskaya Oblast’</v>
      </c>
      <c r="G3520" s="72" t="str">
        <f>HYPERLINK("http://api.nsgreg.nga.mil/geo-division/GENC/6/3-11/RU-KGN","as:GENC:6:3-11:RU-KGN")</f>
        <v>as:GENC:6:3-11:RU-KGN</v>
      </c>
    </row>
    <row r="3521" spans="1:7" x14ac:dyDescent="0.25">
      <c r="A3521" s="112"/>
      <c r="B3521" s="21" t="s">
        <v>8681</v>
      </c>
      <c r="C3521" s="21" t="s">
        <v>8682</v>
      </c>
      <c r="D3521" s="21" t="s">
        <v>1668</v>
      </c>
      <c r="E3521" s="50" t="b">
        <v>1</v>
      </c>
      <c r="F3521" s="72" t="str">
        <f>HYPERLINK("http://nsgreg.nga.mil/genc/view?v=295378&amp;end_month=6&amp;end_day=30&amp;end_year=2019","Kurskaya Oblast’")</f>
        <v>Kurskaya Oblast’</v>
      </c>
      <c r="G3521" s="72" t="str">
        <f>HYPERLINK("http://api.nsgreg.nga.mil/geo-division/GENC/6/3-11/RU-KRS","as:GENC:6:3-11:RU-KRS")</f>
        <v>as:GENC:6:3-11:RU-KRS</v>
      </c>
    </row>
    <row r="3522" spans="1:7" x14ac:dyDescent="0.25">
      <c r="A3522" s="112"/>
      <c r="B3522" s="21" t="s">
        <v>8683</v>
      </c>
      <c r="C3522" s="21" t="s">
        <v>8684</v>
      </c>
      <c r="D3522" s="21" t="s">
        <v>1668</v>
      </c>
      <c r="E3522" s="50" t="b">
        <v>1</v>
      </c>
      <c r="F3522" s="72" t="str">
        <f>HYPERLINK("http://nsgreg.nga.mil/genc/view?v=295380&amp;end_month=6&amp;end_day=30&amp;end_year=2019","Leningradskaya Oblast’")</f>
        <v>Leningradskaya Oblast’</v>
      </c>
      <c r="G3522" s="72" t="str">
        <f>HYPERLINK("http://api.nsgreg.nga.mil/geo-division/GENC/6/3-11/RU-LEN","as:GENC:6:3-11:RU-LEN")</f>
        <v>as:GENC:6:3-11:RU-LEN</v>
      </c>
    </row>
    <row r="3523" spans="1:7" x14ac:dyDescent="0.25">
      <c r="A3523" s="112"/>
      <c r="B3523" s="21" t="s">
        <v>8685</v>
      </c>
      <c r="C3523" s="21" t="s">
        <v>8686</v>
      </c>
      <c r="D3523" s="21" t="s">
        <v>1668</v>
      </c>
      <c r="E3523" s="50" t="b">
        <v>1</v>
      </c>
      <c r="F3523" s="72" t="str">
        <f>HYPERLINK("http://nsgreg.nga.mil/genc/view?v=295381&amp;end_month=6&amp;end_day=30&amp;end_year=2019","Lipetskaya Oblast’")</f>
        <v>Lipetskaya Oblast’</v>
      </c>
      <c r="G3523" s="72" t="str">
        <f>HYPERLINK("http://api.nsgreg.nga.mil/geo-division/GENC/6/3-11/RU-LIP","as:GENC:6:3-11:RU-LIP")</f>
        <v>as:GENC:6:3-11:RU-LIP</v>
      </c>
    </row>
    <row r="3524" spans="1:7" x14ac:dyDescent="0.25">
      <c r="A3524" s="112"/>
      <c r="B3524" s="21" t="s">
        <v>8687</v>
      </c>
      <c r="C3524" s="21" t="s">
        <v>8688</v>
      </c>
      <c r="D3524" s="21" t="s">
        <v>1668</v>
      </c>
      <c r="E3524" s="50" t="b">
        <v>1</v>
      </c>
      <c r="F3524" s="72" t="str">
        <f>HYPERLINK("http://nsgreg.nga.mil/genc/view?v=295382&amp;end_month=6&amp;end_day=30&amp;end_year=2019","Magadanskaya Oblast’")</f>
        <v>Magadanskaya Oblast’</v>
      </c>
      <c r="G3524" s="72" t="str">
        <f>HYPERLINK("http://api.nsgreg.nga.mil/geo-division/GENC/6/3-11/RU-MAG","as:GENC:6:3-11:RU-MAG")</f>
        <v>as:GENC:6:3-11:RU-MAG</v>
      </c>
    </row>
    <row r="3525" spans="1:7" x14ac:dyDescent="0.25">
      <c r="A3525" s="112"/>
      <c r="B3525" s="21" t="s">
        <v>8689</v>
      </c>
      <c r="C3525" s="21" t="s">
        <v>8690</v>
      </c>
      <c r="D3525" s="21" t="s">
        <v>2593</v>
      </c>
      <c r="E3525" s="50" t="b">
        <v>1</v>
      </c>
      <c r="F3525" s="72" t="str">
        <f>HYPERLINK("http://nsgreg.nga.mil/genc/view?v=295383&amp;end_month=6&amp;end_day=30&amp;end_year=2019","Mariy-El")</f>
        <v>Mariy-El</v>
      </c>
      <c r="G3525" s="72" t="str">
        <f>HYPERLINK("http://api.nsgreg.nga.mil/geo-division/GENC/6/3-11/RU-ME","as:GENC:6:3-11:RU-ME")</f>
        <v>as:GENC:6:3-11:RU-ME</v>
      </c>
    </row>
    <row r="3526" spans="1:7" x14ac:dyDescent="0.25">
      <c r="A3526" s="112"/>
      <c r="B3526" s="21" t="s">
        <v>8691</v>
      </c>
      <c r="C3526" s="21" t="s">
        <v>8692</v>
      </c>
      <c r="D3526" s="21" t="s">
        <v>2593</v>
      </c>
      <c r="E3526" s="50" t="b">
        <v>1</v>
      </c>
      <c r="F3526" s="72" t="str">
        <f>HYPERLINK("http://nsgreg.nga.mil/genc/view?v=295384&amp;end_month=6&amp;end_day=30&amp;end_year=2019","Mordoviya")</f>
        <v>Mordoviya</v>
      </c>
      <c r="G3526" s="72" t="str">
        <f>HYPERLINK("http://api.nsgreg.nga.mil/geo-division/GENC/6/3-11/RU-MO","as:GENC:6:3-11:RU-MO")</f>
        <v>as:GENC:6:3-11:RU-MO</v>
      </c>
    </row>
    <row r="3527" spans="1:7" x14ac:dyDescent="0.25">
      <c r="A3527" s="112"/>
      <c r="B3527" s="21" t="s">
        <v>8693</v>
      </c>
      <c r="C3527" s="21" t="s">
        <v>8694</v>
      </c>
      <c r="D3527" s="21" t="s">
        <v>1668</v>
      </c>
      <c r="E3527" s="50" t="b">
        <v>1</v>
      </c>
      <c r="F3527" s="72" t="str">
        <f>HYPERLINK("http://nsgreg.nga.mil/genc/view?v=295385&amp;end_month=6&amp;end_day=30&amp;end_year=2019","Moskovskaya Oblast’")</f>
        <v>Moskovskaya Oblast’</v>
      </c>
      <c r="G3527" s="72" t="str">
        <f>HYPERLINK("http://api.nsgreg.nga.mil/geo-division/GENC/6/3-11/RU-MOS","as:GENC:6:3-11:RU-MOS")</f>
        <v>as:GENC:6:3-11:RU-MOS</v>
      </c>
    </row>
    <row r="3528" spans="1:7" x14ac:dyDescent="0.25">
      <c r="A3528" s="112"/>
      <c r="B3528" s="21" t="s">
        <v>8695</v>
      </c>
      <c r="C3528" s="21" t="s">
        <v>8696</v>
      </c>
      <c r="D3528" s="21" t="s">
        <v>1996</v>
      </c>
      <c r="E3528" s="50" t="b">
        <v>1</v>
      </c>
      <c r="F3528" s="72" t="str">
        <f>HYPERLINK("http://nsgreg.nga.mil/genc/view?v=295386&amp;end_month=6&amp;end_day=30&amp;end_year=2019","Moskva")</f>
        <v>Moskva</v>
      </c>
      <c r="G3528" s="72" t="str">
        <f>HYPERLINK("http://api.nsgreg.nga.mil/geo-division/GENC/6/3-11/RU-MOW","as:GENC:6:3-11:RU-MOW")</f>
        <v>as:GENC:6:3-11:RU-MOW</v>
      </c>
    </row>
    <row r="3529" spans="1:7" x14ac:dyDescent="0.25">
      <c r="A3529" s="112"/>
      <c r="B3529" s="21" t="s">
        <v>8697</v>
      </c>
      <c r="C3529" s="21" t="s">
        <v>8698</v>
      </c>
      <c r="D3529" s="21" t="s">
        <v>1668</v>
      </c>
      <c r="E3529" s="50" t="b">
        <v>1</v>
      </c>
      <c r="F3529" s="72" t="str">
        <f>HYPERLINK("http://nsgreg.nga.mil/genc/view?v=295387&amp;end_month=6&amp;end_day=30&amp;end_year=2019","Murmanskaya Oblast’")</f>
        <v>Murmanskaya Oblast’</v>
      </c>
      <c r="G3529" s="72" t="str">
        <f>HYPERLINK("http://api.nsgreg.nga.mil/geo-division/GENC/6/3-11/RU-MUR","as:GENC:6:3-11:RU-MUR")</f>
        <v>as:GENC:6:3-11:RU-MUR</v>
      </c>
    </row>
    <row r="3530" spans="1:7" x14ac:dyDescent="0.25">
      <c r="A3530" s="112"/>
      <c r="B3530" s="21" t="s">
        <v>8699</v>
      </c>
      <c r="C3530" s="21" t="s">
        <v>8700</v>
      </c>
      <c r="D3530" s="21" t="s">
        <v>3199</v>
      </c>
      <c r="E3530" s="50" t="b">
        <v>1</v>
      </c>
      <c r="F3530" s="72" t="str">
        <f>HYPERLINK("http://nsgreg.nga.mil/genc/view?v=295388&amp;end_month=6&amp;end_day=30&amp;end_year=2019","Nenetskiy Avtonomnyy Okrug")</f>
        <v>Nenetskiy Avtonomnyy Okrug</v>
      </c>
      <c r="G3530" s="72" t="str">
        <f>HYPERLINK("http://api.nsgreg.nga.mil/geo-division/GENC/6/3-11/RU-NEN","as:GENC:6:3-11:RU-NEN")</f>
        <v>as:GENC:6:3-11:RU-NEN</v>
      </c>
    </row>
    <row r="3531" spans="1:7" x14ac:dyDescent="0.25">
      <c r="A3531" s="112"/>
      <c r="B3531" s="21" t="s">
        <v>8701</v>
      </c>
      <c r="C3531" s="21" t="s">
        <v>8702</v>
      </c>
      <c r="D3531" s="21" t="s">
        <v>1668</v>
      </c>
      <c r="E3531" s="50" t="b">
        <v>1</v>
      </c>
      <c r="F3531" s="72" t="str">
        <f>HYPERLINK("http://nsgreg.nga.mil/genc/view?v=295390&amp;end_month=6&amp;end_day=30&amp;end_year=2019","Nizhegorodskaya Oblast’")</f>
        <v>Nizhegorodskaya Oblast’</v>
      </c>
      <c r="G3531" s="72" t="str">
        <f>HYPERLINK("http://api.nsgreg.nga.mil/geo-division/GENC/6/3-11/RU-NIZ","as:GENC:6:3-11:RU-NIZ")</f>
        <v>as:GENC:6:3-11:RU-NIZ</v>
      </c>
    </row>
    <row r="3532" spans="1:7" x14ac:dyDescent="0.25">
      <c r="A3532" s="112"/>
      <c r="B3532" s="21" t="s">
        <v>8703</v>
      </c>
      <c r="C3532" s="21" t="s">
        <v>8704</v>
      </c>
      <c r="D3532" s="21" t="s">
        <v>2593</v>
      </c>
      <c r="E3532" s="50" t="b">
        <v>1</v>
      </c>
      <c r="F3532" s="72" t="str">
        <f>HYPERLINK("http://nsgreg.nga.mil/genc/view?v=295405&amp;end_month=6&amp;end_day=30&amp;end_year=2019","North Ossetia")</f>
        <v>North Ossetia</v>
      </c>
      <c r="G3532" s="72" t="str">
        <f>HYPERLINK("http://api.nsgreg.nga.mil/geo-division/GENC/6/3-11/RU-SE","as:GENC:6:3-11:RU-SE")</f>
        <v>as:GENC:6:3-11:RU-SE</v>
      </c>
    </row>
    <row r="3533" spans="1:7" x14ac:dyDescent="0.25">
      <c r="A3533" s="112"/>
      <c r="B3533" s="21" t="s">
        <v>8705</v>
      </c>
      <c r="C3533" s="21" t="s">
        <v>8706</v>
      </c>
      <c r="D3533" s="21" t="s">
        <v>1668</v>
      </c>
      <c r="E3533" s="50" t="b">
        <v>1</v>
      </c>
      <c r="F3533" s="72" t="str">
        <f>HYPERLINK("http://nsgreg.nga.mil/genc/view?v=295389&amp;end_month=6&amp;end_day=30&amp;end_year=2019","Novgorodskaya Oblast’")</f>
        <v>Novgorodskaya Oblast’</v>
      </c>
      <c r="G3533" s="72" t="str">
        <f>HYPERLINK("http://api.nsgreg.nga.mil/geo-division/GENC/6/3-11/RU-NGR","as:GENC:6:3-11:RU-NGR")</f>
        <v>as:GENC:6:3-11:RU-NGR</v>
      </c>
    </row>
    <row r="3534" spans="1:7" x14ac:dyDescent="0.25">
      <c r="A3534" s="112"/>
      <c r="B3534" s="21" t="s">
        <v>8707</v>
      </c>
      <c r="C3534" s="21" t="s">
        <v>8708</v>
      </c>
      <c r="D3534" s="21" t="s">
        <v>1668</v>
      </c>
      <c r="E3534" s="50" t="b">
        <v>1</v>
      </c>
      <c r="F3534" s="72" t="str">
        <f>HYPERLINK("http://nsgreg.nga.mil/genc/view?v=295391&amp;end_month=6&amp;end_day=30&amp;end_year=2019","Novosibirskaya Oblast’")</f>
        <v>Novosibirskaya Oblast’</v>
      </c>
      <c r="G3534" s="72" t="str">
        <f>HYPERLINK("http://api.nsgreg.nga.mil/geo-division/GENC/6/3-11/RU-NVS","as:GENC:6:3-11:RU-NVS")</f>
        <v>as:GENC:6:3-11:RU-NVS</v>
      </c>
    </row>
    <row r="3535" spans="1:7" x14ac:dyDescent="0.25">
      <c r="A3535" s="112"/>
      <c r="B3535" s="21" t="s">
        <v>8709</v>
      </c>
      <c r="C3535" s="21" t="s">
        <v>8710</v>
      </c>
      <c r="D3535" s="21" t="s">
        <v>1668</v>
      </c>
      <c r="E3535" s="50" t="b">
        <v>1</v>
      </c>
      <c r="F3535" s="72" t="str">
        <f>HYPERLINK("http://nsgreg.nga.mil/genc/view?v=295392&amp;end_month=6&amp;end_day=30&amp;end_year=2019","Omskaya Oblast’")</f>
        <v>Omskaya Oblast’</v>
      </c>
      <c r="G3535" s="72" t="str">
        <f>HYPERLINK("http://api.nsgreg.nga.mil/geo-division/GENC/6/3-11/RU-OMS","as:GENC:6:3-11:RU-OMS")</f>
        <v>as:GENC:6:3-11:RU-OMS</v>
      </c>
    </row>
    <row r="3536" spans="1:7" x14ac:dyDescent="0.25">
      <c r="A3536" s="112"/>
      <c r="B3536" s="21" t="s">
        <v>8711</v>
      </c>
      <c r="C3536" s="21" t="s">
        <v>8712</v>
      </c>
      <c r="D3536" s="21" t="s">
        <v>1668</v>
      </c>
      <c r="E3536" s="50" t="b">
        <v>1</v>
      </c>
      <c r="F3536" s="72" t="str">
        <f>HYPERLINK("http://nsgreg.nga.mil/genc/view?v=295393&amp;end_month=6&amp;end_day=30&amp;end_year=2019","Orenburgskaya Oblast’")</f>
        <v>Orenburgskaya Oblast’</v>
      </c>
      <c r="G3536" s="72" t="str">
        <f>HYPERLINK("http://api.nsgreg.nga.mil/geo-division/GENC/6/3-11/RU-ORE","as:GENC:6:3-11:RU-ORE")</f>
        <v>as:GENC:6:3-11:RU-ORE</v>
      </c>
    </row>
    <row r="3537" spans="1:7" x14ac:dyDescent="0.25">
      <c r="A3537" s="112"/>
      <c r="B3537" s="21" t="s">
        <v>8713</v>
      </c>
      <c r="C3537" s="21" t="s">
        <v>8714</v>
      </c>
      <c r="D3537" s="21" t="s">
        <v>1668</v>
      </c>
      <c r="E3537" s="50" t="b">
        <v>1</v>
      </c>
      <c r="F3537" s="72" t="str">
        <f>HYPERLINK("http://nsgreg.nga.mil/genc/view?v=295394&amp;end_month=6&amp;end_day=30&amp;end_year=2019","Orlovskaya Oblast’")</f>
        <v>Orlovskaya Oblast’</v>
      </c>
      <c r="G3537" s="72" t="str">
        <f>HYPERLINK("http://api.nsgreg.nga.mil/geo-division/GENC/6/3-11/RU-ORL","as:GENC:6:3-11:RU-ORL")</f>
        <v>as:GENC:6:3-11:RU-ORL</v>
      </c>
    </row>
    <row r="3538" spans="1:7" x14ac:dyDescent="0.25">
      <c r="A3538" s="112"/>
      <c r="B3538" s="21" t="s">
        <v>8715</v>
      </c>
      <c r="C3538" s="21" t="s">
        <v>8716</v>
      </c>
      <c r="D3538" s="21" t="s">
        <v>1668</v>
      </c>
      <c r="E3538" s="50" t="b">
        <v>1</v>
      </c>
      <c r="F3538" s="72" t="str">
        <f>HYPERLINK("http://nsgreg.nga.mil/genc/view?v=295396&amp;end_month=6&amp;end_day=30&amp;end_year=2019","Penzenskaya Oblast’")</f>
        <v>Penzenskaya Oblast’</v>
      </c>
      <c r="G3538" s="72" t="str">
        <f>HYPERLINK("http://api.nsgreg.nga.mil/geo-division/GENC/6/3-11/RU-PNZ","as:GENC:6:3-11:RU-PNZ")</f>
        <v>as:GENC:6:3-11:RU-PNZ</v>
      </c>
    </row>
    <row r="3539" spans="1:7" x14ac:dyDescent="0.25">
      <c r="A3539" s="112"/>
      <c r="B3539" s="21" t="s">
        <v>8717</v>
      </c>
      <c r="C3539" s="21" t="s">
        <v>8718</v>
      </c>
      <c r="D3539" s="21" t="s">
        <v>2035</v>
      </c>
      <c r="E3539" s="50" t="b">
        <v>1</v>
      </c>
      <c r="F3539" s="72" t="str">
        <f>HYPERLINK("http://nsgreg.nga.mil/genc/view?v=295395&amp;end_month=6&amp;end_day=30&amp;end_year=2019","Permskiy Kray")</f>
        <v>Permskiy Kray</v>
      </c>
      <c r="G3539" s="72" t="str">
        <f>HYPERLINK("http://api.nsgreg.nga.mil/geo-division/GENC/6/3-11/RU-PER","as:GENC:6:3-11:RU-PER")</f>
        <v>as:GENC:6:3-11:RU-PER</v>
      </c>
    </row>
    <row r="3540" spans="1:7" x14ac:dyDescent="0.25">
      <c r="A3540" s="112"/>
      <c r="B3540" s="21" t="s">
        <v>8719</v>
      </c>
      <c r="C3540" s="21" t="s">
        <v>8720</v>
      </c>
      <c r="D3540" s="21" t="s">
        <v>2035</v>
      </c>
      <c r="E3540" s="50" t="b">
        <v>1</v>
      </c>
      <c r="F3540" s="72" t="str">
        <f>HYPERLINK("http://nsgreg.nga.mil/genc/view?v=295397&amp;end_month=6&amp;end_day=30&amp;end_year=2019","Primorskiy Kray")</f>
        <v>Primorskiy Kray</v>
      </c>
      <c r="G3540" s="72" t="str">
        <f>HYPERLINK("http://api.nsgreg.nga.mil/geo-division/GENC/6/3-11/RU-PRI","as:GENC:6:3-11:RU-PRI")</f>
        <v>as:GENC:6:3-11:RU-PRI</v>
      </c>
    </row>
    <row r="3541" spans="1:7" x14ac:dyDescent="0.25">
      <c r="A3541" s="112"/>
      <c r="B3541" s="21" t="s">
        <v>8721</v>
      </c>
      <c r="C3541" s="21" t="s">
        <v>8722</v>
      </c>
      <c r="D3541" s="21" t="s">
        <v>1668</v>
      </c>
      <c r="E3541" s="50" t="b">
        <v>1</v>
      </c>
      <c r="F3541" s="72" t="str">
        <f>HYPERLINK("http://nsgreg.nga.mil/genc/view?v=295398&amp;end_month=6&amp;end_day=30&amp;end_year=2019","Pskovskaya Oblast’")</f>
        <v>Pskovskaya Oblast’</v>
      </c>
      <c r="G3541" s="72" t="str">
        <f>HYPERLINK("http://api.nsgreg.nga.mil/geo-division/GENC/6/3-11/RU-PSK","as:GENC:6:3-11:RU-PSK")</f>
        <v>as:GENC:6:3-11:RU-PSK</v>
      </c>
    </row>
    <row r="3542" spans="1:7" x14ac:dyDescent="0.25">
      <c r="A3542" s="112"/>
      <c r="B3542" s="21" t="s">
        <v>8723</v>
      </c>
      <c r="C3542" s="21" t="s">
        <v>8724</v>
      </c>
      <c r="D3542" s="21" t="s">
        <v>1668</v>
      </c>
      <c r="E3542" s="50" t="b">
        <v>1</v>
      </c>
      <c r="F3542" s="72" t="str">
        <f>HYPERLINK("http://nsgreg.nga.mil/genc/view?v=295399&amp;end_month=6&amp;end_day=30&amp;end_year=2019","Rostovskaya Oblast’")</f>
        <v>Rostovskaya Oblast’</v>
      </c>
      <c r="G3542" s="72" t="str">
        <f>HYPERLINK("http://api.nsgreg.nga.mil/geo-division/GENC/6/3-11/RU-ROS","as:GENC:6:3-11:RU-ROS")</f>
        <v>as:GENC:6:3-11:RU-ROS</v>
      </c>
    </row>
    <row r="3543" spans="1:7" x14ac:dyDescent="0.25">
      <c r="A3543" s="112"/>
      <c r="B3543" s="21" t="s">
        <v>8725</v>
      </c>
      <c r="C3543" s="21" t="s">
        <v>8726</v>
      </c>
      <c r="D3543" s="21" t="s">
        <v>1668</v>
      </c>
      <c r="E3543" s="50" t="b">
        <v>1</v>
      </c>
      <c r="F3543" s="72" t="str">
        <f>HYPERLINK("http://nsgreg.nga.mil/genc/view?v=295400&amp;end_month=6&amp;end_day=30&amp;end_year=2019","Ryazanskaya Oblast’")</f>
        <v>Ryazanskaya Oblast’</v>
      </c>
      <c r="G3543" s="72" t="str">
        <f>HYPERLINK("http://api.nsgreg.nga.mil/geo-division/GENC/6/3-11/RU-RYA","as:GENC:6:3-11:RU-RYA")</f>
        <v>as:GENC:6:3-11:RU-RYA</v>
      </c>
    </row>
    <row r="3544" spans="1:7" x14ac:dyDescent="0.25">
      <c r="A3544" s="112"/>
      <c r="B3544" s="21" t="s">
        <v>8727</v>
      </c>
      <c r="C3544" s="21" t="s">
        <v>8728</v>
      </c>
      <c r="D3544" s="21" t="s">
        <v>2593</v>
      </c>
      <c r="E3544" s="50" t="b">
        <v>1</v>
      </c>
      <c r="F3544" s="72" t="str">
        <f>HYPERLINK("http://nsgreg.nga.mil/genc/view?v=295401&amp;end_month=6&amp;end_day=30&amp;end_year=2019","Sakha (Yakutiya)")</f>
        <v>Sakha (Yakutiya)</v>
      </c>
      <c r="G3544" s="72" t="str">
        <f>HYPERLINK("http://api.nsgreg.nga.mil/geo-division/GENC/6/3-11/RU-SA","as:GENC:6:3-11:RU-SA")</f>
        <v>as:GENC:6:3-11:RU-SA</v>
      </c>
    </row>
    <row r="3545" spans="1:7" x14ac:dyDescent="0.25">
      <c r="A3545" s="112"/>
      <c r="B3545" s="21" t="s">
        <v>8729</v>
      </c>
      <c r="C3545" s="21" t="s">
        <v>8730</v>
      </c>
      <c r="D3545" s="21" t="s">
        <v>1668</v>
      </c>
      <c r="E3545" s="50" t="b">
        <v>1</v>
      </c>
      <c r="F3545" s="72" t="str">
        <f>HYPERLINK("http://nsgreg.nga.mil/genc/view?v=295402&amp;end_month=6&amp;end_day=30&amp;end_year=2019","Sakhalinskaya Oblast’")</f>
        <v>Sakhalinskaya Oblast’</v>
      </c>
      <c r="G3545" s="72" t="str">
        <f>HYPERLINK("http://api.nsgreg.nga.mil/geo-division/GENC/6/3-11/RU-SAK","as:GENC:6:3-11:RU-SAK")</f>
        <v>as:GENC:6:3-11:RU-SAK</v>
      </c>
    </row>
    <row r="3546" spans="1:7" x14ac:dyDescent="0.25">
      <c r="A3546" s="112"/>
      <c r="B3546" s="21" t="s">
        <v>8731</v>
      </c>
      <c r="C3546" s="21" t="s">
        <v>8732</v>
      </c>
      <c r="D3546" s="21" t="s">
        <v>1668</v>
      </c>
      <c r="E3546" s="50" t="b">
        <v>1</v>
      </c>
      <c r="F3546" s="72" t="str">
        <f>HYPERLINK("http://nsgreg.nga.mil/genc/view?v=295403&amp;end_month=6&amp;end_day=30&amp;end_year=2019","Samarskaya Oblast’")</f>
        <v>Samarskaya Oblast’</v>
      </c>
      <c r="G3546" s="72" t="str">
        <f>HYPERLINK("http://api.nsgreg.nga.mil/geo-division/GENC/6/3-11/RU-SAM","as:GENC:6:3-11:RU-SAM")</f>
        <v>as:GENC:6:3-11:RU-SAM</v>
      </c>
    </row>
    <row r="3547" spans="1:7" x14ac:dyDescent="0.25">
      <c r="A3547" s="112"/>
      <c r="B3547" s="21" t="s">
        <v>8733</v>
      </c>
      <c r="C3547" s="21" t="s">
        <v>8734</v>
      </c>
      <c r="D3547" s="21" t="s">
        <v>1996</v>
      </c>
      <c r="E3547" s="50" t="b">
        <v>1</v>
      </c>
      <c r="F3547" s="72" t="str">
        <f>HYPERLINK("http://nsgreg.nga.mil/genc/view?v=295407&amp;end_month=6&amp;end_day=30&amp;end_year=2019","Sankt-Peterburg")</f>
        <v>Sankt-Peterburg</v>
      </c>
      <c r="G3547" s="72" t="str">
        <f>HYPERLINK("http://api.nsgreg.nga.mil/geo-division/GENC/6/3-11/RU-SPE","as:GENC:6:3-11:RU-SPE")</f>
        <v>as:GENC:6:3-11:RU-SPE</v>
      </c>
    </row>
    <row r="3548" spans="1:7" x14ac:dyDescent="0.25">
      <c r="A3548" s="112"/>
      <c r="B3548" s="21" t="s">
        <v>8735</v>
      </c>
      <c r="C3548" s="21" t="s">
        <v>8736</v>
      </c>
      <c r="D3548" s="21" t="s">
        <v>1668</v>
      </c>
      <c r="E3548" s="50" t="b">
        <v>1</v>
      </c>
      <c r="F3548" s="72" t="str">
        <f>HYPERLINK("http://nsgreg.nga.mil/genc/view?v=295404&amp;end_month=6&amp;end_day=30&amp;end_year=2019","Saratovskaya Oblast’")</f>
        <v>Saratovskaya Oblast’</v>
      </c>
      <c r="G3548" s="72" t="str">
        <f>HYPERLINK("http://api.nsgreg.nga.mil/geo-division/GENC/6/3-11/RU-SAR","as:GENC:6:3-11:RU-SAR")</f>
        <v>as:GENC:6:3-11:RU-SAR</v>
      </c>
    </row>
    <row r="3549" spans="1:7" x14ac:dyDescent="0.25">
      <c r="A3549" s="112"/>
      <c r="B3549" s="21" t="s">
        <v>8737</v>
      </c>
      <c r="C3549" s="21" t="s">
        <v>8738</v>
      </c>
      <c r="D3549" s="21" t="s">
        <v>1668</v>
      </c>
      <c r="E3549" s="50" t="b">
        <v>1</v>
      </c>
      <c r="F3549" s="72" t="str">
        <f>HYPERLINK("http://nsgreg.nga.mil/genc/view?v=295406&amp;end_month=6&amp;end_day=30&amp;end_year=2019","Smolenskaya Oblast’")</f>
        <v>Smolenskaya Oblast’</v>
      </c>
      <c r="G3549" s="72" t="str">
        <f>HYPERLINK("http://api.nsgreg.nga.mil/geo-division/GENC/6/3-11/RU-SMO","as:GENC:6:3-11:RU-SMO")</f>
        <v>as:GENC:6:3-11:RU-SMO</v>
      </c>
    </row>
    <row r="3550" spans="1:7" x14ac:dyDescent="0.25">
      <c r="A3550" s="112"/>
      <c r="B3550" s="21" t="s">
        <v>8739</v>
      </c>
      <c r="C3550" s="21" t="s">
        <v>8740</v>
      </c>
      <c r="D3550" s="21" t="s">
        <v>2035</v>
      </c>
      <c r="E3550" s="50" t="b">
        <v>1</v>
      </c>
      <c r="F3550" s="72" t="str">
        <f>HYPERLINK("http://nsgreg.nga.mil/genc/view?v=295408&amp;end_month=6&amp;end_day=30&amp;end_year=2019","Stavropol’skiy Kray")</f>
        <v>Stavropol’skiy Kray</v>
      </c>
      <c r="G3550" s="72" t="str">
        <f>HYPERLINK("http://api.nsgreg.nga.mil/geo-division/GENC/6/3-11/RU-STA","as:GENC:6:3-11:RU-STA")</f>
        <v>as:GENC:6:3-11:RU-STA</v>
      </c>
    </row>
    <row r="3551" spans="1:7" x14ac:dyDescent="0.25">
      <c r="A3551" s="112"/>
      <c r="B3551" s="21" t="s">
        <v>8741</v>
      </c>
      <c r="C3551" s="21" t="s">
        <v>8742</v>
      </c>
      <c r="D3551" s="21" t="s">
        <v>1668</v>
      </c>
      <c r="E3551" s="50" t="b">
        <v>1</v>
      </c>
      <c r="F3551" s="72" t="str">
        <f>HYPERLINK("http://nsgreg.nga.mil/genc/view?v=295409&amp;end_month=6&amp;end_day=30&amp;end_year=2019","Sverdlovskaya Oblast’")</f>
        <v>Sverdlovskaya Oblast’</v>
      </c>
      <c r="G3551" s="72" t="str">
        <f>HYPERLINK("http://api.nsgreg.nga.mil/geo-division/GENC/6/3-11/RU-SVE","as:GENC:6:3-11:RU-SVE")</f>
        <v>as:GENC:6:3-11:RU-SVE</v>
      </c>
    </row>
    <row r="3552" spans="1:7" x14ac:dyDescent="0.25">
      <c r="A3552" s="112"/>
      <c r="B3552" s="21" t="s">
        <v>8743</v>
      </c>
      <c r="C3552" s="21" t="s">
        <v>8744</v>
      </c>
      <c r="D3552" s="21" t="s">
        <v>1668</v>
      </c>
      <c r="E3552" s="50" t="b">
        <v>1</v>
      </c>
      <c r="F3552" s="72" t="str">
        <f>HYPERLINK("http://nsgreg.nga.mil/genc/view?v=295411&amp;end_month=6&amp;end_day=30&amp;end_year=2019","Tambovskaya Oblast’")</f>
        <v>Tambovskaya Oblast’</v>
      </c>
      <c r="G3552" s="72" t="str">
        <f>HYPERLINK("http://api.nsgreg.nga.mil/geo-division/GENC/6/3-11/RU-TAM","as:GENC:6:3-11:RU-TAM")</f>
        <v>as:GENC:6:3-11:RU-TAM</v>
      </c>
    </row>
    <row r="3553" spans="1:7" x14ac:dyDescent="0.25">
      <c r="A3553" s="112"/>
      <c r="B3553" s="21" t="s">
        <v>8745</v>
      </c>
      <c r="C3553" s="21" t="s">
        <v>8746</v>
      </c>
      <c r="D3553" s="21" t="s">
        <v>2593</v>
      </c>
      <c r="E3553" s="50" t="b">
        <v>1</v>
      </c>
      <c r="F3553" s="72" t="str">
        <f>HYPERLINK("http://nsgreg.nga.mil/genc/view?v=295410&amp;end_month=6&amp;end_day=30&amp;end_year=2019","Tatarstan")</f>
        <v>Tatarstan</v>
      </c>
      <c r="G3553" s="72" t="str">
        <f>HYPERLINK("http://api.nsgreg.nga.mil/geo-division/GENC/6/3-11/RU-TA","as:GENC:6:3-11:RU-TA")</f>
        <v>as:GENC:6:3-11:RU-TA</v>
      </c>
    </row>
    <row r="3554" spans="1:7" x14ac:dyDescent="0.25">
      <c r="A3554" s="112"/>
      <c r="B3554" s="21" t="s">
        <v>8747</v>
      </c>
      <c r="C3554" s="21" t="s">
        <v>8748</v>
      </c>
      <c r="D3554" s="21" t="s">
        <v>1668</v>
      </c>
      <c r="E3554" s="50" t="b">
        <v>1</v>
      </c>
      <c r="F3554" s="72" t="str">
        <f>HYPERLINK("http://nsgreg.nga.mil/genc/view?v=295412&amp;end_month=6&amp;end_day=30&amp;end_year=2019","Tomskaya Oblast’")</f>
        <v>Tomskaya Oblast’</v>
      </c>
      <c r="G3554" s="72" t="str">
        <f>HYPERLINK("http://api.nsgreg.nga.mil/geo-division/GENC/6/3-11/RU-TOM","as:GENC:6:3-11:RU-TOM")</f>
        <v>as:GENC:6:3-11:RU-TOM</v>
      </c>
    </row>
    <row r="3555" spans="1:7" x14ac:dyDescent="0.25">
      <c r="A3555" s="112"/>
      <c r="B3555" s="21" t="s">
        <v>8749</v>
      </c>
      <c r="C3555" s="21" t="s">
        <v>8750</v>
      </c>
      <c r="D3555" s="21" t="s">
        <v>1668</v>
      </c>
      <c r="E3555" s="50" t="b">
        <v>1</v>
      </c>
      <c r="F3555" s="72" t="str">
        <f>HYPERLINK("http://nsgreg.nga.mil/genc/view?v=295413&amp;end_month=6&amp;end_day=30&amp;end_year=2019","Tul’skaya Oblast’")</f>
        <v>Tul’skaya Oblast’</v>
      </c>
      <c r="G3555" s="72" t="str">
        <f>HYPERLINK("http://api.nsgreg.nga.mil/geo-division/GENC/6/3-11/RU-TUL","as:GENC:6:3-11:RU-TUL")</f>
        <v>as:GENC:6:3-11:RU-TUL</v>
      </c>
    </row>
    <row r="3556" spans="1:7" x14ac:dyDescent="0.25">
      <c r="A3556" s="112"/>
      <c r="B3556" s="21" t="s">
        <v>8751</v>
      </c>
      <c r="C3556" s="21" t="s">
        <v>8752</v>
      </c>
      <c r="D3556" s="21" t="s">
        <v>1668</v>
      </c>
      <c r="E3556" s="50" t="b">
        <v>1</v>
      </c>
      <c r="F3556" s="72" t="str">
        <f>HYPERLINK("http://nsgreg.nga.mil/genc/view?v=295414&amp;end_month=6&amp;end_day=30&amp;end_year=2019","Tverskaya Oblast’")</f>
        <v>Tverskaya Oblast’</v>
      </c>
      <c r="G3556" s="72" t="str">
        <f>HYPERLINK("http://api.nsgreg.nga.mil/geo-division/GENC/6/3-11/RU-TVE","as:GENC:6:3-11:RU-TVE")</f>
        <v>as:GENC:6:3-11:RU-TVE</v>
      </c>
    </row>
    <row r="3557" spans="1:7" x14ac:dyDescent="0.25">
      <c r="A3557" s="112"/>
      <c r="B3557" s="21" t="s">
        <v>8753</v>
      </c>
      <c r="C3557" s="21" t="s">
        <v>8754</v>
      </c>
      <c r="D3557" s="21" t="s">
        <v>1668</v>
      </c>
      <c r="E3557" s="50" t="b">
        <v>1</v>
      </c>
      <c r="F3557" s="72" t="str">
        <f>HYPERLINK("http://nsgreg.nga.mil/genc/view?v=295416&amp;end_month=6&amp;end_day=30&amp;end_year=2019","Tyumenskaya Oblast’")</f>
        <v>Tyumenskaya Oblast’</v>
      </c>
      <c r="G3557" s="72" t="str">
        <f>HYPERLINK("http://api.nsgreg.nga.mil/geo-division/GENC/6/3-11/RU-TYU","as:GENC:6:3-11:RU-TYU")</f>
        <v>as:GENC:6:3-11:RU-TYU</v>
      </c>
    </row>
    <row r="3558" spans="1:7" x14ac:dyDescent="0.25">
      <c r="A3558" s="112"/>
      <c r="B3558" s="21" t="s">
        <v>8755</v>
      </c>
      <c r="C3558" s="21" t="s">
        <v>8756</v>
      </c>
      <c r="D3558" s="21" t="s">
        <v>2593</v>
      </c>
      <c r="E3558" s="50" t="b">
        <v>1</v>
      </c>
      <c r="F3558" s="72" t="str">
        <f>HYPERLINK("http://nsgreg.nga.mil/genc/view?v=295415&amp;end_month=6&amp;end_day=30&amp;end_year=2019","Tyva")</f>
        <v>Tyva</v>
      </c>
      <c r="G3558" s="72" t="str">
        <f>HYPERLINK("http://api.nsgreg.nga.mil/geo-division/GENC/6/3-11/RU-TY","as:GENC:6:3-11:RU-TY")</f>
        <v>as:GENC:6:3-11:RU-TY</v>
      </c>
    </row>
    <row r="3559" spans="1:7" x14ac:dyDescent="0.25">
      <c r="A3559" s="112"/>
      <c r="B3559" s="21" t="s">
        <v>8757</v>
      </c>
      <c r="C3559" s="21" t="s">
        <v>8758</v>
      </c>
      <c r="D3559" s="21" t="s">
        <v>2593</v>
      </c>
      <c r="E3559" s="50" t="b">
        <v>1</v>
      </c>
      <c r="F3559" s="72" t="str">
        <f>HYPERLINK("http://nsgreg.nga.mil/genc/view?v=295417&amp;end_month=6&amp;end_day=30&amp;end_year=2019","Udmurtiya")</f>
        <v>Udmurtiya</v>
      </c>
      <c r="G3559" s="72" t="str">
        <f>HYPERLINK("http://api.nsgreg.nga.mil/geo-division/GENC/6/3-11/RU-UD","as:GENC:6:3-11:RU-UD")</f>
        <v>as:GENC:6:3-11:RU-UD</v>
      </c>
    </row>
    <row r="3560" spans="1:7" x14ac:dyDescent="0.25">
      <c r="A3560" s="112"/>
      <c r="B3560" s="21" t="s">
        <v>8759</v>
      </c>
      <c r="C3560" s="21" t="s">
        <v>8760</v>
      </c>
      <c r="D3560" s="21" t="s">
        <v>1668</v>
      </c>
      <c r="E3560" s="50" t="b">
        <v>1</v>
      </c>
      <c r="F3560" s="72" t="str">
        <f>HYPERLINK("http://nsgreg.nga.mil/genc/view?v=295418&amp;end_month=6&amp;end_day=30&amp;end_year=2019","Ul’yanovskaya Oblast’")</f>
        <v>Ul’yanovskaya Oblast’</v>
      </c>
      <c r="G3560" s="72" t="str">
        <f>HYPERLINK("http://api.nsgreg.nga.mil/geo-division/GENC/6/3-11/RU-ULY","as:GENC:6:3-11:RU-ULY")</f>
        <v>as:GENC:6:3-11:RU-ULY</v>
      </c>
    </row>
    <row r="3561" spans="1:7" x14ac:dyDescent="0.25">
      <c r="A3561" s="112"/>
      <c r="B3561" s="21" t="s">
        <v>8761</v>
      </c>
      <c r="C3561" s="21" t="s">
        <v>8762</v>
      </c>
      <c r="D3561" s="21" t="s">
        <v>1668</v>
      </c>
      <c r="E3561" s="50" t="b">
        <v>1</v>
      </c>
      <c r="F3561" s="72" t="str">
        <f>HYPERLINK("http://nsgreg.nga.mil/genc/view?v=295420&amp;end_month=6&amp;end_day=30&amp;end_year=2019","Vladimirskaya Oblast’")</f>
        <v>Vladimirskaya Oblast’</v>
      </c>
      <c r="G3561" s="72" t="str">
        <f>HYPERLINK("http://api.nsgreg.nga.mil/geo-division/GENC/6/3-11/RU-VLA","as:GENC:6:3-11:RU-VLA")</f>
        <v>as:GENC:6:3-11:RU-VLA</v>
      </c>
    </row>
    <row r="3562" spans="1:7" x14ac:dyDescent="0.25">
      <c r="A3562" s="112"/>
      <c r="B3562" s="21" t="s">
        <v>8763</v>
      </c>
      <c r="C3562" s="21" t="s">
        <v>8764</v>
      </c>
      <c r="D3562" s="21" t="s">
        <v>1668</v>
      </c>
      <c r="E3562" s="50" t="b">
        <v>1</v>
      </c>
      <c r="F3562" s="72" t="str">
        <f>HYPERLINK("http://nsgreg.nga.mil/genc/view?v=295419&amp;end_month=6&amp;end_day=30&amp;end_year=2019","Volgogradskaya Oblast’")</f>
        <v>Volgogradskaya Oblast’</v>
      </c>
      <c r="G3562" s="72" t="str">
        <f>HYPERLINK("http://api.nsgreg.nga.mil/geo-division/GENC/6/3-11/RU-VGG","as:GENC:6:3-11:RU-VGG")</f>
        <v>as:GENC:6:3-11:RU-VGG</v>
      </c>
    </row>
    <row r="3563" spans="1:7" x14ac:dyDescent="0.25">
      <c r="A3563" s="112"/>
      <c r="B3563" s="21" t="s">
        <v>8765</v>
      </c>
      <c r="C3563" s="21" t="s">
        <v>8766</v>
      </c>
      <c r="D3563" s="21" t="s">
        <v>1668</v>
      </c>
      <c r="E3563" s="50" t="b">
        <v>1</v>
      </c>
      <c r="F3563" s="72" t="str">
        <f>HYPERLINK("http://nsgreg.nga.mil/genc/view?v=295421&amp;end_month=6&amp;end_day=30&amp;end_year=2019","Vologodskaya Oblast’")</f>
        <v>Vologodskaya Oblast’</v>
      </c>
      <c r="G3563" s="72" t="str">
        <f>HYPERLINK("http://api.nsgreg.nga.mil/geo-division/GENC/6/3-11/RU-VLG","as:GENC:6:3-11:RU-VLG")</f>
        <v>as:GENC:6:3-11:RU-VLG</v>
      </c>
    </row>
    <row r="3564" spans="1:7" x14ac:dyDescent="0.25">
      <c r="A3564" s="112"/>
      <c r="B3564" s="21" t="s">
        <v>8767</v>
      </c>
      <c r="C3564" s="21" t="s">
        <v>8768</v>
      </c>
      <c r="D3564" s="21" t="s">
        <v>1668</v>
      </c>
      <c r="E3564" s="50" t="b">
        <v>1</v>
      </c>
      <c r="F3564" s="72" t="str">
        <f>HYPERLINK("http://nsgreg.nga.mil/genc/view?v=295422&amp;end_month=6&amp;end_day=30&amp;end_year=2019","Voronezhskaya Oblast’")</f>
        <v>Voronezhskaya Oblast’</v>
      </c>
      <c r="G3564" s="72" t="str">
        <f>HYPERLINK("http://api.nsgreg.nga.mil/geo-division/GENC/6/3-11/RU-VOR","as:GENC:6:3-11:RU-VOR")</f>
        <v>as:GENC:6:3-11:RU-VOR</v>
      </c>
    </row>
    <row r="3565" spans="1:7" x14ac:dyDescent="0.25">
      <c r="A3565" s="112"/>
      <c r="B3565" s="21" t="s">
        <v>8769</v>
      </c>
      <c r="C3565" s="21" t="s">
        <v>8770</v>
      </c>
      <c r="D3565" s="21" t="s">
        <v>3199</v>
      </c>
      <c r="E3565" s="50" t="b">
        <v>1</v>
      </c>
      <c r="F3565" s="72" t="str">
        <f>HYPERLINK("http://nsgreg.nga.mil/genc/view?v=295423&amp;end_month=6&amp;end_day=30&amp;end_year=2019","Yamalo-Nenetskiy Avtonomnyy Okrug")</f>
        <v>Yamalo-Nenetskiy Avtonomnyy Okrug</v>
      </c>
      <c r="G3565" s="72" t="str">
        <f>HYPERLINK("http://api.nsgreg.nga.mil/geo-division/GENC/6/3-11/RU-YAN","as:GENC:6:3-11:RU-YAN")</f>
        <v>as:GENC:6:3-11:RU-YAN</v>
      </c>
    </row>
    <row r="3566" spans="1:7" x14ac:dyDescent="0.25">
      <c r="A3566" s="112"/>
      <c r="B3566" s="21" t="s">
        <v>8771</v>
      </c>
      <c r="C3566" s="21" t="s">
        <v>8772</v>
      </c>
      <c r="D3566" s="21" t="s">
        <v>1668</v>
      </c>
      <c r="E3566" s="50" t="b">
        <v>1</v>
      </c>
      <c r="F3566" s="72" t="str">
        <f>HYPERLINK("http://nsgreg.nga.mil/genc/view?v=295424&amp;end_month=6&amp;end_day=30&amp;end_year=2019","Yaroslavskaya Oblast’")</f>
        <v>Yaroslavskaya Oblast’</v>
      </c>
      <c r="G3566" s="72" t="str">
        <f>HYPERLINK("http://api.nsgreg.nga.mil/geo-division/GENC/6/3-11/RU-YAR","as:GENC:6:3-11:RU-YAR")</f>
        <v>as:GENC:6:3-11:RU-YAR</v>
      </c>
    </row>
    <row r="3567" spans="1:7" x14ac:dyDescent="0.25">
      <c r="A3567" s="112"/>
      <c r="B3567" s="21" t="s">
        <v>8773</v>
      </c>
      <c r="C3567" s="21" t="s">
        <v>8774</v>
      </c>
      <c r="D3567" s="21" t="s">
        <v>5555</v>
      </c>
      <c r="E3567" s="50" t="b">
        <v>1</v>
      </c>
      <c r="F3567" s="72" t="str">
        <f>HYPERLINK("http://nsgreg.nga.mil/genc/view?v=295425&amp;end_month=6&amp;end_day=30&amp;end_year=2019","Yevreyskaya Avtonomnaya Oblast’")</f>
        <v>Yevreyskaya Avtonomnaya Oblast’</v>
      </c>
      <c r="G3567" s="72" t="str">
        <f>HYPERLINK("http://api.nsgreg.nga.mil/geo-division/GENC/6/3-11/RU-YEV","as:GENC:6:3-11:RU-YEV")</f>
        <v>as:GENC:6:3-11:RU-YEV</v>
      </c>
    </row>
    <row r="3568" spans="1:7" x14ac:dyDescent="0.25">
      <c r="A3568" s="113"/>
      <c r="B3568" s="47" t="s">
        <v>8775</v>
      </c>
      <c r="C3568" s="47" t="s">
        <v>8776</v>
      </c>
      <c r="D3568" s="47" t="s">
        <v>2035</v>
      </c>
      <c r="E3568" s="51" t="b">
        <v>1</v>
      </c>
      <c r="F3568" s="73" t="str">
        <f>HYPERLINK("http://nsgreg.nga.mil/genc/view?v=295426&amp;end_month=6&amp;end_day=30&amp;end_year=2019","Zabaykal’skiy Kray")</f>
        <v>Zabaykal’skiy Kray</v>
      </c>
      <c r="G3568" s="73" t="str">
        <f>HYPERLINK("http://api.nsgreg.nga.mil/geo-division/GENC/6/3-11/RU-ZAB","as:GENC:6:3-11:RU-ZAB")</f>
        <v>as:GENC:6:3-11:RU-ZAB</v>
      </c>
    </row>
    <row r="3569" spans="1:7" x14ac:dyDescent="0.25">
      <c r="A3569" s="111" t="str">
        <f>HYPERLINK("[#]Codes_for_GE_Names!A214:I214","RWANDA")</f>
        <v>RWANDA</v>
      </c>
      <c r="B3569" s="42" t="s">
        <v>8777</v>
      </c>
      <c r="C3569" s="42" t="s">
        <v>8778</v>
      </c>
      <c r="D3569" s="42" t="s">
        <v>1668</v>
      </c>
      <c r="E3569" s="49" t="b">
        <v>1</v>
      </c>
      <c r="F3569" s="74" t="str">
        <f>HYPERLINK("http://nsgreg.nga.mil/genc/view?v=295428&amp;end_month=6&amp;end_day=30&amp;end_year=2019","Eastern Province")</f>
        <v>Eastern Province</v>
      </c>
      <c r="G3569" s="74" t="str">
        <f>HYPERLINK("http://api.nsgreg.nga.mil/geo-division/GENC/6/3-11/RW-02","as:GENC:6:3-11:RW-02")</f>
        <v>as:GENC:6:3-11:RW-02</v>
      </c>
    </row>
    <row r="3570" spans="1:7" x14ac:dyDescent="0.25">
      <c r="A3570" s="112"/>
      <c r="B3570" s="21" t="s">
        <v>8779</v>
      </c>
      <c r="C3570" s="21" t="s">
        <v>8780</v>
      </c>
      <c r="D3570" s="21" t="s">
        <v>1996</v>
      </c>
      <c r="E3570" s="50" t="b">
        <v>1</v>
      </c>
      <c r="F3570" s="72" t="str">
        <f>HYPERLINK("http://nsgreg.nga.mil/genc/view?v=295427&amp;end_month=6&amp;end_day=30&amp;end_year=2019","Kigali")</f>
        <v>Kigali</v>
      </c>
      <c r="G3570" s="72" t="str">
        <f>HYPERLINK("http://api.nsgreg.nga.mil/geo-division/GENC/6/3-11/RW-01","as:GENC:6:3-11:RW-01")</f>
        <v>as:GENC:6:3-11:RW-01</v>
      </c>
    </row>
    <row r="3571" spans="1:7" x14ac:dyDescent="0.25">
      <c r="A3571" s="112"/>
      <c r="B3571" s="21" t="s">
        <v>8781</v>
      </c>
      <c r="C3571" s="21" t="s">
        <v>8782</v>
      </c>
      <c r="D3571" s="21" t="s">
        <v>1668</v>
      </c>
      <c r="E3571" s="50" t="b">
        <v>1</v>
      </c>
      <c r="F3571" s="72" t="str">
        <f>HYPERLINK("http://nsgreg.nga.mil/genc/view?v=295429&amp;end_month=6&amp;end_day=30&amp;end_year=2019","Northern Province")</f>
        <v>Northern Province</v>
      </c>
      <c r="G3571" s="72" t="str">
        <f>HYPERLINK("http://api.nsgreg.nga.mil/geo-division/GENC/6/3-11/RW-03","as:GENC:6:3-11:RW-03")</f>
        <v>as:GENC:6:3-11:RW-03</v>
      </c>
    </row>
    <row r="3572" spans="1:7" x14ac:dyDescent="0.25">
      <c r="A3572" s="112"/>
      <c r="B3572" s="21" t="s">
        <v>8783</v>
      </c>
      <c r="C3572" s="21" t="s">
        <v>8784</v>
      </c>
      <c r="D3572" s="21" t="s">
        <v>1668</v>
      </c>
      <c r="E3572" s="50" t="b">
        <v>1</v>
      </c>
      <c r="F3572" s="72" t="str">
        <f>HYPERLINK("http://nsgreg.nga.mil/genc/view?v=295431&amp;end_month=6&amp;end_day=30&amp;end_year=2019","Southern Province")</f>
        <v>Southern Province</v>
      </c>
      <c r="G3572" s="72" t="str">
        <f>HYPERLINK("http://api.nsgreg.nga.mil/geo-division/GENC/6/3-11/RW-05","as:GENC:6:3-11:RW-05")</f>
        <v>as:GENC:6:3-11:RW-05</v>
      </c>
    </row>
    <row r="3573" spans="1:7" x14ac:dyDescent="0.25">
      <c r="A3573" s="113"/>
      <c r="B3573" s="47" t="s">
        <v>8785</v>
      </c>
      <c r="C3573" s="47" t="s">
        <v>8786</v>
      </c>
      <c r="D3573" s="47" t="s">
        <v>1668</v>
      </c>
      <c r="E3573" s="51" t="b">
        <v>1</v>
      </c>
      <c r="F3573" s="73" t="str">
        <f>HYPERLINK("http://nsgreg.nga.mil/genc/view?v=295430&amp;end_month=6&amp;end_day=30&amp;end_year=2019","Western Province")</f>
        <v>Western Province</v>
      </c>
      <c r="G3573" s="73" t="str">
        <f>HYPERLINK("http://api.nsgreg.nga.mil/geo-division/GENC/6/3-11/RW-04","as:GENC:6:3-11:RW-04")</f>
        <v>as:GENC:6:3-11:RW-04</v>
      </c>
    </row>
    <row r="3574" spans="1:7" x14ac:dyDescent="0.25">
      <c r="A3574" s="111" t="str">
        <f>HYPERLINK("[#]Codes_for_GE_Names!A216:I216","SAINT HELENA, ASCENSION, AND TRISTAN DA CUNHA")</f>
        <v>SAINT HELENA, ASCENSION, AND TRISTAN DA CUNHA</v>
      </c>
      <c r="B3574" s="42" t="s">
        <v>8787</v>
      </c>
      <c r="C3574" s="42" t="s">
        <v>8788</v>
      </c>
      <c r="D3574" s="42" t="s">
        <v>8789</v>
      </c>
      <c r="E3574" s="49" t="b">
        <v>1</v>
      </c>
      <c r="F3574" s="74" t="str">
        <f>HYPERLINK("http://nsgreg.nga.mil/genc/view?v=295524&amp;end_month=6&amp;end_day=30&amp;end_year=2019","Ascension")</f>
        <v>Ascension</v>
      </c>
      <c r="G3574" s="74" t="str">
        <f>HYPERLINK("http://api.nsgreg.nga.mil/geo-division/GENC/6/3-11/SH-AC","as:GENC:6:3-11:SH-AC")</f>
        <v>as:GENC:6:3-11:SH-AC</v>
      </c>
    </row>
    <row r="3575" spans="1:7" x14ac:dyDescent="0.25">
      <c r="A3575" s="112"/>
      <c r="B3575" s="21" t="s">
        <v>8790</v>
      </c>
      <c r="C3575" s="21" t="s">
        <v>8791</v>
      </c>
      <c r="D3575" s="21" t="s">
        <v>1909</v>
      </c>
      <c r="E3575" s="50" t="b">
        <v>1</v>
      </c>
      <c r="F3575" s="72" t="str">
        <f>HYPERLINK("http://nsgreg.nga.mil/genc/view?v=295525&amp;end_month=6&amp;end_day=30&amp;end_year=2019","Saint Helena")</f>
        <v>Saint Helena</v>
      </c>
      <c r="G3575" s="72" t="str">
        <f>HYPERLINK("http://api.nsgreg.nga.mil/geo-division/GENC/6/3-11/SH-HL","as:GENC:6:3-11:SH-HL")</f>
        <v>as:GENC:6:3-11:SH-HL</v>
      </c>
    </row>
    <row r="3576" spans="1:7" x14ac:dyDescent="0.25">
      <c r="A3576" s="113"/>
      <c r="B3576" s="47" t="s">
        <v>8792</v>
      </c>
      <c r="C3576" s="47" t="s">
        <v>8793</v>
      </c>
      <c r="D3576" s="47" t="s">
        <v>1909</v>
      </c>
      <c r="E3576" s="51" t="b">
        <v>1</v>
      </c>
      <c r="F3576" s="73" t="str">
        <f>HYPERLINK("http://nsgreg.nga.mil/genc/view?v=295526&amp;end_month=6&amp;end_day=30&amp;end_year=2019","Tristan da Cunha")</f>
        <v>Tristan da Cunha</v>
      </c>
      <c r="G3576" s="73" t="str">
        <f>HYPERLINK("http://api.nsgreg.nga.mil/geo-division/GENC/6/3-11/SH-TA","as:GENC:6:3-11:SH-TA")</f>
        <v>as:GENC:6:3-11:SH-TA</v>
      </c>
    </row>
    <row r="3577" spans="1:7" x14ac:dyDescent="0.25">
      <c r="A3577" s="111" t="str">
        <f>HYPERLINK("[#]Codes_for_GE_Names!A217:I217","SAINT KITTS AND NEVIS")</f>
        <v>SAINT KITTS AND NEVIS</v>
      </c>
      <c r="B3577" s="42" t="s">
        <v>8794</v>
      </c>
      <c r="C3577" s="42" t="s">
        <v>8795</v>
      </c>
      <c r="D3577" s="80" t="s">
        <v>2002</v>
      </c>
      <c r="E3577" s="81" t="b">
        <v>0</v>
      </c>
      <c r="F3577" s="74" t="str">
        <f>HYPERLINK("http://nsgreg.nga.mil/genc/view?v=293727&amp;end_month=6&amp;end_day=30&amp;end_year=2019","Nevis")</f>
        <v>Nevis</v>
      </c>
      <c r="G3577" s="74" t="str">
        <f>HYPERLINK("http://api.nsgreg.nga.mil/geo-division/GENC/6/3-11/KN-N","as:GENC:6:3-11:KN-N")</f>
        <v>as:GENC:6:3-11:KN-N</v>
      </c>
    </row>
    <row r="3578" spans="1:7" x14ac:dyDescent="0.25">
      <c r="A3578" s="112"/>
      <c r="B3578" s="21" t="s">
        <v>8796</v>
      </c>
      <c r="C3578" s="21" t="s">
        <v>8797</v>
      </c>
      <c r="D3578" s="21" t="s">
        <v>1858</v>
      </c>
      <c r="E3578" s="50" t="b">
        <v>1</v>
      </c>
      <c r="F3578" s="72" t="str">
        <f>HYPERLINK("http://nsgreg.nga.mil/genc/view?v=293715&amp;end_month=6&amp;end_day=30&amp;end_year=2019","Saint George Gingerland")</f>
        <v>Saint George Gingerland</v>
      </c>
      <c r="G3578" s="72" t="str">
        <f>HYPERLINK("http://api.nsgreg.nga.mil/geo-division/GENC/6/3-11/KN-04","as:GENC:6:3-11:KN-04")</f>
        <v>as:GENC:6:3-11:KN-04</v>
      </c>
    </row>
    <row r="3579" spans="1:7" x14ac:dyDescent="0.25">
      <c r="A3579" s="112"/>
      <c r="B3579" s="21" t="s">
        <v>8798</v>
      </c>
      <c r="C3579" s="21" t="s">
        <v>8799</v>
      </c>
      <c r="D3579" s="21" t="s">
        <v>1858</v>
      </c>
      <c r="E3579" s="50" t="b">
        <v>1</v>
      </c>
      <c r="F3579" s="72" t="str">
        <f>HYPERLINK("http://nsgreg.nga.mil/genc/view?v=293716&amp;end_month=6&amp;end_day=30&amp;end_year=2019","Saint James Windward")</f>
        <v>Saint James Windward</v>
      </c>
      <c r="G3579" s="72" t="str">
        <f>HYPERLINK("http://api.nsgreg.nga.mil/geo-division/GENC/6/3-11/KN-05","as:GENC:6:3-11:KN-05")</f>
        <v>as:GENC:6:3-11:KN-05</v>
      </c>
    </row>
    <row r="3580" spans="1:7" x14ac:dyDescent="0.25">
      <c r="A3580" s="112"/>
      <c r="B3580" s="21" t="s">
        <v>8800</v>
      </c>
      <c r="C3580" s="21" t="s">
        <v>8801</v>
      </c>
      <c r="D3580" s="21" t="s">
        <v>1858</v>
      </c>
      <c r="E3580" s="50" t="b">
        <v>1</v>
      </c>
      <c r="F3580" s="72" t="str">
        <f>HYPERLINK("http://nsgreg.nga.mil/genc/view?v=293718&amp;end_month=6&amp;end_day=30&amp;end_year=2019","Saint John Figtree")</f>
        <v>Saint John Figtree</v>
      </c>
      <c r="G3580" s="72" t="str">
        <f>HYPERLINK("http://api.nsgreg.nga.mil/geo-division/GENC/6/3-11/KN-07","as:GENC:6:3-11:KN-07")</f>
        <v>as:GENC:6:3-11:KN-07</v>
      </c>
    </row>
    <row r="3581" spans="1:7" x14ac:dyDescent="0.25">
      <c r="A3581" s="112"/>
      <c r="B3581" s="21" t="s">
        <v>8802</v>
      </c>
      <c r="C3581" s="21" t="s">
        <v>8803</v>
      </c>
      <c r="D3581" s="21" t="s">
        <v>1858</v>
      </c>
      <c r="E3581" s="50" t="b">
        <v>1</v>
      </c>
      <c r="F3581" s="72" t="str">
        <f>HYPERLINK("http://nsgreg.nga.mil/genc/view?v=293721&amp;end_month=6&amp;end_day=30&amp;end_year=2019","Saint Paul Charlestown")</f>
        <v>Saint Paul Charlestown</v>
      </c>
      <c r="G3581" s="72" t="str">
        <f>HYPERLINK("http://api.nsgreg.nga.mil/geo-division/GENC/6/3-11/KN-10","as:GENC:6:3-11:KN-10")</f>
        <v>as:GENC:6:3-11:KN-10</v>
      </c>
    </row>
    <row r="3582" spans="1:7" x14ac:dyDescent="0.25">
      <c r="A3582" s="112"/>
      <c r="B3582" s="21" t="s">
        <v>8804</v>
      </c>
      <c r="C3582" s="21" t="s">
        <v>8805</v>
      </c>
      <c r="D3582" s="21" t="s">
        <v>1858</v>
      </c>
      <c r="E3582" s="50" t="b">
        <v>1</v>
      </c>
      <c r="F3582" s="72" t="str">
        <f>HYPERLINK("http://nsgreg.nga.mil/genc/view?v=293723&amp;end_month=6&amp;end_day=30&amp;end_year=2019","Saint Thomas Lowland")</f>
        <v>Saint Thomas Lowland</v>
      </c>
      <c r="G3582" s="72" t="str">
        <f>HYPERLINK("http://api.nsgreg.nga.mil/geo-division/GENC/6/3-11/KN-12","as:GENC:6:3-11:KN-12")</f>
        <v>as:GENC:6:3-11:KN-12</v>
      </c>
    </row>
    <row r="3583" spans="1:7" x14ac:dyDescent="0.25">
      <c r="A3583" s="112"/>
      <c r="B3583" s="21" t="s">
        <v>8806</v>
      </c>
      <c r="C3583" s="21" t="s">
        <v>8807</v>
      </c>
      <c r="D3583" s="76" t="s">
        <v>2002</v>
      </c>
      <c r="E3583" s="77" t="b">
        <v>0</v>
      </c>
      <c r="F3583" s="72" t="str">
        <f>HYPERLINK("http://nsgreg.nga.mil/genc/view?v=293726&amp;end_month=6&amp;end_day=30&amp;end_year=2019","Saint Kitts")</f>
        <v>Saint Kitts</v>
      </c>
      <c r="G3583" s="72" t="str">
        <f>HYPERLINK("http://api.nsgreg.nga.mil/geo-division/GENC/6/3-11/KN-K","as:GENC:6:3-11:KN-K")</f>
        <v>as:GENC:6:3-11:KN-K</v>
      </c>
    </row>
    <row r="3584" spans="1:7" x14ac:dyDescent="0.25">
      <c r="A3584" s="112"/>
      <c r="B3584" s="21" t="s">
        <v>8808</v>
      </c>
      <c r="C3584" s="21" t="s">
        <v>8809</v>
      </c>
      <c r="D3584" s="21" t="s">
        <v>1858</v>
      </c>
      <c r="E3584" s="50" t="b">
        <v>1</v>
      </c>
      <c r="F3584" s="72" t="str">
        <f>HYPERLINK("http://nsgreg.nga.mil/genc/view?v=293712&amp;end_month=6&amp;end_day=30&amp;end_year=2019","Christ Church Nichola Town")</f>
        <v>Christ Church Nichola Town</v>
      </c>
      <c r="G3584" s="72" t="str">
        <f>HYPERLINK("http://api.nsgreg.nga.mil/geo-division/GENC/6/3-11/KN-01","as:GENC:6:3-11:KN-01")</f>
        <v>as:GENC:6:3-11:KN-01</v>
      </c>
    </row>
    <row r="3585" spans="1:7" x14ac:dyDescent="0.25">
      <c r="A3585" s="112"/>
      <c r="B3585" s="21" t="s">
        <v>8810</v>
      </c>
      <c r="C3585" s="21" t="s">
        <v>8811</v>
      </c>
      <c r="D3585" s="21" t="s">
        <v>1858</v>
      </c>
      <c r="E3585" s="50" t="b">
        <v>1</v>
      </c>
      <c r="F3585" s="72" t="str">
        <f>HYPERLINK("http://nsgreg.nga.mil/genc/view?v=293713&amp;end_month=6&amp;end_day=30&amp;end_year=2019","Saint Anne Sandy Point")</f>
        <v>Saint Anne Sandy Point</v>
      </c>
      <c r="G3585" s="72" t="str">
        <f>HYPERLINK("http://api.nsgreg.nga.mil/geo-division/GENC/6/3-11/KN-02","as:GENC:6:3-11:KN-02")</f>
        <v>as:GENC:6:3-11:KN-02</v>
      </c>
    </row>
    <row r="3586" spans="1:7" x14ac:dyDescent="0.25">
      <c r="A3586" s="112"/>
      <c r="B3586" s="21" t="s">
        <v>8812</v>
      </c>
      <c r="C3586" s="21" t="s">
        <v>8813</v>
      </c>
      <c r="D3586" s="21" t="s">
        <v>1858</v>
      </c>
      <c r="E3586" s="50" t="b">
        <v>1</v>
      </c>
      <c r="F3586" s="72" t="str">
        <f>HYPERLINK("http://nsgreg.nga.mil/genc/view?v=293714&amp;end_month=6&amp;end_day=30&amp;end_year=2019","Saint George Basseterre")</f>
        <v>Saint George Basseterre</v>
      </c>
      <c r="G3586" s="72" t="str">
        <f>HYPERLINK("http://api.nsgreg.nga.mil/geo-division/GENC/6/3-11/KN-03","as:GENC:6:3-11:KN-03")</f>
        <v>as:GENC:6:3-11:KN-03</v>
      </c>
    </row>
    <row r="3587" spans="1:7" x14ac:dyDescent="0.25">
      <c r="A3587" s="112"/>
      <c r="B3587" s="21" t="s">
        <v>8814</v>
      </c>
      <c r="C3587" s="21" t="s">
        <v>8815</v>
      </c>
      <c r="D3587" s="21" t="s">
        <v>1858</v>
      </c>
      <c r="E3587" s="50" t="b">
        <v>1</v>
      </c>
      <c r="F3587" s="72" t="str">
        <f>HYPERLINK("http://nsgreg.nga.mil/genc/view?v=293717&amp;end_month=6&amp;end_day=30&amp;end_year=2019","Saint John Capesterre")</f>
        <v>Saint John Capesterre</v>
      </c>
      <c r="G3587" s="72" t="str">
        <f>HYPERLINK("http://api.nsgreg.nga.mil/geo-division/GENC/6/3-11/KN-06","as:GENC:6:3-11:KN-06")</f>
        <v>as:GENC:6:3-11:KN-06</v>
      </c>
    </row>
    <row r="3588" spans="1:7" x14ac:dyDescent="0.25">
      <c r="A3588" s="112"/>
      <c r="B3588" s="21" t="s">
        <v>8816</v>
      </c>
      <c r="C3588" s="21" t="s">
        <v>8817</v>
      </c>
      <c r="D3588" s="21" t="s">
        <v>1858</v>
      </c>
      <c r="E3588" s="50" t="b">
        <v>1</v>
      </c>
      <c r="F3588" s="72" t="str">
        <f>HYPERLINK("http://nsgreg.nga.mil/genc/view?v=293719&amp;end_month=6&amp;end_day=30&amp;end_year=2019","Saint Mary Cayon")</f>
        <v>Saint Mary Cayon</v>
      </c>
      <c r="G3588" s="72" t="str">
        <f>HYPERLINK("http://api.nsgreg.nga.mil/geo-division/GENC/6/3-11/KN-08","as:GENC:6:3-11:KN-08")</f>
        <v>as:GENC:6:3-11:KN-08</v>
      </c>
    </row>
    <row r="3589" spans="1:7" x14ac:dyDescent="0.25">
      <c r="A3589" s="112"/>
      <c r="B3589" s="21" t="s">
        <v>8818</v>
      </c>
      <c r="C3589" s="21" t="s">
        <v>8819</v>
      </c>
      <c r="D3589" s="21" t="s">
        <v>1858</v>
      </c>
      <c r="E3589" s="50" t="b">
        <v>1</v>
      </c>
      <c r="F3589" s="72" t="str">
        <f>HYPERLINK("http://nsgreg.nga.mil/genc/view?v=293720&amp;end_month=6&amp;end_day=30&amp;end_year=2019","Saint Paul Capesterre")</f>
        <v>Saint Paul Capesterre</v>
      </c>
      <c r="G3589" s="72" t="str">
        <f>HYPERLINK("http://api.nsgreg.nga.mil/geo-division/GENC/6/3-11/KN-09","as:GENC:6:3-11:KN-09")</f>
        <v>as:GENC:6:3-11:KN-09</v>
      </c>
    </row>
    <row r="3590" spans="1:7" x14ac:dyDescent="0.25">
      <c r="A3590" s="112"/>
      <c r="B3590" s="21" t="s">
        <v>8820</v>
      </c>
      <c r="C3590" s="21" t="s">
        <v>8821</v>
      </c>
      <c r="D3590" s="21" t="s">
        <v>1858</v>
      </c>
      <c r="E3590" s="50" t="b">
        <v>1</v>
      </c>
      <c r="F3590" s="72" t="str">
        <f>HYPERLINK("http://nsgreg.nga.mil/genc/view?v=293722&amp;end_month=6&amp;end_day=30&amp;end_year=2019","Saint Peter Basseterre")</f>
        <v>Saint Peter Basseterre</v>
      </c>
      <c r="G3590" s="72" t="str">
        <f>HYPERLINK("http://api.nsgreg.nga.mil/geo-division/GENC/6/3-11/KN-11","as:GENC:6:3-11:KN-11")</f>
        <v>as:GENC:6:3-11:KN-11</v>
      </c>
    </row>
    <row r="3591" spans="1:7" x14ac:dyDescent="0.25">
      <c r="A3591" s="112"/>
      <c r="B3591" s="21" t="s">
        <v>8822</v>
      </c>
      <c r="C3591" s="21" t="s">
        <v>8823</v>
      </c>
      <c r="D3591" s="21" t="s">
        <v>1858</v>
      </c>
      <c r="E3591" s="50" t="b">
        <v>1</v>
      </c>
      <c r="F3591" s="72" t="str">
        <f>HYPERLINK("http://nsgreg.nga.mil/genc/view?v=293724&amp;end_month=6&amp;end_day=30&amp;end_year=2019","Saint Thomas Middle Island")</f>
        <v>Saint Thomas Middle Island</v>
      </c>
      <c r="G3591" s="72" t="str">
        <f>HYPERLINK("http://api.nsgreg.nga.mil/geo-division/GENC/6/3-11/KN-13","as:GENC:6:3-11:KN-13")</f>
        <v>as:GENC:6:3-11:KN-13</v>
      </c>
    </row>
    <row r="3592" spans="1:7" x14ac:dyDescent="0.25">
      <c r="A3592" s="113"/>
      <c r="B3592" s="47" t="s">
        <v>8824</v>
      </c>
      <c r="C3592" s="47" t="s">
        <v>8825</v>
      </c>
      <c r="D3592" s="47" t="s">
        <v>1858</v>
      </c>
      <c r="E3592" s="51" t="b">
        <v>1</v>
      </c>
      <c r="F3592" s="73" t="str">
        <f>HYPERLINK("http://nsgreg.nga.mil/genc/view?v=293725&amp;end_month=6&amp;end_day=30&amp;end_year=2019","Trinity Palmetto Point")</f>
        <v>Trinity Palmetto Point</v>
      </c>
      <c r="G3592" s="73" t="str">
        <f>HYPERLINK("http://api.nsgreg.nga.mil/geo-division/GENC/6/3-11/KN-15","as:GENC:6:3-11:KN-15")</f>
        <v>as:GENC:6:3-11:KN-15</v>
      </c>
    </row>
    <row r="3593" spans="1:7" x14ac:dyDescent="0.25">
      <c r="A3593" s="111" t="str">
        <f>HYPERLINK("[#]Codes_for_GE_Names!A218:I218","SAINT LUCIA")</f>
        <v>SAINT LUCIA</v>
      </c>
      <c r="B3593" s="42" t="s">
        <v>8826</v>
      </c>
      <c r="C3593" s="42" t="s">
        <v>8827</v>
      </c>
      <c r="D3593" s="42" t="s">
        <v>2035</v>
      </c>
      <c r="E3593" s="49" t="b">
        <v>1</v>
      </c>
      <c r="F3593" s="74" t="str">
        <f>HYPERLINK("http://nsgreg.nga.mil/genc/view?v=293806&amp;end_month=6&amp;end_day=30&amp;end_year=2019","Anse-la-Raye")</f>
        <v>Anse-la-Raye</v>
      </c>
      <c r="G3593" s="74" t="str">
        <f>HYPERLINK("http://api.nsgreg.nga.mil/geo-division/GENC/6/3-11/LC-01","as:GENC:6:3-11:LC-01")</f>
        <v>as:GENC:6:3-11:LC-01</v>
      </c>
    </row>
    <row r="3594" spans="1:7" x14ac:dyDescent="0.25">
      <c r="A3594" s="112"/>
      <c r="B3594" s="21" t="s">
        <v>8828</v>
      </c>
      <c r="C3594" s="21" t="s">
        <v>8829</v>
      </c>
      <c r="D3594" s="21" t="s">
        <v>2035</v>
      </c>
      <c r="E3594" s="50" t="b">
        <v>1</v>
      </c>
      <c r="F3594" s="72" t="str">
        <f>HYPERLINK("http://nsgreg.nga.mil/genc/view?v=293815&amp;end_month=6&amp;end_day=30&amp;end_year=2019","Canaries")</f>
        <v>Canaries</v>
      </c>
      <c r="G3594" s="72" t="str">
        <f>HYPERLINK("http://api.nsgreg.nga.mil/geo-division/GENC/6/3-11/LC-12","as:GENC:6:3-11:LC-12")</f>
        <v>as:GENC:6:3-11:LC-12</v>
      </c>
    </row>
    <row r="3595" spans="1:7" x14ac:dyDescent="0.25">
      <c r="A3595" s="112"/>
      <c r="B3595" s="21" t="s">
        <v>8830</v>
      </c>
      <c r="C3595" s="21" t="s">
        <v>8831</v>
      </c>
      <c r="D3595" s="21" t="s">
        <v>2035</v>
      </c>
      <c r="E3595" s="50" t="b">
        <v>1</v>
      </c>
      <c r="F3595" s="72" t="str">
        <f>HYPERLINK("http://nsgreg.nga.mil/genc/view?v=293807&amp;end_month=6&amp;end_day=30&amp;end_year=2019","Castries")</f>
        <v>Castries</v>
      </c>
      <c r="G3595" s="72" t="str">
        <f>HYPERLINK("http://api.nsgreg.nga.mil/geo-division/GENC/6/3-11/LC-02","as:GENC:6:3-11:LC-02")</f>
        <v>as:GENC:6:3-11:LC-02</v>
      </c>
    </row>
    <row r="3596" spans="1:7" x14ac:dyDescent="0.25">
      <c r="A3596" s="112"/>
      <c r="B3596" s="21" t="s">
        <v>8832</v>
      </c>
      <c r="C3596" s="21" t="s">
        <v>8833</v>
      </c>
      <c r="D3596" s="21" t="s">
        <v>2035</v>
      </c>
      <c r="E3596" s="50" t="b">
        <v>1</v>
      </c>
      <c r="F3596" s="72" t="str">
        <f>HYPERLINK("http://nsgreg.nga.mil/genc/view?v=293808&amp;end_month=6&amp;end_day=30&amp;end_year=2019","Choiseul")</f>
        <v>Choiseul</v>
      </c>
      <c r="G3596" s="72" t="str">
        <f>HYPERLINK("http://api.nsgreg.nga.mil/geo-division/GENC/6/3-11/LC-03","as:GENC:6:3-11:LC-03")</f>
        <v>as:GENC:6:3-11:LC-03</v>
      </c>
    </row>
    <row r="3597" spans="1:7" x14ac:dyDescent="0.25">
      <c r="A3597" s="112"/>
      <c r="B3597" s="21" t="s">
        <v>8834</v>
      </c>
      <c r="C3597" s="21" t="s">
        <v>8835</v>
      </c>
      <c r="D3597" s="21" t="s">
        <v>2035</v>
      </c>
      <c r="E3597" s="50" t="b">
        <v>1</v>
      </c>
      <c r="F3597" s="72" t="str">
        <f>HYPERLINK("http://nsgreg.nga.mil/genc/view?v=293809&amp;end_month=6&amp;end_day=30&amp;end_year=2019","Dennery")</f>
        <v>Dennery</v>
      </c>
      <c r="G3597" s="72" t="str">
        <f>HYPERLINK("http://api.nsgreg.nga.mil/geo-division/GENC/6/3-11/LC-05","as:GENC:6:3-11:LC-05")</f>
        <v>as:GENC:6:3-11:LC-05</v>
      </c>
    </row>
    <row r="3598" spans="1:7" x14ac:dyDescent="0.25">
      <c r="A3598" s="112"/>
      <c r="B3598" s="21" t="s">
        <v>8836</v>
      </c>
      <c r="C3598" s="21" t="s">
        <v>8837</v>
      </c>
      <c r="D3598" s="21" t="s">
        <v>2035</v>
      </c>
      <c r="E3598" s="50" t="b">
        <v>1</v>
      </c>
      <c r="F3598" s="72" t="str">
        <f>HYPERLINK("http://nsgreg.nga.mil/genc/view?v=293810&amp;end_month=6&amp;end_day=30&amp;end_year=2019","Gros-Islet")</f>
        <v>Gros-Islet</v>
      </c>
      <c r="G3598" s="72" t="str">
        <f>HYPERLINK("http://api.nsgreg.nga.mil/geo-division/GENC/6/3-11/LC-06","as:GENC:6:3-11:LC-06")</f>
        <v>as:GENC:6:3-11:LC-06</v>
      </c>
    </row>
    <row r="3599" spans="1:7" x14ac:dyDescent="0.25">
      <c r="A3599" s="112"/>
      <c r="B3599" s="21" t="s">
        <v>8838</v>
      </c>
      <c r="C3599" s="21" t="s">
        <v>8839</v>
      </c>
      <c r="D3599" s="21" t="s">
        <v>2035</v>
      </c>
      <c r="E3599" s="50" t="b">
        <v>1</v>
      </c>
      <c r="F3599" s="72" t="str">
        <f>HYPERLINK("http://nsgreg.nga.mil/genc/view?v=293811&amp;end_month=6&amp;end_day=30&amp;end_year=2019","Laborie")</f>
        <v>Laborie</v>
      </c>
      <c r="G3599" s="72" t="str">
        <f>HYPERLINK("http://api.nsgreg.nga.mil/geo-division/GENC/6/3-11/LC-07","as:GENC:6:3-11:LC-07")</f>
        <v>as:GENC:6:3-11:LC-07</v>
      </c>
    </row>
    <row r="3600" spans="1:7" x14ac:dyDescent="0.25">
      <c r="A3600" s="112"/>
      <c r="B3600" s="21" t="s">
        <v>8840</v>
      </c>
      <c r="C3600" s="21" t="s">
        <v>8841</v>
      </c>
      <c r="D3600" s="21" t="s">
        <v>2035</v>
      </c>
      <c r="E3600" s="50" t="b">
        <v>1</v>
      </c>
      <c r="F3600" s="72" t="str">
        <f>HYPERLINK("http://nsgreg.nga.mil/genc/view?v=293812&amp;end_month=6&amp;end_day=30&amp;end_year=2019","Micoud")</f>
        <v>Micoud</v>
      </c>
      <c r="G3600" s="72" t="str">
        <f>HYPERLINK("http://api.nsgreg.nga.mil/geo-division/GENC/6/3-11/LC-08","as:GENC:6:3-11:LC-08")</f>
        <v>as:GENC:6:3-11:LC-08</v>
      </c>
    </row>
    <row r="3601" spans="1:7" x14ac:dyDescent="0.25">
      <c r="A3601" s="112"/>
      <c r="B3601" s="21" t="s">
        <v>8842</v>
      </c>
      <c r="C3601" s="21" t="s">
        <v>8843</v>
      </c>
      <c r="D3601" s="21" t="s">
        <v>2035</v>
      </c>
      <c r="E3601" s="50" t="b">
        <v>1</v>
      </c>
      <c r="F3601" s="72" t="str">
        <f>HYPERLINK("http://nsgreg.nga.mil/genc/view?v=293813&amp;end_month=6&amp;end_day=30&amp;end_year=2019","Soufrière")</f>
        <v>Soufrière</v>
      </c>
      <c r="G3601" s="72" t="str">
        <f>HYPERLINK("http://api.nsgreg.nga.mil/geo-division/GENC/6/3-11/LC-10","as:GENC:6:3-11:LC-10")</f>
        <v>as:GENC:6:3-11:LC-10</v>
      </c>
    </row>
    <row r="3602" spans="1:7" x14ac:dyDescent="0.25">
      <c r="A3602" s="113"/>
      <c r="B3602" s="47" t="s">
        <v>8844</v>
      </c>
      <c r="C3602" s="47" t="s">
        <v>8845</v>
      </c>
      <c r="D3602" s="47" t="s">
        <v>2035</v>
      </c>
      <c r="E3602" s="51" t="b">
        <v>1</v>
      </c>
      <c r="F3602" s="73" t="str">
        <f>HYPERLINK("http://nsgreg.nga.mil/genc/view?v=293814&amp;end_month=6&amp;end_day=30&amp;end_year=2019","Vieux-Fort")</f>
        <v>Vieux-Fort</v>
      </c>
      <c r="G3602" s="73" t="str">
        <f>HYPERLINK("http://api.nsgreg.nga.mil/geo-division/GENC/6/3-11/LC-11","as:GENC:6:3-11:LC-11")</f>
        <v>as:GENC:6:3-11:LC-11</v>
      </c>
    </row>
    <row r="3603" spans="1:7" x14ac:dyDescent="0.25">
      <c r="A3603" s="111" t="str">
        <f>HYPERLINK("[#]Codes_for_GE_Names!A221:I221","SAINT VINCENT AND THE GRENADINES")</f>
        <v>SAINT VINCENT AND THE GRENADINES</v>
      </c>
      <c r="B3603" s="42" t="s">
        <v>8846</v>
      </c>
      <c r="C3603" s="42" t="s">
        <v>8847</v>
      </c>
      <c r="D3603" s="42" t="s">
        <v>1858</v>
      </c>
      <c r="E3603" s="49" t="b">
        <v>1</v>
      </c>
      <c r="F3603" s="74" t="str">
        <f>HYPERLINK("http://nsgreg.nga.mil/genc/view?v=296421&amp;end_month=6&amp;end_day=30&amp;end_year=2019","Charlotte")</f>
        <v>Charlotte</v>
      </c>
      <c r="G3603" s="74" t="str">
        <f>HYPERLINK("http://api.nsgreg.nga.mil/geo-division/GENC/6/3-11/VC-01","as:GENC:6:3-11:VC-01")</f>
        <v>as:GENC:6:3-11:VC-01</v>
      </c>
    </row>
    <row r="3604" spans="1:7" x14ac:dyDescent="0.25">
      <c r="A3604" s="112"/>
      <c r="B3604" s="21" t="s">
        <v>8848</v>
      </c>
      <c r="C3604" s="21" t="s">
        <v>8849</v>
      </c>
      <c r="D3604" s="21" t="s">
        <v>1858</v>
      </c>
      <c r="E3604" s="50" t="b">
        <v>1</v>
      </c>
      <c r="F3604" s="72" t="str">
        <f>HYPERLINK("http://nsgreg.nga.mil/genc/view?v=296426&amp;end_month=6&amp;end_day=30&amp;end_year=2019","Grenadines")</f>
        <v>Grenadines</v>
      </c>
      <c r="G3604" s="72" t="str">
        <f>HYPERLINK("http://api.nsgreg.nga.mil/geo-division/GENC/6/3-11/VC-06","as:GENC:6:3-11:VC-06")</f>
        <v>as:GENC:6:3-11:VC-06</v>
      </c>
    </row>
    <row r="3605" spans="1:7" x14ac:dyDescent="0.25">
      <c r="A3605" s="112"/>
      <c r="B3605" s="21" t="s">
        <v>8850</v>
      </c>
      <c r="C3605" s="21" t="s">
        <v>2410</v>
      </c>
      <c r="D3605" s="21" t="s">
        <v>1858</v>
      </c>
      <c r="E3605" s="50" t="b">
        <v>1</v>
      </c>
      <c r="F3605" s="72" t="str">
        <f>HYPERLINK("http://nsgreg.nga.mil/genc/view?v=296422&amp;end_month=6&amp;end_day=30&amp;end_year=2019","Saint Andrew")</f>
        <v>Saint Andrew</v>
      </c>
      <c r="G3605" s="72" t="str">
        <f>HYPERLINK("http://api.nsgreg.nga.mil/geo-division/GENC/6/3-11/VC-02","as:GENC:6:3-11:VC-02")</f>
        <v>as:GENC:6:3-11:VC-02</v>
      </c>
    </row>
    <row r="3606" spans="1:7" x14ac:dyDescent="0.25">
      <c r="A3606" s="112"/>
      <c r="B3606" s="21" t="s">
        <v>8851</v>
      </c>
      <c r="C3606" s="21" t="s">
        <v>3729</v>
      </c>
      <c r="D3606" s="21" t="s">
        <v>1858</v>
      </c>
      <c r="E3606" s="50" t="b">
        <v>1</v>
      </c>
      <c r="F3606" s="72" t="str">
        <f>HYPERLINK("http://nsgreg.nga.mil/genc/view?v=296423&amp;end_month=6&amp;end_day=30&amp;end_year=2019","Saint David")</f>
        <v>Saint David</v>
      </c>
      <c r="G3606" s="72" t="str">
        <f>HYPERLINK("http://api.nsgreg.nga.mil/geo-division/GENC/6/3-11/VC-03","as:GENC:6:3-11:VC-03")</f>
        <v>as:GENC:6:3-11:VC-03</v>
      </c>
    </row>
    <row r="3607" spans="1:7" x14ac:dyDescent="0.25">
      <c r="A3607" s="112"/>
      <c r="B3607" s="21" t="s">
        <v>8852</v>
      </c>
      <c r="C3607" s="21" t="s">
        <v>1913</v>
      </c>
      <c r="D3607" s="21" t="s">
        <v>1858</v>
      </c>
      <c r="E3607" s="50" t="b">
        <v>1</v>
      </c>
      <c r="F3607" s="72" t="str">
        <f>HYPERLINK("http://nsgreg.nga.mil/genc/view?v=296424&amp;end_month=6&amp;end_day=30&amp;end_year=2019","Saint George")</f>
        <v>Saint George</v>
      </c>
      <c r="G3607" s="72" t="str">
        <f>HYPERLINK("http://api.nsgreg.nga.mil/geo-division/GENC/6/3-11/VC-04","as:GENC:6:3-11:VC-04")</f>
        <v>as:GENC:6:3-11:VC-04</v>
      </c>
    </row>
    <row r="3608" spans="1:7" x14ac:dyDescent="0.25">
      <c r="A3608" s="113"/>
      <c r="B3608" s="47" t="s">
        <v>8853</v>
      </c>
      <c r="C3608" s="47" t="s">
        <v>3738</v>
      </c>
      <c r="D3608" s="47" t="s">
        <v>1858</v>
      </c>
      <c r="E3608" s="51" t="b">
        <v>1</v>
      </c>
      <c r="F3608" s="73" t="str">
        <f>HYPERLINK("http://nsgreg.nga.mil/genc/view?v=296425&amp;end_month=6&amp;end_day=30&amp;end_year=2019","Saint Patrick")</f>
        <v>Saint Patrick</v>
      </c>
      <c r="G3608" s="73" t="str">
        <f>HYPERLINK("http://api.nsgreg.nga.mil/geo-division/GENC/6/3-11/VC-05","as:GENC:6:3-11:VC-05")</f>
        <v>as:GENC:6:3-11:VC-05</v>
      </c>
    </row>
    <row r="3609" spans="1:7" x14ac:dyDescent="0.25">
      <c r="A3609" s="111" t="str">
        <f>HYPERLINK("[#]Codes_for_GE_Names!A222:I222","SAMOA")</f>
        <v>SAMOA</v>
      </c>
      <c r="B3609" s="42" t="s">
        <v>8854</v>
      </c>
      <c r="C3609" s="42" t="s">
        <v>8855</v>
      </c>
      <c r="D3609" s="42" t="s">
        <v>2035</v>
      </c>
      <c r="E3609" s="49" t="b">
        <v>1</v>
      </c>
      <c r="F3609" s="74" t="str">
        <f>HYPERLINK("http://nsgreg.nga.mil/genc/view?v=296524&amp;end_month=6&amp;end_day=30&amp;end_year=2019","A‘ana")</f>
        <v>A‘ana</v>
      </c>
      <c r="G3609" s="74" t="str">
        <f>HYPERLINK("http://api.nsgreg.nga.mil/geo-division/GENC/6/3-11/WS-AA","as:GENC:6:3-11:WS-AA")</f>
        <v>as:GENC:6:3-11:WS-AA</v>
      </c>
    </row>
    <row r="3610" spans="1:7" x14ac:dyDescent="0.25">
      <c r="A3610" s="112"/>
      <c r="B3610" s="21" t="s">
        <v>8856</v>
      </c>
      <c r="C3610" s="21" t="s">
        <v>8857</v>
      </c>
      <c r="D3610" s="21" t="s">
        <v>2035</v>
      </c>
      <c r="E3610" s="50" t="b">
        <v>1</v>
      </c>
      <c r="F3610" s="72" t="str">
        <f>HYPERLINK("http://nsgreg.nga.mil/genc/view?v=296525&amp;end_month=6&amp;end_day=30&amp;end_year=2019","Aiga-i-le-Tai")</f>
        <v>Aiga-i-le-Tai</v>
      </c>
      <c r="G3610" s="72" t="str">
        <f>HYPERLINK("http://api.nsgreg.nga.mil/geo-division/GENC/6/3-11/WS-AL","as:GENC:6:3-11:WS-AL")</f>
        <v>as:GENC:6:3-11:WS-AL</v>
      </c>
    </row>
    <row r="3611" spans="1:7" x14ac:dyDescent="0.25">
      <c r="A3611" s="112"/>
      <c r="B3611" s="21" t="s">
        <v>8858</v>
      </c>
      <c r="C3611" s="21" t="s">
        <v>8859</v>
      </c>
      <c r="D3611" s="21" t="s">
        <v>2035</v>
      </c>
      <c r="E3611" s="50" t="b">
        <v>1</v>
      </c>
      <c r="F3611" s="72" t="str">
        <f>HYPERLINK("http://nsgreg.nga.mil/genc/view?v=296526&amp;end_month=6&amp;end_day=30&amp;end_year=2019","Atua")</f>
        <v>Atua</v>
      </c>
      <c r="G3611" s="72" t="str">
        <f>HYPERLINK("http://api.nsgreg.nga.mil/geo-division/GENC/6/3-11/WS-AT","as:GENC:6:3-11:WS-AT")</f>
        <v>as:GENC:6:3-11:WS-AT</v>
      </c>
    </row>
    <row r="3612" spans="1:7" x14ac:dyDescent="0.25">
      <c r="A3612" s="112"/>
      <c r="B3612" s="21" t="s">
        <v>8860</v>
      </c>
      <c r="C3612" s="21" t="s">
        <v>8861</v>
      </c>
      <c r="D3612" s="21" t="s">
        <v>2035</v>
      </c>
      <c r="E3612" s="50" t="b">
        <v>1</v>
      </c>
      <c r="F3612" s="72" t="str">
        <f>HYPERLINK("http://nsgreg.nga.mil/genc/view?v=296527&amp;end_month=6&amp;end_day=30&amp;end_year=2019","Fa‘asaleleaga")</f>
        <v>Fa‘asaleleaga</v>
      </c>
      <c r="G3612" s="72" t="str">
        <f>HYPERLINK("http://api.nsgreg.nga.mil/geo-division/GENC/6/3-11/WS-FA","as:GENC:6:3-11:WS-FA")</f>
        <v>as:GENC:6:3-11:WS-FA</v>
      </c>
    </row>
    <row r="3613" spans="1:7" x14ac:dyDescent="0.25">
      <c r="A3613" s="112"/>
      <c r="B3613" s="21" t="s">
        <v>8862</v>
      </c>
      <c r="C3613" s="21" t="s">
        <v>8863</v>
      </c>
      <c r="D3613" s="21" t="s">
        <v>2035</v>
      </c>
      <c r="E3613" s="50" t="b">
        <v>1</v>
      </c>
      <c r="F3613" s="72" t="str">
        <f>HYPERLINK("http://nsgreg.nga.mil/genc/view?v=296528&amp;end_month=6&amp;end_day=30&amp;end_year=2019","Gaga‘emauga")</f>
        <v>Gaga‘emauga</v>
      </c>
      <c r="G3613" s="72" t="str">
        <f>HYPERLINK("http://api.nsgreg.nga.mil/geo-division/GENC/6/3-11/WS-GE","as:GENC:6:3-11:WS-GE")</f>
        <v>as:GENC:6:3-11:WS-GE</v>
      </c>
    </row>
    <row r="3614" spans="1:7" x14ac:dyDescent="0.25">
      <c r="A3614" s="112"/>
      <c r="B3614" s="21" t="s">
        <v>8864</v>
      </c>
      <c r="C3614" s="21" t="s">
        <v>8865</v>
      </c>
      <c r="D3614" s="21" t="s">
        <v>2035</v>
      </c>
      <c r="E3614" s="50" t="b">
        <v>1</v>
      </c>
      <c r="F3614" s="72" t="str">
        <f>HYPERLINK("http://nsgreg.nga.mil/genc/view?v=296529&amp;end_month=6&amp;end_day=30&amp;end_year=2019","Gagaifomauga")</f>
        <v>Gagaifomauga</v>
      </c>
      <c r="G3614" s="72" t="str">
        <f>HYPERLINK("http://api.nsgreg.nga.mil/geo-division/GENC/6/3-11/WS-GI","as:GENC:6:3-11:WS-GI")</f>
        <v>as:GENC:6:3-11:WS-GI</v>
      </c>
    </row>
    <row r="3615" spans="1:7" x14ac:dyDescent="0.25">
      <c r="A3615" s="112"/>
      <c r="B3615" s="21" t="s">
        <v>8866</v>
      </c>
      <c r="C3615" s="21" t="s">
        <v>8867</v>
      </c>
      <c r="D3615" s="21" t="s">
        <v>2035</v>
      </c>
      <c r="E3615" s="50" t="b">
        <v>1</v>
      </c>
      <c r="F3615" s="72" t="str">
        <f>HYPERLINK("http://nsgreg.nga.mil/genc/view?v=296530&amp;end_month=6&amp;end_day=30&amp;end_year=2019","Palauli")</f>
        <v>Palauli</v>
      </c>
      <c r="G3615" s="72" t="str">
        <f>HYPERLINK("http://api.nsgreg.nga.mil/geo-division/GENC/6/3-11/WS-PA","as:GENC:6:3-11:WS-PA")</f>
        <v>as:GENC:6:3-11:WS-PA</v>
      </c>
    </row>
    <row r="3616" spans="1:7" x14ac:dyDescent="0.25">
      <c r="A3616" s="112"/>
      <c r="B3616" s="21" t="s">
        <v>8868</v>
      </c>
      <c r="C3616" s="21" t="s">
        <v>8869</v>
      </c>
      <c r="D3616" s="21" t="s">
        <v>2035</v>
      </c>
      <c r="E3616" s="50" t="b">
        <v>1</v>
      </c>
      <c r="F3616" s="72" t="str">
        <f>HYPERLINK("http://nsgreg.nga.mil/genc/view?v=296531&amp;end_month=6&amp;end_day=30&amp;end_year=2019","Satupa‘itea")</f>
        <v>Satupa‘itea</v>
      </c>
      <c r="G3616" s="72" t="str">
        <f>HYPERLINK("http://api.nsgreg.nga.mil/geo-division/GENC/6/3-11/WS-SA","as:GENC:6:3-11:WS-SA")</f>
        <v>as:GENC:6:3-11:WS-SA</v>
      </c>
    </row>
    <row r="3617" spans="1:7" x14ac:dyDescent="0.25">
      <c r="A3617" s="112"/>
      <c r="B3617" s="21" t="s">
        <v>8870</v>
      </c>
      <c r="C3617" s="21" t="s">
        <v>8871</v>
      </c>
      <c r="D3617" s="21" t="s">
        <v>2035</v>
      </c>
      <c r="E3617" s="50" t="b">
        <v>1</v>
      </c>
      <c r="F3617" s="72" t="str">
        <f>HYPERLINK("http://nsgreg.nga.mil/genc/view?v=296532&amp;end_month=6&amp;end_day=30&amp;end_year=2019","Tuamasaga")</f>
        <v>Tuamasaga</v>
      </c>
      <c r="G3617" s="72" t="str">
        <f>HYPERLINK("http://api.nsgreg.nga.mil/geo-division/GENC/6/3-11/WS-TU","as:GENC:6:3-11:WS-TU")</f>
        <v>as:GENC:6:3-11:WS-TU</v>
      </c>
    </row>
    <row r="3618" spans="1:7" x14ac:dyDescent="0.25">
      <c r="A3618" s="112"/>
      <c r="B3618" s="21" t="s">
        <v>8872</v>
      </c>
      <c r="C3618" s="21" t="s">
        <v>8873</v>
      </c>
      <c r="D3618" s="21" t="s">
        <v>2035</v>
      </c>
      <c r="E3618" s="50" t="b">
        <v>1</v>
      </c>
      <c r="F3618" s="72" t="str">
        <f>HYPERLINK("http://nsgreg.nga.mil/genc/view?v=296533&amp;end_month=6&amp;end_day=30&amp;end_year=2019","Va‘a-o-Fonoti")</f>
        <v>Va‘a-o-Fonoti</v>
      </c>
      <c r="G3618" s="72" t="str">
        <f>HYPERLINK("http://api.nsgreg.nga.mil/geo-division/GENC/6/3-11/WS-VF","as:GENC:6:3-11:WS-VF")</f>
        <v>as:GENC:6:3-11:WS-VF</v>
      </c>
    </row>
    <row r="3619" spans="1:7" x14ac:dyDescent="0.25">
      <c r="A3619" s="113"/>
      <c r="B3619" s="47" t="s">
        <v>8874</v>
      </c>
      <c r="C3619" s="47" t="s">
        <v>8875</v>
      </c>
      <c r="D3619" s="47" t="s">
        <v>2035</v>
      </c>
      <c r="E3619" s="51" t="b">
        <v>1</v>
      </c>
      <c r="F3619" s="73" t="str">
        <f>HYPERLINK("http://nsgreg.nga.mil/genc/view?v=296534&amp;end_month=6&amp;end_day=30&amp;end_year=2019","Vaisigano")</f>
        <v>Vaisigano</v>
      </c>
      <c r="G3619" s="73" t="str">
        <f>HYPERLINK("http://api.nsgreg.nga.mil/geo-division/GENC/6/3-11/WS-VS","as:GENC:6:3-11:WS-VS")</f>
        <v>as:GENC:6:3-11:WS-VS</v>
      </c>
    </row>
    <row r="3620" spans="1:7" x14ac:dyDescent="0.25">
      <c r="A3620" s="111" t="str">
        <f>HYPERLINK("[#]Codes_for_GE_Names!A223:I223","SAN MARINO")</f>
        <v>SAN MARINO</v>
      </c>
      <c r="B3620" s="42" t="s">
        <v>8876</v>
      </c>
      <c r="C3620" s="42" t="s">
        <v>8877</v>
      </c>
      <c r="D3620" s="42" t="s">
        <v>2505</v>
      </c>
      <c r="E3620" s="49" t="b">
        <v>1</v>
      </c>
      <c r="F3620" s="74" t="str">
        <f>HYPERLINK("http://nsgreg.nga.mil/genc/view?v=295752&amp;end_month=6&amp;end_day=30&amp;end_year=2019","Acquaviva")</f>
        <v>Acquaviva</v>
      </c>
      <c r="G3620" s="74" t="str">
        <f>HYPERLINK("http://api.nsgreg.nga.mil/geo-division/GENC/6/3-11/SM-01","as:GENC:6:3-11:SM-01")</f>
        <v>as:GENC:6:3-11:SM-01</v>
      </c>
    </row>
    <row r="3621" spans="1:7" x14ac:dyDescent="0.25">
      <c r="A3621" s="112"/>
      <c r="B3621" s="21" t="s">
        <v>8878</v>
      </c>
      <c r="C3621" s="21" t="s">
        <v>8879</v>
      </c>
      <c r="D3621" s="21" t="s">
        <v>2505</v>
      </c>
      <c r="E3621" s="50" t="b">
        <v>1</v>
      </c>
      <c r="F3621" s="72" t="str">
        <f>HYPERLINK("http://nsgreg.nga.mil/genc/view?v=295757&amp;end_month=6&amp;end_day=30&amp;end_year=2019","Borgo Maggiore")</f>
        <v>Borgo Maggiore</v>
      </c>
      <c r="G3621" s="72" t="str">
        <f>HYPERLINK("http://api.nsgreg.nga.mil/geo-division/GENC/6/3-11/SM-06","as:GENC:6:3-11:SM-06")</f>
        <v>as:GENC:6:3-11:SM-06</v>
      </c>
    </row>
    <row r="3622" spans="1:7" x14ac:dyDescent="0.25">
      <c r="A3622" s="112"/>
      <c r="B3622" s="21" t="s">
        <v>8880</v>
      </c>
      <c r="C3622" s="21" t="s">
        <v>8881</v>
      </c>
      <c r="D3622" s="21" t="s">
        <v>2505</v>
      </c>
      <c r="E3622" s="50" t="b">
        <v>1</v>
      </c>
      <c r="F3622" s="72" t="str">
        <f>HYPERLINK("http://nsgreg.nga.mil/genc/view?v=295753&amp;end_month=6&amp;end_day=30&amp;end_year=2019","Chiesanuova")</f>
        <v>Chiesanuova</v>
      </c>
      <c r="G3622" s="72" t="str">
        <f>HYPERLINK("http://api.nsgreg.nga.mil/geo-division/GENC/6/3-11/SM-02","as:GENC:6:3-11:SM-02")</f>
        <v>as:GENC:6:3-11:SM-02</v>
      </c>
    </row>
    <row r="3623" spans="1:7" x14ac:dyDescent="0.25">
      <c r="A3623" s="112"/>
      <c r="B3623" s="21" t="s">
        <v>8882</v>
      </c>
      <c r="C3623" s="21" t="s">
        <v>8883</v>
      </c>
      <c r="D3623" s="21" t="s">
        <v>2505</v>
      </c>
      <c r="E3623" s="50" t="b">
        <v>1</v>
      </c>
      <c r="F3623" s="72" t="str">
        <f>HYPERLINK("http://nsgreg.nga.mil/genc/view?v=295754&amp;end_month=6&amp;end_day=30&amp;end_year=2019","Domagnano")</f>
        <v>Domagnano</v>
      </c>
      <c r="G3623" s="72" t="str">
        <f>HYPERLINK("http://api.nsgreg.nga.mil/geo-division/GENC/6/3-11/SM-03","as:GENC:6:3-11:SM-03")</f>
        <v>as:GENC:6:3-11:SM-03</v>
      </c>
    </row>
    <row r="3624" spans="1:7" x14ac:dyDescent="0.25">
      <c r="A3624" s="112"/>
      <c r="B3624" s="21" t="s">
        <v>8884</v>
      </c>
      <c r="C3624" s="21" t="s">
        <v>8885</v>
      </c>
      <c r="D3624" s="21" t="s">
        <v>2505</v>
      </c>
      <c r="E3624" s="50" t="b">
        <v>1</v>
      </c>
      <c r="F3624" s="72" t="str">
        <f>HYPERLINK("http://nsgreg.nga.mil/genc/view?v=295755&amp;end_month=6&amp;end_day=30&amp;end_year=2019","Faetano")</f>
        <v>Faetano</v>
      </c>
      <c r="G3624" s="72" t="str">
        <f>HYPERLINK("http://api.nsgreg.nga.mil/geo-division/GENC/6/3-11/SM-04","as:GENC:6:3-11:SM-04")</f>
        <v>as:GENC:6:3-11:SM-04</v>
      </c>
    </row>
    <row r="3625" spans="1:7" x14ac:dyDescent="0.25">
      <c r="A3625" s="112"/>
      <c r="B3625" s="21" t="s">
        <v>8886</v>
      </c>
      <c r="C3625" s="21" t="s">
        <v>8887</v>
      </c>
      <c r="D3625" s="21" t="s">
        <v>2505</v>
      </c>
      <c r="E3625" s="50" t="b">
        <v>1</v>
      </c>
      <c r="F3625" s="72" t="str">
        <f>HYPERLINK("http://nsgreg.nga.mil/genc/view?v=295756&amp;end_month=6&amp;end_day=30&amp;end_year=2019","Fiorentino")</f>
        <v>Fiorentino</v>
      </c>
      <c r="G3625" s="72" t="str">
        <f>HYPERLINK("http://api.nsgreg.nga.mil/geo-division/GENC/6/3-11/SM-05","as:GENC:6:3-11:SM-05")</f>
        <v>as:GENC:6:3-11:SM-05</v>
      </c>
    </row>
    <row r="3626" spans="1:7" x14ac:dyDescent="0.25">
      <c r="A3626" s="112"/>
      <c r="B3626" s="21" t="s">
        <v>8888</v>
      </c>
      <c r="C3626" s="21" t="s">
        <v>8889</v>
      </c>
      <c r="D3626" s="21" t="s">
        <v>2505</v>
      </c>
      <c r="E3626" s="50" t="b">
        <v>1</v>
      </c>
      <c r="F3626" s="72" t="str">
        <f>HYPERLINK("http://nsgreg.nga.mil/genc/view?v=295759&amp;end_month=6&amp;end_day=30&amp;end_year=2019","Montegiardino")</f>
        <v>Montegiardino</v>
      </c>
      <c r="G3626" s="72" t="str">
        <f>HYPERLINK("http://api.nsgreg.nga.mil/geo-division/GENC/6/3-11/SM-08","as:GENC:6:3-11:SM-08")</f>
        <v>as:GENC:6:3-11:SM-08</v>
      </c>
    </row>
    <row r="3627" spans="1:7" x14ac:dyDescent="0.25">
      <c r="A3627" s="112"/>
      <c r="B3627" s="21" t="s">
        <v>8890</v>
      </c>
      <c r="C3627" s="21" t="s">
        <v>8891</v>
      </c>
      <c r="D3627" s="21" t="s">
        <v>2505</v>
      </c>
      <c r="E3627" s="50" t="b">
        <v>1</v>
      </c>
      <c r="F3627" s="72" t="str">
        <f>HYPERLINK("http://nsgreg.nga.mil/genc/view?v=295758&amp;end_month=6&amp;end_day=30&amp;end_year=2019","San Marino Città")</f>
        <v>San Marino Città</v>
      </c>
      <c r="G3627" s="72" t="str">
        <f>HYPERLINK("http://api.nsgreg.nga.mil/geo-division/GENC/6/3-11/SM-07","as:GENC:6:3-11:SM-07")</f>
        <v>as:GENC:6:3-11:SM-07</v>
      </c>
    </row>
    <row r="3628" spans="1:7" x14ac:dyDescent="0.25">
      <c r="A3628" s="113"/>
      <c r="B3628" s="47" t="s">
        <v>8892</v>
      </c>
      <c r="C3628" s="47" t="s">
        <v>8893</v>
      </c>
      <c r="D3628" s="47" t="s">
        <v>2505</v>
      </c>
      <c r="E3628" s="51" t="b">
        <v>1</v>
      </c>
      <c r="F3628" s="73" t="str">
        <f>HYPERLINK("http://nsgreg.nga.mil/genc/view?v=295760&amp;end_month=6&amp;end_day=30&amp;end_year=2019","Serravalle")</f>
        <v>Serravalle</v>
      </c>
      <c r="G3628" s="73" t="str">
        <f>HYPERLINK("http://api.nsgreg.nga.mil/geo-division/GENC/6/3-11/SM-09","as:GENC:6:3-11:SM-09")</f>
        <v>as:GENC:6:3-11:SM-09</v>
      </c>
    </row>
    <row r="3629" spans="1:7" x14ac:dyDescent="0.25">
      <c r="A3629" s="111" t="str">
        <f>HYPERLINK("[#]Codes_for_GE_Names!A224:I224","SAO TOME AND PRINCIPE")</f>
        <v>SAO TOME AND PRINCIPE</v>
      </c>
      <c r="B3629" s="42" t="s">
        <v>8894</v>
      </c>
      <c r="C3629" s="42" t="s">
        <v>8895</v>
      </c>
      <c r="D3629" s="42" t="s">
        <v>2035</v>
      </c>
      <c r="E3629" s="49" t="b">
        <v>1</v>
      </c>
      <c r="F3629" s="74" t="str">
        <f>HYPERLINK("http://nsgreg.nga.mil/genc/view?v=295813&amp;end_month=6&amp;end_day=30&amp;end_year=2019","Água Grande")</f>
        <v>Água Grande</v>
      </c>
      <c r="G3629" s="74" t="str">
        <f>HYPERLINK("http://api.nsgreg.nga.mil/geo-division/GENC/6/3-11/ST-01","as:GENC:6:3-11:ST-01")</f>
        <v>as:GENC:6:3-11:ST-01</v>
      </c>
    </row>
    <row r="3630" spans="1:7" x14ac:dyDescent="0.25">
      <c r="A3630" s="112"/>
      <c r="B3630" s="21" t="s">
        <v>8896</v>
      </c>
      <c r="C3630" s="21" t="s">
        <v>8897</v>
      </c>
      <c r="D3630" s="21" t="s">
        <v>2035</v>
      </c>
      <c r="E3630" s="50" t="b">
        <v>1</v>
      </c>
      <c r="F3630" s="72" t="str">
        <f>HYPERLINK("http://nsgreg.nga.mil/genc/view?v=295814&amp;end_month=6&amp;end_day=30&amp;end_year=2019","Cantagalo")</f>
        <v>Cantagalo</v>
      </c>
      <c r="G3630" s="72" t="str">
        <f>HYPERLINK("http://api.nsgreg.nga.mil/geo-division/GENC/6/3-11/ST-02","as:GENC:6:3-11:ST-02")</f>
        <v>as:GENC:6:3-11:ST-02</v>
      </c>
    </row>
    <row r="3631" spans="1:7" x14ac:dyDescent="0.25">
      <c r="A3631" s="112"/>
      <c r="B3631" s="21" t="s">
        <v>8898</v>
      </c>
      <c r="C3631" s="21" t="s">
        <v>8899</v>
      </c>
      <c r="D3631" s="21" t="s">
        <v>2035</v>
      </c>
      <c r="E3631" s="50" t="b">
        <v>1</v>
      </c>
      <c r="F3631" s="72" t="str">
        <f>HYPERLINK("http://nsgreg.nga.mil/genc/view?v=295815&amp;end_month=6&amp;end_day=30&amp;end_year=2019","Caué")</f>
        <v>Caué</v>
      </c>
      <c r="G3631" s="72" t="str">
        <f>HYPERLINK("http://api.nsgreg.nga.mil/geo-division/GENC/6/3-11/ST-03","as:GENC:6:3-11:ST-03")</f>
        <v>as:GENC:6:3-11:ST-03</v>
      </c>
    </row>
    <row r="3632" spans="1:7" x14ac:dyDescent="0.25">
      <c r="A3632" s="112"/>
      <c r="B3632" s="21" t="s">
        <v>8900</v>
      </c>
      <c r="C3632" s="21" t="s">
        <v>8901</v>
      </c>
      <c r="D3632" s="21" t="s">
        <v>2035</v>
      </c>
      <c r="E3632" s="50" t="b">
        <v>1</v>
      </c>
      <c r="F3632" s="72" t="str">
        <f>HYPERLINK("http://nsgreg.nga.mil/genc/view?v=295816&amp;end_month=6&amp;end_day=30&amp;end_year=2019","Lembá")</f>
        <v>Lembá</v>
      </c>
      <c r="G3632" s="72" t="str">
        <f>HYPERLINK("http://api.nsgreg.nga.mil/geo-division/GENC/6/3-11/ST-04","as:GENC:6:3-11:ST-04")</f>
        <v>as:GENC:6:3-11:ST-04</v>
      </c>
    </row>
    <row r="3633" spans="1:7" x14ac:dyDescent="0.25">
      <c r="A3633" s="112"/>
      <c r="B3633" s="21" t="s">
        <v>8902</v>
      </c>
      <c r="C3633" s="21" t="s">
        <v>8903</v>
      </c>
      <c r="D3633" s="21" t="s">
        <v>2035</v>
      </c>
      <c r="E3633" s="50" t="b">
        <v>1</v>
      </c>
      <c r="F3633" s="72" t="str">
        <f>HYPERLINK("http://nsgreg.nga.mil/genc/view?v=295817&amp;end_month=6&amp;end_day=30&amp;end_year=2019","Lobata")</f>
        <v>Lobata</v>
      </c>
      <c r="G3633" s="72" t="str">
        <f>HYPERLINK("http://api.nsgreg.nga.mil/geo-division/GENC/6/3-11/ST-05","as:GENC:6:3-11:ST-05")</f>
        <v>as:GENC:6:3-11:ST-05</v>
      </c>
    </row>
    <row r="3634" spans="1:7" x14ac:dyDescent="0.25">
      <c r="A3634" s="112"/>
      <c r="B3634" s="21" t="s">
        <v>8904</v>
      </c>
      <c r="C3634" s="21" t="s">
        <v>8905</v>
      </c>
      <c r="D3634" s="21" t="s">
        <v>2035</v>
      </c>
      <c r="E3634" s="50" t="b">
        <v>1</v>
      </c>
      <c r="F3634" s="72" t="str">
        <f>HYPERLINK("http://nsgreg.nga.mil/genc/view?v=295818&amp;end_month=6&amp;end_day=30&amp;end_year=2019","Mé-Zóchi")</f>
        <v>Mé-Zóchi</v>
      </c>
      <c r="G3634" s="72" t="str">
        <f>HYPERLINK("http://api.nsgreg.nga.mil/geo-division/GENC/6/3-11/ST-06","as:GENC:6:3-11:ST-06")</f>
        <v>as:GENC:6:3-11:ST-06</v>
      </c>
    </row>
    <row r="3635" spans="1:7" x14ac:dyDescent="0.25">
      <c r="A3635" s="113"/>
      <c r="B3635" s="47" t="s">
        <v>8906</v>
      </c>
      <c r="C3635" s="47" t="s">
        <v>8907</v>
      </c>
      <c r="D3635" s="47" t="s">
        <v>3199</v>
      </c>
      <c r="E3635" s="51" t="b">
        <v>1</v>
      </c>
      <c r="F3635" s="73" t="str">
        <f>HYPERLINK("http://nsgreg.nga.mil/genc/view?v=295819&amp;end_month=6&amp;end_day=30&amp;end_year=2019","Príncipe")</f>
        <v>Príncipe</v>
      </c>
      <c r="G3635" s="73" t="str">
        <f>HYPERLINK("http://api.nsgreg.nga.mil/geo-division/GENC/6/3-11/ST-P","as:GENC:6:3-11:ST-P")</f>
        <v>as:GENC:6:3-11:ST-P</v>
      </c>
    </row>
    <row r="3636" spans="1:7" x14ac:dyDescent="0.25">
      <c r="A3636" s="111" t="str">
        <f>HYPERLINK("[#]Codes_for_GE_Names!A225:I225","SAUDI ARABIA")</f>
        <v>SAUDI ARABIA</v>
      </c>
      <c r="B3636" s="42" t="s">
        <v>8908</v>
      </c>
      <c r="C3636" s="42" t="s">
        <v>8909</v>
      </c>
      <c r="D3636" s="42" t="s">
        <v>1975</v>
      </c>
      <c r="E3636" s="49" t="b">
        <v>1</v>
      </c>
      <c r="F3636" s="74" t="str">
        <f>HYPERLINK("http://nsgreg.nga.mil/genc/view?v=295442&amp;end_month=6&amp;end_day=30&amp;end_year=2019","Al Bāḩah")</f>
        <v>Al Bāḩah</v>
      </c>
      <c r="G3636" s="74" t="str">
        <f>HYPERLINK("http://api.nsgreg.nga.mil/geo-division/GENC/6/3-11/SA-11","as:GENC:6:3-11:SA-11")</f>
        <v>as:GENC:6:3-11:SA-11</v>
      </c>
    </row>
    <row r="3637" spans="1:7" x14ac:dyDescent="0.25">
      <c r="A3637" s="112"/>
      <c r="B3637" s="21" t="s">
        <v>8910</v>
      </c>
      <c r="C3637" s="21" t="s">
        <v>8911</v>
      </c>
      <c r="D3637" s="21" t="s">
        <v>1975</v>
      </c>
      <c r="E3637" s="50" t="b">
        <v>1</v>
      </c>
      <c r="F3637" s="72" t="str">
        <f>HYPERLINK("http://nsgreg.nga.mil/genc/view?v=295439&amp;end_month=6&amp;end_day=30&amp;end_year=2019","Al Ḩudūd ash Shamālīyah")</f>
        <v>Al Ḩudūd ash Shamālīyah</v>
      </c>
      <c r="G3637" s="72" t="str">
        <f>HYPERLINK("http://api.nsgreg.nga.mil/geo-division/GENC/6/3-11/SA-08","as:GENC:6:3-11:SA-08")</f>
        <v>as:GENC:6:3-11:SA-08</v>
      </c>
    </row>
    <row r="3638" spans="1:7" x14ac:dyDescent="0.25">
      <c r="A3638" s="112"/>
      <c r="B3638" s="21" t="s">
        <v>8912</v>
      </c>
      <c r="C3638" s="21" t="s">
        <v>8913</v>
      </c>
      <c r="D3638" s="21" t="s">
        <v>1975</v>
      </c>
      <c r="E3638" s="50" t="b">
        <v>1</v>
      </c>
      <c r="F3638" s="72" t="str">
        <f>HYPERLINK("http://nsgreg.nga.mil/genc/view?v=295443&amp;end_month=6&amp;end_day=30&amp;end_year=2019","Al Jawf")</f>
        <v>Al Jawf</v>
      </c>
      <c r="G3638" s="72" t="str">
        <f>HYPERLINK("http://api.nsgreg.nga.mil/geo-division/GENC/6/3-11/SA-12","as:GENC:6:3-11:SA-12")</f>
        <v>as:GENC:6:3-11:SA-12</v>
      </c>
    </row>
    <row r="3639" spans="1:7" x14ac:dyDescent="0.25">
      <c r="A3639" s="112"/>
      <c r="B3639" s="21" t="s">
        <v>8914</v>
      </c>
      <c r="C3639" s="21" t="s">
        <v>8915</v>
      </c>
      <c r="D3639" s="21" t="s">
        <v>1975</v>
      </c>
      <c r="E3639" s="50" t="b">
        <v>1</v>
      </c>
      <c r="F3639" s="72" t="str">
        <f>HYPERLINK("http://nsgreg.nga.mil/genc/view?v=295434&amp;end_month=6&amp;end_day=30&amp;end_year=2019","Al Madīnah al Munawwarah")</f>
        <v>Al Madīnah al Munawwarah</v>
      </c>
      <c r="G3639" s="72" t="str">
        <f>HYPERLINK("http://api.nsgreg.nga.mil/geo-division/GENC/6/3-11/SA-03","as:GENC:6:3-11:SA-03")</f>
        <v>as:GENC:6:3-11:SA-03</v>
      </c>
    </row>
    <row r="3640" spans="1:7" x14ac:dyDescent="0.25">
      <c r="A3640" s="112"/>
      <c r="B3640" s="21" t="s">
        <v>8916</v>
      </c>
      <c r="C3640" s="21" t="s">
        <v>8917</v>
      </c>
      <c r="D3640" s="21" t="s">
        <v>1975</v>
      </c>
      <c r="E3640" s="50" t="b">
        <v>1</v>
      </c>
      <c r="F3640" s="72" t="str">
        <f>HYPERLINK("http://nsgreg.nga.mil/genc/view?v=295436&amp;end_month=6&amp;end_day=30&amp;end_year=2019","Al Qaşīm")</f>
        <v>Al Qaşīm</v>
      </c>
      <c r="G3640" s="72" t="str">
        <f>HYPERLINK("http://api.nsgreg.nga.mil/geo-division/GENC/6/3-11/SA-05","as:GENC:6:3-11:SA-05")</f>
        <v>as:GENC:6:3-11:SA-05</v>
      </c>
    </row>
    <row r="3641" spans="1:7" x14ac:dyDescent="0.25">
      <c r="A3641" s="112"/>
      <c r="B3641" s="21" t="s">
        <v>8918</v>
      </c>
      <c r="C3641" s="21" t="s">
        <v>8919</v>
      </c>
      <c r="D3641" s="21" t="s">
        <v>1975</v>
      </c>
      <c r="E3641" s="50" t="b">
        <v>1</v>
      </c>
      <c r="F3641" s="72" t="str">
        <f>HYPERLINK("http://nsgreg.nga.mil/genc/view?v=295432&amp;end_month=6&amp;end_day=30&amp;end_year=2019","Ar Riyāḑ")</f>
        <v>Ar Riyāḑ</v>
      </c>
      <c r="G3641" s="72" t="str">
        <f>HYPERLINK("http://api.nsgreg.nga.mil/geo-division/GENC/6/3-11/SA-01","as:GENC:6:3-11:SA-01")</f>
        <v>as:GENC:6:3-11:SA-01</v>
      </c>
    </row>
    <row r="3642" spans="1:7" x14ac:dyDescent="0.25">
      <c r="A3642" s="112"/>
      <c r="B3642" s="21" t="s">
        <v>8920</v>
      </c>
      <c r="C3642" s="21" t="s">
        <v>3900</v>
      </c>
      <c r="D3642" s="21" t="s">
        <v>1975</v>
      </c>
      <c r="E3642" s="50" t="b">
        <v>1</v>
      </c>
      <c r="F3642" s="72" t="str">
        <f>HYPERLINK("http://nsgreg.nga.mil/genc/view?v=295435&amp;end_month=6&amp;end_day=30&amp;end_year=2019","Ash Sharqīyah")</f>
        <v>Ash Sharqīyah</v>
      </c>
      <c r="G3642" s="72" t="str">
        <f>HYPERLINK("http://api.nsgreg.nga.mil/geo-division/GENC/6/3-11/SA-04","as:GENC:6:3-11:SA-04")</f>
        <v>as:GENC:6:3-11:SA-04</v>
      </c>
    </row>
    <row r="3643" spans="1:7" x14ac:dyDescent="0.25">
      <c r="A3643" s="112"/>
      <c r="B3643" s="21" t="s">
        <v>8921</v>
      </c>
      <c r="C3643" s="21" t="s">
        <v>8922</v>
      </c>
      <c r="D3643" s="21" t="s">
        <v>1975</v>
      </c>
      <c r="E3643" s="50" t="b">
        <v>1</v>
      </c>
      <c r="F3643" s="72" t="str">
        <f>HYPERLINK("http://nsgreg.nga.mil/genc/view?v=295444&amp;end_month=6&amp;end_day=30&amp;end_year=2019","‘Asīr")</f>
        <v>‘Asīr</v>
      </c>
      <c r="G3643" s="72" t="str">
        <f>HYPERLINK("http://api.nsgreg.nga.mil/geo-division/GENC/6/3-11/SA-14","as:GENC:6:3-11:SA-14")</f>
        <v>as:GENC:6:3-11:SA-14</v>
      </c>
    </row>
    <row r="3644" spans="1:7" x14ac:dyDescent="0.25">
      <c r="A3644" s="112"/>
      <c r="B3644" s="21" t="s">
        <v>8923</v>
      </c>
      <c r="C3644" s="21" t="s">
        <v>8924</v>
      </c>
      <c r="D3644" s="21" t="s">
        <v>1975</v>
      </c>
      <c r="E3644" s="50" t="b">
        <v>1</v>
      </c>
      <c r="F3644" s="72" t="str">
        <f>HYPERLINK("http://nsgreg.nga.mil/genc/view?v=295437&amp;end_month=6&amp;end_day=30&amp;end_year=2019","Ḩā’il")</f>
        <v>Ḩā’il</v>
      </c>
      <c r="G3644" s="72" t="str">
        <f>HYPERLINK("http://api.nsgreg.nga.mil/geo-division/GENC/6/3-11/SA-06","as:GENC:6:3-11:SA-06")</f>
        <v>as:GENC:6:3-11:SA-06</v>
      </c>
    </row>
    <row r="3645" spans="1:7" x14ac:dyDescent="0.25">
      <c r="A3645" s="112"/>
      <c r="B3645" s="21" t="s">
        <v>8925</v>
      </c>
      <c r="C3645" s="21" t="s">
        <v>8926</v>
      </c>
      <c r="D3645" s="21" t="s">
        <v>1975</v>
      </c>
      <c r="E3645" s="50" t="b">
        <v>1</v>
      </c>
      <c r="F3645" s="72" t="str">
        <f>HYPERLINK("http://nsgreg.nga.mil/genc/view?v=295440&amp;end_month=6&amp;end_day=30&amp;end_year=2019","Jāzān")</f>
        <v>Jāzān</v>
      </c>
      <c r="G3645" s="72" t="str">
        <f>HYPERLINK("http://api.nsgreg.nga.mil/geo-division/GENC/6/3-11/SA-09","as:GENC:6:3-11:SA-09")</f>
        <v>as:GENC:6:3-11:SA-09</v>
      </c>
    </row>
    <row r="3646" spans="1:7" x14ac:dyDescent="0.25">
      <c r="A3646" s="112"/>
      <c r="B3646" s="21" t="s">
        <v>8927</v>
      </c>
      <c r="C3646" s="21" t="s">
        <v>8928</v>
      </c>
      <c r="D3646" s="21" t="s">
        <v>1975</v>
      </c>
      <c r="E3646" s="50" t="b">
        <v>1</v>
      </c>
      <c r="F3646" s="72" t="str">
        <f>HYPERLINK("http://nsgreg.nga.mil/genc/view?v=295433&amp;end_month=6&amp;end_day=30&amp;end_year=2019","Makkah al Mukarramah")</f>
        <v>Makkah al Mukarramah</v>
      </c>
      <c r="G3646" s="72" t="str">
        <f>HYPERLINK("http://api.nsgreg.nga.mil/geo-division/GENC/6/3-11/SA-02","as:GENC:6:3-11:SA-02")</f>
        <v>as:GENC:6:3-11:SA-02</v>
      </c>
    </row>
    <row r="3647" spans="1:7" x14ac:dyDescent="0.25">
      <c r="A3647" s="112"/>
      <c r="B3647" s="21" t="s">
        <v>8929</v>
      </c>
      <c r="C3647" s="21" t="s">
        <v>8930</v>
      </c>
      <c r="D3647" s="21" t="s">
        <v>1975</v>
      </c>
      <c r="E3647" s="50" t="b">
        <v>1</v>
      </c>
      <c r="F3647" s="72" t="str">
        <f>HYPERLINK("http://nsgreg.nga.mil/genc/view?v=295441&amp;end_month=6&amp;end_day=30&amp;end_year=2019","Najrān")</f>
        <v>Najrān</v>
      </c>
      <c r="G3647" s="72" t="str">
        <f>HYPERLINK("http://api.nsgreg.nga.mil/geo-division/GENC/6/3-11/SA-10","as:GENC:6:3-11:SA-10")</f>
        <v>as:GENC:6:3-11:SA-10</v>
      </c>
    </row>
    <row r="3648" spans="1:7" x14ac:dyDescent="0.25">
      <c r="A3648" s="113"/>
      <c r="B3648" s="47" t="s">
        <v>8931</v>
      </c>
      <c r="C3648" s="47" t="s">
        <v>8932</v>
      </c>
      <c r="D3648" s="47" t="s">
        <v>1975</v>
      </c>
      <c r="E3648" s="51" t="b">
        <v>1</v>
      </c>
      <c r="F3648" s="73" t="str">
        <f>HYPERLINK("http://nsgreg.nga.mil/genc/view?v=295438&amp;end_month=6&amp;end_day=30&amp;end_year=2019","Tabūk")</f>
        <v>Tabūk</v>
      </c>
      <c r="G3648" s="73" t="str">
        <f>HYPERLINK("http://api.nsgreg.nga.mil/geo-division/GENC/6/3-11/SA-07","as:GENC:6:3-11:SA-07")</f>
        <v>as:GENC:6:3-11:SA-07</v>
      </c>
    </row>
    <row r="3649" spans="1:7" x14ac:dyDescent="0.25">
      <c r="A3649" s="111" t="str">
        <f>HYPERLINK("[#]Codes_for_GE_Names!A226:I226","SENEGAL")</f>
        <v>SENEGAL</v>
      </c>
      <c r="B3649" s="42" t="s">
        <v>8933</v>
      </c>
      <c r="C3649" s="42" t="s">
        <v>8934</v>
      </c>
      <c r="D3649" s="42" t="s">
        <v>1975</v>
      </c>
      <c r="E3649" s="49" t="b">
        <v>1</v>
      </c>
      <c r="F3649" s="74" t="str">
        <f>HYPERLINK("http://nsgreg.nga.mil/genc/view?v=295762&amp;end_month=6&amp;end_day=30&amp;end_year=2019","Dakar")</f>
        <v>Dakar</v>
      </c>
      <c r="G3649" s="74" t="str">
        <f>HYPERLINK("http://api.nsgreg.nga.mil/geo-division/GENC/6/3-11/SN-DK","as:GENC:6:3-11:SN-DK")</f>
        <v>as:GENC:6:3-11:SN-DK</v>
      </c>
    </row>
    <row r="3650" spans="1:7" x14ac:dyDescent="0.25">
      <c r="A3650" s="112"/>
      <c r="B3650" s="21" t="s">
        <v>8935</v>
      </c>
      <c r="C3650" s="21" t="s">
        <v>8936</v>
      </c>
      <c r="D3650" s="21" t="s">
        <v>1975</v>
      </c>
      <c r="E3650" s="50" t="b">
        <v>1</v>
      </c>
      <c r="F3650" s="72" t="str">
        <f>HYPERLINK("http://nsgreg.nga.mil/genc/view?v=295761&amp;end_month=6&amp;end_day=30&amp;end_year=2019","Diourbel")</f>
        <v>Diourbel</v>
      </c>
      <c r="G3650" s="72" t="str">
        <f>HYPERLINK("http://api.nsgreg.nga.mil/geo-division/GENC/6/3-11/SN-DB","as:GENC:6:3-11:SN-DB")</f>
        <v>as:GENC:6:3-11:SN-DB</v>
      </c>
    </row>
    <row r="3651" spans="1:7" x14ac:dyDescent="0.25">
      <c r="A3651" s="112"/>
      <c r="B3651" s="21" t="s">
        <v>8937</v>
      </c>
      <c r="C3651" s="21" t="s">
        <v>8938</v>
      </c>
      <c r="D3651" s="21" t="s">
        <v>1975</v>
      </c>
      <c r="E3651" s="50" t="b">
        <v>1</v>
      </c>
      <c r="F3651" s="72" t="str">
        <f>HYPERLINK("http://nsgreg.nga.mil/genc/view?v=295763&amp;end_month=6&amp;end_day=30&amp;end_year=2019","Fatick")</f>
        <v>Fatick</v>
      </c>
      <c r="G3651" s="72" t="str">
        <f>HYPERLINK("http://api.nsgreg.nga.mil/geo-division/GENC/6/3-11/SN-FK","as:GENC:6:3-11:SN-FK")</f>
        <v>as:GENC:6:3-11:SN-FK</v>
      </c>
    </row>
    <row r="3652" spans="1:7" x14ac:dyDescent="0.25">
      <c r="A3652" s="112"/>
      <c r="B3652" s="21" t="s">
        <v>8939</v>
      </c>
      <c r="C3652" s="21" t="s">
        <v>8940</v>
      </c>
      <c r="D3652" s="21" t="s">
        <v>1975</v>
      </c>
      <c r="E3652" s="50" t="b">
        <v>1</v>
      </c>
      <c r="F3652" s="72" t="str">
        <f>HYPERLINK("http://nsgreg.nga.mil/genc/view?v=295764&amp;end_month=6&amp;end_day=30&amp;end_year=2019","Kaffrine")</f>
        <v>Kaffrine</v>
      </c>
      <c r="G3652" s="72" t="str">
        <f>HYPERLINK("http://api.nsgreg.nga.mil/geo-division/GENC/6/3-11/SN-KA","as:GENC:6:3-11:SN-KA")</f>
        <v>as:GENC:6:3-11:SN-KA</v>
      </c>
    </row>
    <row r="3653" spans="1:7" x14ac:dyDescent="0.25">
      <c r="A3653" s="112"/>
      <c r="B3653" s="21" t="s">
        <v>8941</v>
      </c>
      <c r="C3653" s="21" t="s">
        <v>8942</v>
      </c>
      <c r="D3653" s="21" t="s">
        <v>1975</v>
      </c>
      <c r="E3653" s="50" t="b">
        <v>1</v>
      </c>
      <c r="F3653" s="72" t="str">
        <f>HYPERLINK("http://nsgreg.nga.mil/genc/view?v=295767&amp;end_month=6&amp;end_day=30&amp;end_year=2019","Kaolack")</f>
        <v>Kaolack</v>
      </c>
      <c r="G3653" s="72" t="str">
        <f>HYPERLINK("http://api.nsgreg.nga.mil/geo-division/GENC/6/3-11/SN-KL","as:GENC:6:3-11:SN-KL")</f>
        <v>as:GENC:6:3-11:SN-KL</v>
      </c>
    </row>
    <row r="3654" spans="1:7" x14ac:dyDescent="0.25">
      <c r="A3654" s="112"/>
      <c r="B3654" s="21" t="s">
        <v>8943</v>
      </c>
      <c r="C3654" s="21" t="s">
        <v>8944</v>
      </c>
      <c r="D3654" s="21" t="s">
        <v>1975</v>
      </c>
      <c r="E3654" s="50" t="b">
        <v>1</v>
      </c>
      <c r="F3654" s="72" t="str">
        <f>HYPERLINK("http://nsgreg.nga.mil/genc/view?v=295766&amp;end_month=6&amp;end_day=30&amp;end_year=2019","Kédougou")</f>
        <v>Kédougou</v>
      </c>
      <c r="G3654" s="72" t="str">
        <f>HYPERLINK("http://api.nsgreg.nga.mil/geo-division/GENC/6/3-11/SN-KE","as:GENC:6:3-11:SN-KE")</f>
        <v>as:GENC:6:3-11:SN-KE</v>
      </c>
    </row>
    <row r="3655" spans="1:7" x14ac:dyDescent="0.25">
      <c r="A3655" s="112"/>
      <c r="B3655" s="21" t="s">
        <v>8945</v>
      </c>
      <c r="C3655" s="21" t="s">
        <v>8946</v>
      </c>
      <c r="D3655" s="21" t="s">
        <v>1975</v>
      </c>
      <c r="E3655" s="50" t="b">
        <v>1</v>
      </c>
      <c r="F3655" s="72" t="str">
        <f>HYPERLINK("http://nsgreg.nga.mil/genc/view?v=295765&amp;end_month=6&amp;end_day=30&amp;end_year=2019","Kolda")</f>
        <v>Kolda</v>
      </c>
      <c r="G3655" s="72" t="str">
        <f>HYPERLINK("http://api.nsgreg.nga.mil/geo-division/GENC/6/3-11/SN-KD","as:GENC:6:3-11:SN-KD")</f>
        <v>as:GENC:6:3-11:SN-KD</v>
      </c>
    </row>
    <row r="3656" spans="1:7" x14ac:dyDescent="0.25">
      <c r="A3656" s="112"/>
      <c r="B3656" s="21" t="s">
        <v>8947</v>
      </c>
      <c r="C3656" s="21" t="s">
        <v>8948</v>
      </c>
      <c r="D3656" s="21" t="s">
        <v>1975</v>
      </c>
      <c r="E3656" s="50" t="b">
        <v>1</v>
      </c>
      <c r="F3656" s="72" t="str">
        <f>HYPERLINK("http://nsgreg.nga.mil/genc/view?v=295768&amp;end_month=6&amp;end_day=30&amp;end_year=2019","Louga")</f>
        <v>Louga</v>
      </c>
      <c r="G3656" s="72" t="str">
        <f>HYPERLINK("http://api.nsgreg.nga.mil/geo-division/GENC/6/3-11/SN-LG","as:GENC:6:3-11:SN-LG")</f>
        <v>as:GENC:6:3-11:SN-LG</v>
      </c>
    </row>
    <row r="3657" spans="1:7" x14ac:dyDescent="0.25">
      <c r="A3657" s="112"/>
      <c r="B3657" s="21" t="s">
        <v>8949</v>
      </c>
      <c r="C3657" s="21" t="s">
        <v>8950</v>
      </c>
      <c r="D3657" s="21" t="s">
        <v>1975</v>
      </c>
      <c r="E3657" s="50" t="b">
        <v>1</v>
      </c>
      <c r="F3657" s="72" t="str">
        <f>HYPERLINK("http://nsgreg.nga.mil/genc/view?v=295769&amp;end_month=6&amp;end_day=30&amp;end_year=2019","Matam")</f>
        <v>Matam</v>
      </c>
      <c r="G3657" s="72" t="str">
        <f>HYPERLINK("http://api.nsgreg.nga.mil/geo-division/GENC/6/3-11/SN-MT","as:GENC:6:3-11:SN-MT")</f>
        <v>as:GENC:6:3-11:SN-MT</v>
      </c>
    </row>
    <row r="3658" spans="1:7" x14ac:dyDescent="0.25">
      <c r="A3658" s="112"/>
      <c r="B3658" s="21" t="s">
        <v>8951</v>
      </c>
      <c r="C3658" s="21" t="s">
        <v>8952</v>
      </c>
      <c r="D3658" s="21" t="s">
        <v>1975</v>
      </c>
      <c r="E3658" s="50" t="b">
        <v>1</v>
      </c>
      <c r="F3658" s="72" t="str">
        <f>HYPERLINK("http://nsgreg.nga.mil/genc/view?v=295771&amp;end_month=6&amp;end_day=30&amp;end_year=2019","Saint-Louis")</f>
        <v>Saint-Louis</v>
      </c>
      <c r="G3658" s="72" t="str">
        <f>HYPERLINK("http://api.nsgreg.nga.mil/geo-division/GENC/6/3-11/SN-SL","as:GENC:6:3-11:SN-SL")</f>
        <v>as:GENC:6:3-11:SN-SL</v>
      </c>
    </row>
    <row r="3659" spans="1:7" x14ac:dyDescent="0.25">
      <c r="A3659" s="112"/>
      <c r="B3659" s="21" t="s">
        <v>8953</v>
      </c>
      <c r="C3659" s="21" t="s">
        <v>8954</v>
      </c>
      <c r="D3659" s="21" t="s">
        <v>1975</v>
      </c>
      <c r="E3659" s="50" t="b">
        <v>1</v>
      </c>
      <c r="F3659" s="72" t="str">
        <f>HYPERLINK("http://nsgreg.nga.mil/genc/view?v=295770&amp;end_month=6&amp;end_day=30&amp;end_year=2019","Sédhiou")</f>
        <v>Sédhiou</v>
      </c>
      <c r="G3659" s="72" t="str">
        <f>HYPERLINK("http://api.nsgreg.nga.mil/geo-division/GENC/6/3-11/SN-SE","as:GENC:6:3-11:SN-SE")</f>
        <v>as:GENC:6:3-11:SN-SE</v>
      </c>
    </row>
    <row r="3660" spans="1:7" x14ac:dyDescent="0.25">
      <c r="A3660" s="112"/>
      <c r="B3660" s="21" t="s">
        <v>8955</v>
      </c>
      <c r="C3660" s="21" t="s">
        <v>8956</v>
      </c>
      <c r="D3660" s="21" t="s">
        <v>1975</v>
      </c>
      <c r="E3660" s="50" t="b">
        <v>1</v>
      </c>
      <c r="F3660" s="72" t="str">
        <f>HYPERLINK("http://nsgreg.nga.mil/genc/view?v=295772&amp;end_month=6&amp;end_day=30&amp;end_year=2019","Tambacounda")</f>
        <v>Tambacounda</v>
      </c>
      <c r="G3660" s="72" t="str">
        <f>HYPERLINK("http://api.nsgreg.nga.mil/geo-division/GENC/6/3-11/SN-TC","as:GENC:6:3-11:SN-TC")</f>
        <v>as:GENC:6:3-11:SN-TC</v>
      </c>
    </row>
    <row r="3661" spans="1:7" x14ac:dyDescent="0.25">
      <c r="A3661" s="112"/>
      <c r="B3661" s="21" t="s">
        <v>8957</v>
      </c>
      <c r="C3661" s="21" t="s">
        <v>8958</v>
      </c>
      <c r="D3661" s="21" t="s">
        <v>1975</v>
      </c>
      <c r="E3661" s="50" t="b">
        <v>1</v>
      </c>
      <c r="F3661" s="72" t="str">
        <f>HYPERLINK("http://nsgreg.nga.mil/genc/view?v=295773&amp;end_month=6&amp;end_day=30&amp;end_year=2019","Thiès")</f>
        <v>Thiès</v>
      </c>
      <c r="G3661" s="72" t="str">
        <f>HYPERLINK("http://api.nsgreg.nga.mil/geo-division/GENC/6/3-11/SN-TH","as:GENC:6:3-11:SN-TH")</f>
        <v>as:GENC:6:3-11:SN-TH</v>
      </c>
    </row>
    <row r="3662" spans="1:7" x14ac:dyDescent="0.25">
      <c r="A3662" s="113"/>
      <c r="B3662" s="47" t="s">
        <v>8959</v>
      </c>
      <c r="C3662" s="47" t="s">
        <v>8960</v>
      </c>
      <c r="D3662" s="47" t="s">
        <v>1975</v>
      </c>
      <c r="E3662" s="51" t="b">
        <v>1</v>
      </c>
      <c r="F3662" s="73" t="str">
        <f>HYPERLINK("http://nsgreg.nga.mil/genc/view?v=295774&amp;end_month=6&amp;end_day=30&amp;end_year=2019","Ziguinchor")</f>
        <v>Ziguinchor</v>
      </c>
      <c r="G3662" s="73" t="str">
        <f>HYPERLINK("http://api.nsgreg.nga.mil/geo-division/GENC/6/3-11/SN-ZG","as:GENC:6:3-11:SN-ZG")</f>
        <v>as:GENC:6:3-11:SN-ZG</v>
      </c>
    </row>
    <row r="3663" spans="1:7" x14ac:dyDescent="0.25">
      <c r="A3663" s="111" t="str">
        <f>HYPERLINK("[#]Codes_for_GE_Names!A227:I227","SERBIA")</f>
        <v>SERBIA</v>
      </c>
      <c r="B3663" s="42" t="s">
        <v>8961</v>
      </c>
      <c r="C3663" s="42" t="s">
        <v>8962</v>
      </c>
      <c r="D3663" s="42" t="s">
        <v>2505</v>
      </c>
      <c r="E3663" s="49" t="b">
        <v>1</v>
      </c>
      <c r="F3663" s="74" t="str">
        <f>HYPERLINK("http://nsgreg.nga.mil/genc/view?v=295272&amp;end_month=6&amp;end_day=30&amp;end_year=2019","Ada")</f>
        <v>Ada</v>
      </c>
      <c r="G3663" s="74" t="str">
        <f>HYPERLINK("http://api.nsgreg.nga.mil/geo-division/GENC/6/3-11/RS-30","as:GENC:6:3-11:RS-30")</f>
        <v>as:GENC:6:3-11:RS-30</v>
      </c>
    </row>
    <row r="3664" spans="1:7" x14ac:dyDescent="0.25">
      <c r="A3664" s="112"/>
      <c r="B3664" s="21" t="s">
        <v>8963</v>
      </c>
      <c r="C3664" s="21" t="s">
        <v>8964</v>
      </c>
      <c r="D3664" s="21" t="s">
        <v>2505</v>
      </c>
      <c r="E3664" s="50" t="b">
        <v>1</v>
      </c>
      <c r="F3664" s="72" t="str">
        <f>HYPERLINK("http://nsgreg.nga.mil/genc/view?v=295273&amp;end_month=6&amp;end_day=30&amp;end_year=2019","Aleksandrovac")</f>
        <v>Aleksandrovac</v>
      </c>
      <c r="G3664" s="72" t="str">
        <f>HYPERLINK("http://api.nsgreg.nga.mil/geo-division/GENC/6/3-11/RS-31","as:GENC:6:3-11:RS-31")</f>
        <v>as:GENC:6:3-11:RS-31</v>
      </c>
    </row>
    <row r="3665" spans="1:7" x14ac:dyDescent="0.25">
      <c r="A3665" s="112"/>
      <c r="B3665" s="21" t="s">
        <v>8965</v>
      </c>
      <c r="C3665" s="21" t="s">
        <v>8966</v>
      </c>
      <c r="D3665" s="21" t="s">
        <v>2505</v>
      </c>
      <c r="E3665" s="50" t="b">
        <v>1</v>
      </c>
      <c r="F3665" s="72" t="str">
        <f>HYPERLINK("http://nsgreg.nga.mil/genc/view?v=295274&amp;end_month=6&amp;end_day=30&amp;end_year=2019","Aleksinac")</f>
        <v>Aleksinac</v>
      </c>
      <c r="G3665" s="72" t="str">
        <f>HYPERLINK("http://api.nsgreg.nga.mil/geo-division/GENC/6/3-11/RS-32","as:GENC:6:3-11:RS-32")</f>
        <v>as:GENC:6:3-11:RS-32</v>
      </c>
    </row>
    <row r="3666" spans="1:7" x14ac:dyDescent="0.25">
      <c r="A3666" s="112"/>
      <c r="B3666" s="21" t="s">
        <v>8967</v>
      </c>
      <c r="C3666" s="21" t="s">
        <v>8968</v>
      </c>
      <c r="D3666" s="21" t="s">
        <v>2505</v>
      </c>
      <c r="E3666" s="50" t="b">
        <v>1</v>
      </c>
      <c r="F3666" s="72" t="str">
        <f>HYPERLINK("http://nsgreg.nga.mil/genc/view?v=295275&amp;end_month=6&amp;end_day=30&amp;end_year=2019","Alibunar")</f>
        <v>Alibunar</v>
      </c>
      <c r="G3666" s="72" t="str">
        <f>HYPERLINK("http://api.nsgreg.nga.mil/geo-division/GENC/6/3-11/RS-33","as:GENC:6:3-11:RS-33")</f>
        <v>as:GENC:6:3-11:RS-33</v>
      </c>
    </row>
    <row r="3667" spans="1:7" x14ac:dyDescent="0.25">
      <c r="A3667" s="112"/>
      <c r="B3667" s="21" t="s">
        <v>8969</v>
      </c>
      <c r="C3667" s="21" t="s">
        <v>8970</v>
      </c>
      <c r="D3667" s="21" t="s">
        <v>2505</v>
      </c>
      <c r="E3667" s="50" t="b">
        <v>1</v>
      </c>
      <c r="F3667" s="72" t="str">
        <f>HYPERLINK("http://nsgreg.nga.mil/genc/view?v=295276&amp;end_month=6&amp;end_day=30&amp;end_year=2019","Apatin")</f>
        <v>Apatin</v>
      </c>
      <c r="G3667" s="72" t="str">
        <f>HYPERLINK("http://api.nsgreg.nga.mil/geo-division/GENC/6/3-11/RS-34","as:GENC:6:3-11:RS-34")</f>
        <v>as:GENC:6:3-11:RS-34</v>
      </c>
    </row>
    <row r="3668" spans="1:7" x14ac:dyDescent="0.25">
      <c r="A3668" s="112"/>
      <c r="B3668" s="21" t="s">
        <v>8971</v>
      </c>
      <c r="C3668" s="21" t="s">
        <v>8972</v>
      </c>
      <c r="D3668" s="21" t="s">
        <v>2505</v>
      </c>
      <c r="E3668" s="50" t="b">
        <v>1</v>
      </c>
      <c r="F3668" s="72" t="str">
        <f>HYPERLINK("http://nsgreg.nga.mil/genc/view?v=295277&amp;end_month=6&amp;end_day=30&amp;end_year=2019","Aranđelovac")</f>
        <v>Aranđelovac</v>
      </c>
      <c r="G3668" s="72" t="str">
        <f>HYPERLINK("http://api.nsgreg.nga.mil/geo-division/GENC/6/3-11/RS-35","as:GENC:6:3-11:RS-35")</f>
        <v>as:GENC:6:3-11:RS-35</v>
      </c>
    </row>
    <row r="3669" spans="1:7" x14ac:dyDescent="0.25">
      <c r="A3669" s="112"/>
      <c r="B3669" s="21" t="s">
        <v>8973</v>
      </c>
      <c r="C3669" s="21" t="s">
        <v>8974</v>
      </c>
      <c r="D3669" s="21" t="s">
        <v>2505</v>
      </c>
      <c r="E3669" s="50" t="b">
        <v>1</v>
      </c>
      <c r="F3669" s="72" t="str">
        <f>HYPERLINK("http://nsgreg.nga.mil/genc/view?v=295278&amp;end_month=6&amp;end_day=30&amp;end_year=2019","Arilje")</f>
        <v>Arilje</v>
      </c>
      <c r="G3669" s="72" t="str">
        <f>HYPERLINK("http://api.nsgreg.nga.mil/geo-division/GENC/6/3-11/RS-36","as:GENC:6:3-11:RS-36")</f>
        <v>as:GENC:6:3-11:RS-36</v>
      </c>
    </row>
    <row r="3670" spans="1:7" x14ac:dyDescent="0.25">
      <c r="A3670" s="112"/>
      <c r="B3670" s="21" t="s">
        <v>8975</v>
      </c>
      <c r="C3670" s="21" t="s">
        <v>8976</v>
      </c>
      <c r="D3670" s="21" t="s">
        <v>2505</v>
      </c>
      <c r="E3670" s="50" t="b">
        <v>1</v>
      </c>
      <c r="F3670" s="72" t="str">
        <f>HYPERLINK("http://nsgreg.nga.mil/genc/view?v=295279&amp;end_month=6&amp;end_day=30&amp;end_year=2019","Babušnica")</f>
        <v>Babušnica</v>
      </c>
      <c r="G3670" s="72" t="str">
        <f>HYPERLINK("http://api.nsgreg.nga.mil/geo-division/GENC/6/3-11/RS-37","as:GENC:6:3-11:RS-37")</f>
        <v>as:GENC:6:3-11:RS-37</v>
      </c>
    </row>
    <row r="3671" spans="1:7" x14ac:dyDescent="0.25">
      <c r="A3671" s="112"/>
      <c r="B3671" s="21" t="s">
        <v>8977</v>
      </c>
      <c r="C3671" s="21" t="s">
        <v>8978</v>
      </c>
      <c r="D3671" s="21" t="s">
        <v>2505</v>
      </c>
      <c r="E3671" s="50" t="b">
        <v>1</v>
      </c>
      <c r="F3671" s="72" t="str">
        <f>HYPERLINK("http://nsgreg.nga.mil/genc/view?v=295280&amp;end_month=6&amp;end_day=30&amp;end_year=2019","Bač")</f>
        <v>Bač</v>
      </c>
      <c r="G3671" s="72" t="str">
        <f>HYPERLINK("http://api.nsgreg.nga.mil/geo-division/GENC/6/3-11/RS-38","as:GENC:6:3-11:RS-38")</f>
        <v>as:GENC:6:3-11:RS-38</v>
      </c>
    </row>
    <row r="3672" spans="1:7" x14ac:dyDescent="0.25">
      <c r="A3672" s="112"/>
      <c r="B3672" s="21" t="s">
        <v>8979</v>
      </c>
      <c r="C3672" s="21" t="s">
        <v>8980</v>
      </c>
      <c r="D3672" s="21" t="s">
        <v>2505</v>
      </c>
      <c r="E3672" s="50" t="b">
        <v>1</v>
      </c>
      <c r="F3672" s="72" t="str">
        <f>HYPERLINK("http://nsgreg.nga.mil/genc/view?v=295281&amp;end_month=6&amp;end_day=30&amp;end_year=2019","Bačka Palanka")</f>
        <v>Bačka Palanka</v>
      </c>
      <c r="G3672" s="72" t="str">
        <f>HYPERLINK("http://api.nsgreg.nga.mil/geo-division/GENC/6/3-11/RS-39","as:GENC:6:3-11:RS-39")</f>
        <v>as:GENC:6:3-11:RS-39</v>
      </c>
    </row>
    <row r="3673" spans="1:7" x14ac:dyDescent="0.25">
      <c r="A3673" s="112"/>
      <c r="B3673" s="21" t="s">
        <v>8981</v>
      </c>
      <c r="C3673" s="21" t="s">
        <v>8982</v>
      </c>
      <c r="D3673" s="21" t="s">
        <v>2505</v>
      </c>
      <c r="E3673" s="50" t="b">
        <v>1</v>
      </c>
      <c r="F3673" s="72" t="str">
        <f>HYPERLINK("http://nsgreg.nga.mil/genc/view?v=295282&amp;end_month=6&amp;end_day=30&amp;end_year=2019","Bačka Topola")</f>
        <v>Bačka Topola</v>
      </c>
      <c r="G3673" s="72" t="str">
        <f>HYPERLINK("http://api.nsgreg.nga.mil/geo-division/GENC/6/3-11/RS-40","as:GENC:6:3-11:RS-40")</f>
        <v>as:GENC:6:3-11:RS-40</v>
      </c>
    </row>
    <row r="3674" spans="1:7" x14ac:dyDescent="0.25">
      <c r="A3674" s="112"/>
      <c r="B3674" s="21" t="s">
        <v>8983</v>
      </c>
      <c r="C3674" s="21" t="s">
        <v>8984</v>
      </c>
      <c r="D3674" s="21" t="s">
        <v>2505</v>
      </c>
      <c r="E3674" s="50" t="b">
        <v>1</v>
      </c>
      <c r="F3674" s="72" t="str">
        <f>HYPERLINK("http://nsgreg.nga.mil/genc/view?v=295283&amp;end_month=6&amp;end_day=30&amp;end_year=2019","Bački Petrovac")</f>
        <v>Bački Petrovac</v>
      </c>
      <c r="G3674" s="72" t="str">
        <f>HYPERLINK("http://api.nsgreg.nga.mil/geo-division/GENC/6/3-11/RS-41","as:GENC:6:3-11:RS-41")</f>
        <v>as:GENC:6:3-11:RS-41</v>
      </c>
    </row>
    <row r="3675" spans="1:7" x14ac:dyDescent="0.25">
      <c r="A3675" s="112"/>
      <c r="B3675" s="21" t="s">
        <v>8985</v>
      </c>
      <c r="C3675" s="21" t="s">
        <v>8986</v>
      </c>
      <c r="D3675" s="21" t="s">
        <v>2505</v>
      </c>
      <c r="E3675" s="50" t="b">
        <v>1</v>
      </c>
      <c r="F3675" s="72" t="str">
        <f>HYPERLINK("http://nsgreg.nga.mil/genc/view?v=295284&amp;end_month=6&amp;end_day=30&amp;end_year=2019","Bajina Bašta")</f>
        <v>Bajina Bašta</v>
      </c>
      <c r="G3675" s="72" t="str">
        <f>HYPERLINK("http://api.nsgreg.nga.mil/geo-division/GENC/6/3-11/RS-42","as:GENC:6:3-11:RS-42")</f>
        <v>as:GENC:6:3-11:RS-42</v>
      </c>
    </row>
    <row r="3676" spans="1:7" x14ac:dyDescent="0.25">
      <c r="A3676" s="112"/>
      <c r="B3676" s="21" t="s">
        <v>8987</v>
      </c>
      <c r="C3676" s="21" t="s">
        <v>8988</v>
      </c>
      <c r="D3676" s="21" t="s">
        <v>2505</v>
      </c>
      <c r="E3676" s="50" t="b">
        <v>1</v>
      </c>
      <c r="F3676" s="72" t="str">
        <f>HYPERLINK("http://nsgreg.nga.mil/genc/view?v=295285&amp;end_month=6&amp;end_day=30&amp;end_year=2019","Batočina")</f>
        <v>Batočina</v>
      </c>
      <c r="G3676" s="72" t="str">
        <f>HYPERLINK("http://api.nsgreg.nga.mil/geo-division/GENC/6/3-11/RS-43","as:GENC:6:3-11:RS-43")</f>
        <v>as:GENC:6:3-11:RS-43</v>
      </c>
    </row>
    <row r="3677" spans="1:7" x14ac:dyDescent="0.25">
      <c r="A3677" s="112"/>
      <c r="B3677" s="21" t="s">
        <v>8989</v>
      </c>
      <c r="C3677" s="21" t="s">
        <v>8990</v>
      </c>
      <c r="D3677" s="21" t="s">
        <v>2505</v>
      </c>
      <c r="E3677" s="50" t="b">
        <v>1</v>
      </c>
      <c r="F3677" s="72" t="str">
        <f>HYPERLINK("http://nsgreg.nga.mil/genc/view?v=295286&amp;end_month=6&amp;end_day=30&amp;end_year=2019","Bečej")</f>
        <v>Bečej</v>
      </c>
      <c r="G3677" s="72" t="str">
        <f>HYPERLINK("http://api.nsgreg.nga.mil/geo-division/GENC/6/3-11/RS-44","as:GENC:6:3-11:RS-44")</f>
        <v>as:GENC:6:3-11:RS-44</v>
      </c>
    </row>
    <row r="3678" spans="1:7" x14ac:dyDescent="0.25">
      <c r="A3678" s="112"/>
      <c r="B3678" s="21" t="s">
        <v>8991</v>
      </c>
      <c r="C3678" s="21" t="s">
        <v>8992</v>
      </c>
      <c r="D3678" s="21" t="s">
        <v>2505</v>
      </c>
      <c r="E3678" s="50" t="b">
        <v>1</v>
      </c>
      <c r="F3678" s="72" t="str">
        <f>HYPERLINK("http://nsgreg.nga.mil/genc/view?v=295287&amp;end_month=6&amp;end_day=30&amp;end_year=2019","Bela Crkva")</f>
        <v>Bela Crkva</v>
      </c>
      <c r="G3678" s="72" t="str">
        <f>HYPERLINK("http://api.nsgreg.nga.mil/geo-division/GENC/6/3-11/RS-45","as:GENC:6:3-11:RS-45")</f>
        <v>as:GENC:6:3-11:RS-45</v>
      </c>
    </row>
    <row r="3679" spans="1:7" x14ac:dyDescent="0.25">
      <c r="A3679" s="112"/>
      <c r="B3679" s="21" t="s">
        <v>8993</v>
      </c>
      <c r="C3679" s="21" t="s">
        <v>8994</v>
      </c>
      <c r="D3679" s="21" t="s">
        <v>2505</v>
      </c>
      <c r="E3679" s="50" t="b">
        <v>1</v>
      </c>
      <c r="F3679" s="72" t="str">
        <f>HYPERLINK("http://nsgreg.nga.mil/genc/view?v=295288&amp;end_month=6&amp;end_day=30&amp;end_year=2019","Bela Palanka")</f>
        <v>Bela Palanka</v>
      </c>
      <c r="G3679" s="72" t="str">
        <f>HYPERLINK("http://api.nsgreg.nga.mil/geo-division/GENC/6/3-11/RS-46","as:GENC:6:3-11:RS-46")</f>
        <v>as:GENC:6:3-11:RS-46</v>
      </c>
    </row>
    <row r="3680" spans="1:7" x14ac:dyDescent="0.25">
      <c r="A3680" s="112"/>
      <c r="B3680" s="21" t="s">
        <v>8995</v>
      </c>
      <c r="C3680" s="21" t="s">
        <v>8996</v>
      </c>
      <c r="D3680" s="21" t="s">
        <v>2505</v>
      </c>
      <c r="E3680" s="50" t="b">
        <v>1</v>
      </c>
      <c r="F3680" s="72" t="str">
        <f>HYPERLINK("http://nsgreg.nga.mil/genc/view?v=295289&amp;end_month=6&amp;end_day=30&amp;end_year=2019","Beočin ")</f>
        <v xml:space="preserve">Beočin </v>
      </c>
      <c r="G3680" s="72" t="str">
        <f>HYPERLINK("http://api.nsgreg.nga.mil/geo-division/GENC/6/3-11/RS-47","as:GENC:6:3-11:RS-47")</f>
        <v>as:GENC:6:3-11:RS-47</v>
      </c>
    </row>
    <row r="3681" spans="1:7" x14ac:dyDescent="0.25">
      <c r="A3681" s="112"/>
      <c r="B3681" s="21" t="s">
        <v>8997</v>
      </c>
      <c r="C3681" s="21" t="s">
        <v>8998</v>
      </c>
      <c r="D3681" s="21" t="s">
        <v>1996</v>
      </c>
      <c r="E3681" s="50" t="b">
        <v>1</v>
      </c>
      <c r="F3681" s="72" t="str">
        <f>HYPERLINK("http://nsgreg.nga.mil/genc/view?v=295168&amp;end_month=6&amp;end_day=30&amp;end_year=2019","Beograd")</f>
        <v>Beograd</v>
      </c>
      <c r="G3681" s="72" t="str">
        <f>HYPERLINK("http://api.nsgreg.nga.mil/geo-division/GENC/6/3-11/RS-00","as:GENC:6:3-11:RS-00")</f>
        <v>as:GENC:6:3-11:RS-00</v>
      </c>
    </row>
    <row r="3682" spans="1:7" x14ac:dyDescent="0.25">
      <c r="A3682" s="112"/>
      <c r="B3682" s="21" t="s">
        <v>8999</v>
      </c>
      <c r="C3682" s="21" t="s">
        <v>9000</v>
      </c>
      <c r="D3682" s="21" t="s">
        <v>2505</v>
      </c>
      <c r="E3682" s="50" t="b">
        <v>1</v>
      </c>
      <c r="F3682" s="72" t="str">
        <f>HYPERLINK("http://nsgreg.nga.mil/genc/view?v=295290&amp;end_month=6&amp;end_day=30&amp;end_year=2019","Blace")</f>
        <v>Blace</v>
      </c>
      <c r="G3682" s="72" t="str">
        <f>HYPERLINK("http://api.nsgreg.nga.mil/geo-division/GENC/6/3-11/RS-48","as:GENC:6:3-11:RS-48")</f>
        <v>as:GENC:6:3-11:RS-48</v>
      </c>
    </row>
    <row r="3683" spans="1:7" x14ac:dyDescent="0.25">
      <c r="A3683" s="112"/>
      <c r="B3683" s="21" t="s">
        <v>9001</v>
      </c>
      <c r="C3683" s="21" t="s">
        <v>9002</v>
      </c>
      <c r="D3683" s="21" t="s">
        <v>2505</v>
      </c>
      <c r="E3683" s="50" t="b">
        <v>1</v>
      </c>
      <c r="F3683" s="72" t="str">
        <f>HYPERLINK("http://nsgreg.nga.mil/genc/view?v=295291&amp;end_month=6&amp;end_day=30&amp;end_year=2019","Bogatić")</f>
        <v>Bogatić</v>
      </c>
      <c r="G3683" s="72" t="str">
        <f>HYPERLINK("http://api.nsgreg.nga.mil/geo-division/GENC/6/3-11/RS-49","as:GENC:6:3-11:RS-49")</f>
        <v>as:GENC:6:3-11:RS-49</v>
      </c>
    </row>
    <row r="3684" spans="1:7" x14ac:dyDescent="0.25">
      <c r="A3684" s="112"/>
      <c r="B3684" s="21" t="s">
        <v>9003</v>
      </c>
      <c r="C3684" s="21" t="s">
        <v>9004</v>
      </c>
      <c r="D3684" s="21" t="s">
        <v>2505</v>
      </c>
      <c r="E3684" s="50" t="b">
        <v>1</v>
      </c>
      <c r="F3684" s="72" t="str">
        <f>HYPERLINK("http://nsgreg.nga.mil/genc/view?v=295292&amp;end_month=6&amp;end_day=30&amp;end_year=2019","Bojnik")</f>
        <v>Bojnik</v>
      </c>
      <c r="G3684" s="72" t="str">
        <f>HYPERLINK("http://api.nsgreg.nga.mil/geo-division/GENC/6/3-11/RS-50","as:GENC:6:3-11:RS-50")</f>
        <v>as:GENC:6:3-11:RS-50</v>
      </c>
    </row>
    <row r="3685" spans="1:7" x14ac:dyDescent="0.25">
      <c r="A3685" s="112"/>
      <c r="B3685" s="21" t="s">
        <v>9005</v>
      </c>
      <c r="C3685" s="21" t="s">
        <v>9006</v>
      </c>
      <c r="D3685" s="21" t="s">
        <v>2505</v>
      </c>
      <c r="E3685" s="50" t="b">
        <v>1</v>
      </c>
      <c r="F3685" s="72" t="str">
        <f>HYPERLINK("http://nsgreg.nga.mil/genc/view?v=295293&amp;end_month=6&amp;end_day=30&amp;end_year=2019","Boljevac")</f>
        <v>Boljevac</v>
      </c>
      <c r="G3685" s="72" t="str">
        <f>HYPERLINK("http://api.nsgreg.nga.mil/geo-division/GENC/6/3-11/RS-51","as:GENC:6:3-11:RS-51")</f>
        <v>as:GENC:6:3-11:RS-51</v>
      </c>
    </row>
    <row r="3686" spans="1:7" x14ac:dyDescent="0.25">
      <c r="A3686" s="112"/>
      <c r="B3686" s="21" t="s">
        <v>9007</v>
      </c>
      <c r="C3686" s="21" t="s">
        <v>9008</v>
      </c>
      <c r="D3686" s="21" t="s">
        <v>2505</v>
      </c>
      <c r="E3686" s="50" t="b">
        <v>1</v>
      </c>
      <c r="F3686" s="72" t="str">
        <f>HYPERLINK("http://nsgreg.nga.mil/genc/view?v=295294&amp;end_month=6&amp;end_day=30&amp;end_year=2019","Bor")</f>
        <v>Bor</v>
      </c>
      <c r="G3686" s="72" t="str">
        <f>HYPERLINK("http://api.nsgreg.nga.mil/geo-division/GENC/6/3-11/RS-52","as:GENC:6:3-11:RS-52")</f>
        <v>as:GENC:6:3-11:RS-52</v>
      </c>
    </row>
    <row r="3687" spans="1:7" x14ac:dyDescent="0.25">
      <c r="A3687" s="112"/>
      <c r="B3687" s="21" t="s">
        <v>9009</v>
      </c>
      <c r="C3687" s="21" t="s">
        <v>9010</v>
      </c>
      <c r="D3687" s="76" t="s">
        <v>2035</v>
      </c>
      <c r="E3687" s="77" t="b">
        <v>0</v>
      </c>
      <c r="F3687" s="72" t="str">
        <f>HYPERLINK("http://nsgreg.nga.mil/genc/view?v=295222&amp;end_month=6&amp;end_day=30&amp;end_year=2019","Borski Okrug")</f>
        <v>Borski Okrug</v>
      </c>
      <c r="G3687" s="72" t="str">
        <f>HYPERLINK("http://api.nsgreg.nga.mil/geo-division/GENC/6/3-11/RS-14","as:GENC:6:3-11:RS-14")</f>
        <v>as:GENC:6:3-11:RS-14</v>
      </c>
    </row>
    <row r="3688" spans="1:7" x14ac:dyDescent="0.25">
      <c r="A3688" s="112"/>
      <c r="B3688" s="21" t="s">
        <v>9011</v>
      </c>
      <c r="C3688" s="21" t="s">
        <v>9012</v>
      </c>
      <c r="D3688" s="21" t="s">
        <v>2505</v>
      </c>
      <c r="E3688" s="50" t="b">
        <v>1</v>
      </c>
      <c r="F3688" s="72" t="str">
        <f>HYPERLINK("http://nsgreg.nga.mil/genc/view?v=295295&amp;end_month=6&amp;end_day=30&amp;end_year=2019","Bosilegrad")</f>
        <v>Bosilegrad</v>
      </c>
      <c r="G3688" s="72" t="str">
        <f>HYPERLINK("http://api.nsgreg.nga.mil/geo-division/GENC/6/3-11/RS-53","as:GENC:6:3-11:RS-53")</f>
        <v>as:GENC:6:3-11:RS-53</v>
      </c>
    </row>
    <row r="3689" spans="1:7" x14ac:dyDescent="0.25">
      <c r="A3689" s="112"/>
      <c r="B3689" s="21" t="s">
        <v>9013</v>
      </c>
      <c r="C3689" s="21" t="s">
        <v>9014</v>
      </c>
      <c r="D3689" s="76" t="s">
        <v>2035</v>
      </c>
      <c r="E3689" s="77" t="b">
        <v>0</v>
      </c>
      <c r="F3689" s="72" t="str">
        <f>HYPERLINK("http://nsgreg.nga.mil/genc/view?v=295189&amp;end_month=6&amp;end_day=30&amp;end_year=2019","Braničevski Okrug")</f>
        <v>Braničevski Okrug</v>
      </c>
      <c r="G3689" s="72" t="str">
        <f>HYPERLINK("http://api.nsgreg.nga.mil/geo-division/GENC/6/3-11/RS-11","as:GENC:6:3-11:RS-11")</f>
        <v>as:GENC:6:3-11:RS-11</v>
      </c>
    </row>
    <row r="3690" spans="1:7" x14ac:dyDescent="0.25">
      <c r="A3690" s="112"/>
      <c r="B3690" s="21" t="s">
        <v>9015</v>
      </c>
      <c r="C3690" s="21" t="s">
        <v>9016</v>
      </c>
      <c r="D3690" s="21" t="s">
        <v>2505</v>
      </c>
      <c r="E3690" s="50" t="b">
        <v>1</v>
      </c>
      <c r="F3690" s="72" t="str">
        <f>HYPERLINK("http://nsgreg.nga.mil/genc/view?v=295296&amp;end_month=6&amp;end_day=30&amp;end_year=2019","Brus")</f>
        <v>Brus</v>
      </c>
      <c r="G3690" s="72" t="str">
        <f>HYPERLINK("http://api.nsgreg.nga.mil/geo-division/GENC/6/3-11/RS-54","as:GENC:6:3-11:RS-54")</f>
        <v>as:GENC:6:3-11:RS-54</v>
      </c>
    </row>
    <row r="3691" spans="1:7" x14ac:dyDescent="0.25">
      <c r="A3691" s="112"/>
      <c r="B3691" s="21" t="s">
        <v>9017</v>
      </c>
      <c r="C3691" s="21" t="s">
        <v>9018</v>
      </c>
      <c r="D3691" s="21" t="s">
        <v>2505</v>
      </c>
      <c r="E3691" s="50" t="b">
        <v>1</v>
      </c>
      <c r="F3691" s="72" t="str">
        <f>HYPERLINK("http://nsgreg.nga.mil/genc/view?v=295297&amp;end_month=6&amp;end_day=30&amp;end_year=2019","Bujanovac")</f>
        <v>Bujanovac</v>
      </c>
      <c r="G3691" s="72" t="str">
        <f>HYPERLINK("http://api.nsgreg.nga.mil/geo-division/GENC/6/3-11/RS-55","as:GENC:6:3-11:RS-55")</f>
        <v>as:GENC:6:3-11:RS-55</v>
      </c>
    </row>
    <row r="3692" spans="1:7" x14ac:dyDescent="0.25">
      <c r="A3692" s="112"/>
      <c r="B3692" s="21" t="s">
        <v>9019</v>
      </c>
      <c r="C3692" s="21" t="s">
        <v>9020</v>
      </c>
      <c r="D3692" s="21" t="s">
        <v>1996</v>
      </c>
      <c r="E3692" s="50" t="b">
        <v>1</v>
      </c>
      <c r="F3692" s="72" t="str">
        <f>HYPERLINK("http://nsgreg.nga.mil/genc/view?v=295298&amp;end_month=6&amp;end_day=30&amp;end_year=2019","Čačak")</f>
        <v>Čačak</v>
      </c>
      <c r="G3692" s="72" t="str">
        <f>HYPERLINK("http://api.nsgreg.nga.mil/geo-division/GENC/6/3-11/RS-56","as:GENC:6:3-11:RS-56")</f>
        <v>as:GENC:6:3-11:RS-56</v>
      </c>
    </row>
    <row r="3693" spans="1:7" x14ac:dyDescent="0.25">
      <c r="A3693" s="112"/>
      <c r="B3693" s="21" t="s">
        <v>9021</v>
      </c>
      <c r="C3693" s="21" t="s">
        <v>9022</v>
      </c>
      <c r="D3693" s="21" t="s">
        <v>2505</v>
      </c>
      <c r="E3693" s="50" t="b">
        <v>1</v>
      </c>
      <c r="F3693" s="72" t="str">
        <f>HYPERLINK("http://nsgreg.nga.mil/genc/view?v=295299&amp;end_month=6&amp;end_day=30&amp;end_year=2019","Čajetina")</f>
        <v>Čajetina</v>
      </c>
      <c r="G3693" s="72" t="str">
        <f>HYPERLINK("http://api.nsgreg.nga.mil/geo-division/GENC/6/3-11/RS-57","as:GENC:6:3-11:RS-57")</f>
        <v>as:GENC:6:3-11:RS-57</v>
      </c>
    </row>
    <row r="3694" spans="1:7" x14ac:dyDescent="0.25">
      <c r="A3694" s="112"/>
      <c r="B3694" s="21" t="s">
        <v>9023</v>
      </c>
      <c r="C3694" s="21" t="s">
        <v>9024</v>
      </c>
      <c r="D3694" s="21" t="s">
        <v>2505</v>
      </c>
      <c r="E3694" s="50" t="b">
        <v>1</v>
      </c>
      <c r="F3694" s="72" t="str">
        <f>HYPERLINK("http://nsgreg.nga.mil/genc/view?v=295300&amp;end_month=6&amp;end_day=30&amp;end_year=2019","Ćićevac")</f>
        <v>Ćićevac</v>
      </c>
      <c r="G3694" s="72" t="str">
        <f>HYPERLINK("http://api.nsgreg.nga.mil/geo-division/GENC/6/3-11/RS-58","as:GENC:6:3-11:RS-58")</f>
        <v>as:GENC:6:3-11:RS-58</v>
      </c>
    </row>
    <row r="3695" spans="1:7" x14ac:dyDescent="0.25">
      <c r="A3695" s="112"/>
      <c r="B3695" s="21" t="s">
        <v>9025</v>
      </c>
      <c r="C3695" s="21" t="s">
        <v>9026</v>
      </c>
      <c r="D3695" s="21" t="s">
        <v>2505</v>
      </c>
      <c r="E3695" s="50" t="b">
        <v>1</v>
      </c>
      <c r="F3695" s="72" t="str">
        <f>HYPERLINK("http://nsgreg.nga.mil/genc/view?v=295301&amp;end_month=6&amp;end_day=30&amp;end_year=2019","Čoka")</f>
        <v>Čoka</v>
      </c>
      <c r="G3695" s="72" t="str">
        <f>HYPERLINK("http://api.nsgreg.nga.mil/geo-division/GENC/6/3-11/RS-59","as:GENC:6:3-11:RS-59")</f>
        <v>as:GENC:6:3-11:RS-59</v>
      </c>
    </row>
    <row r="3696" spans="1:7" x14ac:dyDescent="0.25">
      <c r="A3696" s="112"/>
      <c r="B3696" s="21" t="s">
        <v>9027</v>
      </c>
      <c r="C3696" s="21" t="s">
        <v>9028</v>
      </c>
      <c r="D3696" s="21" t="s">
        <v>2505</v>
      </c>
      <c r="E3696" s="50" t="b">
        <v>1</v>
      </c>
      <c r="F3696" s="72" t="str">
        <f>HYPERLINK("http://nsgreg.nga.mil/genc/view?v=295302&amp;end_month=6&amp;end_day=30&amp;end_year=2019","Crna Trava")</f>
        <v>Crna Trava</v>
      </c>
      <c r="G3696" s="72" t="str">
        <f>HYPERLINK("http://api.nsgreg.nga.mil/geo-division/GENC/6/3-11/RS-60","as:GENC:6:3-11:RS-60")</f>
        <v>as:GENC:6:3-11:RS-60</v>
      </c>
    </row>
    <row r="3697" spans="1:7" x14ac:dyDescent="0.25">
      <c r="A3697" s="112"/>
      <c r="B3697" s="21" t="s">
        <v>9029</v>
      </c>
      <c r="C3697" s="21" t="s">
        <v>9030</v>
      </c>
      <c r="D3697" s="21" t="s">
        <v>2505</v>
      </c>
      <c r="E3697" s="50" t="b">
        <v>1</v>
      </c>
      <c r="F3697" s="72" t="str">
        <f>HYPERLINK("http://nsgreg.nga.mil/genc/view?v=295303&amp;end_month=6&amp;end_day=30&amp;end_year=2019","Ćuprija")</f>
        <v>Ćuprija</v>
      </c>
      <c r="G3697" s="72" t="str">
        <f>HYPERLINK("http://api.nsgreg.nga.mil/geo-division/GENC/6/3-11/RS-61","as:GENC:6:3-11:RS-61")</f>
        <v>as:GENC:6:3-11:RS-61</v>
      </c>
    </row>
    <row r="3698" spans="1:7" x14ac:dyDescent="0.25">
      <c r="A3698" s="112"/>
      <c r="B3698" s="21" t="s">
        <v>9031</v>
      </c>
      <c r="C3698" s="21" t="s">
        <v>9032</v>
      </c>
      <c r="D3698" s="21" t="s">
        <v>2505</v>
      </c>
      <c r="E3698" s="50" t="b">
        <v>1</v>
      </c>
      <c r="F3698" s="72" t="str">
        <f>HYPERLINK("http://nsgreg.nga.mil/genc/view?v=295304&amp;end_month=6&amp;end_day=30&amp;end_year=2019","Despotovac")</f>
        <v>Despotovac</v>
      </c>
      <c r="G3698" s="72" t="str">
        <f>HYPERLINK("http://api.nsgreg.nga.mil/geo-division/GENC/6/3-11/RS-62","as:GENC:6:3-11:RS-62")</f>
        <v>as:GENC:6:3-11:RS-62</v>
      </c>
    </row>
    <row r="3699" spans="1:7" x14ac:dyDescent="0.25">
      <c r="A3699" s="112"/>
      <c r="B3699" s="21" t="s">
        <v>9033</v>
      </c>
      <c r="C3699" s="21" t="s">
        <v>9034</v>
      </c>
      <c r="D3699" s="21" t="s">
        <v>2505</v>
      </c>
      <c r="E3699" s="50" t="b">
        <v>1</v>
      </c>
      <c r="F3699" s="72" t="str">
        <f>HYPERLINK("http://nsgreg.nga.mil/genc/view?v=295305&amp;end_month=6&amp;end_day=30&amp;end_year=2019","Dimitrovgrad")</f>
        <v>Dimitrovgrad</v>
      </c>
      <c r="G3699" s="72" t="str">
        <f>HYPERLINK("http://api.nsgreg.nga.mil/geo-division/GENC/6/3-11/RS-63","as:GENC:6:3-11:RS-63")</f>
        <v>as:GENC:6:3-11:RS-63</v>
      </c>
    </row>
    <row r="3700" spans="1:7" x14ac:dyDescent="0.25">
      <c r="A3700" s="112"/>
      <c r="B3700" s="21" t="s">
        <v>9035</v>
      </c>
      <c r="C3700" s="21" t="s">
        <v>9036</v>
      </c>
      <c r="D3700" s="21" t="s">
        <v>2505</v>
      </c>
      <c r="E3700" s="50" t="b">
        <v>1</v>
      </c>
      <c r="F3700" s="72" t="str">
        <f>HYPERLINK("http://nsgreg.nga.mil/genc/view?v=295306&amp;end_month=6&amp;end_day=30&amp;end_year=2019","Doljevac")</f>
        <v>Doljevac</v>
      </c>
      <c r="G3700" s="72" t="str">
        <f>HYPERLINK("http://api.nsgreg.nga.mil/geo-division/GENC/6/3-11/RS-64","as:GENC:6:3-11:RS-64")</f>
        <v>as:GENC:6:3-11:RS-64</v>
      </c>
    </row>
    <row r="3701" spans="1:7" x14ac:dyDescent="0.25">
      <c r="A3701" s="112"/>
      <c r="B3701" s="21" t="s">
        <v>9037</v>
      </c>
      <c r="C3701" s="21" t="s">
        <v>9038</v>
      </c>
      <c r="D3701" s="21" t="s">
        <v>2505</v>
      </c>
      <c r="E3701" s="50" t="b">
        <v>1</v>
      </c>
      <c r="F3701" s="72" t="str">
        <f>HYPERLINK("http://nsgreg.nga.mil/genc/view?v=295307&amp;end_month=6&amp;end_day=30&amp;end_year=2019","Gadžin Han")</f>
        <v>Gadžin Han</v>
      </c>
      <c r="G3701" s="72" t="str">
        <f>HYPERLINK("http://api.nsgreg.nga.mil/geo-division/GENC/6/3-11/RS-65","as:GENC:6:3-11:RS-65")</f>
        <v>as:GENC:6:3-11:RS-65</v>
      </c>
    </row>
    <row r="3702" spans="1:7" x14ac:dyDescent="0.25">
      <c r="A3702" s="112"/>
      <c r="B3702" s="21" t="s">
        <v>9039</v>
      </c>
      <c r="C3702" s="21" t="s">
        <v>9040</v>
      </c>
      <c r="D3702" s="21" t="s">
        <v>2505</v>
      </c>
      <c r="E3702" s="50" t="b">
        <v>1</v>
      </c>
      <c r="F3702" s="72" t="str">
        <f>HYPERLINK("http://nsgreg.nga.mil/genc/view?v=295308&amp;end_month=6&amp;end_day=30&amp;end_year=2019","Golubac")</f>
        <v>Golubac</v>
      </c>
      <c r="G3702" s="72" t="str">
        <f>HYPERLINK("http://api.nsgreg.nga.mil/geo-division/GENC/6/3-11/RS-66","as:GENC:6:3-11:RS-66")</f>
        <v>as:GENC:6:3-11:RS-66</v>
      </c>
    </row>
    <row r="3703" spans="1:7" x14ac:dyDescent="0.25">
      <c r="A3703" s="112"/>
      <c r="B3703" s="21" t="s">
        <v>9041</v>
      </c>
      <c r="C3703" s="21" t="s">
        <v>9042</v>
      </c>
      <c r="D3703" s="21" t="s">
        <v>2505</v>
      </c>
      <c r="E3703" s="50" t="b">
        <v>1</v>
      </c>
      <c r="F3703" s="72" t="str">
        <f>HYPERLINK("http://nsgreg.nga.mil/genc/view?v=295309&amp;end_month=6&amp;end_day=30&amp;end_year=2019","Gornji Milanovac")</f>
        <v>Gornji Milanovac</v>
      </c>
      <c r="G3703" s="72" t="str">
        <f>HYPERLINK("http://api.nsgreg.nga.mil/geo-division/GENC/6/3-11/RS-67","as:GENC:6:3-11:RS-67")</f>
        <v>as:GENC:6:3-11:RS-67</v>
      </c>
    </row>
    <row r="3704" spans="1:7" x14ac:dyDescent="0.25">
      <c r="A3704" s="112"/>
      <c r="B3704" s="21" t="s">
        <v>9043</v>
      </c>
      <c r="C3704" s="21" t="s">
        <v>9044</v>
      </c>
      <c r="D3704" s="21" t="s">
        <v>2505</v>
      </c>
      <c r="E3704" s="50" t="b">
        <v>1</v>
      </c>
      <c r="F3704" s="72" t="str">
        <f>HYPERLINK("http://nsgreg.nga.mil/genc/view?v=295310&amp;end_month=6&amp;end_day=30&amp;end_year=2019","Inđija")</f>
        <v>Inđija</v>
      </c>
      <c r="G3704" s="72" t="str">
        <f>HYPERLINK("http://api.nsgreg.nga.mil/geo-division/GENC/6/3-11/RS-68","as:GENC:6:3-11:RS-68")</f>
        <v>as:GENC:6:3-11:RS-68</v>
      </c>
    </row>
    <row r="3705" spans="1:7" x14ac:dyDescent="0.25">
      <c r="A3705" s="112"/>
      <c r="B3705" s="21" t="s">
        <v>9045</v>
      </c>
      <c r="C3705" s="21" t="s">
        <v>9046</v>
      </c>
      <c r="D3705" s="21" t="s">
        <v>2505</v>
      </c>
      <c r="E3705" s="50" t="b">
        <v>1</v>
      </c>
      <c r="F3705" s="72" t="str">
        <f>HYPERLINK("http://nsgreg.nga.mil/genc/view?v=295311&amp;end_month=6&amp;end_day=30&amp;end_year=2019","Irig")</f>
        <v>Irig</v>
      </c>
      <c r="G3705" s="72" t="str">
        <f>HYPERLINK("http://api.nsgreg.nga.mil/geo-division/GENC/6/3-11/RS-69","as:GENC:6:3-11:RS-69")</f>
        <v>as:GENC:6:3-11:RS-69</v>
      </c>
    </row>
    <row r="3706" spans="1:7" x14ac:dyDescent="0.25">
      <c r="A3706" s="112"/>
      <c r="B3706" s="21" t="s">
        <v>9047</v>
      </c>
      <c r="C3706" s="21" t="s">
        <v>9048</v>
      </c>
      <c r="D3706" s="21" t="s">
        <v>2505</v>
      </c>
      <c r="E3706" s="50" t="b">
        <v>1</v>
      </c>
      <c r="F3706" s="72" t="str">
        <f>HYPERLINK("http://nsgreg.nga.mil/genc/view?v=295312&amp;end_month=6&amp;end_day=30&amp;end_year=2019","Ivanjica")</f>
        <v>Ivanjica</v>
      </c>
      <c r="G3706" s="72" t="str">
        <f>HYPERLINK("http://api.nsgreg.nga.mil/geo-division/GENC/6/3-11/RS-70","as:GENC:6:3-11:RS-70")</f>
        <v>as:GENC:6:3-11:RS-70</v>
      </c>
    </row>
    <row r="3707" spans="1:7" x14ac:dyDescent="0.25">
      <c r="A3707" s="112"/>
      <c r="B3707" s="21" t="s">
        <v>9049</v>
      </c>
      <c r="C3707" s="21" t="s">
        <v>9050</v>
      </c>
      <c r="D3707" s="76" t="s">
        <v>2035</v>
      </c>
      <c r="E3707" s="77" t="b">
        <v>0</v>
      </c>
      <c r="F3707" s="72" t="str">
        <f>HYPERLINK("http://nsgreg.nga.mil/genc/view?v=295265&amp;end_month=6&amp;end_day=30&amp;end_year=2019","Jablanički Okrug")</f>
        <v>Jablanički Okrug</v>
      </c>
      <c r="G3707" s="72" t="str">
        <f>HYPERLINK("http://api.nsgreg.nga.mil/geo-division/GENC/6/3-11/RS-23","as:GENC:6:3-11:RS-23")</f>
        <v>as:GENC:6:3-11:RS-23</v>
      </c>
    </row>
    <row r="3708" spans="1:7" x14ac:dyDescent="0.25">
      <c r="A3708" s="112"/>
      <c r="B3708" s="21" t="s">
        <v>9051</v>
      </c>
      <c r="C3708" s="21" t="s">
        <v>9052</v>
      </c>
      <c r="D3708" s="21" t="s">
        <v>1996</v>
      </c>
      <c r="E3708" s="50" t="b">
        <v>1</v>
      </c>
      <c r="F3708" s="72" t="str">
        <f>HYPERLINK("http://nsgreg.nga.mil/genc/view?v=295313&amp;end_month=6&amp;end_day=30&amp;end_year=2019","Jagodina")</f>
        <v>Jagodina</v>
      </c>
      <c r="G3708" s="72" t="str">
        <f>HYPERLINK("http://api.nsgreg.nga.mil/geo-division/GENC/6/3-11/RS-71","as:GENC:6:3-11:RS-71")</f>
        <v>as:GENC:6:3-11:RS-71</v>
      </c>
    </row>
    <row r="3709" spans="1:7" x14ac:dyDescent="0.25">
      <c r="A3709" s="112"/>
      <c r="B3709" s="21" t="s">
        <v>9053</v>
      </c>
      <c r="C3709" s="21" t="s">
        <v>9054</v>
      </c>
      <c r="D3709" s="21" t="s">
        <v>2505</v>
      </c>
      <c r="E3709" s="50" t="b">
        <v>1</v>
      </c>
      <c r="F3709" s="72" t="str">
        <f>HYPERLINK("http://nsgreg.nga.mil/genc/view?v=295314&amp;end_month=6&amp;end_day=30&amp;end_year=2019","Kanjiža")</f>
        <v>Kanjiža</v>
      </c>
      <c r="G3709" s="72" t="str">
        <f>HYPERLINK("http://api.nsgreg.nga.mil/geo-division/GENC/6/3-11/RS-72","as:GENC:6:3-11:RS-72")</f>
        <v>as:GENC:6:3-11:RS-72</v>
      </c>
    </row>
    <row r="3710" spans="1:7" x14ac:dyDescent="0.25">
      <c r="A3710" s="112"/>
      <c r="B3710" s="21" t="s">
        <v>9055</v>
      </c>
      <c r="C3710" s="21" t="s">
        <v>9056</v>
      </c>
      <c r="D3710" s="21" t="s">
        <v>1996</v>
      </c>
      <c r="E3710" s="50" t="b">
        <v>1</v>
      </c>
      <c r="F3710" s="72" t="str">
        <f>HYPERLINK("http://nsgreg.nga.mil/genc/view?v=295315&amp;end_month=6&amp;end_day=30&amp;end_year=2019","Kikinda")</f>
        <v>Kikinda</v>
      </c>
      <c r="G3710" s="72" t="str">
        <f>HYPERLINK("http://api.nsgreg.nga.mil/geo-division/GENC/6/3-11/RS-73","as:GENC:6:3-11:RS-73")</f>
        <v>as:GENC:6:3-11:RS-73</v>
      </c>
    </row>
    <row r="3711" spans="1:7" x14ac:dyDescent="0.25">
      <c r="A3711" s="112"/>
      <c r="B3711" s="21" t="s">
        <v>9057</v>
      </c>
      <c r="C3711" s="21" t="s">
        <v>9058</v>
      </c>
      <c r="D3711" s="21" t="s">
        <v>2505</v>
      </c>
      <c r="E3711" s="50" t="b">
        <v>1</v>
      </c>
      <c r="F3711" s="72" t="str">
        <f>HYPERLINK("http://nsgreg.nga.mil/genc/view?v=295316&amp;end_month=6&amp;end_day=30&amp;end_year=2019","Kladovo")</f>
        <v>Kladovo</v>
      </c>
      <c r="G3711" s="72" t="str">
        <f>HYPERLINK("http://api.nsgreg.nga.mil/geo-division/GENC/6/3-11/RS-74","as:GENC:6:3-11:RS-74")</f>
        <v>as:GENC:6:3-11:RS-74</v>
      </c>
    </row>
    <row r="3712" spans="1:7" x14ac:dyDescent="0.25">
      <c r="A3712" s="112"/>
      <c r="B3712" s="21" t="s">
        <v>9059</v>
      </c>
      <c r="C3712" s="21" t="s">
        <v>9060</v>
      </c>
      <c r="D3712" s="21" t="s">
        <v>2505</v>
      </c>
      <c r="E3712" s="50" t="b">
        <v>1</v>
      </c>
      <c r="F3712" s="72" t="str">
        <f>HYPERLINK("http://nsgreg.nga.mil/genc/view?v=295317&amp;end_month=6&amp;end_day=30&amp;end_year=2019","Knić")</f>
        <v>Knić</v>
      </c>
      <c r="G3712" s="72" t="str">
        <f>HYPERLINK("http://api.nsgreg.nga.mil/geo-division/GENC/6/3-11/RS-75","as:GENC:6:3-11:RS-75")</f>
        <v>as:GENC:6:3-11:RS-75</v>
      </c>
    </row>
    <row r="3713" spans="1:7" x14ac:dyDescent="0.25">
      <c r="A3713" s="112"/>
      <c r="B3713" s="21" t="s">
        <v>9061</v>
      </c>
      <c r="C3713" s="21" t="s">
        <v>9062</v>
      </c>
      <c r="D3713" s="21" t="s">
        <v>2505</v>
      </c>
      <c r="E3713" s="50" t="b">
        <v>1</v>
      </c>
      <c r="F3713" s="72" t="str">
        <f>HYPERLINK("http://nsgreg.nga.mil/genc/view?v=295318&amp;end_month=6&amp;end_day=30&amp;end_year=2019","Knjaževac")</f>
        <v>Knjaževac</v>
      </c>
      <c r="G3713" s="72" t="str">
        <f>HYPERLINK("http://api.nsgreg.nga.mil/geo-division/GENC/6/3-11/RS-76","as:GENC:6:3-11:RS-76")</f>
        <v>as:GENC:6:3-11:RS-76</v>
      </c>
    </row>
    <row r="3714" spans="1:7" x14ac:dyDescent="0.25">
      <c r="A3714" s="112"/>
      <c r="B3714" s="21" t="s">
        <v>9063</v>
      </c>
      <c r="C3714" s="21" t="s">
        <v>9064</v>
      </c>
      <c r="D3714" s="21" t="s">
        <v>2505</v>
      </c>
      <c r="E3714" s="50" t="b">
        <v>1</v>
      </c>
      <c r="F3714" s="72" t="str">
        <f>HYPERLINK("http://nsgreg.nga.mil/genc/view?v=295319&amp;end_month=6&amp;end_day=30&amp;end_year=2019","Koceljeva")</f>
        <v>Koceljeva</v>
      </c>
      <c r="G3714" s="72" t="str">
        <f>HYPERLINK("http://api.nsgreg.nga.mil/geo-division/GENC/6/3-11/RS-77","as:GENC:6:3-11:RS-77")</f>
        <v>as:GENC:6:3-11:RS-77</v>
      </c>
    </row>
    <row r="3715" spans="1:7" x14ac:dyDescent="0.25">
      <c r="A3715" s="112"/>
      <c r="B3715" s="21" t="s">
        <v>9065</v>
      </c>
      <c r="C3715" s="21" t="s">
        <v>9066</v>
      </c>
      <c r="D3715" s="76" t="s">
        <v>2035</v>
      </c>
      <c r="E3715" s="77" t="b">
        <v>0</v>
      </c>
      <c r="F3715" s="72" t="str">
        <f>HYPERLINK("http://nsgreg.nga.mil/genc/view?v=295177&amp;end_month=6&amp;end_day=30&amp;end_year=2019","Kolubarski Okrug")</f>
        <v>Kolubarski Okrug</v>
      </c>
      <c r="G3715" s="72" t="str">
        <f>HYPERLINK("http://api.nsgreg.nga.mil/geo-division/GENC/6/3-11/RS-09","as:GENC:6:3-11:RS-09")</f>
        <v>as:GENC:6:3-11:RS-09</v>
      </c>
    </row>
    <row r="3716" spans="1:7" x14ac:dyDescent="0.25">
      <c r="A3716" s="112"/>
      <c r="B3716" s="21" t="s">
        <v>9067</v>
      </c>
      <c r="C3716" s="21" t="s">
        <v>9068</v>
      </c>
      <c r="D3716" s="21" t="s">
        <v>2505</v>
      </c>
      <c r="E3716" s="50" t="b">
        <v>1</v>
      </c>
      <c r="F3716" s="72" t="str">
        <f>HYPERLINK("http://nsgreg.nga.mil/genc/view?v=295320&amp;end_month=6&amp;end_day=30&amp;end_year=2019","Kosjerić")</f>
        <v>Kosjerić</v>
      </c>
      <c r="G3716" s="72" t="str">
        <f>HYPERLINK("http://api.nsgreg.nga.mil/geo-division/GENC/6/3-11/RS-78","as:GENC:6:3-11:RS-78")</f>
        <v>as:GENC:6:3-11:RS-78</v>
      </c>
    </row>
    <row r="3717" spans="1:7" x14ac:dyDescent="0.25">
      <c r="A3717" s="112"/>
      <c r="B3717" s="21" t="s">
        <v>9069</v>
      </c>
      <c r="C3717" s="21" t="s">
        <v>9070</v>
      </c>
      <c r="D3717" s="21" t="s">
        <v>2505</v>
      </c>
      <c r="E3717" s="50" t="b">
        <v>1</v>
      </c>
      <c r="F3717" s="72" t="str">
        <f>HYPERLINK("http://nsgreg.nga.mil/genc/view?v=295321&amp;end_month=6&amp;end_day=30&amp;end_year=2019","Kovačica")</f>
        <v>Kovačica</v>
      </c>
      <c r="G3717" s="72" t="str">
        <f>HYPERLINK("http://api.nsgreg.nga.mil/geo-division/GENC/6/3-11/RS-79","as:GENC:6:3-11:RS-79")</f>
        <v>as:GENC:6:3-11:RS-79</v>
      </c>
    </row>
    <row r="3718" spans="1:7" x14ac:dyDescent="0.25">
      <c r="A3718" s="112"/>
      <c r="B3718" s="21" t="s">
        <v>9071</v>
      </c>
      <c r="C3718" s="21" t="s">
        <v>9072</v>
      </c>
      <c r="D3718" s="21" t="s">
        <v>2505</v>
      </c>
      <c r="E3718" s="50" t="b">
        <v>1</v>
      </c>
      <c r="F3718" s="72" t="str">
        <f>HYPERLINK("http://nsgreg.nga.mil/genc/view?v=295322&amp;end_month=6&amp;end_day=30&amp;end_year=2019","Kovin")</f>
        <v>Kovin</v>
      </c>
      <c r="G3718" s="72" t="str">
        <f>HYPERLINK("http://api.nsgreg.nga.mil/geo-division/GENC/6/3-11/RS-80","as:GENC:6:3-11:RS-80")</f>
        <v>as:GENC:6:3-11:RS-80</v>
      </c>
    </row>
    <row r="3719" spans="1:7" x14ac:dyDescent="0.25">
      <c r="A3719" s="112"/>
      <c r="B3719" s="21" t="s">
        <v>9073</v>
      </c>
      <c r="C3719" s="21" t="s">
        <v>9074</v>
      </c>
      <c r="D3719" s="21" t="s">
        <v>1996</v>
      </c>
      <c r="E3719" s="50" t="b">
        <v>1</v>
      </c>
      <c r="F3719" s="72" t="str">
        <f>HYPERLINK("http://nsgreg.nga.mil/genc/view?v=295323&amp;end_month=6&amp;end_day=30&amp;end_year=2019","Kragujevac")</f>
        <v>Kragujevac</v>
      </c>
      <c r="G3719" s="72" t="str">
        <f>HYPERLINK("http://api.nsgreg.nga.mil/geo-division/GENC/6/3-11/RS-81","as:GENC:6:3-11:RS-81")</f>
        <v>as:GENC:6:3-11:RS-81</v>
      </c>
    </row>
    <row r="3720" spans="1:7" x14ac:dyDescent="0.25">
      <c r="A3720" s="112"/>
      <c r="B3720" s="21" t="s">
        <v>9075</v>
      </c>
      <c r="C3720" s="21" t="s">
        <v>9076</v>
      </c>
      <c r="D3720" s="21" t="s">
        <v>1996</v>
      </c>
      <c r="E3720" s="50" t="b">
        <v>1</v>
      </c>
      <c r="F3720" s="72" t="str">
        <f>HYPERLINK("http://nsgreg.nga.mil/genc/view?v=295324&amp;end_month=6&amp;end_day=30&amp;end_year=2019","Kraljevo")</f>
        <v>Kraljevo</v>
      </c>
      <c r="G3720" s="72" t="str">
        <f>HYPERLINK("http://api.nsgreg.nga.mil/geo-division/GENC/6/3-11/RS-82","as:GENC:6:3-11:RS-82")</f>
        <v>as:GENC:6:3-11:RS-82</v>
      </c>
    </row>
    <row r="3721" spans="1:7" x14ac:dyDescent="0.25">
      <c r="A3721" s="112"/>
      <c r="B3721" s="21" t="s">
        <v>9077</v>
      </c>
      <c r="C3721" s="21" t="s">
        <v>9078</v>
      </c>
      <c r="D3721" s="21" t="s">
        <v>2505</v>
      </c>
      <c r="E3721" s="50" t="b">
        <v>1</v>
      </c>
      <c r="F3721" s="72" t="str">
        <f>HYPERLINK("http://nsgreg.nga.mil/genc/view?v=295325&amp;end_month=6&amp;end_day=30&amp;end_year=2019","Krupanj")</f>
        <v>Krupanj</v>
      </c>
      <c r="G3721" s="72" t="str">
        <f>HYPERLINK("http://api.nsgreg.nga.mil/geo-division/GENC/6/3-11/RS-83","as:GENC:6:3-11:RS-83")</f>
        <v>as:GENC:6:3-11:RS-83</v>
      </c>
    </row>
    <row r="3722" spans="1:7" x14ac:dyDescent="0.25">
      <c r="A3722" s="112"/>
      <c r="B3722" s="21" t="s">
        <v>9079</v>
      </c>
      <c r="C3722" s="21" t="s">
        <v>9080</v>
      </c>
      <c r="D3722" s="21" t="s">
        <v>1996</v>
      </c>
      <c r="E3722" s="50" t="b">
        <v>1</v>
      </c>
      <c r="F3722" s="72" t="str">
        <f>HYPERLINK("http://nsgreg.nga.mil/genc/view?v=295326&amp;end_month=6&amp;end_day=30&amp;end_year=2019","Kruševac")</f>
        <v>Kruševac</v>
      </c>
      <c r="G3722" s="72" t="str">
        <f>HYPERLINK("http://api.nsgreg.nga.mil/geo-division/GENC/6/3-11/RS-84","as:GENC:6:3-11:RS-84")</f>
        <v>as:GENC:6:3-11:RS-84</v>
      </c>
    </row>
    <row r="3723" spans="1:7" x14ac:dyDescent="0.25">
      <c r="A3723" s="112"/>
      <c r="B3723" s="21" t="s">
        <v>9081</v>
      </c>
      <c r="C3723" s="21" t="s">
        <v>9082</v>
      </c>
      <c r="D3723" s="21" t="s">
        <v>2505</v>
      </c>
      <c r="E3723" s="50" t="b">
        <v>1</v>
      </c>
      <c r="F3723" s="72" t="str">
        <f>HYPERLINK("http://nsgreg.nga.mil/genc/view?v=295327&amp;end_month=6&amp;end_day=30&amp;end_year=2019","Kučevo")</f>
        <v>Kučevo</v>
      </c>
      <c r="G3723" s="72" t="str">
        <f>HYPERLINK("http://api.nsgreg.nga.mil/geo-division/GENC/6/3-11/RS-85","as:GENC:6:3-11:RS-85")</f>
        <v>as:GENC:6:3-11:RS-85</v>
      </c>
    </row>
    <row r="3724" spans="1:7" x14ac:dyDescent="0.25">
      <c r="A3724" s="112"/>
      <c r="B3724" s="21" t="s">
        <v>9083</v>
      </c>
      <c r="C3724" s="21" t="s">
        <v>9084</v>
      </c>
      <c r="D3724" s="21" t="s">
        <v>2505</v>
      </c>
      <c r="E3724" s="50" t="b">
        <v>1</v>
      </c>
      <c r="F3724" s="72" t="str">
        <f>HYPERLINK("http://nsgreg.nga.mil/genc/view?v=295328&amp;end_month=6&amp;end_day=30&amp;end_year=2019","Kula")</f>
        <v>Kula</v>
      </c>
      <c r="G3724" s="72" t="str">
        <f>HYPERLINK("http://api.nsgreg.nga.mil/geo-division/GENC/6/3-11/RS-86","as:GENC:6:3-11:RS-86")</f>
        <v>as:GENC:6:3-11:RS-86</v>
      </c>
    </row>
    <row r="3725" spans="1:7" x14ac:dyDescent="0.25">
      <c r="A3725" s="112"/>
      <c r="B3725" s="21" t="s">
        <v>9085</v>
      </c>
      <c r="C3725" s="21" t="s">
        <v>9086</v>
      </c>
      <c r="D3725" s="21" t="s">
        <v>2505</v>
      </c>
      <c r="E3725" s="50" t="b">
        <v>1</v>
      </c>
      <c r="F3725" s="72" t="str">
        <f>HYPERLINK("http://nsgreg.nga.mil/genc/view?v=295329&amp;end_month=6&amp;end_day=30&amp;end_year=2019","Kuršumlija")</f>
        <v>Kuršumlija</v>
      </c>
      <c r="G3725" s="72" t="str">
        <f>HYPERLINK("http://api.nsgreg.nga.mil/geo-division/GENC/6/3-11/RS-87","as:GENC:6:3-11:RS-87")</f>
        <v>as:GENC:6:3-11:RS-87</v>
      </c>
    </row>
    <row r="3726" spans="1:7" x14ac:dyDescent="0.25">
      <c r="A3726" s="112"/>
      <c r="B3726" s="21" t="s">
        <v>9087</v>
      </c>
      <c r="C3726" s="21" t="s">
        <v>9088</v>
      </c>
      <c r="D3726" s="21" t="s">
        <v>2505</v>
      </c>
      <c r="E3726" s="50" t="b">
        <v>1</v>
      </c>
      <c r="F3726" s="72" t="str">
        <f>HYPERLINK("http://nsgreg.nga.mil/genc/view?v=295330&amp;end_month=6&amp;end_day=30&amp;end_year=2019","Lajkovac")</f>
        <v>Lajkovac</v>
      </c>
      <c r="G3726" s="72" t="str">
        <f>HYPERLINK("http://api.nsgreg.nga.mil/geo-division/GENC/6/3-11/RS-88","as:GENC:6:3-11:RS-88")</f>
        <v>as:GENC:6:3-11:RS-88</v>
      </c>
    </row>
    <row r="3727" spans="1:7" x14ac:dyDescent="0.25">
      <c r="A3727" s="112"/>
      <c r="B3727" s="21" t="s">
        <v>9089</v>
      </c>
      <c r="C3727" s="21" t="s">
        <v>9090</v>
      </c>
      <c r="D3727" s="21" t="s">
        <v>2505</v>
      </c>
      <c r="E3727" s="50" t="b">
        <v>1</v>
      </c>
      <c r="F3727" s="72" t="str">
        <f>HYPERLINK("http://nsgreg.nga.mil/genc/view?v=295331&amp;end_month=6&amp;end_day=30&amp;end_year=2019","Lapovo")</f>
        <v>Lapovo</v>
      </c>
      <c r="G3727" s="72" t="str">
        <f>HYPERLINK("http://api.nsgreg.nga.mil/geo-division/GENC/6/3-11/RS-89","as:GENC:6:3-11:RS-89")</f>
        <v>as:GENC:6:3-11:RS-89</v>
      </c>
    </row>
    <row r="3728" spans="1:7" x14ac:dyDescent="0.25">
      <c r="A3728" s="112"/>
      <c r="B3728" s="21" t="s">
        <v>9091</v>
      </c>
      <c r="C3728" s="21" t="s">
        <v>9092</v>
      </c>
      <c r="D3728" s="21" t="s">
        <v>2505</v>
      </c>
      <c r="E3728" s="50" t="b">
        <v>1</v>
      </c>
      <c r="F3728" s="72" t="str">
        <f>HYPERLINK("http://nsgreg.nga.mil/genc/view?v=295332&amp;end_month=6&amp;end_day=30&amp;end_year=2019","Lebane")</f>
        <v>Lebane</v>
      </c>
      <c r="G3728" s="72" t="str">
        <f>HYPERLINK("http://api.nsgreg.nga.mil/geo-division/GENC/6/3-11/RS-90","as:GENC:6:3-11:RS-90")</f>
        <v>as:GENC:6:3-11:RS-90</v>
      </c>
    </row>
    <row r="3729" spans="1:7" x14ac:dyDescent="0.25">
      <c r="A3729" s="112"/>
      <c r="B3729" s="21" t="s">
        <v>9093</v>
      </c>
      <c r="C3729" s="21" t="s">
        <v>9094</v>
      </c>
      <c r="D3729" s="21" t="s">
        <v>1996</v>
      </c>
      <c r="E3729" s="50" t="b">
        <v>1</v>
      </c>
      <c r="F3729" s="72" t="str">
        <f>HYPERLINK("http://nsgreg.nga.mil/genc/view?v=295333&amp;end_month=6&amp;end_day=30&amp;end_year=2019","Leskovac")</f>
        <v>Leskovac</v>
      </c>
      <c r="G3729" s="72" t="str">
        <f>HYPERLINK("http://api.nsgreg.nga.mil/geo-division/GENC/6/3-11/RS-91","as:GENC:6:3-11:RS-91")</f>
        <v>as:GENC:6:3-11:RS-91</v>
      </c>
    </row>
    <row r="3730" spans="1:7" x14ac:dyDescent="0.25">
      <c r="A3730" s="112"/>
      <c r="B3730" s="21" t="s">
        <v>9095</v>
      </c>
      <c r="C3730" s="21" t="s">
        <v>9096</v>
      </c>
      <c r="D3730" s="21" t="s">
        <v>2505</v>
      </c>
      <c r="E3730" s="50" t="b">
        <v>1</v>
      </c>
      <c r="F3730" s="72" t="str">
        <f>HYPERLINK("http://nsgreg.nga.mil/genc/view?v=295334&amp;end_month=6&amp;end_day=30&amp;end_year=2019","Ljig")</f>
        <v>Ljig</v>
      </c>
      <c r="G3730" s="72" t="str">
        <f>HYPERLINK("http://api.nsgreg.nga.mil/geo-division/GENC/6/3-11/RS-92","as:GENC:6:3-11:RS-92")</f>
        <v>as:GENC:6:3-11:RS-92</v>
      </c>
    </row>
    <row r="3731" spans="1:7" x14ac:dyDescent="0.25">
      <c r="A3731" s="112"/>
      <c r="B3731" s="21" t="s">
        <v>9097</v>
      </c>
      <c r="C3731" s="21" t="s">
        <v>9098</v>
      </c>
      <c r="D3731" s="21" t="s">
        <v>2505</v>
      </c>
      <c r="E3731" s="50" t="b">
        <v>1</v>
      </c>
      <c r="F3731" s="72" t="str">
        <f>HYPERLINK("http://nsgreg.nga.mil/genc/view?v=295335&amp;end_month=6&amp;end_day=30&amp;end_year=2019","Ljubovija")</f>
        <v>Ljubovija</v>
      </c>
      <c r="G3731" s="72" t="str">
        <f>HYPERLINK("http://api.nsgreg.nga.mil/geo-division/GENC/6/3-11/RS-93","as:GENC:6:3-11:RS-93")</f>
        <v>as:GENC:6:3-11:RS-93</v>
      </c>
    </row>
    <row r="3732" spans="1:7" x14ac:dyDescent="0.25">
      <c r="A3732" s="112"/>
      <c r="B3732" s="21" t="s">
        <v>9099</v>
      </c>
      <c r="C3732" s="21" t="s">
        <v>9100</v>
      </c>
      <c r="D3732" s="21" t="s">
        <v>1996</v>
      </c>
      <c r="E3732" s="50" t="b">
        <v>1</v>
      </c>
      <c r="F3732" s="72" t="str">
        <f>HYPERLINK("http://nsgreg.nga.mil/genc/view?v=295336&amp;end_month=6&amp;end_day=30&amp;end_year=2019","Loznica")</f>
        <v>Loznica</v>
      </c>
      <c r="G3732" s="72" t="str">
        <f>HYPERLINK("http://api.nsgreg.nga.mil/geo-division/GENC/6/3-11/RS-94","as:GENC:6:3-11:RS-94")</f>
        <v>as:GENC:6:3-11:RS-94</v>
      </c>
    </row>
    <row r="3733" spans="1:7" x14ac:dyDescent="0.25">
      <c r="A3733" s="112"/>
      <c r="B3733" s="21" t="s">
        <v>9101</v>
      </c>
      <c r="C3733" s="21" t="s">
        <v>9102</v>
      </c>
      <c r="D3733" s="21" t="s">
        <v>2505</v>
      </c>
      <c r="E3733" s="50" t="b">
        <v>1</v>
      </c>
      <c r="F3733" s="72" t="str">
        <f>HYPERLINK("http://nsgreg.nga.mil/genc/view?v=295337&amp;end_month=6&amp;end_day=30&amp;end_year=2019","Lučani")</f>
        <v>Lučani</v>
      </c>
      <c r="G3733" s="72" t="str">
        <f>HYPERLINK("http://api.nsgreg.nga.mil/geo-division/GENC/6/3-11/RS-95","as:GENC:6:3-11:RS-95")</f>
        <v>as:GENC:6:3-11:RS-95</v>
      </c>
    </row>
    <row r="3734" spans="1:7" x14ac:dyDescent="0.25">
      <c r="A3734" s="112"/>
      <c r="B3734" s="21" t="s">
        <v>9103</v>
      </c>
      <c r="C3734" s="21" t="s">
        <v>9104</v>
      </c>
      <c r="D3734" s="76" t="s">
        <v>2035</v>
      </c>
      <c r="E3734" s="77" t="b">
        <v>0</v>
      </c>
      <c r="F3734" s="72" t="str">
        <f>HYPERLINK("http://nsgreg.nga.mil/genc/view?v=295176&amp;end_month=6&amp;end_day=30&amp;end_year=2019","Mačvanski Okrug")</f>
        <v>Mačvanski Okrug</v>
      </c>
      <c r="G3734" s="72" t="str">
        <f>HYPERLINK("http://api.nsgreg.nga.mil/geo-division/GENC/6/3-11/RS-08","as:GENC:6:3-11:RS-08")</f>
        <v>as:GENC:6:3-11:RS-08</v>
      </c>
    </row>
    <row r="3735" spans="1:7" x14ac:dyDescent="0.25">
      <c r="A3735" s="112"/>
      <c r="B3735" s="21" t="s">
        <v>9105</v>
      </c>
      <c r="C3735" s="21" t="s">
        <v>9106</v>
      </c>
      <c r="D3735" s="21" t="s">
        <v>2505</v>
      </c>
      <c r="E3735" s="50" t="b">
        <v>1</v>
      </c>
      <c r="F3735" s="72" t="str">
        <f>HYPERLINK("http://nsgreg.nga.mil/genc/view?v=295338&amp;end_month=6&amp;end_day=30&amp;end_year=2019","Majdanpek")</f>
        <v>Majdanpek</v>
      </c>
      <c r="G3735" s="72" t="str">
        <f>HYPERLINK("http://api.nsgreg.nga.mil/geo-division/GENC/6/3-11/RS-96","as:GENC:6:3-11:RS-96")</f>
        <v>as:GENC:6:3-11:RS-96</v>
      </c>
    </row>
    <row r="3736" spans="1:7" x14ac:dyDescent="0.25">
      <c r="A3736" s="112"/>
      <c r="B3736" s="21" t="s">
        <v>9107</v>
      </c>
      <c r="C3736" s="21" t="s">
        <v>9108</v>
      </c>
      <c r="D3736" s="21" t="s">
        <v>2505</v>
      </c>
      <c r="E3736" s="50" t="b">
        <v>1</v>
      </c>
      <c r="F3736" s="72" t="str">
        <f>HYPERLINK("http://nsgreg.nga.mil/genc/view?v=295339&amp;end_month=6&amp;end_day=30&amp;end_year=2019","Mali Iđoš")</f>
        <v>Mali Iđoš</v>
      </c>
      <c r="G3736" s="72" t="str">
        <f>HYPERLINK("http://api.nsgreg.nga.mil/geo-division/GENC/6/3-11/RS-97","as:GENC:6:3-11:RS-97")</f>
        <v>as:GENC:6:3-11:RS-97</v>
      </c>
    </row>
    <row r="3737" spans="1:7" x14ac:dyDescent="0.25">
      <c r="A3737" s="112"/>
      <c r="B3737" s="21" t="s">
        <v>9109</v>
      </c>
      <c r="C3737" s="21" t="s">
        <v>9110</v>
      </c>
      <c r="D3737" s="21" t="s">
        <v>2505</v>
      </c>
      <c r="E3737" s="50" t="b">
        <v>1</v>
      </c>
      <c r="F3737" s="72" t="str">
        <f>HYPERLINK("http://nsgreg.nga.mil/genc/view?v=295340&amp;end_month=6&amp;end_day=30&amp;end_year=2019","Mali Zvornik")</f>
        <v>Mali Zvornik</v>
      </c>
      <c r="G3737" s="72" t="str">
        <f>HYPERLINK("http://api.nsgreg.nga.mil/geo-division/GENC/6/3-11/RS-98","as:GENC:6:3-11:RS-98")</f>
        <v>as:GENC:6:3-11:RS-98</v>
      </c>
    </row>
    <row r="3738" spans="1:7" x14ac:dyDescent="0.25">
      <c r="A3738" s="112"/>
      <c r="B3738" s="21" t="s">
        <v>9111</v>
      </c>
      <c r="C3738" s="21" t="s">
        <v>9112</v>
      </c>
      <c r="D3738" s="21" t="s">
        <v>2505</v>
      </c>
      <c r="E3738" s="50" t="b">
        <v>1</v>
      </c>
      <c r="F3738" s="72" t="str">
        <f>HYPERLINK("http://nsgreg.nga.mil/genc/view?v=295341&amp;end_month=6&amp;end_day=30&amp;end_year=2019","Malo Crniće")</f>
        <v>Malo Crniće</v>
      </c>
      <c r="G3738" s="72" t="str">
        <f>HYPERLINK("http://api.nsgreg.nga.mil/geo-division/GENC/6/3-11/RS-99","as:GENC:6:3-11:RS-99")</f>
        <v>as:GENC:6:3-11:RS-99</v>
      </c>
    </row>
    <row r="3739" spans="1:7" x14ac:dyDescent="0.25">
      <c r="A3739" s="112"/>
      <c r="B3739" s="21" t="s">
        <v>9113</v>
      </c>
      <c r="C3739" s="21" t="s">
        <v>9114</v>
      </c>
      <c r="D3739" s="21" t="s">
        <v>2505</v>
      </c>
      <c r="E3739" s="50" t="b">
        <v>1</v>
      </c>
      <c r="F3739" s="72" t="str">
        <f>HYPERLINK("http://nsgreg.nga.mil/genc/view?v=295179&amp;end_month=6&amp;end_day=30&amp;end_year=2019","Medveđa")</f>
        <v>Medveđa</v>
      </c>
      <c r="G3739" s="72" t="str">
        <f>HYPERLINK("http://api.nsgreg.nga.mil/geo-division/GENC/6/3-11/RS-100","as:GENC:6:3-11:RS-100")</f>
        <v>as:GENC:6:3-11:RS-100</v>
      </c>
    </row>
    <row r="3740" spans="1:7" x14ac:dyDescent="0.25">
      <c r="A3740" s="112"/>
      <c r="B3740" s="21" t="s">
        <v>9115</v>
      </c>
      <c r="C3740" s="21" t="s">
        <v>9116</v>
      </c>
      <c r="D3740" s="21" t="s">
        <v>2505</v>
      </c>
      <c r="E3740" s="50" t="b">
        <v>1</v>
      </c>
      <c r="F3740" s="72" t="str">
        <f>HYPERLINK("http://nsgreg.nga.mil/genc/view?v=295180&amp;end_month=6&amp;end_day=30&amp;end_year=2019","Merošina")</f>
        <v>Merošina</v>
      </c>
      <c r="G3740" s="72" t="str">
        <f>HYPERLINK("http://api.nsgreg.nga.mil/geo-division/GENC/6/3-11/RS-101","as:GENC:6:3-11:RS-101")</f>
        <v>as:GENC:6:3-11:RS-101</v>
      </c>
    </row>
    <row r="3741" spans="1:7" x14ac:dyDescent="0.25">
      <c r="A3741" s="112"/>
      <c r="B3741" s="21" t="s">
        <v>9117</v>
      </c>
      <c r="C3741" s="21" t="s">
        <v>9118</v>
      </c>
      <c r="D3741" s="21" t="s">
        <v>2505</v>
      </c>
      <c r="E3741" s="50" t="b">
        <v>1</v>
      </c>
      <c r="F3741" s="72" t="str">
        <f>HYPERLINK("http://nsgreg.nga.mil/genc/view?v=295181&amp;end_month=6&amp;end_day=30&amp;end_year=2019","Mionica")</f>
        <v>Mionica</v>
      </c>
      <c r="G3741" s="72" t="str">
        <f>HYPERLINK("http://api.nsgreg.nga.mil/geo-division/GENC/6/3-11/RS-102","as:GENC:6:3-11:RS-102")</f>
        <v>as:GENC:6:3-11:RS-102</v>
      </c>
    </row>
    <row r="3742" spans="1:7" x14ac:dyDescent="0.25">
      <c r="A3742" s="112"/>
      <c r="B3742" s="21" t="s">
        <v>9119</v>
      </c>
      <c r="C3742" s="21" t="s">
        <v>9120</v>
      </c>
      <c r="D3742" s="76" t="s">
        <v>2035</v>
      </c>
      <c r="E3742" s="77" t="b">
        <v>0</v>
      </c>
      <c r="F3742" s="72" t="str">
        <f>HYPERLINK("http://nsgreg.nga.mil/genc/view?v=295255&amp;end_month=6&amp;end_day=30&amp;end_year=2019","Moravički Okrug")</f>
        <v>Moravički Okrug</v>
      </c>
      <c r="G3742" s="72" t="str">
        <f>HYPERLINK("http://api.nsgreg.nga.mil/geo-division/GENC/6/3-11/RS-17","as:GENC:6:3-11:RS-17")</f>
        <v>as:GENC:6:3-11:RS-17</v>
      </c>
    </row>
    <row r="3743" spans="1:7" x14ac:dyDescent="0.25">
      <c r="A3743" s="112"/>
      <c r="B3743" s="21" t="s">
        <v>9121</v>
      </c>
      <c r="C3743" s="21" t="s">
        <v>9122</v>
      </c>
      <c r="D3743" s="21" t="s">
        <v>2505</v>
      </c>
      <c r="E3743" s="50" t="b">
        <v>1</v>
      </c>
      <c r="F3743" s="72" t="str">
        <f>HYPERLINK("http://nsgreg.nga.mil/genc/view?v=295182&amp;end_month=6&amp;end_day=30&amp;end_year=2019","Negotin")</f>
        <v>Negotin</v>
      </c>
      <c r="G3743" s="72" t="str">
        <f>HYPERLINK("http://api.nsgreg.nga.mil/geo-division/GENC/6/3-11/RS-103","as:GENC:6:3-11:RS-103")</f>
        <v>as:GENC:6:3-11:RS-103</v>
      </c>
    </row>
    <row r="3744" spans="1:7" x14ac:dyDescent="0.25">
      <c r="A3744" s="112"/>
      <c r="B3744" s="21" t="s">
        <v>9123</v>
      </c>
      <c r="C3744" s="21" t="s">
        <v>9124</v>
      </c>
      <c r="D3744" s="21" t="s">
        <v>1996</v>
      </c>
      <c r="E3744" s="50" t="b">
        <v>1</v>
      </c>
      <c r="F3744" s="72" t="str">
        <f>HYPERLINK("http://nsgreg.nga.mil/genc/view?v=295183&amp;end_month=6&amp;end_day=30&amp;end_year=2019","Niš")</f>
        <v>Niš</v>
      </c>
      <c r="G3744" s="72" t="str">
        <f>HYPERLINK("http://api.nsgreg.nga.mil/geo-division/GENC/6/3-11/RS-104","as:GENC:6:3-11:RS-104")</f>
        <v>as:GENC:6:3-11:RS-104</v>
      </c>
    </row>
    <row r="3745" spans="1:7" x14ac:dyDescent="0.25">
      <c r="A3745" s="112"/>
      <c r="B3745" s="21" t="s">
        <v>9125</v>
      </c>
      <c r="C3745" s="21" t="s">
        <v>9126</v>
      </c>
      <c r="D3745" s="76" t="s">
        <v>2035</v>
      </c>
      <c r="E3745" s="77" t="b">
        <v>0</v>
      </c>
      <c r="F3745" s="72" t="str">
        <f>HYPERLINK("http://nsgreg.nga.mil/genc/view?v=295262&amp;end_month=6&amp;end_day=30&amp;end_year=2019","Nišavski Okrug")</f>
        <v>Nišavski Okrug</v>
      </c>
      <c r="G3745" s="72" t="str">
        <f>HYPERLINK("http://api.nsgreg.nga.mil/geo-division/GENC/6/3-11/RS-20","as:GENC:6:3-11:RS-20")</f>
        <v>as:GENC:6:3-11:RS-20</v>
      </c>
    </row>
    <row r="3746" spans="1:7" x14ac:dyDescent="0.25">
      <c r="A3746" s="112"/>
      <c r="B3746" s="21" t="s">
        <v>9127</v>
      </c>
      <c r="C3746" s="21" t="s">
        <v>9128</v>
      </c>
      <c r="D3746" s="21" t="s">
        <v>2505</v>
      </c>
      <c r="E3746" s="50" t="b">
        <v>1</v>
      </c>
      <c r="F3746" s="72" t="str">
        <f>HYPERLINK("http://nsgreg.nga.mil/genc/view?v=295184&amp;end_month=6&amp;end_day=30&amp;end_year=2019","Nova Crnja")</f>
        <v>Nova Crnja</v>
      </c>
      <c r="G3746" s="72" t="str">
        <f>HYPERLINK("http://api.nsgreg.nga.mil/geo-division/GENC/6/3-11/RS-105","as:GENC:6:3-11:RS-105")</f>
        <v>as:GENC:6:3-11:RS-105</v>
      </c>
    </row>
    <row r="3747" spans="1:7" x14ac:dyDescent="0.25">
      <c r="A3747" s="112"/>
      <c r="B3747" s="21" t="s">
        <v>9129</v>
      </c>
      <c r="C3747" s="21" t="s">
        <v>9130</v>
      </c>
      <c r="D3747" s="21" t="s">
        <v>2505</v>
      </c>
      <c r="E3747" s="50" t="b">
        <v>1</v>
      </c>
      <c r="F3747" s="72" t="str">
        <f>HYPERLINK("http://nsgreg.nga.mil/genc/view?v=295185&amp;end_month=6&amp;end_day=30&amp;end_year=2019","Nova Varoš")</f>
        <v>Nova Varoš</v>
      </c>
      <c r="G3747" s="72" t="str">
        <f>HYPERLINK("http://api.nsgreg.nga.mil/geo-division/GENC/6/3-11/RS-106","as:GENC:6:3-11:RS-106")</f>
        <v>as:GENC:6:3-11:RS-106</v>
      </c>
    </row>
    <row r="3748" spans="1:7" x14ac:dyDescent="0.25">
      <c r="A3748" s="112"/>
      <c r="B3748" s="21" t="s">
        <v>9131</v>
      </c>
      <c r="C3748" s="21" t="s">
        <v>9132</v>
      </c>
      <c r="D3748" s="21" t="s">
        <v>2505</v>
      </c>
      <c r="E3748" s="50" t="b">
        <v>1</v>
      </c>
      <c r="F3748" s="72" t="str">
        <f>HYPERLINK("http://nsgreg.nga.mil/genc/view?v=295186&amp;end_month=6&amp;end_day=30&amp;end_year=2019","Novi Bečej")</f>
        <v>Novi Bečej</v>
      </c>
      <c r="G3748" s="72" t="str">
        <f>HYPERLINK("http://api.nsgreg.nga.mil/geo-division/GENC/6/3-11/RS-107","as:GENC:6:3-11:RS-107")</f>
        <v>as:GENC:6:3-11:RS-107</v>
      </c>
    </row>
    <row r="3749" spans="1:7" x14ac:dyDescent="0.25">
      <c r="A3749" s="112"/>
      <c r="B3749" s="21" t="s">
        <v>9133</v>
      </c>
      <c r="C3749" s="21" t="s">
        <v>9134</v>
      </c>
      <c r="D3749" s="21" t="s">
        <v>2505</v>
      </c>
      <c r="E3749" s="50" t="b">
        <v>1</v>
      </c>
      <c r="F3749" s="72" t="str">
        <f>HYPERLINK("http://nsgreg.nga.mil/genc/view?v=295187&amp;end_month=6&amp;end_day=30&amp;end_year=2019","Novi Kneževac")</f>
        <v>Novi Kneževac</v>
      </c>
      <c r="G3749" s="72" t="str">
        <f>HYPERLINK("http://api.nsgreg.nga.mil/geo-division/GENC/6/3-11/RS-108","as:GENC:6:3-11:RS-108")</f>
        <v>as:GENC:6:3-11:RS-108</v>
      </c>
    </row>
    <row r="3750" spans="1:7" x14ac:dyDescent="0.25">
      <c r="A3750" s="112"/>
      <c r="B3750" s="21" t="s">
        <v>9135</v>
      </c>
      <c r="C3750" s="21" t="s">
        <v>9136</v>
      </c>
      <c r="D3750" s="21" t="s">
        <v>1996</v>
      </c>
      <c r="E3750" s="50" t="b">
        <v>1</v>
      </c>
      <c r="F3750" s="72" t="str">
        <f>HYPERLINK("http://nsgreg.nga.mil/genc/view?v=295188&amp;end_month=6&amp;end_day=30&amp;end_year=2019","Novi Pazar")</f>
        <v>Novi Pazar</v>
      </c>
      <c r="G3750" s="72" t="str">
        <f>HYPERLINK("http://api.nsgreg.nga.mil/geo-division/GENC/6/3-11/RS-109","as:GENC:6:3-11:RS-109")</f>
        <v>as:GENC:6:3-11:RS-109</v>
      </c>
    </row>
    <row r="3751" spans="1:7" x14ac:dyDescent="0.25">
      <c r="A3751" s="112"/>
      <c r="B3751" s="21" t="s">
        <v>9137</v>
      </c>
      <c r="C3751" s="21" t="s">
        <v>9138</v>
      </c>
      <c r="D3751" s="21" t="s">
        <v>1996</v>
      </c>
      <c r="E3751" s="50" t="b">
        <v>1</v>
      </c>
      <c r="F3751" s="72" t="str">
        <f>HYPERLINK("http://nsgreg.nga.mil/genc/view?v=295190&amp;end_month=6&amp;end_day=30&amp;end_year=2019","Novi Sad")</f>
        <v>Novi Sad</v>
      </c>
      <c r="G3751" s="72" t="str">
        <f>HYPERLINK("http://api.nsgreg.nga.mil/geo-division/GENC/6/3-11/RS-110","as:GENC:6:3-11:RS-110")</f>
        <v>as:GENC:6:3-11:RS-110</v>
      </c>
    </row>
    <row r="3752" spans="1:7" x14ac:dyDescent="0.25">
      <c r="A3752" s="112"/>
      <c r="B3752" s="21" t="s">
        <v>9139</v>
      </c>
      <c r="C3752" s="21" t="s">
        <v>9140</v>
      </c>
      <c r="D3752" s="21" t="s">
        <v>2505</v>
      </c>
      <c r="E3752" s="50" t="b">
        <v>1</v>
      </c>
      <c r="F3752" s="72" t="str">
        <f>HYPERLINK("http://nsgreg.nga.mil/genc/view?v=295191&amp;end_month=6&amp;end_day=30&amp;end_year=2019","Odžaci")</f>
        <v>Odžaci</v>
      </c>
      <c r="G3752" s="72" t="str">
        <f>HYPERLINK("http://api.nsgreg.nga.mil/geo-division/GENC/6/3-11/RS-111","as:GENC:6:3-11:RS-111")</f>
        <v>as:GENC:6:3-11:RS-111</v>
      </c>
    </row>
    <row r="3753" spans="1:7" x14ac:dyDescent="0.25">
      <c r="A3753" s="112"/>
      <c r="B3753" s="21" t="s">
        <v>9141</v>
      </c>
      <c r="C3753" s="21" t="s">
        <v>9142</v>
      </c>
      <c r="D3753" s="21" t="s">
        <v>2505</v>
      </c>
      <c r="E3753" s="50" t="b">
        <v>1</v>
      </c>
      <c r="F3753" s="72" t="str">
        <f>HYPERLINK("http://nsgreg.nga.mil/genc/view?v=295192&amp;end_month=6&amp;end_day=30&amp;end_year=2019","Opovo")</f>
        <v>Opovo</v>
      </c>
      <c r="G3753" s="72" t="str">
        <f>HYPERLINK("http://api.nsgreg.nga.mil/geo-division/GENC/6/3-11/RS-112","as:GENC:6:3-11:RS-112")</f>
        <v>as:GENC:6:3-11:RS-112</v>
      </c>
    </row>
    <row r="3754" spans="1:7" x14ac:dyDescent="0.25">
      <c r="A3754" s="112"/>
      <c r="B3754" s="21" t="s">
        <v>9143</v>
      </c>
      <c r="C3754" s="21" t="s">
        <v>9144</v>
      </c>
      <c r="D3754" s="21" t="s">
        <v>2505</v>
      </c>
      <c r="E3754" s="50" t="b">
        <v>1</v>
      </c>
      <c r="F3754" s="72" t="str">
        <f>HYPERLINK("http://nsgreg.nga.mil/genc/view?v=295193&amp;end_month=6&amp;end_day=30&amp;end_year=2019","Osečina")</f>
        <v>Osečina</v>
      </c>
      <c r="G3754" s="72" t="str">
        <f>HYPERLINK("http://api.nsgreg.nga.mil/geo-division/GENC/6/3-11/RS-113","as:GENC:6:3-11:RS-113")</f>
        <v>as:GENC:6:3-11:RS-113</v>
      </c>
    </row>
    <row r="3755" spans="1:7" x14ac:dyDescent="0.25">
      <c r="A3755" s="112"/>
      <c r="B3755" s="21" t="s">
        <v>9145</v>
      </c>
      <c r="C3755" s="21" t="s">
        <v>9146</v>
      </c>
      <c r="D3755" s="21" t="s">
        <v>1996</v>
      </c>
      <c r="E3755" s="50" t="b">
        <v>1</v>
      </c>
      <c r="F3755" s="72" t="str">
        <f>HYPERLINK("http://nsgreg.nga.mil/genc/view?v=295194&amp;end_month=6&amp;end_day=30&amp;end_year=2019","Pančevo")</f>
        <v>Pančevo</v>
      </c>
      <c r="G3755" s="72" t="str">
        <f>HYPERLINK("http://api.nsgreg.nga.mil/geo-division/GENC/6/3-11/RS-114","as:GENC:6:3-11:RS-114")</f>
        <v>as:GENC:6:3-11:RS-114</v>
      </c>
    </row>
    <row r="3756" spans="1:7" x14ac:dyDescent="0.25">
      <c r="A3756" s="112"/>
      <c r="B3756" s="21" t="s">
        <v>9147</v>
      </c>
      <c r="C3756" s="21" t="s">
        <v>9148</v>
      </c>
      <c r="D3756" s="21" t="s">
        <v>2505</v>
      </c>
      <c r="E3756" s="50" t="b">
        <v>1</v>
      </c>
      <c r="F3756" s="72" t="str">
        <f>HYPERLINK("http://nsgreg.nga.mil/genc/view?v=295195&amp;end_month=6&amp;end_day=30&amp;end_year=2019","Paraćin")</f>
        <v>Paraćin</v>
      </c>
      <c r="G3756" s="72" t="str">
        <f>HYPERLINK("http://api.nsgreg.nga.mil/geo-division/GENC/6/3-11/RS-115","as:GENC:6:3-11:RS-115")</f>
        <v>as:GENC:6:3-11:RS-115</v>
      </c>
    </row>
    <row r="3757" spans="1:7" x14ac:dyDescent="0.25">
      <c r="A3757" s="112"/>
      <c r="B3757" s="21" t="s">
        <v>9149</v>
      </c>
      <c r="C3757" s="21" t="s">
        <v>9150</v>
      </c>
      <c r="D3757" s="76" t="s">
        <v>2035</v>
      </c>
      <c r="E3757" s="77" t="b">
        <v>0</v>
      </c>
      <c r="F3757" s="72" t="str">
        <f>HYPERLINK("http://nsgreg.nga.mil/genc/view?v=295266&amp;end_month=6&amp;end_day=30&amp;end_year=2019","Pčinjski Okrug")</f>
        <v>Pčinjski Okrug</v>
      </c>
      <c r="G3757" s="72" t="str">
        <f>HYPERLINK("http://api.nsgreg.nga.mil/geo-division/GENC/6/3-11/RS-24","as:GENC:6:3-11:RS-24")</f>
        <v>as:GENC:6:3-11:RS-24</v>
      </c>
    </row>
    <row r="3758" spans="1:7" x14ac:dyDescent="0.25">
      <c r="A3758" s="112"/>
      <c r="B3758" s="21" t="s">
        <v>9151</v>
      </c>
      <c r="C3758" s="21" t="s">
        <v>9152</v>
      </c>
      <c r="D3758" s="21" t="s">
        <v>2505</v>
      </c>
      <c r="E3758" s="50" t="b">
        <v>1</v>
      </c>
      <c r="F3758" s="72" t="str">
        <f>HYPERLINK("http://nsgreg.nga.mil/genc/view?v=295196&amp;end_month=6&amp;end_day=30&amp;end_year=2019","Pećinci")</f>
        <v>Pećinci</v>
      </c>
      <c r="G3758" s="72" t="str">
        <f>HYPERLINK("http://api.nsgreg.nga.mil/geo-division/GENC/6/3-11/RS-116","as:GENC:6:3-11:RS-116")</f>
        <v>as:GENC:6:3-11:RS-116</v>
      </c>
    </row>
    <row r="3759" spans="1:7" x14ac:dyDescent="0.25">
      <c r="A3759" s="112"/>
      <c r="B3759" s="21" t="s">
        <v>9153</v>
      </c>
      <c r="C3759" s="21" t="s">
        <v>9154</v>
      </c>
      <c r="D3759" s="21" t="s">
        <v>2505</v>
      </c>
      <c r="E3759" s="50" t="b">
        <v>1</v>
      </c>
      <c r="F3759" s="72" t="str">
        <f>HYPERLINK("http://nsgreg.nga.mil/genc/view?v=295197&amp;end_month=6&amp;end_day=30&amp;end_year=2019","Petrovac na Mlavi")</f>
        <v>Petrovac na Mlavi</v>
      </c>
      <c r="G3759" s="72" t="str">
        <f>HYPERLINK("http://api.nsgreg.nga.mil/geo-division/GENC/6/3-11/RS-117","as:GENC:6:3-11:RS-117")</f>
        <v>as:GENC:6:3-11:RS-117</v>
      </c>
    </row>
    <row r="3760" spans="1:7" x14ac:dyDescent="0.25">
      <c r="A3760" s="112"/>
      <c r="B3760" s="21" t="s">
        <v>9155</v>
      </c>
      <c r="C3760" s="21" t="s">
        <v>9156</v>
      </c>
      <c r="D3760" s="21" t="s">
        <v>1996</v>
      </c>
      <c r="E3760" s="50" t="b">
        <v>1</v>
      </c>
      <c r="F3760" s="72" t="str">
        <f>HYPERLINK("http://nsgreg.nga.mil/genc/view?v=295198&amp;end_month=6&amp;end_day=30&amp;end_year=2019","Pirot")</f>
        <v>Pirot</v>
      </c>
      <c r="G3760" s="72" t="str">
        <f>HYPERLINK("http://api.nsgreg.nga.mil/geo-division/GENC/6/3-11/RS-118","as:GENC:6:3-11:RS-118")</f>
        <v>as:GENC:6:3-11:RS-118</v>
      </c>
    </row>
    <row r="3761" spans="1:7" x14ac:dyDescent="0.25">
      <c r="A3761" s="112"/>
      <c r="B3761" s="21" t="s">
        <v>9157</v>
      </c>
      <c r="C3761" s="21" t="s">
        <v>9158</v>
      </c>
      <c r="D3761" s="76" t="s">
        <v>2035</v>
      </c>
      <c r="E3761" s="77" t="b">
        <v>0</v>
      </c>
      <c r="F3761" s="72" t="str">
        <f>HYPERLINK("http://nsgreg.nga.mil/genc/view?v=295264&amp;end_month=6&amp;end_day=30&amp;end_year=2019","Pirotski Okrug")</f>
        <v>Pirotski Okrug</v>
      </c>
      <c r="G3761" s="72" t="str">
        <f>HYPERLINK("http://api.nsgreg.nga.mil/geo-division/GENC/6/3-11/RS-22","as:GENC:6:3-11:RS-22")</f>
        <v>as:GENC:6:3-11:RS-22</v>
      </c>
    </row>
    <row r="3762" spans="1:7" x14ac:dyDescent="0.25">
      <c r="A3762" s="112"/>
      <c r="B3762" s="21" t="s">
        <v>9159</v>
      </c>
      <c r="C3762" s="21" t="s">
        <v>9160</v>
      </c>
      <c r="D3762" s="21" t="s">
        <v>2505</v>
      </c>
      <c r="E3762" s="50" t="b">
        <v>1</v>
      </c>
      <c r="F3762" s="72" t="str">
        <f>HYPERLINK("http://nsgreg.nga.mil/genc/view?v=295199&amp;end_month=6&amp;end_day=30&amp;end_year=2019","Plandište")</f>
        <v>Plandište</v>
      </c>
      <c r="G3762" s="72" t="str">
        <f>HYPERLINK("http://api.nsgreg.nga.mil/geo-division/GENC/6/3-11/RS-119","as:GENC:6:3-11:RS-119")</f>
        <v>as:GENC:6:3-11:RS-119</v>
      </c>
    </row>
    <row r="3763" spans="1:7" x14ac:dyDescent="0.25">
      <c r="A3763" s="112"/>
      <c r="B3763" s="21" t="s">
        <v>9161</v>
      </c>
      <c r="C3763" s="21" t="s">
        <v>9162</v>
      </c>
      <c r="D3763" s="76" t="s">
        <v>2035</v>
      </c>
      <c r="E3763" s="77" t="b">
        <v>0</v>
      </c>
      <c r="F3763" s="72" t="str">
        <f>HYPERLINK("http://nsgreg.nga.mil/genc/view?v=295178&amp;end_month=6&amp;end_day=30&amp;end_year=2019","Podunavski Okrug")</f>
        <v>Podunavski Okrug</v>
      </c>
      <c r="G3763" s="72" t="str">
        <f>HYPERLINK("http://api.nsgreg.nga.mil/geo-division/GENC/6/3-11/RS-10","as:GENC:6:3-11:RS-10")</f>
        <v>as:GENC:6:3-11:RS-10</v>
      </c>
    </row>
    <row r="3764" spans="1:7" x14ac:dyDescent="0.25">
      <c r="A3764" s="112"/>
      <c r="B3764" s="21" t="s">
        <v>9163</v>
      </c>
      <c r="C3764" s="21" t="s">
        <v>9164</v>
      </c>
      <c r="D3764" s="76" t="s">
        <v>2035</v>
      </c>
      <c r="E3764" s="77" t="b">
        <v>0</v>
      </c>
      <c r="F3764" s="72" t="str">
        <f>HYPERLINK("http://nsgreg.nga.mil/genc/view?v=295211&amp;end_month=6&amp;end_day=30&amp;end_year=2019","Pomoravski Okrug")</f>
        <v>Pomoravski Okrug</v>
      </c>
      <c r="G3764" s="72" t="str">
        <f>HYPERLINK("http://api.nsgreg.nga.mil/geo-division/GENC/6/3-11/RS-13","as:GENC:6:3-11:RS-13")</f>
        <v>as:GENC:6:3-11:RS-13</v>
      </c>
    </row>
    <row r="3765" spans="1:7" x14ac:dyDescent="0.25">
      <c r="A3765" s="112"/>
      <c r="B3765" s="21" t="s">
        <v>9165</v>
      </c>
      <c r="C3765" s="21" t="s">
        <v>9166</v>
      </c>
      <c r="D3765" s="21" t="s">
        <v>1996</v>
      </c>
      <c r="E3765" s="50" t="b">
        <v>1</v>
      </c>
      <c r="F3765" s="72" t="str">
        <f>HYPERLINK("http://nsgreg.nga.mil/genc/view?v=295201&amp;end_month=6&amp;end_day=30&amp;end_year=2019","Požarevac")</f>
        <v>Požarevac</v>
      </c>
      <c r="G3765" s="72" t="str">
        <f>HYPERLINK("http://api.nsgreg.nga.mil/geo-division/GENC/6/3-11/RS-120","as:GENC:6:3-11:RS-120")</f>
        <v>as:GENC:6:3-11:RS-120</v>
      </c>
    </row>
    <row r="3766" spans="1:7" x14ac:dyDescent="0.25">
      <c r="A3766" s="112"/>
      <c r="B3766" s="21" t="s">
        <v>9167</v>
      </c>
      <c r="C3766" s="21" t="s">
        <v>9168</v>
      </c>
      <c r="D3766" s="21" t="s">
        <v>2505</v>
      </c>
      <c r="E3766" s="50" t="b">
        <v>1</v>
      </c>
      <c r="F3766" s="72" t="str">
        <f>HYPERLINK("http://nsgreg.nga.mil/genc/view?v=295202&amp;end_month=6&amp;end_day=30&amp;end_year=2019","Požega")</f>
        <v>Požega</v>
      </c>
      <c r="G3766" s="72" t="str">
        <f>HYPERLINK("http://api.nsgreg.nga.mil/geo-division/GENC/6/3-11/RS-121","as:GENC:6:3-11:RS-121")</f>
        <v>as:GENC:6:3-11:RS-121</v>
      </c>
    </row>
    <row r="3767" spans="1:7" x14ac:dyDescent="0.25">
      <c r="A3767" s="112"/>
      <c r="B3767" s="21" t="s">
        <v>9169</v>
      </c>
      <c r="C3767" s="21" t="s">
        <v>9170</v>
      </c>
      <c r="D3767" s="21" t="s">
        <v>2505</v>
      </c>
      <c r="E3767" s="50" t="b">
        <v>1</v>
      </c>
      <c r="F3767" s="72" t="str">
        <f>HYPERLINK("http://nsgreg.nga.mil/genc/view?v=295203&amp;end_month=6&amp;end_day=30&amp;end_year=2019","Preševo")</f>
        <v>Preševo</v>
      </c>
      <c r="G3767" s="72" t="str">
        <f>HYPERLINK("http://api.nsgreg.nga.mil/geo-division/GENC/6/3-11/RS-122","as:GENC:6:3-11:RS-122")</f>
        <v>as:GENC:6:3-11:RS-122</v>
      </c>
    </row>
    <row r="3768" spans="1:7" x14ac:dyDescent="0.25">
      <c r="A3768" s="112"/>
      <c r="B3768" s="21" t="s">
        <v>9171</v>
      </c>
      <c r="C3768" s="21" t="s">
        <v>9172</v>
      </c>
      <c r="D3768" s="21" t="s">
        <v>2505</v>
      </c>
      <c r="E3768" s="50" t="b">
        <v>1</v>
      </c>
      <c r="F3768" s="72" t="str">
        <f>HYPERLINK("http://nsgreg.nga.mil/genc/view?v=295204&amp;end_month=6&amp;end_day=30&amp;end_year=2019","Priboj")</f>
        <v>Priboj</v>
      </c>
      <c r="G3768" s="72" t="str">
        <f>HYPERLINK("http://api.nsgreg.nga.mil/geo-division/GENC/6/3-11/RS-123","as:GENC:6:3-11:RS-123")</f>
        <v>as:GENC:6:3-11:RS-123</v>
      </c>
    </row>
    <row r="3769" spans="1:7" x14ac:dyDescent="0.25">
      <c r="A3769" s="112"/>
      <c r="B3769" s="21" t="s">
        <v>9173</v>
      </c>
      <c r="C3769" s="21" t="s">
        <v>9174</v>
      </c>
      <c r="D3769" s="21" t="s">
        <v>2505</v>
      </c>
      <c r="E3769" s="50" t="b">
        <v>1</v>
      </c>
      <c r="F3769" s="72" t="str">
        <f>HYPERLINK("http://nsgreg.nga.mil/genc/view?v=295205&amp;end_month=6&amp;end_day=30&amp;end_year=2019","Prijepolje")</f>
        <v>Prijepolje</v>
      </c>
      <c r="G3769" s="72" t="str">
        <f>HYPERLINK("http://api.nsgreg.nga.mil/geo-division/GENC/6/3-11/RS-124","as:GENC:6:3-11:RS-124")</f>
        <v>as:GENC:6:3-11:RS-124</v>
      </c>
    </row>
    <row r="3770" spans="1:7" x14ac:dyDescent="0.25">
      <c r="A3770" s="112"/>
      <c r="B3770" s="21" t="s">
        <v>9175</v>
      </c>
      <c r="C3770" s="21" t="s">
        <v>9176</v>
      </c>
      <c r="D3770" s="21" t="s">
        <v>2505</v>
      </c>
      <c r="E3770" s="50" t="b">
        <v>1</v>
      </c>
      <c r="F3770" s="72" t="str">
        <f>HYPERLINK("http://nsgreg.nga.mil/genc/view?v=295206&amp;end_month=6&amp;end_day=30&amp;end_year=2019","Prokuplje")</f>
        <v>Prokuplje</v>
      </c>
      <c r="G3770" s="72" t="str">
        <f>HYPERLINK("http://api.nsgreg.nga.mil/geo-division/GENC/6/3-11/RS-125","as:GENC:6:3-11:RS-125")</f>
        <v>as:GENC:6:3-11:RS-125</v>
      </c>
    </row>
    <row r="3771" spans="1:7" x14ac:dyDescent="0.25">
      <c r="A3771" s="112"/>
      <c r="B3771" s="21" t="s">
        <v>9177</v>
      </c>
      <c r="C3771" s="21" t="s">
        <v>9178</v>
      </c>
      <c r="D3771" s="21" t="s">
        <v>2505</v>
      </c>
      <c r="E3771" s="50" t="b">
        <v>1</v>
      </c>
      <c r="F3771" s="72" t="str">
        <f>HYPERLINK("http://nsgreg.nga.mil/genc/view?v=295207&amp;end_month=6&amp;end_day=30&amp;end_year=2019","Rača")</f>
        <v>Rača</v>
      </c>
      <c r="G3771" s="72" t="str">
        <f>HYPERLINK("http://api.nsgreg.nga.mil/geo-division/GENC/6/3-11/RS-126","as:GENC:6:3-11:RS-126")</f>
        <v>as:GENC:6:3-11:RS-126</v>
      </c>
    </row>
    <row r="3772" spans="1:7" x14ac:dyDescent="0.25">
      <c r="A3772" s="112"/>
      <c r="B3772" s="21" t="s">
        <v>9179</v>
      </c>
      <c r="C3772" s="21" t="s">
        <v>9180</v>
      </c>
      <c r="D3772" s="76" t="s">
        <v>2035</v>
      </c>
      <c r="E3772" s="77" t="b">
        <v>0</v>
      </c>
      <c r="F3772" s="72" t="str">
        <f>HYPERLINK("http://nsgreg.nga.mil/genc/view?v=295261&amp;end_month=6&amp;end_day=30&amp;end_year=2019","Rasinski Okrug")</f>
        <v>Rasinski Okrug</v>
      </c>
      <c r="G3772" s="72" t="str">
        <f>HYPERLINK("http://api.nsgreg.nga.mil/geo-division/GENC/6/3-11/RS-19","as:GENC:6:3-11:RS-19")</f>
        <v>as:GENC:6:3-11:RS-19</v>
      </c>
    </row>
    <row r="3773" spans="1:7" x14ac:dyDescent="0.25">
      <c r="A3773" s="112"/>
      <c r="B3773" s="21" t="s">
        <v>9181</v>
      </c>
      <c r="C3773" s="21" t="s">
        <v>9182</v>
      </c>
      <c r="D3773" s="21" t="s">
        <v>2505</v>
      </c>
      <c r="E3773" s="50" t="b">
        <v>1</v>
      </c>
      <c r="F3773" s="72" t="str">
        <f>HYPERLINK("http://nsgreg.nga.mil/genc/view?v=295208&amp;end_month=6&amp;end_day=30&amp;end_year=2019","Raška")</f>
        <v>Raška</v>
      </c>
      <c r="G3773" s="72" t="str">
        <f>HYPERLINK("http://api.nsgreg.nga.mil/geo-division/GENC/6/3-11/RS-127","as:GENC:6:3-11:RS-127")</f>
        <v>as:GENC:6:3-11:RS-127</v>
      </c>
    </row>
    <row r="3774" spans="1:7" x14ac:dyDescent="0.25">
      <c r="A3774" s="112"/>
      <c r="B3774" s="21" t="s">
        <v>9183</v>
      </c>
      <c r="C3774" s="21" t="s">
        <v>9184</v>
      </c>
      <c r="D3774" s="76" t="s">
        <v>2035</v>
      </c>
      <c r="E3774" s="77" t="b">
        <v>0</v>
      </c>
      <c r="F3774" s="72" t="str">
        <f>HYPERLINK("http://nsgreg.nga.mil/genc/view?v=295260&amp;end_month=6&amp;end_day=30&amp;end_year=2019","Raški Okrug")</f>
        <v>Raški Okrug</v>
      </c>
      <c r="G3774" s="72" t="str">
        <f>HYPERLINK("http://api.nsgreg.nga.mil/geo-division/GENC/6/3-11/RS-18","as:GENC:6:3-11:RS-18")</f>
        <v>as:GENC:6:3-11:RS-18</v>
      </c>
    </row>
    <row r="3775" spans="1:7" x14ac:dyDescent="0.25">
      <c r="A3775" s="112"/>
      <c r="B3775" s="21" t="s">
        <v>9185</v>
      </c>
      <c r="C3775" s="21" t="s">
        <v>9186</v>
      </c>
      <c r="D3775" s="21" t="s">
        <v>2505</v>
      </c>
      <c r="E3775" s="50" t="b">
        <v>1</v>
      </c>
      <c r="F3775" s="72" t="str">
        <f>HYPERLINK("http://nsgreg.nga.mil/genc/view?v=295209&amp;end_month=6&amp;end_day=30&amp;end_year=2019","Ražanj")</f>
        <v>Ražanj</v>
      </c>
      <c r="G3775" s="72" t="str">
        <f>HYPERLINK("http://api.nsgreg.nga.mil/geo-division/GENC/6/3-11/RS-128","as:GENC:6:3-11:RS-128")</f>
        <v>as:GENC:6:3-11:RS-128</v>
      </c>
    </row>
    <row r="3776" spans="1:7" x14ac:dyDescent="0.25">
      <c r="A3776" s="112"/>
      <c r="B3776" s="21" t="s">
        <v>9187</v>
      </c>
      <c r="C3776" s="21" t="s">
        <v>9188</v>
      </c>
      <c r="D3776" s="21" t="s">
        <v>2505</v>
      </c>
      <c r="E3776" s="50" t="b">
        <v>1</v>
      </c>
      <c r="F3776" s="72" t="str">
        <f>HYPERLINK("http://nsgreg.nga.mil/genc/view?v=295210&amp;end_month=6&amp;end_day=30&amp;end_year=2019","Rekovac")</f>
        <v>Rekovac</v>
      </c>
      <c r="G3776" s="72" t="str">
        <f>HYPERLINK("http://api.nsgreg.nga.mil/geo-division/GENC/6/3-11/RS-129","as:GENC:6:3-11:RS-129")</f>
        <v>as:GENC:6:3-11:RS-129</v>
      </c>
    </row>
    <row r="3777" spans="1:7" x14ac:dyDescent="0.25">
      <c r="A3777" s="112"/>
      <c r="B3777" s="21" t="s">
        <v>9189</v>
      </c>
      <c r="C3777" s="21" t="s">
        <v>9190</v>
      </c>
      <c r="D3777" s="21" t="s">
        <v>2505</v>
      </c>
      <c r="E3777" s="50" t="b">
        <v>1</v>
      </c>
      <c r="F3777" s="72" t="str">
        <f>HYPERLINK("http://nsgreg.nga.mil/genc/view?v=295212&amp;end_month=6&amp;end_day=30&amp;end_year=2019","Ruma")</f>
        <v>Ruma</v>
      </c>
      <c r="G3777" s="72" t="str">
        <f>HYPERLINK("http://api.nsgreg.nga.mil/geo-division/GENC/6/3-11/RS-130","as:GENC:6:3-11:RS-130")</f>
        <v>as:GENC:6:3-11:RS-130</v>
      </c>
    </row>
    <row r="3778" spans="1:7" x14ac:dyDescent="0.25">
      <c r="A3778" s="112"/>
      <c r="B3778" s="21" t="s">
        <v>9191</v>
      </c>
      <c r="C3778" s="21" t="s">
        <v>9192</v>
      </c>
      <c r="D3778" s="21" t="s">
        <v>1996</v>
      </c>
      <c r="E3778" s="50" t="b">
        <v>1</v>
      </c>
      <c r="F3778" s="72" t="str">
        <f>HYPERLINK("http://nsgreg.nga.mil/genc/view?v=295213&amp;end_month=6&amp;end_day=30&amp;end_year=2019","Šabac")</f>
        <v>Šabac</v>
      </c>
      <c r="G3778" s="72" t="str">
        <f>HYPERLINK("http://api.nsgreg.nga.mil/geo-division/GENC/6/3-11/RS-131","as:GENC:6:3-11:RS-131")</f>
        <v>as:GENC:6:3-11:RS-131</v>
      </c>
    </row>
    <row r="3779" spans="1:7" x14ac:dyDescent="0.25">
      <c r="A3779" s="112"/>
      <c r="B3779" s="21" t="s">
        <v>9193</v>
      </c>
      <c r="C3779" s="21" t="s">
        <v>9194</v>
      </c>
      <c r="D3779" s="21" t="s">
        <v>2505</v>
      </c>
      <c r="E3779" s="50" t="b">
        <v>1</v>
      </c>
      <c r="F3779" s="72" t="str">
        <f>HYPERLINK("http://nsgreg.nga.mil/genc/view?v=295214&amp;end_month=6&amp;end_day=30&amp;end_year=2019","Sečanj")</f>
        <v>Sečanj</v>
      </c>
      <c r="G3779" s="72" t="str">
        <f>HYPERLINK("http://api.nsgreg.nga.mil/geo-division/GENC/6/3-11/RS-132","as:GENC:6:3-11:RS-132")</f>
        <v>as:GENC:6:3-11:RS-132</v>
      </c>
    </row>
    <row r="3780" spans="1:7" x14ac:dyDescent="0.25">
      <c r="A3780" s="112"/>
      <c r="B3780" s="21" t="s">
        <v>9195</v>
      </c>
      <c r="C3780" s="21" t="s">
        <v>9196</v>
      </c>
      <c r="D3780" s="21" t="s">
        <v>2505</v>
      </c>
      <c r="E3780" s="50" t="b">
        <v>1</v>
      </c>
      <c r="F3780" s="72" t="str">
        <f>HYPERLINK("http://nsgreg.nga.mil/genc/view?v=295215&amp;end_month=6&amp;end_day=30&amp;end_year=2019","Senta")</f>
        <v>Senta</v>
      </c>
      <c r="G3780" s="72" t="str">
        <f>HYPERLINK("http://api.nsgreg.nga.mil/geo-division/GENC/6/3-11/RS-133","as:GENC:6:3-11:RS-133")</f>
        <v>as:GENC:6:3-11:RS-133</v>
      </c>
    </row>
    <row r="3781" spans="1:7" x14ac:dyDescent="0.25">
      <c r="A3781" s="112"/>
      <c r="B3781" s="21" t="s">
        <v>9197</v>
      </c>
      <c r="C3781" s="21" t="s">
        <v>9198</v>
      </c>
      <c r="D3781" s="21" t="s">
        <v>2505</v>
      </c>
      <c r="E3781" s="50" t="b">
        <v>1</v>
      </c>
      <c r="F3781" s="72" t="str">
        <f>HYPERLINK("http://nsgreg.nga.mil/genc/view?v=295216&amp;end_month=6&amp;end_day=30&amp;end_year=2019","Šid")</f>
        <v>Šid</v>
      </c>
      <c r="G3781" s="72" t="str">
        <f>HYPERLINK("http://api.nsgreg.nga.mil/geo-division/GENC/6/3-11/RS-134","as:GENC:6:3-11:RS-134")</f>
        <v>as:GENC:6:3-11:RS-134</v>
      </c>
    </row>
    <row r="3782" spans="1:7" x14ac:dyDescent="0.25">
      <c r="A3782" s="112"/>
      <c r="B3782" s="21" t="s">
        <v>9199</v>
      </c>
      <c r="C3782" s="21" t="s">
        <v>9200</v>
      </c>
      <c r="D3782" s="21" t="s">
        <v>2505</v>
      </c>
      <c r="E3782" s="50" t="b">
        <v>1</v>
      </c>
      <c r="F3782" s="72" t="str">
        <f>HYPERLINK("http://nsgreg.nga.mil/genc/view?v=295217&amp;end_month=6&amp;end_day=30&amp;end_year=2019","Sjenica")</f>
        <v>Sjenica</v>
      </c>
      <c r="G3782" s="72" t="str">
        <f>HYPERLINK("http://api.nsgreg.nga.mil/geo-division/GENC/6/3-11/RS-135","as:GENC:6:3-11:RS-135")</f>
        <v>as:GENC:6:3-11:RS-135</v>
      </c>
    </row>
    <row r="3783" spans="1:7" x14ac:dyDescent="0.25">
      <c r="A3783" s="112"/>
      <c r="B3783" s="21" t="s">
        <v>9201</v>
      </c>
      <c r="C3783" s="21" t="s">
        <v>9202</v>
      </c>
      <c r="D3783" s="21" t="s">
        <v>1996</v>
      </c>
      <c r="E3783" s="50" t="b">
        <v>1</v>
      </c>
      <c r="F3783" s="72" t="str">
        <f>HYPERLINK("http://nsgreg.nga.mil/genc/view?v=295218&amp;end_month=6&amp;end_day=30&amp;end_year=2019","Smederevo")</f>
        <v>Smederevo</v>
      </c>
      <c r="G3783" s="72" t="str">
        <f>HYPERLINK("http://api.nsgreg.nga.mil/geo-division/GENC/6/3-11/RS-136","as:GENC:6:3-11:RS-136")</f>
        <v>as:GENC:6:3-11:RS-136</v>
      </c>
    </row>
    <row r="3784" spans="1:7" x14ac:dyDescent="0.25">
      <c r="A3784" s="112"/>
      <c r="B3784" s="21" t="s">
        <v>9203</v>
      </c>
      <c r="C3784" s="21" t="s">
        <v>9204</v>
      </c>
      <c r="D3784" s="21" t="s">
        <v>2505</v>
      </c>
      <c r="E3784" s="50" t="b">
        <v>1</v>
      </c>
      <c r="F3784" s="72" t="str">
        <f>HYPERLINK("http://nsgreg.nga.mil/genc/view?v=295219&amp;end_month=6&amp;end_day=30&amp;end_year=2019","Smederevska Palanka")</f>
        <v>Smederevska Palanka</v>
      </c>
      <c r="G3784" s="72" t="str">
        <f>HYPERLINK("http://api.nsgreg.nga.mil/geo-division/GENC/6/3-11/RS-137","as:GENC:6:3-11:RS-137")</f>
        <v>as:GENC:6:3-11:RS-137</v>
      </c>
    </row>
    <row r="3785" spans="1:7" x14ac:dyDescent="0.25">
      <c r="A3785" s="112"/>
      <c r="B3785" s="21" t="s">
        <v>9205</v>
      </c>
      <c r="C3785" s="21" t="s">
        <v>9206</v>
      </c>
      <c r="D3785" s="21" t="s">
        <v>2505</v>
      </c>
      <c r="E3785" s="50" t="b">
        <v>1</v>
      </c>
      <c r="F3785" s="72" t="str">
        <f>HYPERLINK("http://nsgreg.nga.mil/genc/view?v=295220&amp;end_month=6&amp;end_day=30&amp;end_year=2019","Sokobanja")</f>
        <v>Sokobanja</v>
      </c>
      <c r="G3785" s="72" t="str">
        <f>HYPERLINK("http://api.nsgreg.nga.mil/geo-division/GENC/6/3-11/RS-138","as:GENC:6:3-11:RS-138")</f>
        <v>as:GENC:6:3-11:RS-138</v>
      </c>
    </row>
    <row r="3786" spans="1:7" x14ac:dyDescent="0.25">
      <c r="A3786" s="112"/>
      <c r="B3786" s="21" t="s">
        <v>9207</v>
      </c>
      <c r="C3786" s="21" t="s">
        <v>9208</v>
      </c>
      <c r="D3786" s="21" t="s">
        <v>1996</v>
      </c>
      <c r="E3786" s="50" t="b">
        <v>1</v>
      </c>
      <c r="F3786" s="72" t="str">
        <f>HYPERLINK("http://nsgreg.nga.mil/genc/view?v=295221&amp;end_month=6&amp;end_day=30&amp;end_year=2019","Sombor")</f>
        <v>Sombor</v>
      </c>
      <c r="G3786" s="72" t="str">
        <f>HYPERLINK("http://api.nsgreg.nga.mil/geo-division/GENC/6/3-11/RS-139","as:GENC:6:3-11:RS-139")</f>
        <v>as:GENC:6:3-11:RS-139</v>
      </c>
    </row>
    <row r="3787" spans="1:7" x14ac:dyDescent="0.25">
      <c r="A3787" s="112"/>
      <c r="B3787" s="21" t="s">
        <v>9209</v>
      </c>
      <c r="C3787" s="21" t="s">
        <v>9210</v>
      </c>
      <c r="D3787" s="21" t="s">
        <v>2505</v>
      </c>
      <c r="E3787" s="50" t="b">
        <v>1</v>
      </c>
      <c r="F3787" s="72" t="str">
        <f>HYPERLINK("http://nsgreg.nga.mil/genc/view?v=295223&amp;end_month=6&amp;end_day=30&amp;end_year=2019","Srbobran")</f>
        <v>Srbobran</v>
      </c>
      <c r="G3787" s="72" t="str">
        <f>HYPERLINK("http://api.nsgreg.nga.mil/geo-division/GENC/6/3-11/RS-140","as:GENC:6:3-11:RS-140")</f>
        <v>as:GENC:6:3-11:RS-140</v>
      </c>
    </row>
    <row r="3788" spans="1:7" x14ac:dyDescent="0.25">
      <c r="A3788" s="112"/>
      <c r="B3788" s="21" t="s">
        <v>9211</v>
      </c>
      <c r="C3788" s="21" t="s">
        <v>9212</v>
      </c>
      <c r="D3788" s="21" t="s">
        <v>1996</v>
      </c>
      <c r="E3788" s="50" t="b">
        <v>1</v>
      </c>
      <c r="F3788" s="72" t="str">
        <f>HYPERLINK("http://nsgreg.nga.mil/genc/view?v=295224&amp;end_month=6&amp;end_day=30&amp;end_year=2019","Sremska Mitrovica")</f>
        <v>Sremska Mitrovica</v>
      </c>
      <c r="G3788" s="72" t="str">
        <f>HYPERLINK("http://api.nsgreg.nga.mil/geo-division/GENC/6/3-11/RS-141","as:GENC:6:3-11:RS-141")</f>
        <v>as:GENC:6:3-11:RS-141</v>
      </c>
    </row>
    <row r="3789" spans="1:7" x14ac:dyDescent="0.25">
      <c r="A3789" s="112"/>
      <c r="B3789" s="21" t="s">
        <v>9213</v>
      </c>
      <c r="C3789" s="21" t="s">
        <v>9214</v>
      </c>
      <c r="D3789" s="21" t="s">
        <v>2505</v>
      </c>
      <c r="E3789" s="50" t="b">
        <v>1</v>
      </c>
      <c r="F3789" s="72" t="str">
        <f>HYPERLINK("http://nsgreg.nga.mil/genc/view?v=295225&amp;end_month=6&amp;end_day=30&amp;end_year=2019","Sremski Karlovci")</f>
        <v>Sremski Karlovci</v>
      </c>
      <c r="G3789" s="72" t="str">
        <f>HYPERLINK("http://api.nsgreg.nga.mil/geo-division/GENC/6/3-11/RS-142","as:GENC:6:3-11:RS-142")</f>
        <v>as:GENC:6:3-11:RS-142</v>
      </c>
    </row>
    <row r="3790" spans="1:7" x14ac:dyDescent="0.25">
      <c r="A3790" s="112"/>
      <c r="B3790" s="21" t="s">
        <v>9215</v>
      </c>
      <c r="C3790" s="21" t="s">
        <v>9216</v>
      </c>
      <c r="D3790" s="21" t="s">
        <v>2505</v>
      </c>
      <c r="E3790" s="50" t="b">
        <v>1</v>
      </c>
      <c r="F3790" s="72" t="str">
        <f>HYPERLINK("http://nsgreg.nga.mil/genc/view?v=295226&amp;end_month=6&amp;end_day=30&amp;end_year=2019","Stara Pazova")</f>
        <v>Stara Pazova</v>
      </c>
      <c r="G3790" s="72" t="str">
        <f>HYPERLINK("http://api.nsgreg.nga.mil/geo-division/GENC/6/3-11/RS-143","as:GENC:6:3-11:RS-143")</f>
        <v>as:GENC:6:3-11:RS-143</v>
      </c>
    </row>
    <row r="3791" spans="1:7" x14ac:dyDescent="0.25">
      <c r="A3791" s="112"/>
      <c r="B3791" s="21" t="s">
        <v>9217</v>
      </c>
      <c r="C3791" s="21" t="s">
        <v>9218</v>
      </c>
      <c r="D3791" s="21" t="s">
        <v>1996</v>
      </c>
      <c r="E3791" s="50" t="b">
        <v>1</v>
      </c>
      <c r="F3791" s="72" t="str">
        <f>HYPERLINK("http://nsgreg.nga.mil/genc/view?v=295227&amp;end_month=6&amp;end_day=30&amp;end_year=2019","Subotica")</f>
        <v>Subotica</v>
      </c>
      <c r="G3791" s="72" t="str">
        <f>HYPERLINK("http://api.nsgreg.nga.mil/geo-division/GENC/6/3-11/RS-144","as:GENC:6:3-11:RS-144")</f>
        <v>as:GENC:6:3-11:RS-144</v>
      </c>
    </row>
    <row r="3792" spans="1:7" x14ac:dyDescent="0.25">
      <c r="A3792" s="112"/>
      <c r="B3792" s="21" t="s">
        <v>9219</v>
      </c>
      <c r="C3792" s="21" t="s">
        <v>9220</v>
      </c>
      <c r="D3792" s="76" t="s">
        <v>2035</v>
      </c>
      <c r="E3792" s="77" t="b">
        <v>0</v>
      </c>
      <c r="F3792" s="72" t="str">
        <f>HYPERLINK("http://nsgreg.nga.mil/genc/view?v=295200&amp;end_month=6&amp;end_day=30&amp;end_year=2019","Šumadijski Okrug")</f>
        <v>Šumadijski Okrug</v>
      </c>
      <c r="G3792" s="72" t="str">
        <f>HYPERLINK("http://api.nsgreg.nga.mil/geo-division/GENC/6/3-11/RS-12","as:GENC:6:3-11:RS-12")</f>
        <v>as:GENC:6:3-11:RS-12</v>
      </c>
    </row>
    <row r="3793" spans="1:7" x14ac:dyDescent="0.25">
      <c r="A3793" s="112"/>
      <c r="B3793" s="21" t="s">
        <v>9221</v>
      </c>
      <c r="C3793" s="21" t="s">
        <v>9222</v>
      </c>
      <c r="D3793" s="21" t="s">
        <v>2505</v>
      </c>
      <c r="E3793" s="50" t="b">
        <v>1</v>
      </c>
      <c r="F3793" s="72" t="str">
        <f>HYPERLINK("http://nsgreg.nga.mil/genc/view?v=295228&amp;end_month=6&amp;end_day=30&amp;end_year=2019","Surdulica")</f>
        <v>Surdulica</v>
      </c>
      <c r="G3793" s="72" t="str">
        <f>HYPERLINK("http://api.nsgreg.nga.mil/geo-division/GENC/6/3-11/RS-145","as:GENC:6:3-11:RS-145")</f>
        <v>as:GENC:6:3-11:RS-145</v>
      </c>
    </row>
    <row r="3794" spans="1:7" x14ac:dyDescent="0.25">
      <c r="A3794" s="112"/>
      <c r="B3794" s="21" t="s">
        <v>9223</v>
      </c>
      <c r="C3794" s="21" t="s">
        <v>9224</v>
      </c>
      <c r="D3794" s="21" t="s">
        <v>2505</v>
      </c>
      <c r="E3794" s="50" t="b">
        <v>1</v>
      </c>
      <c r="F3794" s="72" t="str">
        <f>HYPERLINK("http://nsgreg.nga.mil/genc/view?v=295229&amp;end_month=6&amp;end_day=30&amp;end_year=2019","Svilajnac")</f>
        <v>Svilajnac</v>
      </c>
      <c r="G3794" s="72" t="str">
        <f>HYPERLINK("http://api.nsgreg.nga.mil/geo-division/GENC/6/3-11/RS-146","as:GENC:6:3-11:RS-146")</f>
        <v>as:GENC:6:3-11:RS-146</v>
      </c>
    </row>
    <row r="3795" spans="1:7" x14ac:dyDescent="0.25">
      <c r="A3795" s="112"/>
      <c r="B3795" s="21" t="s">
        <v>9225</v>
      </c>
      <c r="C3795" s="21" t="s">
        <v>9226</v>
      </c>
      <c r="D3795" s="21" t="s">
        <v>2505</v>
      </c>
      <c r="E3795" s="50" t="b">
        <v>1</v>
      </c>
      <c r="F3795" s="72" t="str">
        <f>HYPERLINK("http://nsgreg.nga.mil/genc/view?v=295230&amp;end_month=6&amp;end_day=30&amp;end_year=2019","Svrljig")</f>
        <v>Svrljig</v>
      </c>
      <c r="G3795" s="72" t="str">
        <f>HYPERLINK("http://api.nsgreg.nga.mil/geo-division/GENC/6/3-11/RS-147","as:GENC:6:3-11:RS-147")</f>
        <v>as:GENC:6:3-11:RS-147</v>
      </c>
    </row>
    <row r="3796" spans="1:7" x14ac:dyDescent="0.25">
      <c r="A3796" s="112"/>
      <c r="B3796" s="21" t="s">
        <v>9227</v>
      </c>
      <c r="C3796" s="21" t="s">
        <v>9228</v>
      </c>
      <c r="D3796" s="21" t="s">
        <v>2505</v>
      </c>
      <c r="E3796" s="50" t="b">
        <v>1</v>
      </c>
      <c r="F3796" s="72" t="str">
        <f>HYPERLINK("http://nsgreg.nga.mil/genc/view?v=295231&amp;end_month=6&amp;end_day=30&amp;end_year=2019","Temerin")</f>
        <v>Temerin</v>
      </c>
      <c r="G3796" s="72" t="str">
        <f>HYPERLINK("http://api.nsgreg.nga.mil/geo-division/GENC/6/3-11/RS-148","as:GENC:6:3-11:RS-148")</f>
        <v>as:GENC:6:3-11:RS-148</v>
      </c>
    </row>
    <row r="3797" spans="1:7" x14ac:dyDescent="0.25">
      <c r="A3797" s="112"/>
      <c r="B3797" s="21" t="s">
        <v>9229</v>
      </c>
      <c r="C3797" s="21" t="s">
        <v>9230</v>
      </c>
      <c r="D3797" s="21" t="s">
        <v>2505</v>
      </c>
      <c r="E3797" s="50" t="b">
        <v>1</v>
      </c>
      <c r="F3797" s="72" t="str">
        <f>HYPERLINK("http://nsgreg.nga.mil/genc/view?v=295232&amp;end_month=6&amp;end_day=30&amp;end_year=2019","Titel")</f>
        <v>Titel</v>
      </c>
      <c r="G3797" s="72" t="str">
        <f>HYPERLINK("http://api.nsgreg.nga.mil/geo-division/GENC/6/3-11/RS-149","as:GENC:6:3-11:RS-149")</f>
        <v>as:GENC:6:3-11:RS-149</v>
      </c>
    </row>
    <row r="3798" spans="1:7" x14ac:dyDescent="0.25">
      <c r="A3798" s="112"/>
      <c r="B3798" s="21" t="s">
        <v>9231</v>
      </c>
      <c r="C3798" s="21" t="s">
        <v>9232</v>
      </c>
      <c r="D3798" s="76" t="s">
        <v>2035</v>
      </c>
      <c r="E3798" s="77" t="b">
        <v>0</v>
      </c>
      <c r="F3798" s="72" t="str">
        <f>HYPERLINK("http://nsgreg.nga.mil/genc/view?v=295263&amp;end_month=6&amp;end_day=30&amp;end_year=2019","Toplički Okrug")</f>
        <v>Toplički Okrug</v>
      </c>
      <c r="G3798" s="72" t="str">
        <f>HYPERLINK("http://api.nsgreg.nga.mil/geo-division/GENC/6/3-11/RS-21","as:GENC:6:3-11:RS-21")</f>
        <v>as:GENC:6:3-11:RS-21</v>
      </c>
    </row>
    <row r="3799" spans="1:7" x14ac:dyDescent="0.25">
      <c r="A3799" s="112"/>
      <c r="B3799" s="21" t="s">
        <v>9233</v>
      </c>
      <c r="C3799" s="21" t="s">
        <v>9234</v>
      </c>
      <c r="D3799" s="21" t="s">
        <v>2505</v>
      </c>
      <c r="E3799" s="50" t="b">
        <v>1</v>
      </c>
      <c r="F3799" s="72" t="str">
        <f>HYPERLINK("http://nsgreg.nga.mil/genc/view?v=295234&amp;end_month=6&amp;end_day=30&amp;end_year=2019","Topola")</f>
        <v>Topola</v>
      </c>
      <c r="G3799" s="72" t="str">
        <f>HYPERLINK("http://api.nsgreg.nga.mil/geo-division/GENC/6/3-11/RS-150","as:GENC:6:3-11:RS-150")</f>
        <v>as:GENC:6:3-11:RS-150</v>
      </c>
    </row>
    <row r="3800" spans="1:7" x14ac:dyDescent="0.25">
      <c r="A3800" s="112"/>
      <c r="B3800" s="21" t="s">
        <v>9235</v>
      </c>
      <c r="C3800" s="21" t="s">
        <v>9236</v>
      </c>
      <c r="D3800" s="21" t="s">
        <v>2505</v>
      </c>
      <c r="E3800" s="50" t="b">
        <v>1</v>
      </c>
      <c r="F3800" s="72" t="str">
        <f>HYPERLINK("http://nsgreg.nga.mil/genc/view?v=295235&amp;end_month=6&amp;end_day=30&amp;end_year=2019","Trgovište")</f>
        <v>Trgovište</v>
      </c>
      <c r="G3800" s="72" t="str">
        <f>HYPERLINK("http://api.nsgreg.nga.mil/geo-division/GENC/6/3-11/RS-151","as:GENC:6:3-11:RS-151")</f>
        <v>as:GENC:6:3-11:RS-151</v>
      </c>
    </row>
    <row r="3801" spans="1:7" x14ac:dyDescent="0.25">
      <c r="A3801" s="112"/>
      <c r="B3801" s="21" t="s">
        <v>9237</v>
      </c>
      <c r="C3801" s="21" t="s">
        <v>9238</v>
      </c>
      <c r="D3801" s="21" t="s">
        <v>2505</v>
      </c>
      <c r="E3801" s="50" t="b">
        <v>1</v>
      </c>
      <c r="F3801" s="72" t="str">
        <f>HYPERLINK("http://nsgreg.nga.mil/genc/view?v=295236&amp;end_month=6&amp;end_day=30&amp;end_year=2019","Trstenik")</f>
        <v>Trstenik</v>
      </c>
      <c r="G3801" s="72" t="str">
        <f>HYPERLINK("http://api.nsgreg.nga.mil/geo-division/GENC/6/3-11/RS-152","as:GENC:6:3-11:RS-152")</f>
        <v>as:GENC:6:3-11:RS-152</v>
      </c>
    </row>
    <row r="3802" spans="1:7" x14ac:dyDescent="0.25">
      <c r="A3802" s="112"/>
      <c r="B3802" s="21" t="s">
        <v>9239</v>
      </c>
      <c r="C3802" s="21" t="s">
        <v>9240</v>
      </c>
      <c r="D3802" s="21" t="s">
        <v>2505</v>
      </c>
      <c r="E3802" s="50" t="b">
        <v>1</v>
      </c>
      <c r="F3802" s="72" t="str">
        <f>HYPERLINK("http://nsgreg.nga.mil/genc/view?v=295237&amp;end_month=6&amp;end_day=30&amp;end_year=2019","Tutin")</f>
        <v>Tutin</v>
      </c>
      <c r="G3802" s="72" t="str">
        <f>HYPERLINK("http://api.nsgreg.nga.mil/geo-division/GENC/6/3-11/RS-153","as:GENC:6:3-11:RS-153")</f>
        <v>as:GENC:6:3-11:RS-153</v>
      </c>
    </row>
    <row r="3803" spans="1:7" x14ac:dyDescent="0.25">
      <c r="A3803" s="112"/>
      <c r="B3803" s="21" t="s">
        <v>9241</v>
      </c>
      <c r="C3803" s="21" t="s">
        <v>9242</v>
      </c>
      <c r="D3803" s="21" t="s">
        <v>2505</v>
      </c>
      <c r="E3803" s="50" t="b">
        <v>1</v>
      </c>
      <c r="F3803" s="72" t="str">
        <f>HYPERLINK("http://nsgreg.nga.mil/genc/view?v=295238&amp;end_month=6&amp;end_day=30&amp;end_year=2019","Ub")</f>
        <v>Ub</v>
      </c>
      <c r="G3803" s="72" t="str">
        <f>HYPERLINK("http://api.nsgreg.nga.mil/geo-division/GENC/6/3-11/RS-154","as:GENC:6:3-11:RS-154")</f>
        <v>as:GENC:6:3-11:RS-154</v>
      </c>
    </row>
    <row r="3804" spans="1:7" x14ac:dyDescent="0.25">
      <c r="A3804" s="112"/>
      <c r="B3804" s="21" t="s">
        <v>9243</v>
      </c>
      <c r="C3804" s="21" t="s">
        <v>9244</v>
      </c>
      <c r="D3804" s="21" t="s">
        <v>1996</v>
      </c>
      <c r="E3804" s="50" t="b">
        <v>1</v>
      </c>
      <c r="F3804" s="72" t="str">
        <f>HYPERLINK("http://nsgreg.nga.mil/genc/view?v=295239&amp;end_month=6&amp;end_day=30&amp;end_year=2019","Užice")</f>
        <v>Užice</v>
      </c>
      <c r="G3804" s="72" t="str">
        <f>HYPERLINK("http://api.nsgreg.nga.mil/geo-division/GENC/6/3-11/RS-155","as:GENC:6:3-11:RS-155")</f>
        <v>as:GENC:6:3-11:RS-155</v>
      </c>
    </row>
    <row r="3805" spans="1:7" x14ac:dyDescent="0.25">
      <c r="A3805" s="112"/>
      <c r="B3805" s="21" t="s">
        <v>9245</v>
      </c>
      <c r="C3805" s="21" t="s">
        <v>9246</v>
      </c>
      <c r="D3805" s="21" t="s">
        <v>1996</v>
      </c>
      <c r="E3805" s="50" t="b">
        <v>1</v>
      </c>
      <c r="F3805" s="72" t="str">
        <f>HYPERLINK("http://nsgreg.nga.mil/genc/view?v=295240&amp;end_month=6&amp;end_day=30&amp;end_year=2019","Valjevo")</f>
        <v>Valjevo</v>
      </c>
      <c r="G3805" s="72" t="str">
        <f>HYPERLINK("http://api.nsgreg.nga.mil/geo-division/GENC/6/3-11/RS-156","as:GENC:6:3-11:RS-156")</f>
        <v>as:GENC:6:3-11:RS-156</v>
      </c>
    </row>
    <row r="3806" spans="1:7" x14ac:dyDescent="0.25">
      <c r="A3806" s="112"/>
      <c r="B3806" s="21" t="s">
        <v>9247</v>
      </c>
      <c r="C3806" s="21" t="s">
        <v>9248</v>
      </c>
      <c r="D3806" s="21" t="s">
        <v>2505</v>
      </c>
      <c r="E3806" s="50" t="b">
        <v>1</v>
      </c>
      <c r="F3806" s="72" t="str">
        <f>HYPERLINK("http://nsgreg.nga.mil/genc/view?v=295241&amp;end_month=6&amp;end_day=30&amp;end_year=2019","Varvarin")</f>
        <v>Varvarin</v>
      </c>
      <c r="G3806" s="72" t="str">
        <f>HYPERLINK("http://api.nsgreg.nga.mil/geo-division/GENC/6/3-11/RS-157","as:GENC:6:3-11:RS-157")</f>
        <v>as:GENC:6:3-11:RS-157</v>
      </c>
    </row>
    <row r="3807" spans="1:7" x14ac:dyDescent="0.25">
      <c r="A3807" s="112"/>
      <c r="B3807" s="21" t="s">
        <v>9249</v>
      </c>
      <c r="C3807" s="21" t="s">
        <v>9250</v>
      </c>
      <c r="D3807" s="21" t="s">
        <v>2505</v>
      </c>
      <c r="E3807" s="50" t="b">
        <v>1</v>
      </c>
      <c r="F3807" s="72" t="str">
        <f>HYPERLINK("http://nsgreg.nga.mil/genc/view?v=295242&amp;end_month=6&amp;end_day=30&amp;end_year=2019","Velika Plana")</f>
        <v>Velika Plana</v>
      </c>
      <c r="G3807" s="72" t="str">
        <f>HYPERLINK("http://api.nsgreg.nga.mil/geo-division/GENC/6/3-11/RS-158","as:GENC:6:3-11:RS-158")</f>
        <v>as:GENC:6:3-11:RS-158</v>
      </c>
    </row>
    <row r="3808" spans="1:7" x14ac:dyDescent="0.25">
      <c r="A3808" s="112"/>
      <c r="B3808" s="21" t="s">
        <v>9251</v>
      </c>
      <c r="C3808" s="21" t="s">
        <v>9252</v>
      </c>
      <c r="D3808" s="21" t="s">
        <v>2505</v>
      </c>
      <c r="E3808" s="50" t="b">
        <v>1</v>
      </c>
      <c r="F3808" s="72" t="str">
        <f>HYPERLINK("http://nsgreg.nga.mil/genc/view?v=295243&amp;end_month=6&amp;end_day=30&amp;end_year=2019","Veliko Gradište")</f>
        <v>Veliko Gradište</v>
      </c>
      <c r="G3808" s="72" t="str">
        <f>HYPERLINK("http://api.nsgreg.nga.mil/geo-division/GENC/6/3-11/RS-159","as:GENC:6:3-11:RS-159")</f>
        <v>as:GENC:6:3-11:RS-159</v>
      </c>
    </row>
    <row r="3809" spans="1:7" x14ac:dyDescent="0.25">
      <c r="A3809" s="112"/>
      <c r="B3809" s="21" t="s">
        <v>9253</v>
      </c>
      <c r="C3809" s="21" t="s">
        <v>9254</v>
      </c>
      <c r="D3809" s="21" t="s">
        <v>2505</v>
      </c>
      <c r="E3809" s="50" t="b">
        <v>1</v>
      </c>
      <c r="F3809" s="72" t="str">
        <f>HYPERLINK("http://nsgreg.nga.mil/genc/view?v=295245&amp;end_month=6&amp;end_day=30&amp;end_year=2019","Vladičin Han")</f>
        <v>Vladičin Han</v>
      </c>
      <c r="G3809" s="72" t="str">
        <f>HYPERLINK("http://api.nsgreg.nga.mil/geo-division/GENC/6/3-11/RS-160","as:GENC:6:3-11:RS-160")</f>
        <v>as:GENC:6:3-11:RS-160</v>
      </c>
    </row>
    <row r="3810" spans="1:7" x14ac:dyDescent="0.25">
      <c r="A3810" s="112"/>
      <c r="B3810" s="21" t="s">
        <v>9255</v>
      </c>
      <c r="C3810" s="21" t="s">
        <v>9256</v>
      </c>
      <c r="D3810" s="21" t="s">
        <v>2505</v>
      </c>
      <c r="E3810" s="50" t="b">
        <v>1</v>
      </c>
      <c r="F3810" s="72" t="str">
        <f>HYPERLINK("http://nsgreg.nga.mil/genc/view?v=295246&amp;end_month=6&amp;end_day=30&amp;end_year=2019","Vladimirci")</f>
        <v>Vladimirci</v>
      </c>
      <c r="G3810" s="72" t="str">
        <f>HYPERLINK("http://api.nsgreg.nga.mil/geo-division/GENC/6/3-11/RS-161","as:GENC:6:3-11:RS-161")</f>
        <v>as:GENC:6:3-11:RS-161</v>
      </c>
    </row>
    <row r="3811" spans="1:7" x14ac:dyDescent="0.25">
      <c r="A3811" s="112"/>
      <c r="B3811" s="21" t="s">
        <v>9257</v>
      </c>
      <c r="C3811" s="21" t="s">
        <v>9258</v>
      </c>
      <c r="D3811" s="21" t="s">
        <v>2505</v>
      </c>
      <c r="E3811" s="50" t="b">
        <v>1</v>
      </c>
      <c r="F3811" s="72" t="str">
        <f>HYPERLINK("http://nsgreg.nga.mil/genc/view?v=295247&amp;end_month=6&amp;end_day=30&amp;end_year=2019","Vlasotince")</f>
        <v>Vlasotince</v>
      </c>
      <c r="G3811" s="72" t="str">
        <f>HYPERLINK("http://api.nsgreg.nga.mil/geo-division/GENC/6/3-11/RS-162","as:GENC:6:3-11:RS-162")</f>
        <v>as:GENC:6:3-11:RS-162</v>
      </c>
    </row>
    <row r="3812" spans="1:7" x14ac:dyDescent="0.25">
      <c r="A3812" s="112"/>
      <c r="B3812" s="21" t="s">
        <v>9259</v>
      </c>
      <c r="C3812" s="21" t="s">
        <v>9260</v>
      </c>
      <c r="D3812" s="76" t="s">
        <v>5555</v>
      </c>
      <c r="E3812" s="77" t="b">
        <v>0</v>
      </c>
      <c r="F3812" s="72" t="str">
        <f>HYPERLINK("http://nsgreg.nga.mil/genc/view?v=295343&amp;end_month=6&amp;end_day=30&amp;end_year=2019","Vojvodina")</f>
        <v>Vojvodina</v>
      </c>
      <c r="G3812" s="72" t="str">
        <f>HYPERLINK("http://api.nsgreg.nga.mil/geo-division/GENC/6/3-11/RS-VO","as:GENC:6:3-11:RS-VO")</f>
        <v>as:GENC:6:3-11:RS-VO</v>
      </c>
    </row>
    <row r="3813" spans="1:7" x14ac:dyDescent="0.25">
      <c r="A3813" s="112"/>
      <c r="B3813" s="21" t="s">
        <v>9261</v>
      </c>
      <c r="C3813" s="21" t="s">
        <v>9262</v>
      </c>
      <c r="D3813" s="76" t="s">
        <v>2035</v>
      </c>
      <c r="E3813" s="77" t="b">
        <v>0</v>
      </c>
      <c r="F3813" s="72" t="str">
        <f>HYPERLINK("http://nsgreg.nga.mil/genc/view?v=295174&amp;end_month=6&amp;end_day=30&amp;end_year=2019","Južno Bački Okrug")</f>
        <v>Južno Bački Okrug</v>
      </c>
      <c r="G3813" s="72" t="str">
        <f>HYPERLINK("http://api.nsgreg.nga.mil/geo-division/GENC/6/3-11/RS-06","as:GENC:6:3-11:RS-06")</f>
        <v>as:GENC:6:3-11:RS-06</v>
      </c>
    </row>
    <row r="3814" spans="1:7" x14ac:dyDescent="0.25">
      <c r="A3814" s="112"/>
      <c r="B3814" s="21" t="s">
        <v>9263</v>
      </c>
      <c r="C3814" s="21" t="s">
        <v>9264</v>
      </c>
      <c r="D3814" s="76" t="s">
        <v>2035</v>
      </c>
      <c r="E3814" s="77" t="b">
        <v>0</v>
      </c>
      <c r="F3814" s="72" t="str">
        <f>HYPERLINK("http://nsgreg.nga.mil/genc/view?v=295172&amp;end_month=6&amp;end_day=30&amp;end_year=2019","Južno Banatski Okrug")</f>
        <v>Južno Banatski Okrug</v>
      </c>
      <c r="G3814" s="72" t="str">
        <f>HYPERLINK("http://api.nsgreg.nga.mil/geo-division/GENC/6/3-11/RS-04","as:GENC:6:3-11:RS-04")</f>
        <v>as:GENC:6:3-11:RS-04</v>
      </c>
    </row>
    <row r="3815" spans="1:7" x14ac:dyDescent="0.25">
      <c r="A3815" s="112"/>
      <c r="B3815" s="21" t="s">
        <v>9265</v>
      </c>
      <c r="C3815" s="21" t="s">
        <v>9266</v>
      </c>
      <c r="D3815" s="76" t="s">
        <v>2035</v>
      </c>
      <c r="E3815" s="77" t="b">
        <v>0</v>
      </c>
      <c r="F3815" s="72" t="str">
        <f>HYPERLINK("http://nsgreg.nga.mil/genc/view?v=295169&amp;end_month=6&amp;end_day=30&amp;end_year=2019","Severno Bački Okrug")</f>
        <v>Severno Bački Okrug</v>
      </c>
      <c r="G3815" s="72" t="str">
        <f>HYPERLINK("http://api.nsgreg.nga.mil/geo-division/GENC/6/3-11/RS-01","as:GENC:6:3-11:RS-01")</f>
        <v>as:GENC:6:3-11:RS-01</v>
      </c>
    </row>
    <row r="3816" spans="1:7" x14ac:dyDescent="0.25">
      <c r="A3816" s="112"/>
      <c r="B3816" s="21" t="s">
        <v>9267</v>
      </c>
      <c r="C3816" s="21" t="s">
        <v>9268</v>
      </c>
      <c r="D3816" s="76" t="s">
        <v>2035</v>
      </c>
      <c r="E3816" s="77" t="b">
        <v>0</v>
      </c>
      <c r="F3816" s="72" t="str">
        <f>HYPERLINK("http://nsgreg.nga.mil/genc/view?v=295171&amp;end_month=6&amp;end_day=30&amp;end_year=2019","Severno Banatski Okrug")</f>
        <v>Severno Banatski Okrug</v>
      </c>
      <c r="G3816" s="72" t="str">
        <f>HYPERLINK("http://api.nsgreg.nga.mil/geo-division/GENC/6/3-11/RS-03","as:GENC:6:3-11:RS-03")</f>
        <v>as:GENC:6:3-11:RS-03</v>
      </c>
    </row>
    <row r="3817" spans="1:7" x14ac:dyDescent="0.25">
      <c r="A3817" s="112"/>
      <c r="B3817" s="21" t="s">
        <v>9269</v>
      </c>
      <c r="C3817" s="21" t="s">
        <v>9270</v>
      </c>
      <c r="D3817" s="76" t="s">
        <v>2035</v>
      </c>
      <c r="E3817" s="77" t="b">
        <v>0</v>
      </c>
      <c r="F3817" s="72" t="str">
        <f>HYPERLINK("http://nsgreg.nga.mil/genc/view?v=295170&amp;end_month=6&amp;end_day=30&amp;end_year=2019","Srednje Banatski Okrug")</f>
        <v>Srednje Banatski Okrug</v>
      </c>
      <c r="G3817" s="72" t="str">
        <f>HYPERLINK("http://api.nsgreg.nga.mil/geo-division/GENC/6/3-11/RS-02","as:GENC:6:3-11:RS-02")</f>
        <v>as:GENC:6:3-11:RS-02</v>
      </c>
    </row>
    <row r="3818" spans="1:7" x14ac:dyDescent="0.25">
      <c r="A3818" s="112"/>
      <c r="B3818" s="21" t="s">
        <v>9271</v>
      </c>
      <c r="C3818" s="21" t="s">
        <v>9272</v>
      </c>
      <c r="D3818" s="76" t="s">
        <v>2035</v>
      </c>
      <c r="E3818" s="77" t="b">
        <v>0</v>
      </c>
      <c r="F3818" s="72" t="str">
        <f>HYPERLINK("http://nsgreg.nga.mil/genc/view?v=295175&amp;end_month=6&amp;end_day=30&amp;end_year=2019","Sremski Okrug")</f>
        <v>Sremski Okrug</v>
      </c>
      <c r="G3818" s="72" t="str">
        <f>HYPERLINK("http://api.nsgreg.nga.mil/geo-division/GENC/6/3-11/RS-07","as:GENC:6:3-11:RS-07")</f>
        <v>as:GENC:6:3-11:RS-07</v>
      </c>
    </row>
    <row r="3819" spans="1:7" x14ac:dyDescent="0.25">
      <c r="A3819" s="112"/>
      <c r="B3819" s="21" t="s">
        <v>9273</v>
      </c>
      <c r="C3819" s="21" t="s">
        <v>9274</v>
      </c>
      <c r="D3819" s="76" t="s">
        <v>2035</v>
      </c>
      <c r="E3819" s="77" t="b">
        <v>0</v>
      </c>
      <c r="F3819" s="72" t="str">
        <f>HYPERLINK("http://nsgreg.nga.mil/genc/view?v=295173&amp;end_month=6&amp;end_day=30&amp;end_year=2019","Zapadno Bački Okrug")</f>
        <v>Zapadno Bački Okrug</v>
      </c>
      <c r="G3819" s="72" t="str">
        <f>HYPERLINK("http://api.nsgreg.nga.mil/geo-division/GENC/6/3-11/RS-05","as:GENC:6:3-11:RS-05")</f>
        <v>as:GENC:6:3-11:RS-05</v>
      </c>
    </row>
    <row r="3820" spans="1:7" x14ac:dyDescent="0.25">
      <c r="A3820" s="112"/>
      <c r="B3820" s="21" t="s">
        <v>9275</v>
      </c>
      <c r="C3820" s="21" t="s">
        <v>9276</v>
      </c>
      <c r="D3820" s="21" t="s">
        <v>1996</v>
      </c>
      <c r="E3820" s="50" t="b">
        <v>1</v>
      </c>
      <c r="F3820" s="72" t="str">
        <f>HYPERLINK("http://nsgreg.nga.mil/genc/view?v=295248&amp;end_month=6&amp;end_day=30&amp;end_year=2019","Vranje")</f>
        <v>Vranje</v>
      </c>
      <c r="G3820" s="72" t="str">
        <f>HYPERLINK("http://api.nsgreg.nga.mil/geo-division/GENC/6/3-11/RS-163","as:GENC:6:3-11:RS-163")</f>
        <v>as:GENC:6:3-11:RS-163</v>
      </c>
    </row>
    <row r="3821" spans="1:7" x14ac:dyDescent="0.25">
      <c r="A3821" s="112"/>
      <c r="B3821" s="21" t="s">
        <v>9277</v>
      </c>
      <c r="C3821" s="21" t="s">
        <v>9278</v>
      </c>
      <c r="D3821" s="21" t="s">
        <v>2505</v>
      </c>
      <c r="E3821" s="50" t="b">
        <v>1</v>
      </c>
      <c r="F3821" s="72" t="str">
        <f>HYPERLINK("http://nsgreg.nga.mil/genc/view?v=295249&amp;end_month=6&amp;end_day=30&amp;end_year=2019","Vrbas")</f>
        <v>Vrbas</v>
      </c>
      <c r="G3821" s="72" t="str">
        <f>HYPERLINK("http://api.nsgreg.nga.mil/geo-division/GENC/6/3-11/RS-164","as:GENC:6:3-11:RS-164")</f>
        <v>as:GENC:6:3-11:RS-164</v>
      </c>
    </row>
    <row r="3822" spans="1:7" x14ac:dyDescent="0.25">
      <c r="A3822" s="112"/>
      <c r="B3822" s="21" t="s">
        <v>9279</v>
      </c>
      <c r="C3822" s="21" t="s">
        <v>9280</v>
      </c>
      <c r="D3822" s="21" t="s">
        <v>2505</v>
      </c>
      <c r="E3822" s="50" t="b">
        <v>1</v>
      </c>
      <c r="F3822" s="72" t="str">
        <f>HYPERLINK("http://nsgreg.nga.mil/genc/view?v=295250&amp;end_month=6&amp;end_day=30&amp;end_year=2019","Vrnjačka Banja")</f>
        <v>Vrnjačka Banja</v>
      </c>
      <c r="G3822" s="72" t="str">
        <f>HYPERLINK("http://api.nsgreg.nga.mil/geo-division/GENC/6/3-11/RS-165","as:GENC:6:3-11:RS-165")</f>
        <v>as:GENC:6:3-11:RS-165</v>
      </c>
    </row>
    <row r="3823" spans="1:7" x14ac:dyDescent="0.25">
      <c r="A3823" s="112"/>
      <c r="B3823" s="21" t="s">
        <v>9281</v>
      </c>
      <c r="C3823" s="21" t="s">
        <v>9282</v>
      </c>
      <c r="D3823" s="21" t="s">
        <v>1996</v>
      </c>
      <c r="E3823" s="50" t="b">
        <v>1</v>
      </c>
      <c r="F3823" s="72" t="str">
        <f>HYPERLINK("http://nsgreg.nga.mil/genc/view?v=295251&amp;end_month=6&amp;end_day=30&amp;end_year=2019","Vršac")</f>
        <v>Vršac</v>
      </c>
      <c r="G3823" s="72" t="str">
        <f>HYPERLINK("http://api.nsgreg.nga.mil/geo-division/GENC/6/3-11/RS-166","as:GENC:6:3-11:RS-166")</f>
        <v>as:GENC:6:3-11:RS-166</v>
      </c>
    </row>
    <row r="3824" spans="1:7" x14ac:dyDescent="0.25">
      <c r="A3824" s="112"/>
      <c r="B3824" s="21" t="s">
        <v>9283</v>
      </c>
      <c r="C3824" s="21" t="s">
        <v>9284</v>
      </c>
      <c r="D3824" s="21" t="s">
        <v>2505</v>
      </c>
      <c r="E3824" s="50" t="b">
        <v>1</v>
      </c>
      <c r="F3824" s="72" t="str">
        <f>HYPERLINK("http://nsgreg.nga.mil/genc/view?v=295252&amp;end_month=6&amp;end_day=30&amp;end_year=2019","Žabalj")</f>
        <v>Žabalj</v>
      </c>
      <c r="G3824" s="72" t="str">
        <f>HYPERLINK("http://api.nsgreg.nga.mil/geo-division/GENC/6/3-11/RS-167","as:GENC:6:3-11:RS-167")</f>
        <v>as:GENC:6:3-11:RS-167</v>
      </c>
    </row>
    <row r="3825" spans="1:7" x14ac:dyDescent="0.25">
      <c r="A3825" s="112"/>
      <c r="B3825" s="21" t="s">
        <v>9285</v>
      </c>
      <c r="C3825" s="21" t="s">
        <v>9286</v>
      </c>
      <c r="D3825" s="21" t="s">
        <v>2505</v>
      </c>
      <c r="E3825" s="50" t="b">
        <v>1</v>
      </c>
      <c r="F3825" s="72" t="str">
        <f>HYPERLINK("http://nsgreg.nga.mil/genc/view?v=295253&amp;end_month=6&amp;end_day=30&amp;end_year=2019","Žabari")</f>
        <v>Žabari</v>
      </c>
      <c r="G3825" s="72" t="str">
        <f>HYPERLINK("http://api.nsgreg.nga.mil/geo-division/GENC/6/3-11/RS-168","as:GENC:6:3-11:RS-168")</f>
        <v>as:GENC:6:3-11:RS-168</v>
      </c>
    </row>
    <row r="3826" spans="1:7" x14ac:dyDescent="0.25">
      <c r="A3826" s="112"/>
      <c r="B3826" s="21" t="s">
        <v>9287</v>
      </c>
      <c r="C3826" s="21" t="s">
        <v>9288</v>
      </c>
      <c r="D3826" s="21" t="s">
        <v>2505</v>
      </c>
      <c r="E3826" s="50" t="b">
        <v>1</v>
      </c>
      <c r="F3826" s="72" t="str">
        <f>HYPERLINK("http://nsgreg.nga.mil/genc/view?v=295254&amp;end_month=6&amp;end_day=30&amp;end_year=2019","Žagubica")</f>
        <v>Žagubica</v>
      </c>
      <c r="G3826" s="72" t="str">
        <f>HYPERLINK("http://api.nsgreg.nga.mil/geo-division/GENC/6/3-11/RS-169","as:GENC:6:3-11:RS-169")</f>
        <v>as:GENC:6:3-11:RS-169</v>
      </c>
    </row>
    <row r="3827" spans="1:7" x14ac:dyDescent="0.25">
      <c r="A3827" s="112"/>
      <c r="B3827" s="21" t="s">
        <v>9289</v>
      </c>
      <c r="C3827" s="21" t="s">
        <v>9290</v>
      </c>
      <c r="D3827" s="21" t="s">
        <v>1996</v>
      </c>
      <c r="E3827" s="50" t="b">
        <v>1</v>
      </c>
      <c r="F3827" s="72" t="str">
        <f>HYPERLINK("http://nsgreg.nga.mil/genc/view?v=295256&amp;end_month=6&amp;end_day=30&amp;end_year=2019","Zaječar")</f>
        <v>Zaječar</v>
      </c>
      <c r="G3827" s="72" t="str">
        <f>HYPERLINK("http://api.nsgreg.nga.mil/geo-division/GENC/6/3-11/RS-170","as:GENC:6:3-11:RS-170")</f>
        <v>as:GENC:6:3-11:RS-170</v>
      </c>
    </row>
    <row r="3828" spans="1:7" x14ac:dyDescent="0.25">
      <c r="A3828" s="112"/>
      <c r="B3828" s="21" t="s">
        <v>9291</v>
      </c>
      <c r="C3828" s="21" t="s">
        <v>9292</v>
      </c>
      <c r="D3828" s="76" t="s">
        <v>2035</v>
      </c>
      <c r="E3828" s="77" t="b">
        <v>0</v>
      </c>
      <c r="F3828" s="72" t="str">
        <f>HYPERLINK("http://nsgreg.nga.mil/genc/view?v=295233&amp;end_month=6&amp;end_day=30&amp;end_year=2019","Zaječarski Okrug")</f>
        <v>Zaječarski Okrug</v>
      </c>
      <c r="G3828" s="72" t="str">
        <f>HYPERLINK("http://api.nsgreg.nga.mil/geo-division/GENC/6/3-11/RS-15","as:GENC:6:3-11:RS-15")</f>
        <v>as:GENC:6:3-11:RS-15</v>
      </c>
    </row>
    <row r="3829" spans="1:7" x14ac:dyDescent="0.25">
      <c r="A3829" s="112"/>
      <c r="B3829" s="21" t="s">
        <v>9293</v>
      </c>
      <c r="C3829" s="21" t="s">
        <v>9294</v>
      </c>
      <c r="D3829" s="21" t="s">
        <v>2505</v>
      </c>
      <c r="E3829" s="50" t="b">
        <v>1</v>
      </c>
      <c r="F3829" s="72" t="str">
        <f>HYPERLINK("http://nsgreg.nga.mil/genc/view?v=295257&amp;end_month=6&amp;end_day=30&amp;end_year=2019","Žitište")</f>
        <v>Žitište</v>
      </c>
      <c r="G3829" s="72" t="str">
        <f>HYPERLINK("http://api.nsgreg.nga.mil/geo-division/GENC/6/3-11/RS-171","as:GENC:6:3-11:RS-171")</f>
        <v>as:GENC:6:3-11:RS-171</v>
      </c>
    </row>
    <row r="3830" spans="1:7" x14ac:dyDescent="0.25">
      <c r="A3830" s="112"/>
      <c r="B3830" s="21" t="s">
        <v>9295</v>
      </c>
      <c r="C3830" s="21" t="s">
        <v>9296</v>
      </c>
      <c r="D3830" s="21" t="s">
        <v>2505</v>
      </c>
      <c r="E3830" s="50" t="b">
        <v>1</v>
      </c>
      <c r="F3830" s="72" t="str">
        <f>HYPERLINK("http://nsgreg.nga.mil/genc/view?v=295258&amp;end_month=6&amp;end_day=30&amp;end_year=2019","Žitorađa")</f>
        <v>Žitorađa</v>
      </c>
      <c r="G3830" s="72" t="str">
        <f>HYPERLINK("http://api.nsgreg.nga.mil/geo-division/GENC/6/3-11/RS-172","as:GENC:6:3-11:RS-172")</f>
        <v>as:GENC:6:3-11:RS-172</v>
      </c>
    </row>
    <row r="3831" spans="1:7" x14ac:dyDescent="0.25">
      <c r="A3831" s="112"/>
      <c r="B3831" s="21" t="s">
        <v>9297</v>
      </c>
      <c r="C3831" s="21" t="s">
        <v>9298</v>
      </c>
      <c r="D3831" s="76" t="s">
        <v>2035</v>
      </c>
      <c r="E3831" s="77" t="b">
        <v>0</v>
      </c>
      <c r="F3831" s="72" t="str">
        <f>HYPERLINK("http://nsgreg.nga.mil/genc/view?v=295244&amp;end_month=6&amp;end_day=30&amp;end_year=2019","Zlatiborski Okrug")</f>
        <v>Zlatiborski Okrug</v>
      </c>
      <c r="G3831" s="72" t="str">
        <f>HYPERLINK("http://api.nsgreg.nga.mil/geo-division/GENC/6/3-11/RS-16","as:GENC:6:3-11:RS-16")</f>
        <v>as:GENC:6:3-11:RS-16</v>
      </c>
    </row>
    <row r="3832" spans="1:7" x14ac:dyDescent="0.25">
      <c r="A3832" s="113"/>
      <c r="B3832" s="47" t="s">
        <v>9299</v>
      </c>
      <c r="C3832" s="47" t="s">
        <v>9300</v>
      </c>
      <c r="D3832" s="47" t="s">
        <v>1996</v>
      </c>
      <c r="E3832" s="51" t="b">
        <v>1</v>
      </c>
      <c r="F3832" s="73" t="str">
        <f>HYPERLINK("http://nsgreg.nga.mil/genc/view?v=295259&amp;end_month=6&amp;end_day=30&amp;end_year=2019","Zrenjanin")</f>
        <v>Zrenjanin</v>
      </c>
      <c r="G3832" s="73" t="str">
        <f>HYPERLINK("http://api.nsgreg.nga.mil/geo-division/GENC/6/3-11/RS-173","as:GENC:6:3-11:RS-173")</f>
        <v>as:GENC:6:3-11:RS-173</v>
      </c>
    </row>
    <row r="3833" spans="1:7" x14ac:dyDescent="0.25">
      <c r="A3833" s="111" t="str">
        <f>HYPERLINK("[#]Codes_for_GE_Names!A228:I228","SEYCHELLES")</f>
        <v>SEYCHELLES</v>
      </c>
      <c r="B3833" s="42" t="s">
        <v>9301</v>
      </c>
      <c r="C3833" s="42" t="s">
        <v>9302</v>
      </c>
      <c r="D3833" s="42" t="s">
        <v>2035</v>
      </c>
      <c r="E3833" s="49" t="b">
        <v>1</v>
      </c>
      <c r="F3833" s="74" t="str">
        <f>HYPERLINK("http://nsgreg.nga.mil/genc/view?v=295455&amp;end_month=6&amp;end_day=30&amp;end_year=2019","Anse aux Pins")</f>
        <v>Anse aux Pins</v>
      </c>
      <c r="G3833" s="74" t="str">
        <f>HYPERLINK("http://api.nsgreg.nga.mil/geo-division/GENC/6/3-11/SC-01","as:GENC:6:3-11:SC-01")</f>
        <v>as:GENC:6:3-11:SC-01</v>
      </c>
    </row>
    <row r="3834" spans="1:7" x14ac:dyDescent="0.25">
      <c r="A3834" s="112"/>
      <c r="B3834" s="21" t="s">
        <v>9303</v>
      </c>
      <c r="C3834" s="21" t="s">
        <v>9304</v>
      </c>
      <c r="D3834" s="21" t="s">
        <v>2035</v>
      </c>
      <c r="E3834" s="50" t="b">
        <v>1</v>
      </c>
      <c r="F3834" s="72" t="str">
        <f>HYPERLINK("http://nsgreg.nga.mil/genc/view?v=295456&amp;end_month=6&amp;end_day=30&amp;end_year=2019","Anse Boileau")</f>
        <v>Anse Boileau</v>
      </c>
      <c r="G3834" s="72" t="str">
        <f>HYPERLINK("http://api.nsgreg.nga.mil/geo-division/GENC/6/3-11/SC-02","as:GENC:6:3-11:SC-02")</f>
        <v>as:GENC:6:3-11:SC-02</v>
      </c>
    </row>
    <row r="3835" spans="1:7" x14ac:dyDescent="0.25">
      <c r="A3835" s="112"/>
      <c r="B3835" s="21" t="s">
        <v>9305</v>
      </c>
      <c r="C3835" s="21" t="s">
        <v>9306</v>
      </c>
      <c r="D3835" s="21" t="s">
        <v>2035</v>
      </c>
      <c r="E3835" s="50" t="b">
        <v>1</v>
      </c>
      <c r="F3835" s="72" t="str">
        <f>HYPERLINK("http://nsgreg.nga.mil/genc/view?v=295457&amp;end_month=6&amp;end_day=30&amp;end_year=2019","Anse Etoile")</f>
        <v>Anse Etoile</v>
      </c>
      <c r="G3835" s="72" t="str">
        <f>HYPERLINK("http://api.nsgreg.nga.mil/geo-division/GENC/6/3-11/SC-03","as:GENC:6:3-11:SC-03")</f>
        <v>as:GENC:6:3-11:SC-03</v>
      </c>
    </row>
    <row r="3836" spans="1:7" x14ac:dyDescent="0.25">
      <c r="A3836" s="112"/>
      <c r="B3836" s="21" t="s">
        <v>9307</v>
      </c>
      <c r="C3836" s="21" t="s">
        <v>9308</v>
      </c>
      <c r="D3836" s="21" t="s">
        <v>2035</v>
      </c>
      <c r="E3836" s="50" t="b">
        <v>1</v>
      </c>
      <c r="F3836" s="72" t="str">
        <f>HYPERLINK("http://nsgreg.nga.mil/genc/view?v=295459&amp;end_month=6&amp;end_day=30&amp;end_year=2019","Anse Royale")</f>
        <v>Anse Royale</v>
      </c>
      <c r="G3836" s="72" t="str">
        <f>HYPERLINK("http://api.nsgreg.nga.mil/geo-division/GENC/6/3-11/SC-05","as:GENC:6:3-11:SC-05")</f>
        <v>as:GENC:6:3-11:SC-05</v>
      </c>
    </row>
    <row r="3837" spans="1:7" x14ac:dyDescent="0.25">
      <c r="A3837" s="112"/>
      <c r="B3837" s="21" t="s">
        <v>9309</v>
      </c>
      <c r="C3837" s="21" t="s">
        <v>9310</v>
      </c>
      <c r="D3837" s="21" t="s">
        <v>2035</v>
      </c>
      <c r="E3837" s="50" t="b">
        <v>1</v>
      </c>
      <c r="F3837" s="72" t="str">
        <f>HYPERLINK("http://nsgreg.nga.mil/genc/view?v=295458&amp;end_month=6&amp;end_day=30&amp;end_year=2019","Au Cap")</f>
        <v>Au Cap</v>
      </c>
      <c r="G3837" s="72" t="str">
        <f>HYPERLINK("http://api.nsgreg.nga.mil/geo-division/GENC/6/3-11/SC-04","as:GENC:6:3-11:SC-04")</f>
        <v>as:GENC:6:3-11:SC-04</v>
      </c>
    </row>
    <row r="3838" spans="1:7" x14ac:dyDescent="0.25">
      <c r="A3838" s="112"/>
      <c r="B3838" s="21" t="s">
        <v>9311</v>
      </c>
      <c r="C3838" s="21" t="s">
        <v>9312</v>
      </c>
      <c r="D3838" s="21" t="s">
        <v>2035</v>
      </c>
      <c r="E3838" s="50" t="b">
        <v>1</v>
      </c>
      <c r="F3838" s="72" t="str">
        <f>HYPERLINK("http://nsgreg.nga.mil/genc/view?v=295460&amp;end_month=6&amp;end_day=30&amp;end_year=2019","Baie Lazare")</f>
        <v>Baie Lazare</v>
      </c>
      <c r="G3838" s="72" t="str">
        <f>HYPERLINK("http://api.nsgreg.nga.mil/geo-division/GENC/6/3-11/SC-06","as:GENC:6:3-11:SC-06")</f>
        <v>as:GENC:6:3-11:SC-06</v>
      </c>
    </row>
    <row r="3839" spans="1:7" x14ac:dyDescent="0.25">
      <c r="A3839" s="112"/>
      <c r="B3839" s="21" t="s">
        <v>9313</v>
      </c>
      <c r="C3839" s="21" t="s">
        <v>9314</v>
      </c>
      <c r="D3839" s="21" t="s">
        <v>2035</v>
      </c>
      <c r="E3839" s="50" t="b">
        <v>1</v>
      </c>
      <c r="F3839" s="72" t="str">
        <f>HYPERLINK("http://nsgreg.nga.mil/genc/view?v=295461&amp;end_month=6&amp;end_day=30&amp;end_year=2019","Baie Sainte Anne")</f>
        <v>Baie Sainte Anne</v>
      </c>
      <c r="G3839" s="72" t="str">
        <f>HYPERLINK("http://api.nsgreg.nga.mil/geo-division/GENC/6/3-11/SC-07","as:GENC:6:3-11:SC-07")</f>
        <v>as:GENC:6:3-11:SC-07</v>
      </c>
    </row>
    <row r="3840" spans="1:7" x14ac:dyDescent="0.25">
      <c r="A3840" s="112"/>
      <c r="B3840" s="21" t="s">
        <v>9315</v>
      </c>
      <c r="C3840" s="21" t="s">
        <v>9316</v>
      </c>
      <c r="D3840" s="21" t="s">
        <v>2035</v>
      </c>
      <c r="E3840" s="50" t="b">
        <v>1</v>
      </c>
      <c r="F3840" s="72" t="str">
        <f>HYPERLINK("http://nsgreg.nga.mil/genc/view?v=295462&amp;end_month=6&amp;end_day=30&amp;end_year=2019","Beau Vallon")</f>
        <v>Beau Vallon</v>
      </c>
      <c r="G3840" s="72" t="str">
        <f>HYPERLINK("http://api.nsgreg.nga.mil/geo-division/GENC/6/3-11/SC-08","as:GENC:6:3-11:SC-08")</f>
        <v>as:GENC:6:3-11:SC-08</v>
      </c>
    </row>
    <row r="3841" spans="1:7" x14ac:dyDescent="0.25">
      <c r="A3841" s="112"/>
      <c r="B3841" s="21" t="s">
        <v>9317</v>
      </c>
      <c r="C3841" s="21" t="s">
        <v>9318</v>
      </c>
      <c r="D3841" s="21" t="s">
        <v>2035</v>
      </c>
      <c r="E3841" s="50" t="b">
        <v>1</v>
      </c>
      <c r="F3841" s="72" t="str">
        <f>HYPERLINK("http://nsgreg.nga.mil/genc/view?v=295463&amp;end_month=6&amp;end_day=30&amp;end_year=2019","Bel Air")</f>
        <v>Bel Air</v>
      </c>
      <c r="G3841" s="72" t="str">
        <f>HYPERLINK("http://api.nsgreg.nga.mil/geo-division/GENC/6/3-11/SC-09","as:GENC:6:3-11:SC-09")</f>
        <v>as:GENC:6:3-11:SC-09</v>
      </c>
    </row>
    <row r="3842" spans="1:7" x14ac:dyDescent="0.25">
      <c r="A3842" s="112"/>
      <c r="B3842" s="21" t="s">
        <v>9319</v>
      </c>
      <c r="C3842" s="21" t="s">
        <v>9320</v>
      </c>
      <c r="D3842" s="21" t="s">
        <v>2035</v>
      </c>
      <c r="E3842" s="50" t="b">
        <v>1</v>
      </c>
      <c r="F3842" s="72" t="str">
        <f>HYPERLINK("http://nsgreg.nga.mil/genc/view?v=295464&amp;end_month=6&amp;end_day=30&amp;end_year=2019","Bel Ombre")</f>
        <v>Bel Ombre</v>
      </c>
      <c r="G3842" s="72" t="str">
        <f>HYPERLINK("http://api.nsgreg.nga.mil/geo-division/GENC/6/3-11/SC-10","as:GENC:6:3-11:SC-10")</f>
        <v>as:GENC:6:3-11:SC-10</v>
      </c>
    </row>
    <row r="3843" spans="1:7" x14ac:dyDescent="0.25">
      <c r="A3843" s="112"/>
      <c r="B3843" s="21" t="s">
        <v>9321</v>
      </c>
      <c r="C3843" s="21" t="s">
        <v>9322</v>
      </c>
      <c r="D3843" s="21" t="s">
        <v>2035</v>
      </c>
      <c r="E3843" s="50" t="b">
        <v>1</v>
      </c>
      <c r="F3843" s="72" t="str">
        <f>HYPERLINK("http://nsgreg.nga.mil/genc/view?v=295465&amp;end_month=6&amp;end_day=30&amp;end_year=2019","Cascade")</f>
        <v>Cascade</v>
      </c>
      <c r="G3843" s="72" t="str">
        <f>HYPERLINK("http://api.nsgreg.nga.mil/geo-division/GENC/6/3-11/SC-11","as:GENC:6:3-11:SC-11")</f>
        <v>as:GENC:6:3-11:SC-11</v>
      </c>
    </row>
    <row r="3844" spans="1:7" x14ac:dyDescent="0.25">
      <c r="A3844" s="112"/>
      <c r="B3844" s="21" t="s">
        <v>9323</v>
      </c>
      <c r="C3844" s="21" t="s">
        <v>9324</v>
      </c>
      <c r="D3844" s="21" t="s">
        <v>2035</v>
      </c>
      <c r="E3844" s="50" t="b">
        <v>1</v>
      </c>
      <c r="F3844" s="72" t="str">
        <f>HYPERLINK("http://nsgreg.nga.mil/genc/view?v=295470&amp;end_month=6&amp;end_day=30&amp;end_year=2019","English River")</f>
        <v>English River</v>
      </c>
      <c r="G3844" s="72" t="str">
        <f>HYPERLINK("http://api.nsgreg.nga.mil/geo-division/GENC/6/3-11/SC-16","as:GENC:6:3-11:SC-16")</f>
        <v>as:GENC:6:3-11:SC-16</v>
      </c>
    </row>
    <row r="3845" spans="1:7" x14ac:dyDescent="0.25">
      <c r="A3845" s="112"/>
      <c r="B3845" s="21" t="s">
        <v>9325</v>
      </c>
      <c r="C3845" s="21" t="s">
        <v>9326</v>
      </c>
      <c r="D3845" s="21" t="s">
        <v>2035</v>
      </c>
      <c r="E3845" s="50" t="b">
        <v>1</v>
      </c>
      <c r="F3845" s="72" t="str">
        <f>HYPERLINK("http://nsgreg.nga.mil/genc/view?v=295466&amp;end_month=6&amp;end_day=30&amp;end_year=2019","Glacis")</f>
        <v>Glacis</v>
      </c>
      <c r="G3845" s="72" t="str">
        <f>HYPERLINK("http://api.nsgreg.nga.mil/geo-division/GENC/6/3-11/SC-12","as:GENC:6:3-11:SC-12")</f>
        <v>as:GENC:6:3-11:SC-12</v>
      </c>
    </row>
    <row r="3846" spans="1:7" x14ac:dyDescent="0.25">
      <c r="A3846" s="112"/>
      <c r="B3846" s="21" t="s">
        <v>9327</v>
      </c>
      <c r="C3846" s="21" t="s">
        <v>9328</v>
      </c>
      <c r="D3846" s="21" t="s">
        <v>2035</v>
      </c>
      <c r="E3846" s="50" t="b">
        <v>1</v>
      </c>
      <c r="F3846" s="72" t="str">
        <f>HYPERLINK("http://nsgreg.nga.mil/genc/view?v=295467&amp;end_month=6&amp;end_day=30&amp;end_year=2019","Grand Anse Mahe")</f>
        <v>Grand Anse Mahe</v>
      </c>
      <c r="G3846" s="72" t="str">
        <f>HYPERLINK("http://api.nsgreg.nga.mil/geo-division/GENC/6/3-11/SC-13","as:GENC:6:3-11:SC-13")</f>
        <v>as:GENC:6:3-11:SC-13</v>
      </c>
    </row>
    <row r="3847" spans="1:7" x14ac:dyDescent="0.25">
      <c r="A3847" s="112"/>
      <c r="B3847" s="21" t="s">
        <v>9329</v>
      </c>
      <c r="C3847" s="21" t="s">
        <v>9330</v>
      </c>
      <c r="D3847" s="21" t="s">
        <v>2035</v>
      </c>
      <c r="E3847" s="50" t="b">
        <v>1</v>
      </c>
      <c r="F3847" s="72" t="str">
        <f>HYPERLINK("http://nsgreg.nga.mil/genc/view?v=295468&amp;end_month=6&amp;end_day=30&amp;end_year=2019","Grand Anse Praslin")</f>
        <v>Grand Anse Praslin</v>
      </c>
      <c r="G3847" s="72" t="str">
        <f>HYPERLINK("http://api.nsgreg.nga.mil/geo-division/GENC/6/3-11/SC-14","as:GENC:6:3-11:SC-14")</f>
        <v>as:GENC:6:3-11:SC-14</v>
      </c>
    </row>
    <row r="3848" spans="1:7" x14ac:dyDescent="0.25">
      <c r="A3848" s="112"/>
      <c r="B3848" s="21" t="s">
        <v>9331</v>
      </c>
      <c r="C3848" s="21" t="s">
        <v>9332</v>
      </c>
      <c r="D3848" s="21" t="s">
        <v>2035</v>
      </c>
      <c r="E3848" s="50" t="b">
        <v>1</v>
      </c>
      <c r="F3848" s="72" t="str">
        <f>HYPERLINK("http://nsgreg.nga.mil/genc/view?v=295469&amp;end_month=6&amp;end_day=30&amp;end_year=2019","Inner Islands")</f>
        <v>Inner Islands</v>
      </c>
      <c r="G3848" s="72" t="str">
        <f>HYPERLINK("http://api.nsgreg.nga.mil/geo-division/GENC/6/3-11/SC-15","as:GENC:6:3-11:SC-15")</f>
        <v>as:GENC:6:3-11:SC-15</v>
      </c>
    </row>
    <row r="3849" spans="1:7" x14ac:dyDescent="0.25">
      <c r="A3849" s="112"/>
      <c r="B3849" s="21" t="s">
        <v>9333</v>
      </c>
      <c r="C3849" s="21" t="s">
        <v>9334</v>
      </c>
      <c r="D3849" s="21" t="s">
        <v>2035</v>
      </c>
      <c r="E3849" s="50" t="b">
        <v>1</v>
      </c>
      <c r="F3849" s="72" t="str">
        <f>HYPERLINK("http://nsgreg.nga.mil/genc/view?v=295478&amp;end_month=6&amp;end_day=30&amp;end_year=2019","Les Mamelles")</f>
        <v>Les Mamelles</v>
      </c>
      <c r="G3849" s="72" t="str">
        <f>HYPERLINK("http://api.nsgreg.nga.mil/geo-division/GENC/6/3-11/SC-24","as:GENC:6:3-11:SC-24")</f>
        <v>as:GENC:6:3-11:SC-24</v>
      </c>
    </row>
    <row r="3850" spans="1:7" x14ac:dyDescent="0.25">
      <c r="A3850" s="112"/>
      <c r="B3850" s="21" t="s">
        <v>9335</v>
      </c>
      <c r="C3850" s="21" t="s">
        <v>9336</v>
      </c>
      <c r="D3850" s="21" t="s">
        <v>2035</v>
      </c>
      <c r="E3850" s="50" t="b">
        <v>1</v>
      </c>
      <c r="F3850" s="72" t="str">
        <f>HYPERLINK("http://nsgreg.nga.mil/genc/view?v=295471&amp;end_month=6&amp;end_day=30&amp;end_year=2019","Mont Buxton")</f>
        <v>Mont Buxton</v>
      </c>
      <c r="G3850" s="72" t="str">
        <f>HYPERLINK("http://api.nsgreg.nga.mil/geo-division/GENC/6/3-11/SC-17","as:GENC:6:3-11:SC-17")</f>
        <v>as:GENC:6:3-11:SC-17</v>
      </c>
    </row>
    <row r="3851" spans="1:7" x14ac:dyDescent="0.25">
      <c r="A3851" s="112"/>
      <c r="B3851" s="21" t="s">
        <v>9337</v>
      </c>
      <c r="C3851" s="21" t="s">
        <v>9338</v>
      </c>
      <c r="D3851" s="21" t="s">
        <v>2035</v>
      </c>
      <c r="E3851" s="50" t="b">
        <v>1</v>
      </c>
      <c r="F3851" s="72" t="str">
        <f>HYPERLINK("http://nsgreg.nga.mil/genc/view?v=295472&amp;end_month=6&amp;end_day=30&amp;end_year=2019","Mont Fleuri")</f>
        <v>Mont Fleuri</v>
      </c>
      <c r="G3851" s="72" t="str">
        <f>HYPERLINK("http://api.nsgreg.nga.mil/geo-division/GENC/6/3-11/SC-18","as:GENC:6:3-11:SC-18")</f>
        <v>as:GENC:6:3-11:SC-18</v>
      </c>
    </row>
    <row r="3852" spans="1:7" x14ac:dyDescent="0.25">
      <c r="A3852" s="112"/>
      <c r="B3852" s="21" t="s">
        <v>9339</v>
      </c>
      <c r="C3852" s="21" t="s">
        <v>9340</v>
      </c>
      <c r="D3852" s="21" t="s">
        <v>2035</v>
      </c>
      <c r="E3852" s="50" t="b">
        <v>1</v>
      </c>
      <c r="F3852" s="72" t="str">
        <f>HYPERLINK("http://nsgreg.nga.mil/genc/view?v=295473&amp;end_month=6&amp;end_day=30&amp;end_year=2019","Plaisance")</f>
        <v>Plaisance</v>
      </c>
      <c r="G3852" s="72" t="str">
        <f>HYPERLINK("http://api.nsgreg.nga.mil/geo-division/GENC/6/3-11/SC-19","as:GENC:6:3-11:SC-19")</f>
        <v>as:GENC:6:3-11:SC-19</v>
      </c>
    </row>
    <row r="3853" spans="1:7" x14ac:dyDescent="0.25">
      <c r="A3853" s="112"/>
      <c r="B3853" s="21" t="s">
        <v>9341</v>
      </c>
      <c r="C3853" s="21" t="s">
        <v>9342</v>
      </c>
      <c r="D3853" s="21" t="s">
        <v>2035</v>
      </c>
      <c r="E3853" s="50" t="b">
        <v>1</v>
      </c>
      <c r="F3853" s="72" t="str">
        <f>HYPERLINK("http://nsgreg.nga.mil/genc/view?v=295474&amp;end_month=6&amp;end_day=30&amp;end_year=2019","Pointe Larue")</f>
        <v>Pointe Larue</v>
      </c>
      <c r="G3853" s="72" t="str">
        <f>HYPERLINK("http://api.nsgreg.nga.mil/geo-division/GENC/6/3-11/SC-20","as:GENC:6:3-11:SC-20")</f>
        <v>as:GENC:6:3-11:SC-20</v>
      </c>
    </row>
    <row r="3854" spans="1:7" x14ac:dyDescent="0.25">
      <c r="A3854" s="112"/>
      <c r="B3854" s="21" t="s">
        <v>9343</v>
      </c>
      <c r="C3854" s="21" t="s">
        <v>9344</v>
      </c>
      <c r="D3854" s="21" t="s">
        <v>2035</v>
      </c>
      <c r="E3854" s="50" t="b">
        <v>1</v>
      </c>
      <c r="F3854" s="72" t="str">
        <f>HYPERLINK("http://nsgreg.nga.mil/genc/view?v=295475&amp;end_month=6&amp;end_day=30&amp;end_year=2019","Port Glaud")</f>
        <v>Port Glaud</v>
      </c>
      <c r="G3854" s="72" t="str">
        <f>HYPERLINK("http://api.nsgreg.nga.mil/geo-division/GENC/6/3-11/SC-21","as:GENC:6:3-11:SC-21")</f>
        <v>as:GENC:6:3-11:SC-21</v>
      </c>
    </row>
    <row r="3855" spans="1:7" x14ac:dyDescent="0.25">
      <c r="A3855" s="112"/>
      <c r="B3855" s="21" t="s">
        <v>9345</v>
      </c>
      <c r="C3855" s="21" t="s">
        <v>9346</v>
      </c>
      <c r="D3855" s="21" t="s">
        <v>2035</v>
      </c>
      <c r="E3855" s="50" t="b">
        <v>1</v>
      </c>
      <c r="F3855" s="72" t="str">
        <f>HYPERLINK("http://nsgreg.nga.mil/genc/view?v=295479&amp;end_month=6&amp;end_day=30&amp;end_year=2019","Roche Caiman")</f>
        <v>Roche Caiman</v>
      </c>
      <c r="G3855" s="72" t="str">
        <f>HYPERLINK("http://api.nsgreg.nga.mil/geo-division/GENC/6/3-11/SC-25","as:GENC:6:3-11:SC-25")</f>
        <v>as:GENC:6:3-11:SC-25</v>
      </c>
    </row>
    <row r="3856" spans="1:7" x14ac:dyDescent="0.25">
      <c r="A3856" s="112"/>
      <c r="B3856" s="21" t="s">
        <v>9347</v>
      </c>
      <c r="C3856" s="21" t="s">
        <v>9348</v>
      </c>
      <c r="D3856" s="21" t="s">
        <v>2035</v>
      </c>
      <c r="E3856" s="50" t="b">
        <v>1</v>
      </c>
      <c r="F3856" s="72" t="str">
        <f>HYPERLINK("http://nsgreg.nga.mil/genc/view?v=295476&amp;end_month=6&amp;end_day=30&amp;end_year=2019","Saint Louis")</f>
        <v>Saint Louis</v>
      </c>
      <c r="G3856" s="72" t="str">
        <f>HYPERLINK("http://api.nsgreg.nga.mil/geo-division/GENC/6/3-11/SC-22","as:GENC:6:3-11:SC-22")</f>
        <v>as:GENC:6:3-11:SC-22</v>
      </c>
    </row>
    <row r="3857" spans="1:7" x14ac:dyDescent="0.25">
      <c r="A3857" s="113"/>
      <c r="B3857" s="47" t="s">
        <v>9349</v>
      </c>
      <c r="C3857" s="47" t="s">
        <v>9350</v>
      </c>
      <c r="D3857" s="47" t="s">
        <v>2035</v>
      </c>
      <c r="E3857" s="51" t="b">
        <v>1</v>
      </c>
      <c r="F3857" s="73" t="str">
        <f>HYPERLINK("http://nsgreg.nga.mil/genc/view?v=295477&amp;end_month=6&amp;end_day=30&amp;end_year=2019","Takamaka")</f>
        <v>Takamaka</v>
      </c>
      <c r="G3857" s="73" t="str">
        <f>HYPERLINK("http://api.nsgreg.nga.mil/geo-division/GENC/6/3-11/SC-23","as:GENC:6:3-11:SC-23")</f>
        <v>as:GENC:6:3-11:SC-23</v>
      </c>
    </row>
    <row r="3858" spans="1:7" x14ac:dyDescent="0.25">
      <c r="A3858" s="111" t="str">
        <f>HYPERLINK("[#]Codes_for_GE_Names!A229:I229","SIERRA LEONE")</f>
        <v>SIERRA LEONE</v>
      </c>
      <c r="B3858" s="42" t="s">
        <v>9351</v>
      </c>
      <c r="C3858" s="42" t="s">
        <v>4113</v>
      </c>
      <c r="D3858" s="42" t="s">
        <v>1668</v>
      </c>
      <c r="E3858" s="49" t="b">
        <v>1</v>
      </c>
      <c r="F3858" s="74" t="str">
        <f>HYPERLINK("http://nsgreg.nga.mil/genc/view?v=295747&amp;end_month=6&amp;end_day=30&amp;end_year=2019","Eastern")</f>
        <v>Eastern</v>
      </c>
      <c r="G3858" s="74" t="str">
        <f>HYPERLINK("http://api.nsgreg.nga.mil/geo-division/GENC/6/3-11/SL-E","as:GENC:6:3-11:SL-E")</f>
        <v>as:GENC:6:3-11:SL-E</v>
      </c>
    </row>
    <row r="3859" spans="1:7" x14ac:dyDescent="0.25">
      <c r="A3859" s="112"/>
      <c r="B3859" s="21" t="s">
        <v>9352</v>
      </c>
      <c r="C3859" s="21" t="s">
        <v>4121</v>
      </c>
      <c r="D3859" s="21" t="s">
        <v>1668</v>
      </c>
      <c r="E3859" s="50" t="b">
        <v>1</v>
      </c>
      <c r="F3859" s="72" t="str">
        <f>HYPERLINK("http://nsgreg.nga.mil/genc/view?v=295748&amp;end_month=6&amp;end_day=30&amp;end_year=2019","Northern")</f>
        <v>Northern</v>
      </c>
      <c r="G3859" s="72" t="str">
        <f>HYPERLINK("http://api.nsgreg.nga.mil/geo-division/GENC/6/3-11/SL-N","as:GENC:6:3-11:SL-N")</f>
        <v>as:GENC:6:3-11:SL-N</v>
      </c>
    </row>
    <row r="3860" spans="1:7" x14ac:dyDescent="0.25">
      <c r="A3860" s="112"/>
      <c r="B3860" s="21" t="s">
        <v>9353</v>
      </c>
      <c r="C3860" s="21" t="s">
        <v>9354</v>
      </c>
      <c r="D3860" s="21" t="s">
        <v>1668</v>
      </c>
      <c r="E3860" s="50" t="b">
        <v>1</v>
      </c>
      <c r="F3860" s="72" t="str">
        <f>HYPERLINK("http://nsgreg.nga.mil/genc/view?v=295749&amp;end_month=6&amp;end_day=30&amp;end_year=2019","North Western")</f>
        <v>North Western</v>
      </c>
      <c r="G3860" s="72" t="str">
        <f>HYPERLINK("http://api.nsgreg.nga.mil/geo-division/GENC/6/3-11/SL-NW","as:GENC:6:3-11:SL-NW")</f>
        <v>as:GENC:6:3-11:SL-NW</v>
      </c>
    </row>
    <row r="3861" spans="1:7" x14ac:dyDescent="0.25">
      <c r="A3861" s="112"/>
      <c r="B3861" s="21" t="s">
        <v>9355</v>
      </c>
      <c r="C3861" s="21" t="s">
        <v>2624</v>
      </c>
      <c r="D3861" s="21" t="s">
        <v>1668</v>
      </c>
      <c r="E3861" s="50" t="b">
        <v>1</v>
      </c>
      <c r="F3861" s="72" t="str">
        <f>HYPERLINK("http://nsgreg.nga.mil/genc/view?v=295750&amp;end_month=6&amp;end_day=30&amp;end_year=2019","Southern")</f>
        <v>Southern</v>
      </c>
      <c r="G3861" s="72" t="str">
        <f>HYPERLINK("http://api.nsgreg.nga.mil/geo-division/GENC/6/3-11/SL-S","as:GENC:6:3-11:SL-S")</f>
        <v>as:GENC:6:3-11:SL-S</v>
      </c>
    </row>
    <row r="3862" spans="1:7" x14ac:dyDescent="0.25">
      <c r="A3862" s="113"/>
      <c r="B3862" s="47" t="s">
        <v>9356</v>
      </c>
      <c r="C3862" s="47" t="s">
        <v>9357</v>
      </c>
      <c r="D3862" s="47" t="s">
        <v>1668</v>
      </c>
      <c r="E3862" s="51" t="b">
        <v>1</v>
      </c>
      <c r="F3862" s="73" t="str">
        <f>HYPERLINK("http://nsgreg.nga.mil/genc/view?v=295751&amp;end_month=6&amp;end_day=30&amp;end_year=2019","Western Area")</f>
        <v>Western Area</v>
      </c>
      <c r="G3862" s="73" t="str">
        <f>HYPERLINK("http://api.nsgreg.nga.mil/geo-division/GENC/6/3-11/SL-W","as:GENC:6:3-11:SL-W")</f>
        <v>as:GENC:6:3-11:SL-W</v>
      </c>
    </row>
    <row r="3863" spans="1:7" x14ac:dyDescent="0.25">
      <c r="A3863" s="111" t="str">
        <f>HYPERLINK("[#]Codes_for_GE_Names!A230:I230","SINGAPORE")</f>
        <v>SINGAPORE</v>
      </c>
      <c r="B3863" s="42" t="s">
        <v>9358</v>
      </c>
      <c r="C3863" s="42" t="s">
        <v>9359</v>
      </c>
      <c r="D3863" s="80" t="s">
        <v>2035</v>
      </c>
      <c r="E3863" s="81" t="b">
        <v>0</v>
      </c>
      <c r="F3863" s="74" t="str">
        <f>HYPERLINK("http://nsgreg.nga.mil/genc/view?v=295519&amp;end_month=6&amp;end_day=30&amp;end_year=2019","Central Singapore")</f>
        <v>Central Singapore</v>
      </c>
      <c r="G3863" s="74" t="str">
        <f>HYPERLINK("http://api.nsgreg.nga.mil/geo-division/GENC/6/3-11/SG-01","as:GENC:6:3-11:SG-01")</f>
        <v>as:GENC:6:3-11:SG-01</v>
      </c>
    </row>
    <row r="3864" spans="1:7" x14ac:dyDescent="0.25">
      <c r="A3864" s="112"/>
      <c r="B3864" s="21" t="s">
        <v>9360</v>
      </c>
      <c r="C3864" s="21" t="s">
        <v>2616</v>
      </c>
      <c r="D3864" s="76" t="s">
        <v>2035</v>
      </c>
      <c r="E3864" s="77" t="b">
        <v>0</v>
      </c>
      <c r="F3864" s="72" t="str">
        <f>HYPERLINK("http://nsgreg.nga.mil/genc/view?v=295520&amp;end_month=6&amp;end_day=30&amp;end_year=2019","North East")</f>
        <v>North East</v>
      </c>
      <c r="G3864" s="72" t="str">
        <f>HYPERLINK("http://api.nsgreg.nga.mil/geo-division/GENC/6/3-11/SG-02","as:GENC:6:3-11:SG-02")</f>
        <v>as:GENC:6:3-11:SG-02</v>
      </c>
    </row>
    <row r="3865" spans="1:7" x14ac:dyDescent="0.25">
      <c r="A3865" s="112"/>
      <c r="B3865" s="21" t="s">
        <v>9361</v>
      </c>
      <c r="C3865" s="21" t="s">
        <v>2618</v>
      </c>
      <c r="D3865" s="76" t="s">
        <v>2035</v>
      </c>
      <c r="E3865" s="77" t="b">
        <v>0</v>
      </c>
      <c r="F3865" s="72" t="str">
        <f>HYPERLINK("http://nsgreg.nga.mil/genc/view?v=295521&amp;end_month=6&amp;end_day=30&amp;end_year=2019","North West")</f>
        <v>North West</v>
      </c>
      <c r="G3865" s="72" t="str">
        <f>HYPERLINK("http://api.nsgreg.nga.mil/geo-division/GENC/6/3-11/SG-03","as:GENC:6:3-11:SG-03")</f>
        <v>as:GENC:6:3-11:SG-03</v>
      </c>
    </row>
    <row r="3866" spans="1:7" x14ac:dyDescent="0.25">
      <c r="A3866" s="112"/>
      <c r="B3866" s="21" t="s">
        <v>9362</v>
      </c>
      <c r="C3866" s="21" t="s">
        <v>2622</v>
      </c>
      <c r="D3866" s="76" t="s">
        <v>2035</v>
      </c>
      <c r="E3866" s="77" t="b">
        <v>0</v>
      </c>
      <c r="F3866" s="72" t="str">
        <f>HYPERLINK("http://nsgreg.nga.mil/genc/view?v=295522&amp;end_month=6&amp;end_day=30&amp;end_year=2019","South East")</f>
        <v>South East</v>
      </c>
      <c r="G3866" s="72" t="str">
        <f>HYPERLINK("http://api.nsgreg.nga.mil/geo-division/GENC/6/3-11/SG-04","as:GENC:6:3-11:SG-04")</f>
        <v>as:GENC:6:3-11:SG-04</v>
      </c>
    </row>
    <row r="3867" spans="1:7" x14ac:dyDescent="0.25">
      <c r="A3867" s="113"/>
      <c r="B3867" s="47" t="s">
        <v>9363</v>
      </c>
      <c r="C3867" s="47" t="s">
        <v>9364</v>
      </c>
      <c r="D3867" s="78" t="s">
        <v>2035</v>
      </c>
      <c r="E3867" s="79" t="b">
        <v>0</v>
      </c>
      <c r="F3867" s="73" t="str">
        <f>HYPERLINK("http://nsgreg.nga.mil/genc/view?v=295523&amp;end_month=6&amp;end_day=30&amp;end_year=2019","South West")</f>
        <v>South West</v>
      </c>
      <c r="G3867" s="73" t="str">
        <f>HYPERLINK("http://api.nsgreg.nga.mil/geo-division/GENC/6/3-11/SG-05","as:GENC:6:3-11:SG-05")</f>
        <v>as:GENC:6:3-11:SG-05</v>
      </c>
    </row>
    <row r="3868" spans="1:7" x14ac:dyDescent="0.25">
      <c r="A3868" s="111" t="str">
        <f>HYPERLINK("[#]Codes_for_GE_Names!A232:I232","SLOVAKIA")</f>
        <v>SLOVAKIA</v>
      </c>
      <c r="B3868" s="42" t="s">
        <v>9365</v>
      </c>
      <c r="C3868" s="42" t="s">
        <v>9366</v>
      </c>
      <c r="D3868" s="42" t="s">
        <v>2035</v>
      </c>
      <c r="E3868" s="49" t="b">
        <v>1</v>
      </c>
      <c r="F3868" s="74" t="str">
        <f>HYPERLINK("http://nsgreg.nga.mil/genc/view?v=295739&amp;end_month=6&amp;end_day=30&amp;end_year=2019","Banskobystrický")</f>
        <v>Banskobystrický</v>
      </c>
      <c r="G3868" s="74" t="str">
        <f>HYPERLINK("http://api.nsgreg.nga.mil/geo-division/GENC/6/3-11/SK-BC","as:GENC:6:3-11:SK-BC")</f>
        <v>as:GENC:6:3-11:SK-BC</v>
      </c>
    </row>
    <row r="3869" spans="1:7" x14ac:dyDescent="0.25">
      <c r="A3869" s="112"/>
      <c r="B3869" s="21" t="s">
        <v>9367</v>
      </c>
      <c r="C3869" s="21" t="s">
        <v>9368</v>
      </c>
      <c r="D3869" s="21" t="s">
        <v>2035</v>
      </c>
      <c r="E3869" s="50" t="b">
        <v>1</v>
      </c>
      <c r="F3869" s="72" t="str">
        <f>HYPERLINK("http://nsgreg.nga.mil/genc/view?v=295740&amp;end_month=6&amp;end_day=30&amp;end_year=2019","Bratislavský")</f>
        <v>Bratislavský</v>
      </c>
      <c r="G3869" s="72" t="str">
        <f>HYPERLINK("http://api.nsgreg.nga.mil/geo-division/GENC/6/3-11/SK-BL","as:GENC:6:3-11:SK-BL")</f>
        <v>as:GENC:6:3-11:SK-BL</v>
      </c>
    </row>
    <row r="3870" spans="1:7" x14ac:dyDescent="0.25">
      <c r="A3870" s="112"/>
      <c r="B3870" s="21" t="s">
        <v>9369</v>
      </c>
      <c r="C3870" s="21" t="s">
        <v>9370</v>
      </c>
      <c r="D3870" s="21" t="s">
        <v>2035</v>
      </c>
      <c r="E3870" s="50" t="b">
        <v>1</v>
      </c>
      <c r="F3870" s="72" t="str">
        <f>HYPERLINK("http://nsgreg.nga.mil/genc/view?v=295741&amp;end_month=6&amp;end_day=30&amp;end_year=2019","Košický")</f>
        <v>Košický</v>
      </c>
      <c r="G3870" s="72" t="str">
        <f>HYPERLINK("http://api.nsgreg.nga.mil/geo-division/GENC/6/3-11/SK-KI","as:GENC:6:3-11:SK-KI")</f>
        <v>as:GENC:6:3-11:SK-KI</v>
      </c>
    </row>
    <row r="3871" spans="1:7" x14ac:dyDescent="0.25">
      <c r="A3871" s="112"/>
      <c r="B3871" s="21" t="s">
        <v>9371</v>
      </c>
      <c r="C3871" s="21" t="s">
        <v>9372</v>
      </c>
      <c r="D3871" s="21" t="s">
        <v>2035</v>
      </c>
      <c r="E3871" s="50" t="b">
        <v>1</v>
      </c>
      <c r="F3871" s="72" t="str">
        <f>HYPERLINK("http://nsgreg.nga.mil/genc/view?v=295742&amp;end_month=6&amp;end_day=30&amp;end_year=2019","Nitriansky")</f>
        <v>Nitriansky</v>
      </c>
      <c r="G3871" s="72" t="str">
        <f>HYPERLINK("http://api.nsgreg.nga.mil/geo-division/GENC/6/3-11/SK-NI","as:GENC:6:3-11:SK-NI")</f>
        <v>as:GENC:6:3-11:SK-NI</v>
      </c>
    </row>
    <row r="3872" spans="1:7" x14ac:dyDescent="0.25">
      <c r="A3872" s="112"/>
      <c r="B3872" s="21" t="s">
        <v>9373</v>
      </c>
      <c r="C3872" s="21" t="s">
        <v>9374</v>
      </c>
      <c r="D3872" s="21" t="s">
        <v>2035</v>
      </c>
      <c r="E3872" s="50" t="b">
        <v>1</v>
      </c>
      <c r="F3872" s="72" t="str">
        <f>HYPERLINK("http://nsgreg.nga.mil/genc/view?v=295743&amp;end_month=6&amp;end_day=30&amp;end_year=2019","Prešovský")</f>
        <v>Prešovský</v>
      </c>
      <c r="G3872" s="72" t="str">
        <f>HYPERLINK("http://api.nsgreg.nga.mil/geo-division/GENC/6/3-11/SK-PV","as:GENC:6:3-11:SK-PV")</f>
        <v>as:GENC:6:3-11:SK-PV</v>
      </c>
    </row>
    <row r="3873" spans="1:7" x14ac:dyDescent="0.25">
      <c r="A3873" s="112"/>
      <c r="B3873" s="21" t="s">
        <v>9375</v>
      </c>
      <c r="C3873" s="21" t="s">
        <v>9376</v>
      </c>
      <c r="D3873" s="21" t="s">
        <v>2035</v>
      </c>
      <c r="E3873" s="50" t="b">
        <v>1</v>
      </c>
      <c r="F3873" s="72" t="str">
        <f>HYPERLINK("http://nsgreg.nga.mil/genc/view?v=295745&amp;end_month=6&amp;end_day=30&amp;end_year=2019","Trenčiansky")</f>
        <v>Trenčiansky</v>
      </c>
      <c r="G3873" s="72" t="str">
        <f>HYPERLINK("http://api.nsgreg.nga.mil/geo-division/GENC/6/3-11/SK-TC","as:GENC:6:3-11:SK-TC")</f>
        <v>as:GENC:6:3-11:SK-TC</v>
      </c>
    </row>
    <row r="3874" spans="1:7" x14ac:dyDescent="0.25">
      <c r="A3874" s="112"/>
      <c r="B3874" s="21" t="s">
        <v>9377</v>
      </c>
      <c r="C3874" s="21" t="s">
        <v>9378</v>
      </c>
      <c r="D3874" s="21" t="s">
        <v>2035</v>
      </c>
      <c r="E3874" s="50" t="b">
        <v>1</v>
      </c>
      <c r="F3874" s="72" t="str">
        <f>HYPERLINK("http://nsgreg.nga.mil/genc/view?v=295744&amp;end_month=6&amp;end_day=30&amp;end_year=2019","Trnavský")</f>
        <v>Trnavský</v>
      </c>
      <c r="G3874" s="72" t="str">
        <f>HYPERLINK("http://api.nsgreg.nga.mil/geo-division/GENC/6/3-11/SK-TA","as:GENC:6:3-11:SK-TA")</f>
        <v>as:GENC:6:3-11:SK-TA</v>
      </c>
    </row>
    <row r="3875" spans="1:7" x14ac:dyDescent="0.25">
      <c r="A3875" s="113"/>
      <c r="B3875" s="47" t="s">
        <v>9379</v>
      </c>
      <c r="C3875" s="47" t="s">
        <v>9380</v>
      </c>
      <c r="D3875" s="47" t="s">
        <v>2035</v>
      </c>
      <c r="E3875" s="51" t="b">
        <v>1</v>
      </c>
      <c r="F3875" s="73" t="str">
        <f>HYPERLINK("http://nsgreg.nga.mil/genc/view?v=295746&amp;end_month=6&amp;end_day=30&amp;end_year=2019","Žilinský")</f>
        <v>Žilinský</v>
      </c>
      <c r="G3875" s="73" t="str">
        <f>HYPERLINK("http://api.nsgreg.nga.mil/geo-division/GENC/6/3-11/SK-ZI","as:GENC:6:3-11:SK-ZI")</f>
        <v>as:GENC:6:3-11:SK-ZI</v>
      </c>
    </row>
    <row r="3876" spans="1:7" x14ac:dyDescent="0.25">
      <c r="A3876" s="111" t="str">
        <f>HYPERLINK("[#]Codes_for_GE_Names!A233:I233","SLOVENIA")</f>
        <v>SLOVENIA</v>
      </c>
      <c r="B3876" s="42" t="s">
        <v>9381</v>
      </c>
      <c r="C3876" s="42" t="s">
        <v>9382</v>
      </c>
      <c r="D3876" s="42" t="s">
        <v>2505</v>
      </c>
      <c r="E3876" s="49" t="b">
        <v>1</v>
      </c>
      <c r="F3876" s="74" t="str">
        <f>HYPERLINK("http://nsgreg.nga.mil/genc/view?v=295527&amp;end_month=6&amp;end_day=30&amp;end_year=2019","Ajdovščina")</f>
        <v>Ajdovščina</v>
      </c>
      <c r="G3876" s="74" t="str">
        <f>HYPERLINK("http://api.nsgreg.nga.mil/geo-division/GENC/6/3-11/SI-001","as:GENC:6:3-11:SI-001")</f>
        <v>as:GENC:6:3-11:SI-001</v>
      </c>
    </row>
    <row r="3877" spans="1:7" x14ac:dyDescent="0.25">
      <c r="A3877" s="112"/>
      <c r="B3877" s="21" t="s">
        <v>9383</v>
      </c>
      <c r="C3877" s="21" t="s">
        <v>9384</v>
      </c>
      <c r="D3877" s="21" t="s">
        <v>2505</v>
      </c>
      <c r="E3877" s="50" t="b">
        <v>1</v>
      </c>
      <c r="F3877" s="72" t="str">
        <f>HYPERLINK("http://nsgreg.nga.mil/genc/view?v=295738&amp;end_month=6&amp;end_day=30&amp;end_year=2019","Ankaran")</f>
        <v>Ankaran</v>
      </c>
      <c r="G3877" s="72" t="str">
        <f>HYPERLINK("http://api.nsgreg.nga.mil/geo-division/GENC/6/3-11/SI-213","as:GENC:6:3-11:SI-213")</f>
        <v>as:GENC:6:3-11:SI-213</v>
      </c>
    </row>
    <row r="3878" spans="1:7" x14ac:dyDescent="0.25">
      <c r="A3878" s="112"/>
      <c r="B3878" s="21" t="s">
        <v>9385</v>
      </c>
      <c r="C3878" s="21" t="s">
        <v>9386</v>
      </c>
      <c r="D3878" s="21" t="s">
        <v>2505</v>
      </c>
      <c r="E3878" s="50" t="b">
        <v>1</v>
      </c>
      <c r="F3878" s="72" t="str">
        <f>HYPERLINK("http://nsgreg.nga.mil/genc/view?v=295720&amp;end_month=6&amp;end_day=30&amp;end_year=2019","Apače")</f>
        <v>Apače</v>
      </c>
      <c r="G3878" s="72" t="str">
        <f>HYPERLINK("http://api.nsgreg.nga.mil/geo-division/GENC/6/3-11/SI-195","as:GENC:6:3-11:SI-195")</f>
        <v>as:GENC:6:3-11:SI-195</v>
      </c>
    </row>
    <row r="3879" spans="1:7" x14ac:dyDescent="0.25">
      <c r="A3879" s="112"/>
      <c r="B3879" s="21" t="s">
        <v>9387</v>
      </c>
      <c r="C3879" s="21" t="s">
        <v>9388</v>
      </c>
      <c r="D3879" s="21" t="s">
        <v>2505</v>
      </c>
      <c r="E3879" s="50" t="b">
        <v>1</v>
      </c>
      <c r="F3879" s="72" t="str">
        <f>HYPERLINK("http://nsgreg.nga.mil/genc/view?v=295528&amp;end_month=6&amp;end_day=30&amp;end_year=2019","Beltinci")</f>
        <v>Beltinci</v>
      </c>
      <c r="G3879" s="72" t="str">
        <f>HYPERLINK("http://api.nsgreg.nga.mil/geo-division/GENC/6/3-11/SI-002","as:GENC:6:3-11:SI-002")</f>
        <v>as:GENC:6:3-11:SI-002</v>
      </c>
    </row>
    <row r="3880" spans="1:7" x14ac:dyDescent="0.25">
      <c r="A3880" s="112"/>
      <c r="B3880" s="21" t="s">
        <v>9389</v>
      </c>
      <c r="C3880" s="21" t="s">
        <v>9390</v>
      </c>
      <c r="D3880" s="21" t="s">
        <v>2505</v>
      </c>
      <c r="E3880" s="50" t="b">
        <v>1</v>
      </c>
      <c r="F3880" s="72" t="str">
        <f>HYPERLINK("http://nsgreg.nga.mil/genc/view?v=295673&amp;end_month=6&amp;end_day=30&amp;end_year=2019","Benedikt")</f>
        <v>Benedikt</v>
      </c>
      <c r="G3880" s="72" t="str">
        <f>HYPERLINK("http://api.nsgreg.nga.mil/geo-division/GENC/6/3-11/SI-148","as:GENC:6:3-11:SI-148")</f>
        <v>as:GENC:6:3-11:SI-148</v>
      </c>
    </row>
    <row r="3881" spans="1:7" x14ac:dyDescent="0.25">
      <c r="A3881" s="112"/>
      <c r="B3881" s="21" t="s">
        <v>9391</v>
      </c>
      <c r="C3881" s="21" t="s">
        <v>9392</v>
      </c>
      <c r="D3881" s="21" t="s">
        <v>2505</v>
      </c>
      <c r="E3881" s="50" t="b">
        <v>1</v>
      </c>
      <c r="F3881" s="72" t="str">
        <f>HYPERLINK("http://nsgreg.nga.mil/genc/view?v=295674&amp;end_month=6&amp;end_day=30&amp;end_year=2019","Bistrica ob Sotli")</f>
        <v>Bistrica ob Sotli</v>
      </c>
      <c r="G3881" s="72" t="str">
        <f>HYPERLINK("http://api.nsgreg.nga.mil/geo-division/GENC/6/3-11/SI-149","as:GENC:6:3-11:SI-149")</f>
        <v>as:GENC:6:3-11:SI-149</v>
      </c>
    </row>
    <row r="3882" spans="1:7" x14ac:dyDescent="0.25">
      <c r="A3882" s="112"/>
      <c r="B3882" s="21" t="s">
        <v>9393</v>
      </c>
      <c r="C3882" s="21" t="s">
        <v>9394</v>
      </c>
      <c r="D3882" s="21" t="s">
        <v>2505</v>
      </c>
      <c r="E3882" s="50" t="b">
        <v>1</v>
      </c>
      <c r="F3882" s="72" t="str">
        <f>HYPERLINK("http://nsgreg.nga.mil/genc/view?v=295529&amp;end_month=6&amp;end_day=30&amp;end_year=2019","Bled")</f>
        <v>Bled</v>
      </c>
      <c r="G3882" s="72" t="str">
        <f>HYPERLINK("http://api.nsgreg.nga.mil/geo-division/GENC/6/3-11/SI-003","as:GENC:6:3-11:SI-003")</f>
        <v>as:GENC:6:3-11:SI-003</v>
      </c>
    </row>
    <row r="3883" spans="1:7" x14ac:dyDescent="0.25">
      <c r="A3883" s="112"/>
      <c r="B3883" s="21" t="s">
        <v>9395</v>
      </c>
      <c r="C3883" s="21" t="s">
        <v>9396</v>
      </c>
      <c r="D3883" s="21" t="s">
        <v>2505</v>
      </c>
      <c r="E3883" s="50" t="b">
        <v>1</v>
      </c>
      <c r="F3883" s="72" t="str">
        <f>HYPERLINK("http://nsgreg.nga.mil/genc/view?v=295675&amp;end_month=6&amp;end_day=30&amp;end_year=2019","Bloke")</f>
        <v>Bloke</v>
      </c>
      <c r="G3883" s="72" t="str">
        <f>HYPERLINK("http://api.nsgreg.nga.mil/geo-division/GENC/6/3-11/SI-150","as:GENC:6:3-11:SI-150")</f>
        <v>as:GENC:6:3-11:SI-150</v>
      </c>
    </row>
    <row r="3884" spans="1:7" x14ac:dyDescent="0.25">
      <c r="A3884" s="112"/>
      <c r="B3884" s="21" t="s">
        <v>9397</v>
      </c>
      <c r="C3884" s="21" t="s">
        <v>9398</v>
      </c>
      <c r="D3884" s="21" t="s">
        <v>2505</v>
      </c>
      <c r="E3884" s="50" t="b">
        <v>1</v>
      </c>
      <c r="F3884" s="72" t="str">
        <f>HYPERLINK("http://nsgreg.nga.mil/genc/view?v=295530&amp;end_month=6&amp;end_day=30&amp;end_year=2019","Bohinj")</f>
        <v>Bohinj</v>
      </c>
      <c r="G3884" s="72" t="str">
        <f>HYPERLINK("http://api.nsgreg.nga.mil/geo-division/GENC/6/3-11/SI-004","as:GENC:6:3-11:SI-004")</f>
        <v>as:GENC:6:3-11:SI-004</v>
      </c>
    </row>
    <row r="3885" spans="1:7" x14ac:dyDescent="0.25">
      <c r="A3885" s="112"/>
      <c r="B3885" s="21" t="s">
        <v>9399</v>
      </c>
      <c r="C3885" s="21" t="s">
        <v>9400</v>
      </c>
      <c r="D3885" s="21" t="s">
        <v>2505</v>
      </c>
      <c r="E3885" s="50" t="b">
        <v>1</v>
      </c>
      <c r="F3885" s="72" t="str">
        <f>HYPERLINK("http://nsgreg.nga.mil/genc/view?v=295531&amp;end_month=6&amp;end_day=30&amp;end_year=2019","Borovnica")</f>
        <v>Borovnica</v>
      </c>
      <c r="G3885" s="72" t="str">
        <f>HYPERLINK("http://api.nsgreg.nga.mil/geo-division/GENC/6/3-11/SI-005","as:GENC:6:3-11:SI-005")</f>
        <v>as:GENC:6:3-11:SI-005</v>
      </c>
    </row>
    <row r="3886" spans="1:7" x14ac:dyDescent="0.25">
      <c r="A3886" s="112"/>
      <c r="B3886" s="21" t="s">
        <v>9401</v>
      </c>
      <c r="C3886" s="21" t="s">
        <v>9402</v>
      </c>
      <c r="D3886" s="21" t="s">
        <v>2505</v>
      </c>
      <c r="E3886" s="50" t="b">
        <v>1</v>
      </c>
      <c r="F3886" s="72" t="str">
        <f>HYPERLINK("http://nsgreg.nga.mil/genc/view?v=295532&amp;end_month=6&amp;end_day=30&amp;end_year=2019","Bovec")</f>
        <v>Bovec</v>
      </c>
      <c r="G3886" s="72" t="str">
        <f>HYPERLINK("http://api.nsgreg.nga.mil/geo-division/GENC/6/3-11/SI-006","as:GENC:6:3-11:SI-006")</f>
        <v>as:GENC:6:3-11:SI-006</v>
      </c>
    </row>
    <row r="3887" spans="1:7" x14ac:dyDescent="0.25">
      <c r="A3887" s="112"/>
      <c r="B3887" s="21" t="s">
        <v>9403</v>
      </c>
      <c r="C3887" s="21" t="s">
        <v>9404</v>
      </c>
      <c r="D3887" s="21" t="s">
        <v>2505</v>
      </c>
      <c r="E3887" s="50" t="b">
        <v>1</v>
      </c>
      <c r="F3887" s="72" t="str">
        <f>HYPERLINK("http://nsgreg.nga.mil/genc/view?v=295676&amp;end_month=6&amp;end_day=30&amp;end_year=2019","Braslovče")</f>
        <v>Braslovče</v>
      </c>
      <c r="G3887" s="72" t="str">
        <f>HYPERLINK("http://api.nsgreg.nga.mil/geo-division/GENC/6/3-11/SI-151","as:GENC:6:3-11:SI-151")</f>
        <v>as:GENC:6:3-11:SI-151</v>
      </c>
    </row>
    <row r="3888" spans="1:7" x14ac:dyDescent="0.25">
      <c r="A3888" s="112"/>
      <c r="B3888" s="21" t="s">
        <v>9405</v>
      </c>
      <c r="C3888" s="21" t="s">
        <v>9406</v>
      </c>
      <c r="D3888" s="21" t="s">
        <v>2505</v>
      </c>
      <c r="E3888" s="50" t="b">
        <v>1</v>
      </c>
      <c r="F3888" s="72" t="str">
        <f>HYPERLINK("http://nsgreg.nga.mil/genc/view?v=295533&amp;end_month=6&amp;end_day=30&amp;end_year=2019","Brda")</f>
        <v>Brda</v>
      </c>
      <c r="G3888" s="72" t="str">
        <f>HYPERLINK("http://api.nsgreg.nga.mil/geo-division/GENC/6/3-11/SI-007","as:GENC:6:3-11:SI-007")</f>
        <v>as:GENC:6:3-11:SI-007</v>
      </c>
    </row>
    <row r="3889" spans="1:7" x14ac:dyDescent="0.25">
      <c r="A3889" s="112"/>
      <c r="B3889" s="21" t="s">
        <v>9407</v>
      </c>
      <c r="C3889" s="21" t="s">
        <v>9408</v>
      </c>
      <c r="D3889" s="21" t="s">
        <v>2505</v>
      </c>
      <c r="E3889" s="50" t="b">
        <v>1</v>
      </c>
      <c r="F3889" s="72" t="str">
        <f>HYPERLINK("http://nsgreg.nga.mil/genc/view?v=295535&amp;end_month=6&amp;end_day=30&amp;end_year=2019","Brežice")</f>
        <v>Brežice</v>
      </c>
      <c r="G3889" s="72" t="str">
        <f>HYPERLINK("http://api.nsgreg.nga.mil/geo-division/GENC/6/3-11/SI-009","as:GENC:6:3-11:SI-009")</f>
        <v>as:GENC:6:3-11:SI-009</v>
      </c>
    </row>
    <row r="3890" spans="1:7" x14ac:dyDescent="0.25">
      <c r="A3890" s="112"/>
      <c r="B3890" s="21" t="s">
        <v>9409</v>
      </c>
      <c r="C3890" s="21" t="s">
        <v>9410</v>
      </c>
      <c r="D3890" s="21" t="s">
        <v>2505</v>
      </c>
      <c r="E3890" s="50" t="b">
        <v>1</v>
      </c>
      <c r="F3890" s="72" t="str">
        <f>HYPERLINK("http://nsgreg.nga.mil/genc/view?v=295534&amp;end_month=6&amp;end_day=30&amp;end_year=2019","Brezovica")</f>
        <v>Brezovica</v>
      </c>
      <c r="G3890" s="72" t="str">
        <f>HYPERLINK("http://api.nsgreg.nga.mil/geo-division/GENC/6/3-11/SI-008","as:GENC:6:3-11:SI-008")</f>
        <v>as:GENC:6:3-11:SI-008</v>
      </c>
    </row>
    <row r="3891" spans="1:7" x14ac:dyDescent="0.25">
      <c r="A3891" s="112"/>
      <c r="B3891" s="21" t="s">
        <v>9411</v>
      </c>
      <c r="C3891" s="21" t="s">
        <v>9412</v>
      </c>
      <c r="D3891" s="21" t="s">
        <v>2505</v>
      </c>
      <c r="E3891" s="50" t="b">
        <v>1</v>
      </c>
      <c r="F3891" s="72" t="str">
        <f>HYPERLINK("http://nsgreg.nga.mil/genc/view?v=295677&amp;end_month=6&amp;end_day=30&amp;end_year=2019","Cankova")</f>
        <v>Cankova</v>
      </c>
      <c r="G3891" s="72" t="str">
        <f>HYPERLINK("http://api.nsgreg.nga.mil/geo-division/GENC/6/3-11/SI-152","as:GENC:6:3-11:SI-152")</f>
        <v>as:GENC:6:3-11:SI-152</v>
      </c>
    </row>
    <row r="3892" spans="1:7" x14ac:dyDescent="0.25">
      <c r="A3892" s="112"/>
      <c r="B3892" s="21" t="s">
        <v>9413</v>
      </c>
      <c r="C3892" s="21" t="s">
        <v>9414</v>
      </c>
      <c r="D3892" s="21" t="s">
        <v>2505</v>
      </c>
      <c r="E3892" s="50" t="b">
        <v>1</v>
      </c>
      <c r="F3892" s="72" t="str">
        <f>HYPERLINK("http://nsgreg.nga.mil/genc/view?v=295537&amp;end_month=6&amp;end_day=30&amp;end_year=2019","Celje")</f>
        <v>Celje</v>
      </c>
      <c r="G3892" s="72" t="str">
        <f>HYPERLINK("http://api.nsgreg.nga.mil/geo-division/GENC/6/3-11/SI-011","as:GENC:6:3-11:SI-011")</f>
        <v>as:GENC:6:3-11:SI-011</v>
      </c>
    </row>
    <row r="3893" spans="1:7" x14ac:dyDescent="0.25">
      <c r="A3893" s="112"/>
      <c r="B3893" s="21" t="s">
        <v>9415</v>
      </c>
      <c r="C3893" s="21" t="s">
        <v>9416</v>
      </c>
      <c r="D3893" s="21" t="s">
        <v>2505</v>
      </c>
      <c r="E3893" s="50" t="b">
        <v>1</v>
      </c>
      <c r="F3893" s="72" t="str">
        <f>HYPERLINK("http://nsgreg.nga.mil/genc/view?v=295538&amp;end_month=6&amp;end_day=30&amp;end_year=2019","Cerklje na Gorenjskem")</f>
        <v>Cerklje na Gorenjskem</v>
      </c>
      <c r="G3893" s="72" t="str">
        <f>HYPERLINK("http://api.nsgreg.nga.mil/geo-division/GENC/6/3-11/SI-012","as:GENC:6:3-11:SI-012")</f>
        <v>as:GENC:6:3-11:SI-012</v>
      </c>
    </row>
    <row r="3894" spans="1:7" x14ac:dyDescent="0.25">
      <c r="A3894" s="112"/>
      <c r="B3894" s="21" t="s">
        <v>9417</v>
      </c>
      <c r="C3894" s="21" t="s">
        <v>9418</v>
      </c>
      <c r="D3894" s="21" t="s">
        <v>2505</v>
      </c>
      <c r="E3894" s="50" t="b">
        <v>1</v>
      </c>
      <c r="F3894" s="72" t="str">
        <f>HYPERLINK("http://nsgreg.nga.mil/genc/view?v=295539&amp;end_month=6&amp;end_day=30&amp;end_year=2019","Cerknica")</f>
        <v>Cerknica</v>
      </c>
      <c r="G3894" s="72" t="str">
        <f>HYPERLINK("http://api.nsgreg.nga.mil/geo-division/GENC/6/3-11/SI-013","as:GENC:6:3-11:SI-013")</f>
        <v>as:GENC:6:3-11:SI-013</v>
      </c>
    </row>
    <row r="3895" spans="1:7" x14ac:dyDescent="0.25">
      <c r="A3895" s="112"/>
      <c r="B3895" s="21" t="s">
        <v>9419</v>
      </c>
      <c r="C3895" s="21" t="s">
        <v>9420</v>
      </c>
      <c r="D3895" s="21" t="s">
        <v>2505</v>
      </c>
      <c r="E3895" s="50" t="b">
        <v>1</v>
      </c>
      <c r="F3895" s="72" t="str">
        <f>HYPERLINK("http://nsgreg.nga.mil/genc/view?v=295540&amp;end_month=6&amp;end_day=30&amp;end_year=2019","Cerkno")</f>
        <v>Cerkno</v>
      </c>
      <c r="G3895" s="72" t="str">
        <f>HYPERLINK("http://api.nsgreg.nga.mil/geo-division/GENC/6/3-11/SI-014","as:GENC:6:3-11:SI-014")</f>
        <v>as:GENC:6:3-11:SI-014</v>
      </c>
    </row>
    <row r="3896" spans="1:7" x14ac:dyDescent="0.25">
      <c r="A3896" s="112"/>
      <c r="B3896" s="21" t="s">
        <v>9421</v>
      </c>
      <c r="C3896" s="21" t="s">
        <v>9422</v>
      </c>
      <c r="D3896" s="21" t="s">
        <v>2505</v>
      </c>
      <c r="E3896" s="50" t="b">
        <v>1</v>
      </c>
      <c r="F3896" s="72" t="str">
        <f>HYPERLINK("http://nsgreg.nga.mil/genc/view?v=295678&amp;end_month=6&amp;end_day=30&amp;end_year=2019","Cerkvenjak")</f>
        <v>Cerkvenjak</v>
      </c>
      <c r="G3896" s="72" t="str">
        <f>HYPERLINK("http://api.nsgreg.nga.mil/geo-division/GENC/6/3-11/SI-153","as:GENC:6:3-11:SI-153")</f>
        <v>as:GENC:6:3-11:SI-153</v>
      </c>
    </row>
    <row r="3897" spans="1:7" x14ac:dyDescent="0.25">
      <c r="A3897" s="112"/>
      <c r="B3897" s="21" t="s">
        <v>9423</v>
      </c>
      <c r="C3897" s="21" t="s">
        <v>9424</v>
      </c>
      <c r="D3897" s="21" t="s">
        <v>2505</v>
      </c>
      <c r="E3897" s="50" t="b">
        <v>1</v>
      </c>
      <c r="F3897" s="72" t="str">
        <f>HYPERLINK("http://nsgreg.nga.mil/genc/view?v=295721&amp;end_month=6&amp;end_day=30&amp;end_year=2019","Cirkulane")</f>
        <v>Cirkulane</v>
      </c>
      <c r="G3897" s="72" t="str">
        <f>HYPERLINK("http://api.nsgreg.nga.mil/geo-division/GENC/6/3-11/SI-196","as:GENC:6:3-11:SI-196")</f>
        <v>as:GENC:6:3-11:SI-196</v>
      </c>
    </row>
    <row r="3898" spans="1:7" x14ac:dyDescent="0.25">
      <c r="A3898" s="112"/>
      <c r="B3898" s="21" t="s">
        <v>9425</v>
      </c>
      <c r="C3898" s="21" t="s">
        <v>9426</v>
      </c>
      <c r="D3898" s="21" t="s">
        <v>2505</v>
      </c>
      <c r="E3898" s="50" t="b">
        <v>1</v>
      </c>
      <c r="F3898" s="72" t="str">
        <f>HYPERLINK("http://nsgreg.nga.mil/genc/view?v=295541&amp;end_month=6&amp;end_day=30&amp;end_year=2019","Črenšovci")</f>
        <v>Črenšovci</v>
      </c>
      <c r="G3898" s="72" t="str">
        <f>HYPERLINK("http://api.nsgreg.nga.mil/geo-division/GENC/6/3-11/SI-015","as:GENC:6:3-11:SI-015")</f>
        <v>as:GENC:6:3-11:SI-015</v>
      </c>
    </row>
    <row r="3899" spans="1:7" x14ac:dyDescent="0.25">
      <c r="A3899" s="112"/>
      <c r="B3899" s="21" t="s">
        <v>9427</v>
      </c>
      <c r="C3899" s="21" t="s">
        <v>9428</v>
      </c>
      <c r="D3899" s="21" t="s">
        <v>2505</v>
      </c>
      <c r="E3899" s="50" t="b">
        <v>1</v>
      </c>
      <c r="F3899" s="72" t="str">
        <f>HYPERLINK("http://nsgreg.nga.mil/genc/view?v=295542&amp;end_month=6&amp;end_day=30&amp;end_year=2019","Črna na Koroškem")</f>
        <v>Črna na Koroškem</v>
      </c>
      <c r="G3899" s="72" t="str">
        <f>HYPERLINK("http://api.nsgreg.nga.mil/geo-division/GENC/6/3-11/SI-016","as:GENC:6:3-11:SI-016")</f>
        <v>as:GENC:6:3-11:SI-016</v>
      </c>
    </row>
    <row r="3900" spans="1:7" x14ac:dyDescent="0.25">
      <c r="A3900" s="112"/>
      <c r="B3900" s="21" t="s">
        <v>9429</v>
      </c>
      <c r="C3900" s="21" t="s">
        <v>9430</v>
      </c>
      <c r="D3900" s="21" t="s">
        <v>2505</v>
      </c>
      <c r="E3900" s="50" t="b">
        <v>1</v>
      </c>
      <c r="F3900" s="72" t="str">
        <f>HYPERLINK("http://nsgreg.nga.mil/genc/view?v=295543&amp;end_month=6&amp;end_day=30&amp;end_year=2019","Črnomelj")</f>
        <v>Črnomelj</v>
      </c>
      <c r="G3900" s="72" t="str">
        <f>HYPERLINK("http://api.nsgreg.nga.mil/geo-division/GENC/6/3-11/SI-017","as:GENC:6:3-11:SI-017")</f>
        <v>as:GENC:6:3-11:SI-017</v>
      </c>
    </row>
    <row r="3901" spans="1:7" x14ac:dyDescent="0.25">
      <c r="A3901" s="112"/>
      <c r="B3901" s="21" t="s">
        <v>9431</v>
      </c>
      <c r="C3901" s="21" t="s">
        <v>9432</v>
      </c>
      <c r="D3901" s="21" t="s">
        <v>2505</v>
      </c>
      <c r="E3901" s="50" t="b">
        <v>1</v>
      </c>
      <c r="F3901" s="72" t="str">
        <f>HYPERLINK("http://nsgreg.nga.mil/genc/view?v=295544&amp;end_month=6&amp;end_day=30&amp;end_year=2019","Destrnik")</f>
        <v>Destrnik</v>
      </c>
      <c r="G3901" s="72" t="str">
        <f>HYPERLINK("http://api.nsgreg.nga.mil/geo-division/GENC/6/3-11/SI-018","as:GENC:6:3-11:SI-018")</f>
        <v>as:GENC:6:3-11:SI-018</v>
      </c>
    </row>
    <row r="3902" spans="1:7" x14ac:dyDescent="0.25">
      <c r="A3902" s="112"/>
      <c r="B3902" s="21" t="s">
        <v>9433</v>
      </c>
      <c r="C3902" s="21" t="s">
        <v>9434</v>
      </c>
      <c r="D3902" s="21" t="s">
        <v>2505</v>
      </c>
      <c r="E3902" s="50" t="b">
        <v>1</v>
      </c>
      <c r="F3902" s="72" t="str">
        <f>HYPERLINK("http://nsgreg.nga.mil/genc/view?v=295545&amp;end_month=6&amp;end_day=30&amp;end_year=2019","Divača")</f>
        <v>Divača</v>
      </c>
      <c r="G3902" s="72" t="str">
        <f>HYPERLINK("http://api.nsgreg.nga.mil/geo-division/GENC/6/3-11/SI-019","as:GENC:6:3-11:SI-019")</f>
        <v>as:GENC:6:3-11:SI-019</v>
      </c>
    </row>
    <row r="3903" spans="1:7" x14ac:dyDescent="0.25">
      <c r="A3903" s="112"/>
      <c r="B3903" s="21" t="s">
        <v>9435</v>
      </c>
      <c r="C3903" s="21" t="s">
        <v>9436</v>
      </c>
      <c r="D3903" s="21" t="s">
        <v>2505</v>
      </c>
      <c r="E3903" s="50" t="b">
        <v>1</v>
      </c>
      <c r="F3903" s="72" t="str">
        <f>HYPERLINK("http://nsgreg.nga.mil/genc/view?v=295679&amp;end_month=6&amp;end_day=30&amp;end_year=2019","Dobje")</f>
        <v>Dobje</v>
      </c>
      <c r="G3903" s="72" t="str">
        <f>HYPERLINK("http://api.nsgreg.nga.mil/geo-division/GENC/6/3-11/SI-154","as:GENC:6:3-11:SI-154")</f>
        <v>as:GENC:6:3-11:SI-154</v>
      </c>
    </row>
    <row r="3904" spans="1:7" x14ac:dyDescent="0.25">
      <c r="A3904" s="112"/>
      <c r="B3904" s="21" t="s">
        <v>9437</v>
      </c>
      <c r="C3904" s="21" t="s">
        <v>9438</v>
      </c>
      <c r="D3904" s="21" t="s">
        <v>2505</v>
      </c>
      <c r="E3904" s="50" t="b">
        <v>1</v>
      </c>
      <c r="F3904" s="72" t="str">
        <f>HYPERLINK("http://nsgreg.nga.mil/genc/view?v=295546&amp;end_month=6&amp;end_day=30&amp;end_year=2019","Dobrepolje")</f>
        <v>Dobrepolje</v>
      </c>
      <c r="G3904" s="72" t="str">
        <f>HYPERLINK("http://api.nsgreg.nga.mil/geo-division/GENC/6/3-11/SI-020","as:GENC:6:3-11:SI-020")</f>
        <v>as:GENC:6:3-11:SI-020</v>
      </c>
    </row>
    <row r="3905" spans="1:7" x14ac:dyDescent="0.25">
      <c r="A3905" s="112"/>
      <c r="B3905" s="21" t="s">
        <v>9439</v>
      </c>
      <c r="C3905" s="21" t="s">
        <v>9440</v>
      </c>
      <c r="D3905" s="21" t="s">
        <v>2505</v>
      </c>
      <c r="E3905" s="50" t="b">
        <v>1</v>
      </c>
      <c r="F3905" s="72" t="str">
        <f>HYPERLINK("http://nsgreg.nga.mil/genc/view?v=295680&amp;end_month=6&amp;end_day=30&amp;end_year=2019","Dobrna")</f>
        <v>Dobrna</v>
      </c>
      <c r="G3905" s="72" t="str">
        <f>HYPERLINK("http://api.nsgreg.nga.mil/geo-division/GENC/6/3-11/SI-155","as:GENC:6:3-11:SI-155")</f>
        <v>as:GENC:6:3-11:SI-155</v>
      </c>
    </row>
    <row r="3906" spans="1:7" x14ac:dyDescent="0.25">
      <c r="A3906" s="112"/>
      <c r="B3906" s="21" t="s">
        <v>9441</v>
      </c>
      <c r="C3906" s="21" t="s">
        <v>9442</v>
      </c>
      <c r="D3906" s="21" t="s">
        <v>2505</v>
      </c>
      <c r="E3906" s="50" t="b">
        <v>1</v>
      </c>
      <c r="F3906" s="72" t="str">
        <f>HYPERLINK("http://nsgreg.nga.mil/genc/view?v=295547&amp;end_month=6&amp;end_day=30&amp;end_year=2019","Dobrova-Polhov Gradec")</f>
        <v>Dobrova-Polhov Gradec</v>
      </c>
      <c r="G3906" s="72" t="str">
        <f>HYPERLINK("http://api.nsgreg.nga.mil/geo-division/GENC/6/3-11/SI-021","as:GENC:6:3-11:SI-021")</f>
        <v>as:GENC:6:3-11:SI-021</v>
      </c>
    </row>
    <row r="3907" spans="1:7" x14ac:dyDescent="0.25">
      <c r="A3907" s="112"/>
      <c r="B3907" s="21" t="s">
        <v>9443</v>
      </c>
      <c r="C3907" s="21" t="s">
        <v>9444</v>
      </c>
      <c r="D3907" s="21" t="s">
        <v>2505</v>
      </c>
      <c r="E3907" s="50" t="b">
        <v>1</v>
      </c>
      <c r="F3907" s="72" t="str">
        <f>HYPERLINK("http://nsgreg.nga.mil/genc/view?v=295681&amp;end_month=6&amp;end_day=30&amp;end_year=2019","Dobrovnik")</f>
        <v>Dobrovnik</v>
      </c>
      <c r="G3907" s="72" t="str">
        <f>HYPERLINK("http://api.nsgreg.nga.mil/geo-division/GENC/6/3-11/SI-156","as:GENC:6:3-11:SI-156")</f>
        <v>as:GENC:6:3-11:SI-156</v>
      </c>
    </row>
    <row r="3908" spans="1:7" x14ac:dyDescent="0.25">
      <c r="A3908" s="112"/>
      <c r="B3908" s="21" t="s">
        <v>9445</v>
      </c>
      <c r="C3908" s="21" t="s">
        <v>9446</v>
      </c>
      <c r="D3908" s="21" t="s">
        <v>2505</v>
      </c>
      <c r="E3908" s="50" t="b">
        <v>1</v>
      </c>
      <c r="F3908" s="72" t="str">
        <f>HYPERLINK("http://nsgreg.nga.mil/genc/view?v=295682&amp;end_month=6&amp;end_day=30&amp;end_year=2019","Dolenjske Toplice")</f>
        <v>Dolenjske Toplice</v>
      </c>
      <c r="G3908" s="72" t="str">
        <f>HYPERLINK("http://api.nsgreg.nga.mil/geo-division/GENC/6/3-11/SI-157","as:GENC:6:3-11:SI-157")</f>
        <v>as:GENC:6:3-11:SI-157</v>
      </c>
    </row>
    <row r="3909" spans="1:7" x14ac:dyDescent="0.25">
      <c r="A3909" s="112"/>
      <c r="B3909" s="21" t="s">
        <v>9447</v>
      </c>
      <c r="C3909" s="21" t="s">
        <v>9448</v>
      </c>
      <c r="D3909" s="21" t="s">
        <v>2505</v>
      </c>
      <c r="E3909" s="50" t="b">
        <v>1</v>
      </c>
      <c r="F3909" s="72" t="str">
        <f>HYPERLINK("http://nsgreg.nga.mil/genc/view?v=295548&amp;end_month=6&amp;end_day=30&amp;end_year=2019","Dol pri Ljubljani")</f>
        <v>Dol pri Ljubljani</v>
      </c>
      <c r="G3909" s="72" t="str">
        <f>HYPERLINK("http://api.nsgreg.nga.mil/geo-division/GENC/6/3-11/SI-022","as:GENC:6:3-11:SI-022")</f>
        <v>as:GENC:6:3-11:SI-022</v>
      </c>
    </row>
    <row r="3910" spans="1:7" x14ac:dyDescent="0.25">
      <c r="A3910" s="112"/>
      <c r="B3910" s="21" t="s">
        <v>9449</v>
      </c>
      <c r="C3910" s="21" t="s">
        <v>9450</v>
      </c>
      <c r="D3910" s="21" t="s">
        <v>2505</v>
      </c>
      <c r="E3910" s="50" t="b">
        <v>1</v>
      </c>
      <c r="F3910" s="72" t="str">
        <f>HYPERLINK("http://nsgreg.nga.mil/genc/view?v=295549&amp;end_month=6&amp;end_day=30&amp;end_year=2019","Domžale")</f>
        <v>Domžale</v>
      </c>
      <c r="G3910" s="72" t="str">
        <f>HYPERLINK("http://api.nsgreg.nga.mil/geo-division/GENC/6/3-11/SI-023","as:GENC:6:3-11:SI-023")</f>
        <v>as:GENC:6:3-11:SI-023</v>
      </c>
    </row>
    <row r="3911" spans="1:7" x14ac:dyDescent="0.25">
      <c r="A3911" s="112"/>
      <c r="B3911" s="21" t="s">
        <v>9451</v>
      </c>
      <c r="C3911" s="21" t="s">
        <v>9452</v>
      </c>
      <c r="D3911" s="21" t="s">
        <v>2505</v>
      </c>
      <c r="E3911" s="50" t="b">
        <v>1</v>
      </c>
      <c r="F3911" s="72" t="str">
        <f>HYPERLINK("http://nsgreg.nga.mil/genc/view?v=295550&amp;end_month=6&amp;end_day=30&amp;end_year=2019","Dornava")</f>
        <v>Dornava</v>
      </c>
      <c r="G3911" s="72" t="str">
        <f>HYPERLINK("http://api.nsgreg.nga.mil/geo-division/GENC/6/3-11/SI-024","as:GENC:6:3-11:SI-024")</f>
        <v>as:GENC:6:3-11:SI-024</v>
      </c>
    </row>
    <row r="3912" spans="1:7" x14ac:dyDescent="0.25">
      <c r="A3912" s="112"/>
      <c r="B3912" s="21" t="s">
        <v>9453</v>
      </c>
      <c r="C3912" s="21" t="s">
        <v>9454</v>
      </c>
      <c r="D3912" s="21" t="s">
        <v>2505</v>
      </c>
      <c r="E3912" s="50" t="b">
        <v>1</v>
      </c>
      <c r="F3912" s="72" t="str">
        <f>HYPERLINK("http://nsgreg.nga.mil/genc/view?v=295551&amp;end_month=6&amp;end_day=30&amp;end_year=2019","Dravograd")</f>
        <v>Dravograd</v>
      </c>
      <c r="G3912" s="72" t="str">
        <f>HYPERLINK("http://api.nsgreg.nga.mil/geo-division/GENC/6/3-11/SI-025","as:GENC:6:3-11:SI-025")</f>
        <v>as:GENC:6:3-11:SI-025</v>
      </c>
    </row>
    <row r="3913" spans="1:7" x14ac:dyDescent="0.25">
      <c r="A3913" s="112"/>
      <c r="B3913" s="21" t="s">
        <v>9455</v>
      </c>
      <c r="C3913" s="21" t="s">
        <v>9456</v>
      </c>
      <c r="D3913" s="21" t="s">
        <v>2505</v>
      </c>
      <c r="E3913" s="50" t="b">
        <v>1</v>
      </c>
      <c r="F3913" s="72" t="str">
        <f>HYPERLINK("http://nsgreg.nga.mil/genc/view?v=295552&amp;end_month=6&amp;end_day=30&amp;end_year=2019","Duplek")</f>
        <v>Duplek</v>
      </c>
      <c r="G3913" s="72" t="str">
        <f>HYPERLINK("http://api.nsgreg.nga.mil/geo-division/GENC/6/3-11/SI-026","as:GENC:6:3-11:SI-026")</f>
        <v>as:GENC:6:3-11:SI-026</v>
      </c>
    </row>
    <row r="3914" spans="1:7" x14ac:dyDescent="0.25">
      <c r="A3914" s="112"/>
      <c r="B3914" s="21" t="s">
        <v>9457</v>
      </c>
      <c r="C3914" s="21" t="s">
        <v>9458</v>
      </c>
      <c r="D3914" s="21" t="s">
        <v>2505</v>
      </c>
      <c r="E3914" s="50" t="b">
        <v>1</v>
      </c>
      <c r="F3914" s="72" t="str">
        <f>HYPERLINK("http://nsgreg.nga.mil/genc/view?v=295553&amp;end_month=6&amp;end_day=30&amp;end_year=2019","Gorenja Vas-Poljane")</f>
        <v>Gorenja Vas-Poljane</v>
      </c>
      <c r="G3914" s="72" t="str">
        <f>HYPERLINK("http://api.nsgreg.nga.mil/geo-division/GENC/6/3-11/SI-027","as:GENC:6:3-11:SI-027")</f>
        <v>as:GENC:6:3-11:SI-027</v>
      </c>
    </row>
    <row r="3915" spans="1:7" x14ac:dyDescent="0.25">
      <c r="A3915" s="112"/>
      <c r="B3915" s="21" t="s">
        <v>9459</v>
      </c>
      <c r="C3915" s="21" t="s">
        <v>9460</v>
      </c>
      <c r="D3915" s="21" t="s">
        <v>2505</v>
      </c>
      <c r="E3915" s="50" t="b">
        <v>1</v>
      </c>
      <c r="F3915" s="72" t="str">
        <f>HYPERLINK("http://nsgreg.nga.mil/genc/view?v=295554&amp;end_month=6&amp;end_day=30&amp;end_year=2019","Gorišnica")</f>
        <v>Gorišnica</v>
      </c>
      <c r="G3915" s="72" t="str">
        <f>HYPERLINK("http://api.nsgreg.nga.mil/geo-division/GENC/6/3-11/SI-028","as:GENC:6:3-11:SI-028")</f>
        <v>as:GENC:6:3-11:SI-028</v>
      </c>
    </row>
    <row r="3916" spans="1:7" x14ac:dyDescent="0.25">
      <c r="A3916" s="112"/>
      <c r="B3916" s="21" t="s">
        <v>9461</v>
      </c>
      <c r="C3916" s="21" t="s">
        <v>9462</v>
      </c>
      <c r="D3916" s="21" t="s">
        <v>2505</v>
      </c>
      <c r="E3916" s="50" t="b">
        <v>1</v>
      </c>
      <c r="F3916" s="72" t="str">
        <f>HYPERLINK("http://nsgreg.nga.mil/genc/view?v=295732&amp;end_month=6&amp;end_day=30&amp;end_year=2019","Gorje")</f>
        <v>Gorje</v>
      </c>
      <c r="G3916" s="72" t="str">
        <f>HYPERLINK("http://api.nsgreg.nga.mil/geo-division/GENC/6/3-11/SI-207","as:GENC:6:3-11:SI-207")</f>
        <v>as:GENC:6:3-11:SI-207</v>
      </c>
    </row>
    <row r="3917" spans="1:7" x14ac:dyDescent="0.25">
      <c r="A3917" s="112"/>
      <c r="B3917" s="21" t="s">
        <v>9463</v>
      </c>
      <c r="C3917" s="21" t="s">
        <v>9464</v>
      </c>
      <c r="D3917" s="21" t="s">
        <v>2505</v>
      </c>
      <c r="E3917" s="50" t="b">
        <v>1</v>
      </c>
      <c r="F3917" s="72" t="str">
        <f>HYPERLINK("http://nsgreg.nga.mil/genc/view?v=295555&amp;end_month=6&amp;end_day=30&amp;end_year=2019","Gornja Radgona")</f>
        <v>Gornja Radgona</v>
      </c>
      <c r="G3917" s="72" t="str">
        <f>HYPERLINK("http://api.nsgreg.nga.mil/geo-division/GENC/6/3-11/SI-029","as:GENC:6:3-11:SI-029")</f>
        <v>as:GENC:6:3-11:SI-029</v>
      </c>
    </row>
    <row r="3918" spans="1:7" x14ac:dyDescent="0.25">
      <c r="A3918" s="112"/>
      <c r="B3918" s="21" t="s">
        <v>9465</v>
      </c>
      <c r="C3918" s="21" t="s">
        <v>9466</v>
      </c>
      <c r="D3918" s="21" t="s">
        <v>2505</v>
      </c>
      <c r="E3918" s="50" t="b">
        <v>1</v>
      </c>
      <c r="F3918" s="72" t="str">
        <f>HYPERLINK("http://nsgreg.nga.mil/genc/view?v=295556&amp;end_month=6&amp;end_day=30&amp;end_year=2019","Gornji Grad")</f>
        <v>Gornji Grad</v>
      </c>
      <c r="G3918" s="72" t="str">
        <f>HYPERLINK("http://api.nsgreg.nga.mil/geo-division/GENC/6/3-11/SI-030","as:GENC:6:3-11:SI-030")</f>
        <v>as:GENC:6:3-11:SI-030</v>
      </c>
    </row>
    <row r="3919" spans="1:7" x14ac:dyDescent="0.25">
      <c r="A3919" s="112"/>
      <c r="B3919" s="21" t="s">
        <v>9467</v>
      </c>
      <c r="C3919" s="21" t="s">
        <v>9468</v>
      </c>
      <c r="D3919" s="21" t="s">
        <v>2505</v>
      </c>
      <c r="E3919" s="50" t="b">
        <v>1</v>
      </c>
      <c r="F3919" s="72" t="str">
        <f>HYPERLINK("http://nsgreg.nga.mil/genc/view?v=295557&amp;end_month=6&amp;end_day=30&amp;end_year=2019","Gornji Petrovci")</f>
        <v>Gornji Petrovci</v>
      </c>
      <c r="G3919" s="72" t="str">
        <f>HYPERLINK("http://api.nsgreg.nga.mil/geo-division/GENC/6/3-11/SI-031","as:GENC:6:3-11:SI-031")</f>
        <v>as:GENC:6:3-11:SI-031</v>
      </c>
    </row>
    <row r="3920" spans="1:7" x14ac:dyDescent="0.25">
      <c r="A3920" s="112"/>
      <c r="B3920" s="21" t="s">
        <v>9469</v>
      </c>
      <c r="C3920" s="21" t="s">
        <v>9470</v>
      </c>
      <c r="D3920" s="21" t="s">
        <v>2505</v>
      </c>
      <c r="E3920" s="50" t="b">
        <v>1</v>
      </c>
      <c r="F3920" s="72" t="str">
        <f>HYPERLINK("http://nsgreg.nga.mil/genc/view?v=295683&amp;end_month=6&amp;end_day=30&amp;end_year=2019","Grad")</f>
        <v>Grad</v>
      </c>
      <c r="G3920" s="72" t="str">
        <f>HYPERLINK("http://api.nsgreg.nga.mil/geo-division/GENC/6/3-11/SI-158","as:GENC:6:3-11:SI-158")</f>
        <v>as:GENC:6:3-11:SI-158</v>
      </c>
    </row>
    <row r="3921" spans="1:7" x14ac:dyDescent="0.25">
      <c r="A3921" s="112"/>
      <c r="B3921" s="21" t="s">
        <v>9471</v>
      </c>
      <c r="C3921" s="21" t="s">
        <v>9472</v>
      </c>
      <c r="D3921" s="21" t="s">
        <v>2505</v>
      </c>
      <c r="E3921" s="50" t="b">
        <v>1</v>
      </c>
      <c r="F3921" s="72" t="str">
        <f>HYPERLINK("http://nsgreg.nga.mil/genc/view?v=295558&amp;end_month=6&amp;end_day=30&amp;end_year=2019","Grosuplje")</f>
        <v>Grosuplje</v>
      </c>
      <c r="G3921" s="72" t="str">
        <f>HYPERLINK("http://api.nsgreg.nga.mil/geo-division/GENC/6/3-11/SI-032","as:GENC:6:3-11:SI-032")</f>
        <v>as:GENC:6:3-11:SI-032</v>
      </c>
    </row>
    <row r="3922" spans="1:7" x14ac:dyDescent="0.25">
      <c r="A3922" s="112"/>
      <c r="B3922" s="21" t="s">
        <v>9473</v>
      </c>
      <c r="C3922" s="21" t="s">
        <v>9474</v>
      </c>
      <c r="D3922" s="21" t="s">
        <v>2505</v>
      </c>
      <c r="E3922" s="50" t="b">
        <v>1</v>
      </c>
      <c r="F3922" s="72" t="str">
        <f>HYPERLINK("http://nsgreg.nga.mil/genc/view?v=295684&amp;end_month=6&amp;end_day=30&amp;end_year=2019","Hajdina")</f>
        <v>Hajdina</v>
      </c>
      <c r="G3922" s="72" t="str">
        <f>HYPERLINK("http://api.nsgreg.nga.mil/geo-division/GENC/6/3-11/SI-159","as:GENC:6:3-11:SI-159")</f>
        <v>as:GENC:6:3-11:SI-159</v>
      </c>
    </row>
    <row r="3923" spans="1:7" x14ac:dyDescent="0.25">
      <c r="A3923" s="112"/>
      <c r="B3923" s="21" t="s">
        <v>9475</v>
      </c>
      <c r="C3923" s="21" t="s">
        <v>9476</v>
      </c>
      <c r="D3923" s="21" t="s">
        <v>2505</v>
      </c>
      <c r="E3923" s="50" t="b">
        <v>1</v>
      </c>
      <c r="F3923" s="72" t="str">
        <f>HYPERLINK("http://nsgreg.nga.mil/genc/view?v=295685&amp;end_month=6&amp;end_day=30&amp;end_year=2019","Hoče-Slivnica")</f>
        <v>Hoče-Slivnica</v>
      </c>
      <c r="G3923" s="72" t="str">
        <f>HYPERLINK("http://api.nsgreg.nga.mil/geo-division/GENC/6/3-11/SI-160","as:GENC:6:3-11:SI-160")</f>
        <v>as:GENC:6:3-11:SI-160</v>
      </c>
    </row>
    <row r="3924" spans="1:7" x14ac:dyDescent="0.25">
      <c r="A3924" s="112"/>
      <c r="B3924" s="21" t="s">
        <v>9477</v>
      </c>
      <c r="C3924" s="21" t="s">
        <v>9478</v>
      </c>
      <c r="D3924" s="21" t="s">
        <v>2505</v>
      </c>
      <c r="E3924" s="50" t="b">
        <v>1</v>
      </c>
      <c r="F3924" s="72" t="str">
        <f>HYPERLINK("http://nsgreg.nga.mil/genc/view?v=295686&amp;end_month=6&amp;end_day=30&amp;end_year=2019","Hodoš")</f>
        <v>Hodoš</v>
      </c>
      <c r="G3924" s="72" t="str">
        <f>HYPERLINK("http://api.nsgreg.nga.mil/geo-division/GENC/6/3-11/SI-161","as:GENC:6:3-11:SI-161")</f>
        <v>as:GENC:6:3-11:SI-161</v>
      </c>
    </row>
    <row r="3925" spans="1:7" x14ac:dyDescent="0.25">
      <c r="A3925" s="112"/>
      <c r="B3925" s="21" t="s">
        <v>9479</v>
      </c>
      <c r="C3925" s="21" t="s">
        <v>9480</v>
      </c>
      <c r="D3925" s="21" t="s">
        <v>2505</v>
      </c>
      <c r="E3925" s="50" t="b">
        <v>1</v>
      </c>
      <c r="F3925" s="72" t="str">
        <f>HYPERLINK("http://nsgreg.nga.mil/genc/view?v=295687&amp;end_month=6&amp;end_day=30&amp;end_year=2019","Horjul")</f>
        <v>Horjul</v>
      </c>
      <c r="G3925" s="72" t="str">
        <f>HYPERLINK("http://api.nsgreg.nga.mil/geo-division/GENC/6/3-11/SI-162","as:GENC:6:3-11:SI-162")</f>
        <v>as:GENC:6:3-11:SI-162</v>
      </c>
    </row>
    <row r="3926" spans="1:7" x14ac:dyDescent="0.25">
      <c r="A3926" s="112"/>
      <c r="B3926" s="21" t="s">
        <v>9481</v>
      </c>
      <c r="C3926" s="21" t="s">
        <v>9482</v>
      </c>
      <c r="D3926" s="21" t="s">
        <v>2505</v>
      </c>
      <c r="E3926" s="50" t="b">
        <v>1</v>
      </c>
      <c r="F3926" s="72" t="str">
        <f>HYPERLINK("http://nsgreg.nga.mil/genc/view?v=295560&amp;end_month=6&amp;end_day=30&amp;end_year=2019","Hrastnik")</f>
        <v>Hrastnik</v>
      </c>
      <c r="G3926" s="72" t="str">
        <f>HYPERLINK("http://api.nsgreg.nga.mil/geo-division/GENC/6/3-11/SI-034","as:GENC:6:3-11:SI-034")</f>
        <v>as:GENC:6:3-11:SI-034</v>
      </c>
    </row>
    <row r="3927" spans="1:7" x14ac:dyDescent="0.25">
      <c r="A3927" s="112"/>
      <c r="B3927" s="21" t="s">
        <v>9483</v>
      </c>
      <c r="C3927" s="21" t="s">
        <v>9484</v>
      </c>
      <c r="D3927" s="21" t="s">
        <v>2505</v>
      </c>
      <c r="E3927" s="50" t="b">
        <v>1</v>
      </c>
      <c r="F3927" s="72" t="str">
        <f>HYPERLINK("http://nsgreg.nga.mil/genc/view?v=295561&amp;end_month=6&amp;end_day=30&amp;end_year=2019","Hrpelje-Kozina")</f>
        <v>Hrpelje-Kozina</v>
      </c>
      <c r="G3927" s="72" t="str">
        <f>HYPERLINK("http://api.nsgreg.nga.mil/geo-division/GENC/6/3-11/SI-035","as:GENC:6:3-11:SI-035")</f>
        <v>as:GENC:6:3-11:SI-035</v>
      </c>
    </row>
    <row r="3928" spans="1:7" x14ac:dyDescent="0.25">
      <c r="A3928" s="112"/>
      <c r="B3928" s="21" t="s">
        <v>9485</v>
      </c>
      <c r="C3928" s="21" t="s">
        <v>9486</v>
      </c>
      <c r="D3928" s="21" t="s">
        <v>2505</v>
      </c>
      <c r="E3928" s="50" t="b">
        <v>1</v>
      </c>
      <c r="F3928" s="72" t="str">
        <f>HYPERLINK("http://nsgreg.nga.mil/genc/view?v=295562&amp;end_month=6&amp;end_day=30&amp;end_year=2019","Idrija")</f>
        <v>Idrija</v>
      </c>
      <c r="G3928" s="72" t="str">
        <f>HYPERLINK("http://api.nsgreg.nga.mil/geo-division/GENC/6/3-11/SI-036","as:GENC:6:3-11:SI-036")</f>
        <v>as:GENC:6:3-11:SI-036</v>
      </c>
    </row>
    <row r="3929" spans="1:7" x14ac:dyDescent="0.25">
      <c r="A3929" s="112"/>
      <c r="B3929" s="21" t="s">
        <v>9487</v>
      </c>
      <c r="C3929" s="21" t="s">
        <v>9488</v>
      </c>
      <c r="D3929" s="21" t="s">
        <v>2505</v>
      </c>
      <c r="E3929" s="50" t="b">
        <v>1</v>
      </c>
      <c r="F3929" s="72" t="str">
        <f>HYPERLINK("http://nsgreg.nga.mil/genc/view?v=295563&amp;end_month=6&amp;end_day=30&amp;end_year=2019","Ig")</f>
        <v>Ig</v>
      </c>
      <c r="G3929" s="72" t="str">
        <f>HYPERLINK("http://api.nsgreg.nga.mil/geo-division/GENC/6/3-11/SI-037","as:GENC:6:3-11:SI-037")</f>
        <v>as:GENC:6:3-11:SI-037</v>
      </c>
    </row>
    <row r="3930" spans="1:7" x14ac:dyDescent="0.25">
      <c r="A3930" s="112"/>
      <c r="B3930" s="21" t="s">
        <v>9489</v>
      </c>
      <c r="C3930" s="21" t="s">
        <v>9490</v>
      </c>
      <c r="D3930" s="21" t="s">
        <v>2505</v>
      </c>
      <c r="E3930" s="50" t="b">
        <v>1</v>
      </c>
      <c r="F3930" s="72" t="str">
        <f>HYPERLINK("http://nsgreg.nga.mil/genc/view?v=295564&amp;end_month=6&amp;end_day=30&amp;end_year=2019","Ilirska Bistrica")</f>
        <v>Ilirska Bistrica</v>
      </c>
      <c r="G3930" s="72" t="str">
        <f>HYPERLINK("http://api.nsgreg.nga.mil/geo-division/GENC/6/3-11/SI-038","as:GENC:6:3-11:SI-038")</f>
        <v>as:GENC:6:3-11:SI-038</v>
      </c>
    </row>
    <row r="3931" spans="1:7" x14ac:dyDescent="0.25">
      <c r="A3931" s="112"/>
      <c r="B3931" s="21" t="s">
        <v>9491</v>
      </c>
      <c r="C3931" s="21" t="s">
        <v>9492</v>
      </c>
      <c r="D3931" s="21" t="s">
        <v>2505</v>
      </c>
      <c r="E3931" s="50" t="b">
        <v>1</v>
      </c>
      <c r="F3931" s="72" t="str">
        <f>HYPERLINK("http://nsgreg.nga.mil/genc/view?v=295565&amp;end_month=6&amp;end_day=30&amp;end_year=2019","Ivančna Gorica")</f>
        <v>Ivančna Gorica</v>
      </c>
      <c r="G3931" s="72" t="str">
        <f>HYPERLINK("http://api.nsgreg.nga.mil/geo-division/GENC/6/3-11/SI-039","as:GENC:6:3-11:SI-039")</f>
        <v>as:GENC:6:3-11:SI-039</v>
      </c>
    </row>
    <row r="3932" spans="1:7" x14ac:dyDescent="0.25">
      <c r="A3932" s="112"/>
      <c r="B3932" s="21" t="s">
        <v>9493</v>
      </c>
      <c r="C3932" s="21" t="s">
        <v>9494</v>
      </c>
      <c r="D3932" s="21" t="s">
        <v>2505</v>
      </c>
      <c r="E3932" s="50" t="b">
        <v>1</v>
      </c>
      <c r="F3932" s="72" t="str">
        <f>HYPERLINK("http://nsgreg.nga.mil/genc/view?v=295566&amp;end_month=6&amp;end_day=30&amp;end_year=2019","Izola")</f>
        <v>Izola</v>
      </c>
      <c r="G3932" s="72" t="str">
        <f>HYPERLINK("http://api.nsgreg.nga.mil/geo-division/GENC/6/3-11/SI-040","as:GENC:6:3-11:SI-040")</f>
        <v>as:GENC:6:3-11:SI-040</v>
      </c>
    </row>
    <row r="3933" spans="1:7" x14ac:dyDescent="0.25">
      <c r="A3933" s="112"/>
      <c r="B3933" s="21" t="s">
        <v>9495</v>
      </c>
      <c r="C3933" s="21" t="s">
        <v>9496</v>
      </c>
      <c r="D3933" s="21" t="s">
        <v>2505</v>
      </c>
      <c r="E3933" s="50" t="b">
        <v>1</v>
      </c>
      <c r="F3933" s="72" t="str">
        <f>HYPERLINK("http://nsgreg.nga.mil/genc/view?v=295567&amp;end_month=6&amp;end_day=30&amp;end_year=2019","Jesenice")</f>
        <v>Jesenice</v>
      </c>
      <c r="G3933" s="72" t="str">
        <f>HYPERLINK("http://api.nsgreg.nga.mil/geo-division/GENC/6/3-11/SI-041","as:GENC:6:3-11:SI-041")</f>
        <v>as:GENC:6:3-11:SI-041</v>
      </c>
    </row>
    <row r="3934" spans="1:7" x14ac:dyDescent="0.25">
      <c r="A3934" s="112"/>
      <c r="B3934" s="21" t="s">
        <v>9497</v>
      </c>
      <c r="C3934" s="21" t="s">
        <v>9498</v>
      </c>
      <c r="D3934" s="21" t="s">
        <v>2505</v>
      </c>
      <c r="E3934" s="50" t="b">
        <v>1</v>
      </c>
      <c r="F3934" s="72" t="str">
        <f>HYPERLINK("http://nsgreg.nga.mil/genc/view?v=295688&amp;end_month=6&amp;end_day=30&amp;end_year=2019","Jezersko")</f>
        <v>Jezersko</v>
      </c>
      <c r="G3934" s="72" t="str">
        <f>HYPERLINK("http://api.nsgreg.nga.mil/geo-division/GENC/6/3-11/SI-163","as:GENC:6:3-11:SI-163")</f>
        <v>as:GENC:6:3-11:SI-163</v>
      </c>
    </row>
    <row r="3935" spans="1:7" x14ac:dyDescent="0.25">
      <c r="A3935" s="112"/>
      <c r="B3935" s="21" t="s">
        <v>9499</v>
      </c>
      <c r="C3935" s="21" t="s">
        <v>9500</v>
      </c>
      <c r="D3935" s="21" t="s">
        <v>2505</v>
      </c>
      <c r="E3935" s="50" t="b">
        <v>1</v>
      </c>
      <c r="F3935" s="72" t="str">
        <f>HYPERLINK("http://nsgreg.nga.mil/genc/view?v=295568&amp;end_month=6&amp;end_day=30&amp;end_year=2019","Juršinci")</f>
        <v>Juršinci</v>
      </c>
      <c r="G3935" s="72" t="str">
        <f>HYPERLINK("http://api.nsgreg.nga.mil/geo-division/GENC/6/3-11/SI-042","as:GENC:6:3-11:SI-042")</f>
        <v>as:GENC:6:3-11:SI-042</v>
      </c>
    </row>
    <row r="3936" spans="1:7" x14ac:dyDescent="0.25">
      <c r="A3936" s="112"/>
      <c r="B3936" s="21" t="s">
        <v>9501</v>
      </c>
      <c r="C3936" s="21" t="s">
        <v>9502</v>
      </c>
      <c r="D3936" s="21" t="s">
        <v>2505</v>
      </c>
      <c r="E3936" s="50" t="b">
        <v>1</v>
      </c>
      <c r="F3936" s="72" t="str">
        <f>HYPERLINK("http://nsgreg.nga.mil/genc/view?v=295569&amp;end_month=6&amp;end_day=30&amp;end_year=2019","Kamnik")</f>
        <v>Kamnik</v>
      </c>
      <c r="G3936" s="72" t="str">
        <f>HYPERLINK("http://api.nsgreg.nga.mil/geo-division/GENC/6/3-11/SI-043","as:GENC:6:3-11:SI-043")</f>
        <v>as:GENC:6:3-11:SI-043</v>
      </c>
    </row>
    <row r="3937" spans="1:7" x14ac:dyDescent="0.25">
      <c r="A3937" s="112"/>
      <c r="B3937" s="21" t="s">
        <v>9503</v>
      </c>
      <c r="C3937" s="21" t="s">
        <v>9504</v>
      </c>
      <c r="D3937" s="21" t="s">
        <v>2505</v>
      </c>
      <c r="E3937" s="50" t="b">
        <v>1</v>
      </c>
      <c r="F3937" s="72" t="str">
        <f>HYPERLINK("http://nsgreg.nga.mil/genc/view?v=295570&amp;end_month=6&amp;end_day=30&amp;end_year=2019","Kanal")</f>
        <v>Kanal</v>
      </c>
      <c r="G3937" s="72" t="str">
        <f>HYPERLINK("http://api.nsgreg.nga.mil/geo-division/GENC/6/3-11/SI-044","as:GENC:6:3-11:SI-044")</f>
        <v>as:GENC:6:3-11:SI-044</v>
      </c>
    </row>
    <row r="3938" spans="1:7" x14ac:dyDescent="0.25">
      <c r="A3938" s="112"/>
      <c r="B3938" s="21" t="s">
        <v>9505</v>
      </c>
      <c r="C3938" s="21" t="s">
        <v>9506</v>
      </c>
      <c r="D3938" s="21" t="s">
        <v>2505</v>
      </c>
      <c r="E3938" s="50" t="b">
        <v>1</v>
      </c>
      <c r="F3938" s="72" t="str">
        <f>HYPERLINK("http://nsgreg.nga.mil/genc/view?v=295571&amp;end_month=6&amp;end_day=30&amp;end_year=2019","Kidričevo")</f>
        <v>Kidričevo</v>
      </c>
      <c r="G3938" s="72" t="str">
        <f>HYPERLINK("http://api.nsgreg.nga.mil/geo-division/GENC/6/3-11/SI-045","as:GENC:6:3-11:SI-045")</f>
        <v>as:GENC:6:3-11:SI-045</v>
      </c>
    </row>
    <row r="3939" spans="1:7" x14ac:dyDescent="0.25">
      <c r="A3939" s="112"/>
      <c r="B3939" s="21" t="s">
        <v>9507</v>
      </c>
      <c r="C3939" s="21" t="s">
        <v>9508</v>
      </c>
      <c r="D3939" s="21" t="s">
        <v>2505</v>
      </c>
      <c r="E3939" s="50" t="b">
        <v>1</v>
      </c>
      <c r="F3939" s="72" t="str">
        <f>HYPERLINK("http://nsgreg.nga.mil/genc/view?v=295572&amp;end_month=6&amp;end_day=30&amp;end_year=2019","Kobarid")</f>
        <v>Kobarid</v>
      </c>
      <c r="G3939" s="72" t="str">
        <f>HYPERLINK("http://api.nsgreg.nga.mil/geo-division/GENC/6/3-11/SI-046","as:GENC:6:3-11:SI-046")</f>
        <v>as:GENC:6:3-11:SI-046</v>
      </c>
    </row>
    <row r="3940" spans="1:7" x14ac:dyDescent="0.25">
      <c r="A3940" s="112"/>
      <c r="B3940" s="21" t="s">
        <v>9509</v>
      </c>
      <c r="C3940" s="21" t="s">
        <v>9510</v>
      </c>
      <c r="D3940" s="21" t="s">
        <v>2505</v>
      </c>
      <c r="E3940" s="50" t="b">
        <v>1</v>
      </c>
      <c r="F3940" s="72" t="str">
        <f>HYPERLINK("http://nsgreg.nga.mil/genc/view?v=295573&amp;end_month=6&amp;end_day=30&amp;end_year=2019","Kobilje")</f>
        <v>Kobilje</v>
      </c>
      <c r="G3940" s="72" t="str">
        <f>HYPERLINK("http://api.nsgreg.nga.mil/geo-division/GENC/6/3-11/SI-047","as:GENC:6:3-11:SI-047")</f>
        <v>as:GENC:6:3-11:SI-047</v>
      </c>
    </row>
    <row r="3941" spans="1:7" x14ac:dyDescent="0.25">
      <c r="A3941" s="112"/>
      <c r="B3941" s="21" t="s">
        <v>9511</v>
      </c>
      <c r="C3941" s="21" t="s">
        <v>9512</v>
      </c>
      <c r="D3941" s="21" t="s">
        <v>2505</v>
      </c>
      <c r="E3941" s="50" t="b">
        <v>1</v>
      </c>
      <c r="F3941" s="72" t="str">
        <f>HYPERLINK("http://nsgreg.nga.mil/genc/view?v=295574&amp;end_month=6&amp;end_day=30&amp;end_year=2019","Kočevje")</f>
        <v>Kočevje</v>
      </c>
      <c r="G3941" s="72" t="str">
        <f>HYPERLINK("http://api.nsgreg.nga.mil/geo-division/GENC/6/3-11/SI-048","as:GENC:6:3-11:SI-048")</f>
        <v>as:GENC:6:3-11:SI-048</v>
      </c>
    </row>
    <row r="3942" spans="1:7" x14ac:dyDescent="0.25">
      <c r="A3942" s="112"/>
      <c r="B3942" s="21" t="s">
        <v>9513</v>
      </c>
      <c r="C3942" s="21" t="s">
        <v>9514</v>
      </c>
      <c r="D3942" s="21" t="s">
        <v>2505</v>
      </c>
      <c r="E3942" s="50" t="b">
        <v>1</v>
      </c>
      <c r="F3942" s="72" t="str">
        <f>HYPERLINK("http://nsgreg.nga.mil/genc/view?v=295575&amp;end_month=6&amp;end_day=30&amp;end_year=2019","Komen")</f>
        <v>Komen</v>
      </c>
      <c r="G3942" s="72" t="str">
        <f>HYPERLINK("http://api.nsgreg.nga.mil/geo-division/GENC/6/3-11/SI-049","as:GENC:6:3-11:SI-049")</f>
        <v>as:GENC:6:3-11:SI-049</v>
      </c>
    </row>
    <row r="3943" spans="1:7" x14ac:dyDescent="0.25">
      <c r="A3943" s="112"/>
      <c r="B3943" s="21" t="s">
        <v>9515</v>
      </c>
      <c r="C3943" s="21" t="s">
        <v>9516</v>
      </c>
      <c r="D3943" s="21" t="s">
        <v>2505</v>
      </c>
      <c r="E3943" s="50" t="b">
        <v>1</v>
      </c>
      <c r="F3943" s="72" t="str">
        <f>HYPERLINK("http://nsgreg.nga.mil/genc/view?v=295689&amp;end_month=6&amp;end_day=30&amp;end_year=2019","Komenda")</f>
        <v>Komenda</v>
      </c>
      <c r="G3943" s="72" t="str">
        <f>HYPERLINK("http://api.nsgreg.nga.mil/geo-division/GENC/6/3-11/SI-164","as:GENC:6:3-11:SI-164")</f>
        <v>as:GENC:6:3-11:SI-164</v>
      </c>
    </row>
    <row r="3944" spans="1:7" x14ac:dyDescent="0.25">
      <c r="A3944" s="112"/>
      <c r="B3944" s="21" t="s">
        <v>9517</v>
      </c>
      <c r="C3944" s="21" t="s">
        <v>9518</v>
      </c>
      <c r="D3944" s="21" t="s">
        <v>9519</v>
      </c>
      <c r="E3944" s="50" t="b">
        <v>1</v>
      </c>
      <c r="F3944" s="72" t="str">
        <f>HYPERLINK("http://nsgreg.nga.mil/genc/view?v=295576&amp;end_month=6&amp;end_day=30&amp;end_year=2019","Koper")</f>
        <v>Koper</v>
      </c>
      <c r="G3944" s="72" t="str">
        <f>HYPERLINK("http://api.nsgreg.nga.mil/geo-division/GENC/6/3-11/SI-050","as:GENC:6:3-11:SI-050")</f>
        <v>as:GENC:6:3-11:SI-050</v>
      </c>
    </row>
    <row r="3945" spans="1:7" x14ac:dyDescent="0.25">
      <c r="A3945" s="112"/>
      <c r="B3945" s="21" t="s">
        <v>9520</v>
      </c>
      <c r="C3945" s="21" t="s">
        <v>9521</v>
      </c>
      <c r="D3945" s="21" t="s">
        <v>2505</v>
      </c>
      <c r="E3945" s="50" t="b">
        <v>1</v>
      </c>
      <c r="F3945" s="72" t="str">
        <f>HYPERLINK("http://nsgreg.nga.mil/genc/view?v=295722&amp;end_month=6&amp;end_day=30&amp;end_year=2019","Kostanjevica na Krki")</f>
        <v>Kostanjevica na Krki</v>
      </c>
      <c r="G3945" s="72" t="str">
        <f>HYPERLINK("http://api.nsgreg.nga.mil/geo-division/GENC/6/3-11/SI-197","as:GENC:6:3-11:SI-197")</f>
        <v>as:GENC:6:3-11:SI-197</v>
      </c>
    </row>
    <row r="3946" spans="1:7" x14ac:dyDescent="0.25">
      <c r="A3946" s="112"/>
      <c r="B3946" s="21" t="s">
        <v>9522</v>
      </c>
      <c r="C3946" s="21" t="s">
        <v>9523</v>
      </c>
      <c r="D3946" s="21" t="s">
        <v>2505</v>
      </c>
      <c r="E3946" s="50" t="b">
        <v>1</v>
      </c>
      <c r="F3946" s="72" t="str">
        <f>HYPERLINK("http://nsgreg.nga.mil/genc/view?v=295690&amp;end_month=6&amp;end_day=30&amp;end_year=2019","Kostel")</f>
        <v>Kostel</v>
      </c>
      <c r="G3946" s="72" t="str">
        <f>HYPERLINK("http://api.nsgreg.nga.mil/geo-division/GENC/6/3-11/SI-165","as:GENC:6:3-11:SI-165")</f>
        <v>as:GENC:6:3-11:SI-165</v>
      </c>
    </row>
    <row r="3947" spans="1:7" x14ac:dyDescent="0.25">
      <c r="A3947" s="112"/>
      <c r="B3947" s="21" t="s">
        <v>9524</v>
      </c>
      <c r="C3947" s="21" t="s">
        <v>9525</v>
      </c>
      <c r="D3947" s="21" t="s">
        <v>2505</v>
      </c>
      <c r="E3947" s="50" t="b">
        <v>1</v>
      </c>
      <c r="F3947" s="72" t="str">
        <f>HYPERLINK("http://nsgreg.nga.mil/genc/view?v=295577&amp;end_month=6&amp;end_day=30&amp;end_year=2019","Kozje")</f>
        <v>Kozje</v>
      </c>
      <c r="G3947" s="72" t="str">
        <f>HYPERLINK("http://api.nsgreg.nga.mil/geo-division/GENC/6/3-11/SI-051","as:GENC:6:3-11:SI-051")</f>
        <v>as:GENC:6:3-11:SI-051</v>
      </c>
    </row>
    <row r="3948" spans="1:7" x14ac:dyDescent="0.25">
      <c r="A3948" s="112"/>
      <c r="B3948" s="21" t="s">
        <v>9526</v>
      </c>
      <c r="C3948" s="21" t="s">
        <v>9527</v>
      </c>
      <c r="D3948" s="21" t="s">
        <v>2505</v>
      </c>
      <c r="E3948" s="50" t="b">
        <v>1</v>
      </c>
      <c r="F3948" s="72" t="str">
        <f>HYPERLINK("http://nsgreg.nga.mil/genc/view?v=295578&amp;end_month=6&amp;end_day=30&amp;end_year=2019","Kranj")</f>
        <v>Kranj</v>
      </c>
      <c r="G3948" s="72" t="str">
        <f>HYPERLINK("http://api.nsgreg.nga.mil/geo-division/GENC/6/3-11/SI-052","as:GENC:6:3-11:SI-052")</f>
        <v>as:GENC:6:3-11:SI-052</v>
      </c>
    </row>
    <row r="3949" spans="1:7" x14ac:dyDescent="0.25">
      <c r="A3949" s="112"/>
      <c r="B3949" s="21" t="s">
        <v>9528</v>
      </c>
      <c r="C3949" s="21" t="s">
        <v>9529</v>
      </c>
      <c r="D3949" s="21" t="s">
        <v>2505</v>
      </c>
      <c r="E3949" s="50" t="b">
        <v>1</v>
      </c>
      <c r="F3949" s="72" t="str">
        <f>HYPERLINK("http://nsgreg.nga.mil/genc/view?v=295579&amp;end_month=6&amp;end_day=30&amp;end_year=2019","Kranjska Gora")</f>
        <v>Kranjska Gora</v>
      </c>
      <c r="G3949" s="72" t="str">
        <f>HYPERLINK("http://api.nsgreg.nga.mil/geo-division/GENC/6/3-11/SI-053","as:GENC:6:3-11:SI-053")</f>
        <v>as:GENC:6:3-11:SI-053</v>
      </c>
    </row>
    <row r="3950" spans="1:7" x14ac:dyDescent="0.25">
      <c r="A3950" s="112"/>
      <c r="B3950" s="21" t="s">
        <v>9530</v>
      </c>
      <c r="C3950" s="21" t="s">
        <v>9531</v>
      </c>
      <c r="D3950" s="21" t="s">
        <v>2505</v>
      </c>
      <c r="E3950" s="50" t="b">
        <v>1</v>
      </c>
      <c r="F3950" s="72" t="str">
        <f>HYPERLINK("http://nsgreg.nga.mil/genc/view?v=295691&amp;end_month=6&amp;end_day=30&amp;end_year=2019","Križevci")</f>
        <v>Križevci</v>
      </c>
      <c r="G3950" s="72" t="str">
        <f>HYPERLINK("http://api.nsgreg.nga.mil/geo-division/GENC/6/3-11/SI-166","as:GENC:6:3-11:SI-166")</f>
        <v>as:GENC:6:3-11:SI-166</v>
      </c>
    </row>
    <row r="3951" spans="1:7" x14ac:dyDescent="0.25">
      <c r="A3951" s="112"/>
      <c r="B3951" s="21" t="s">
        <v>9532</v>
      </c>
      <c r="C3951" s="21" t="s">
        <v>9533</v>
      </c>
      <c r="D3951" s="21" t="s">
        <v>2505</v>
      </c>
      <c r="E3951" s="50" t="b">
        <v>1</v>
      </c>
      <c r="F3951" s="72" t="str">
        <f>HYPERLINK("http://nsgreg.nga.mil/genc/view?v=295580&amp;end_month=6&amp;end_day=30&amp;end_year=2019","Krško")</f>
        <v>Krško</v>
      </c>
      <c r="G3951" s="72" t="str">
        <f>HYPERLINK("http://api.nsgreg.nga.mil/geo-division/GENC/6/3-11/SI-054","as:GENC:6:3-11:SI-054")</f>
        <v>as:GENC:6:3-11:SI-054</v>
      </c>
    </row>
    <row r="3952" spans="1:7" x14ac:dyDescent="0.25">
      <c r="A3952" s="112"/>
      <c r="B3952" s="21" t="s">
        <v>9534</v>
      </c>
      <c r="C3952" s="21" t="s">
        <v>9535</v>
      </c>
      <c r="D3952" s="21" t="s">
        <v>2505</v>
      </c>
      <c r="E3952" s="50" t="b">
        <v>1</v>
      </c>
      <c r="F3952" s="72" t="str">
        <f>HYPERLINK("http://nsgreg.nga.mil/genc/view?v=295581&amp;end_month=6&amp;end_day=30&amp;end_year=2019","Kungota")</f>
        <v>Kungota</v>
      </c>
      <c r="G3952" s="72" t="str">
        <f>HYPERLINK("http://api.nsgreg.nga.mil/geo-division/GENC/6/3-11/SI-055","as:GENC:6:3-11:SI-055")</f>
        <v>as:GENC:6:3-11:SI-055</v>
      </c>
    </row>
    <row r="3953" spans="1:7" x14ac:dyDescent="0.25">
      <c r="A3953" s="112"/>
      <c r="B3953" s="21" t="s">
        <v>9536</v>
      </c>
      <c r="C3953" s="21" t="s">
        <v>9537</v>
      </c>
      <c r="D3953" s="21" t="s">
        <v>2505</v>
      </c>
      <c r="E3953" s="50" t="b">
        <v>1</v>
      </c>
      <c r="F3953" s="72" t="str">
        <f>HYPERLINK("http://nsgreg.nga.mil/genc/view?v=295582&amp;end_month=6&amp;end_day=30&amp;end_year=2019","Kuzma")</f>
        <v>Kuzma</v>
      </c>
      <c r="G3953" s="72" t="str">
        <f>HYPERLINK("http://api.nsgreg.nga.mil/geo-division/GENC/6/3-11/SI-056","as:GENC:6:3-11:SI-056")</f>
        <v>as:GENC:6:3-11:SI-056</v>
      </c>
    </row>
    <row r="3954" spans="1:7" x14ac:dyDescent="0.25">
      <c r="A3954" s="112"/>
      <c r="B3954" s="21" t="s">
        <v>9538</v>
      </c>
      <c r="C3954" s="21" t="s">
        <v>9539</v>
      </c>
      <c r="D3954" s="21" t="s">
        <v>2505</v>
      </c>
      <c r="E3954" s="50" t="b">
        <v>1</v>
      </c>
      <c r="F3954" s="72" t="str">
        <f>HYPERLINK("http://nsgreg.nga.mil/genc/view?v=295583&amp;end_month=6&amp;end_day=30&amp;end_year=2019","Laško")</f>
        <v>Laško</v>
      </c>
      <c r="G3954" s="72" t="str">
        <f>HYPERLINK("http://api.nsgreg.nga.mil/geo-division/GENC/6/3-11/SI-057","as:GENC:6:3-11:SI-057")</f>
        <v>as:GENC:6:3-11:SI-057</v>
      </c>
    </row>
    <row r="3955" spans="1:7" x14ac:dyDescent="0.25">
      <c r="A3955" s="112"/>
      <c r="B3955" s="21" t="s">
        <v>9540</v>
      </c>
      <c r="C3955" s="21" t="s">
        <v>9541</v>
      </c>
      <c r="D3955" s="21" t="s">
        <v>2505</v>
      </c>
      <c r="E3955" s="50" t="b">
        <v>1</v>
      </c>
      <c r="F3955" s="72" t="str">
        <f>HYPERLINK("http://nsgreg.nga.mil/genc/view?v=295584&amp;end_month=6&amp;end_day=30&amp;end_year=2019","Lenart")</f>
        <v>Lenart</v>
      </c>
      <c r="G3955" s="72" t="str">
        <f>HYPERLINK("http://api.nsgreg.nga.mil/geo-division/GENC/6/3-11/SI-058","as:GENC:6:3-11:SI-058")</f>
        <v>as:GENC:6:3-11:SI-058</v>
      </c>
    </row>
    <row r="3956" spans="1:7" x14ac:dyDescent="0.25">
      <c r="A3956" s="112"/>
      <c r="B3956" s="21" t="s">
        <v>9542</v>
      </c>
      <c r="C3956" s="21" t="s">
        <v>9543</v>
      </c>
      <c r="D3956" s="21" t="s">
        <v>2505</v>
      </c>
      <c r="E3956" s="50" t="b">
        <v>1</v>
      </c>
      <c r="F3956" s="72" t="str">
        <f>HYPERLINK("http://nsgreg.nga.mil/genc/view?v=295585&amp;end_month=6&amp;end_day=30&amp;end_year=2019","Lendava")</f>
        <v>Lendava</v>
      </c>
      <c r="G3956" s="72" t="str">
        <f>HYPERLINK("http://api.nsgreg.nga.mil/geo-division/GENC/6/3-11/SI-059","as:GENC:6:3-11:SI-059")</f>
        <v>as:GENC:6:3-11:SI-059</v>
      </c>
    </row>
    <row r="3957" spans="1:7" x14ac:dyDescent="0.25">
      <c r="A3957" s="112"/>
      <c r="B3957" s="21" t="s">
        <v>9544</v>
      </c>
      <c r="C3957" s="21" t="s">
        <v>9545</v>
      </c>
      <c r="D3957" s="21" t="s">
        <v>2505</v>
      </c>
      <c r="E3957" s="50" t="b">
        <v>1</v>
      </c>
      <c r="F3957" s="72" t="str">
        <f>HYPERLINK("http://nsgreg.nga.mil/genc/view?v=295586&amp;end_month=6&amp;end_day=30&amp;end_year=2019","Litija")</f>
        <v>Litija</v>
      </c>
      <c r="G3957" s="72" t="str">
        <f>HYPERLINK("http://api.nsgreg.nga.mil/geo-division/GENC/6/3-11/SI-060","as:GENC:6:3-11:SI-060")</f>
        <v>as:GENC:6:3-11:SI-060</v>
      </c>
    </row>
    <row r="3958" spans="1:7" x14ac:dyDescent="0.25">
      <c r="A3958" s="112"/>
      <c r="B3958" s="21" t="s">
        <v>9546</v>
      </c>
      <c r="C3958" s="21" t="s">
        <v>9547</v>
      </c>
      <c r="D3958" s="21" t="s">
        <v>9519</v>
      </c>
      <c r="E3958" s="50" t="b">
        <v>1</v>
      </c>
      <c r="F3958" s="72" t="str">
        <f>HYPERLINK("http://nsgreg.nga.mil/genc/view?v=295587&amp;end_month=6&amp;end_day=30&amp;end_year=2019","Ljubljana")</f>
        <v>Ljubljana</v>
      </c>
      <c r="G3958" s="72" t="str">
        <f>HYPERLINK("http://api.nsgreg.nga.mil/geo-division/GENC/6/3-11/SI-061","as:GENC:6:3-11:SI-061")</f>
        <v>as:GENC:6:3-11:SI-061</v>
      </c>
    </row>
    <row r="3959" spans="1:7" x14ac:dyDescent="0.25">
      <c r="A3959" s="112"/>
      <c r="B3959" s="21" t="s">
        <v>9548</v>
      </c>
      <c r="C3959" s="21" t="s">
        <v>9549</v>
      </c>
      <c r="D3959" s="21" t="s">
        <v>2505</v>
      </c>
      <c r="E3959" s="50" t="b">
        <v>1</v>
      </c>
      <c r="F3959" s="72" t="str">
        <f>HYPERLINK("http://nsgreg.nga.mil/genc/view?v=295588&amp;end_month=6&amp;end_day=30&amp;end_year=2019","Ljubno")</f>
        <v>Ljubno</v>
      </c>
      <c r="G3959" s="72" t="str">
        <f>HYPERLINK("http://api.nsgreg.nga.mil/geo-division/GENC/6/3-11/SI-062","as:GENC:6:3-11:SI-062")</f>
        <v>as:GENC:6:3-11:SI-062</v>
      </c>
    </row>
    <row r="3960" spans="1:7" x14ac:dyDescent="0.25">
      <c r="A3960" s="112"/>
      <c r="B3960" s="21" t="s">
        <v>9550</v>
      </c>
      <c r="C3960" s="21" t="s">
        <v>9551</v>
      </c>
      <c r="D3960" s="21" t="s">
        <v>2505</v>
      </c>
      <c r="E3960" s="50" t="b">
        <v>1</v>
      </c>
      <c r="F3960" s="72" t="str">
        <f>HYPERLINK("http://nsgreg.nga.mil/genc/view?v=295589&amp;end_month=6&amp;end_day=30&amp;end_year=2019","Ljutomer")</f>
        <v>Ljutomer</v>
      </c>
      <c r="G3960" s="72" t="str">
        <f>HYPERLINK("http://api.nsgreg.nga.mil/geo-division/GENC/6/3-11/SI-063","as:GENC:6:3-11:SI-063")</f>
        <v>as:GENC:6:3-11:SI-063</v>
      </c>
    </row>
    <row r="3961" spans="1:7" x14ac:dyDescent="0.25">
      <c r="A3961" s="112"/>
      <c r="B3961" s="21" t="s">
        <v>9552</v>
      </c>
      <c r="C3961" s="21" t="s">
        <v>9553</v>
      </c>
      <c r="D3961" s="21" t="s">
        <v>2505</v>
      </c>
      <c r="E3961" s="50" t="b">
        <v>1</v>
      </c>
      <c r="F3961" s="72" t="str">
        <f>HYPERLINK("http://nsgreg.nga.mil/genc/view?v=295590&amp;end_month=6&amp;end_day=30&amp;end_year=2019","Logatec")</f>
        <v>Logatec</v>
      </c>
      <c r="G3961" s="72" t="str">
        <f>HYPERLINK("http://api.nsgreg.nga.mil/geo-division/GENC/6/3-11/SI-064","as:GENC:6:3-11:SI-064")</f>
        <v>as:GENC:6:3-11:SI-064</v>
      </c>
    </row>
    <row r="3962" spans="1:7" x14ac:dyDescent="0.25">
      <c r="A3962" s="112"/>
      <c r="B3962" s="21" t="s">
        <v>9554</v>
      </c>
      <c r="C3962" s="21" t="s">
        <v>9555</v>
      </c>
      <c r="D3962" s="21" t="s">
        <v>2505</v>
      </c>
      <c r="E3962" s="50" t="b">
        <v>1</v>
      </c>
      <c r="F3962" s="72" t="str">
        <f>HYPERLINK("http://nsgreg.nga.mil/genc/view?v=295733&amp;end_month=6&amp;end_day=30&amp;end_year=2019","Log-Dragomer")</f>
        <v>Log-Dragomer</v>
      </c>
      <c r="G3962" s="72" t="str">
        <f>HYPERLINK("http://api.nsgreg.nga.mil/geo-division/GENC/6/3-11/SI-208","as:GENC:6:3-11:SI-208")</f>
        <v>as:GENC:6:3-11:SI-208</v>
      </c>
    </row>
    <row r="3963" spans="1:7" x14ac:dyDescent="0.25">
      <c r="A3963" s="112"/>
      <c r="B3963" s="21" t="s">
        <v>9556</v>
      </c>
      <c r="C3963" s="21" t="s">
        <v>9557</v>
      </c>
      <c r="D3963" s="21" t="s">
        <v>2505</v>
      </c>
      <c r="E3963" s="50" t="b">
        <v>1</v>
      </c>
      <c r="F3963" s="72" t="str">
        <f>HYPERLINK("http://nsgreg.nga.mil/genc/view?v=295591&amp;end_month=6&amp;end_day=30&amp;end_year=2019","Loška Dolina")</f>
        <v>Loška Dolina</v>
      </c>
      <c r="G3963" s="72" t="str">
        <f>HYPERLINK("http://api.nsgreg.nga.mil/geo-division/GENC/6/3-11/SI-065","as:GENC:6:3-11:SI-065")</f>
        <v>as:GENC:6:3-11:SI-065</v>
      </c>
    </row>
    <row r="3964" spans="1:7" x14ac:dyDescent="0.25">
      <c r="A3964" s="112"/>
      <c r="B3964" s="21" t="s">
        <v>9558</v>
      </c>
      <c r="C3964" s="21" t="s">
        <v>9559</v>
      </c>
      <c r="D3964" s="21" t="s">
        <v>2505</v>
      </c>
      <c r="E3964" s="50" t="b">
        <v>1</v>
      </c>
      <c r="F3964" s="72" t="str">
        <f>HYPERLINK("http://nsgreg.nga.mil/genc/view?v=295592&amp;end_month=6&amp;end_day=30&amp;end_year=2019","Loški Potok")</f>
        <v>Loški Potok</v>
      </c>
      <c r="G3964" s="72" t="str">
        <f>HYPERLINK("http://api.nsgreg.nga.mil/geo-division/GENC/6/3-11/SI-066","as:GENC:6:3-11:SI-066")</f>
        <v>as:GENC:6:3-11:SI-066</v>
      </c>
    </row>
    <row r="3965" spans="1:7" x14ac:dyDescent="0.25">
      <c r="A3965" s="112"/>
      <c r="B3965" s="21" t="s">
        <v>9560</v>
      </c>
      <c r="C3965" s="21" t="s">
        <v>9561</v>
      </c>
      <c r="D3965" s="21" t="s">
        <v>2505</v>
      </c>
      <c r="E3965" s="50" t="b">
        <v>1</v>
      </c>
      <c r="F3965" s="72" t="str">
        <f>HYPERLINK("http://nsgreg.nga.mil/genc/view?v=295692&amp;end_month=6&amp;end_day=30&amp;end_year=2019","Lovrenc na Pohorju")</f>
        <v>Lovrenc na Pohorju</v>
      </c>
      <c r="G3965" s="72" t="str">
        <f>HYPERLINK("http://api.nsgreg.nga.mil/geo-division/GENC/6/3-11/SI-167","as:GENC:6:3-11:SI-167")</f>
        <v>as:GENC:6:3-11:SI-167</v>
      </c>
    </row>
    <row r="3966" spans="1:7" x14ac:dyDescent="0.25">
      <c r="A3966" s="112"/>
      <c r="B3966" s="21" t="s">
        <v>9562</v>
      </c>
      <c r="C3966" s="21" t="s">
        <v>9563</v>
      </c>
      <c r="D3966" s="21" t="s">
        <v>2505</v>
      </c>
      <c r="E3966" s="50" t="b">
        <v>1</v>
      </c>
      <c r="F3966" s="72" t="str">
        <f>HYPERLINK("http://nsgreg.nga.mil/genc/view?v=295593&amp;end_month=6&amp;end_day=30&amp;end_year=2019","Luče")</f>
        <v>Luče</v>
      </c>
      <c r="G3966" s="72" t="str">
        <f>HYPERLINK("http://api.nsgreg.nga.mil/geo-division/GENC/6/3-11/SI-067","as:GENC:6:3-11:SI-067")</f>
        <v>as:GENC:6:3-11:SI-067</v>
      </c>
    </row>
    <row r="3967" spans="1:7" x14ac:dyDescent="0.25">
      <c r="A3967" s="112"/>
      <c r="B3967" s="21" t="s">
        <v>9564</v>
      </c>
      <c r="C3967" s="21" t="s">
        <v>9565</v>
      </c>
      <c r="D3967" s="21" t="s">
        <v>2505</v>
      </c>
      <c r="E3967" s="50" t="b">
        <v>1</v>
      </c>
      <c r="F3967" s="72" t="str">
        <f>HYPERLINK("http://nsgreg.nga.mil/genc/view?v=295594&amp;end_month=6&amp;end_day=30&amp;end_year=2019","Lukovica")</f>
        <v>Lukovica</v>
      </c>
      <c r="G3967" s="72" t="str">
        <f>HYPERLINK("http://api.nsgreg.nga.mil/geo-division/GENC/6/3-11/SI-068","as:GENC:6:3-11:SI-068")</f>
        <v>as:GENC:6:3-11:SI-068</v>
      </c>
    </row>
    <row r="3968" spans="1:7" x14ac:dyDescent="0.25">
      <c r="A3968" s="112"/>
      <c r="B3968" s="21" t="s">
        <v>9566</v>
      </c>
      <c r="C3968" s="21" t="s">
        <v>9567</v>
      </c>
      <c r="D3968" s="21" t="s">
        <v>2505</v>
      </c>
      <c r="E3968" s="50" t="b">
        <v>1</v>
      </c>
      <c r="F3968" s="72" t="str">
        <f>HYPERLINK("http://nsgreg.nga.mil/genc/view?v=295595&amp;end_month=6&amp;end_day=30&amp;end_year=2019","Majšperk")</f>
        <v>Majšperk</v>
      </c>
      <c r="G3968" s="72" t="str">
        <f>HYPERLINK("http://api.nsgreg.nga.mil/geo-division/GENC/6/3-11/SI-069","as:GENC:6:3-11:SI-069")</f>
        <v>as:GENC:6:3-11:SI-069</v>
      </c>
    </row>
    <row r="3969" spans="1:7" x14ac:dyDescent="0.25">
      <c r="A3969" s="112"/>
      <c r="B3969" s="21" t="s">
        <v>9568</v>
      </c>
      <c r="C3969" s="21" t="s">
        <v>9569</v>
      </c>
      <c r="D3969" s="21" t="s">
        <v>2505</v>
      </c>
      <c r="E3969" s="50" t="b">
        <v>1</v>
      </c>
      <c r="F3969" s="72" t="str">
        <f>HYPERLINK("http://nsgreg.nga.mil/genc/view?v=295723&amp;end_month=6&amp;end_day=30&amp;end_year=2019","Makole")</f>
        <v>Makole</v>
      </c>
      <c r="G3969" s="72" t="str">
        <f>HYPERLINK("http://api.nsgreg.nga.mil/geo-division/GENC/6/3-11/SI-198","as:GENC:6:3-11:SI-198")</f>
        <v>as:GENC:6:3-11:SI-198</v>
      </c>
    </row>
    <row r="3970" spans="1:7" x14ac:dyDescent="0.25">
      <c r="A3970" s="112"/>
      <c r="B3970" s="21" t="s">
        <v>9570</v>
      </c>
      <c r="C3970" s="21" t="s">
        <v>9571</v>
      </c>
      <c r="D3970" s="21" t="s">
        <v>9519</v>
      </c>
      <c r="E3970" s="50" t="b">
        <v>1</v>
      </c>
      <c r="F3970" s="72" t="str">
        <f>HYPERLINK("http://nsgreg.nga.mil/genc/view?v=295596&amp;end_month=6&amp;end_day=30&amp;end_year=2019","Maribor")</f>
        <v>Maribor</v>
      </c>
      <c r="G3970" s="72" t="str">
        <f>HYPERLINK("http://api.nsgreg.nga.mil/geo-division/GENC/6/3-11/SI-070","as:GENC:6:3-11:SI-070")</f>
        <v>as:GENC:6:3-11:SI-070</v>
      </c>
    </row>
    <row r="3971" spans="1:7" x14ac:dyDescent="0.25">
      <c r="A3971" s="112"/>
      <c r="B3971" s="21" t="s">
        <v>9572</v>
      </c>
      <c r="C3971" s="21" t="s">
        <v>9573</v>
      </c>
      <c r="D3971" s="21" t="s">
        <v>2505</v>
      </c>
      <c r="E3971" s="50" t="b">
        <v>1</v>
      </c>
      <c r="F3971" s="72" t="str">
        <f>HYPERLINK("http://nsgreg.nga.mil/genc/view?v=295693&amp;end_month=6&amp;end_day=30&amp;end_year=2019","Markovci")</f>
        <v>Markovci</v>
      </c>
      <c r="G3971" s="72" t="str">
        <f>HYPERLINK("http://api.nsgreg.nga.mil/geo-division/GENC/6/3-11/SI-168","as:GENC:6:3-11:SI-168")</f>
        <v>as:GENC:6:3-11:SI-168</v>
      </c>
    </row>
    <row r="3972" spans="1:7" x14ac:dyDescent="0.25">
      <c r="A3972" s="112"/>
      <c r="B3972" s="21" t="s">
        <v>9574</v>
      </c>
      <c r="C3972" s="21" t="s">
        <v>9575</v>
      </c>
      <c r="D3972" s="21" t="s">
        <v>2505</v>
      </c>
      <c r="E3972" s="50" t="b">
        <v>1</v>
      </c>
      <c r="F3972" s="72" t="str">
        <f>HYPERLINK("http://nsgreg.nga.mil/genc/view?v=295597&amp;end_month=6&amp;end_day=30&amp;end_year=2019","Medvode")</f>
        <v>Medvode</v>
      </c>
      <c r="G3972" s="72" t="str">
        <f>HYPERLINK("http://api.nsgreg.nga.mil/geo-division/GENC/6/3-11/SI-071","as:GENC:6:3-11:SI-071")</f>
        <v>as:GENC:6:3-11:SI-071</v>
      </c>
    </row>
    <row r="3973" spans="1:7" x14ac:dyDescent="0.25">
      <c r="A3973" s="112"/>
      <c r="B3973" s="21" t="s">
        <v>9576</v>
      </c>
      <c r="C3973" s="21" t="s">
        <v>9577</v>
      </c>
      <c r="D3973" s="21" t="s">
        <v>2505</v>
      </c>
      <c r="E3973" s="50" t="b">
        <v>1</v>
      </c>
      <c r="F3973" s="72" t="str">
        <f>HYPERLINK("http://nsgreg.nga.mil/genc/view?v=295598&amp;end_month=6&amp;end_day=30&amp;end_year=2019","Mengeš")</f>
        <v>Mengeš</v>
      </c>
      <c r="G3973" s="72" t="str">
        <f>HYPERLINK("http://api.nsgreg.nga.mil/geo-division/GENC/6/3-11/SI-072","as:GENC:6:3-11:SI-072")</f>
        <v>as:GENC:6:3-11:SI-072</v>
      </c>
    </row>
    <row r="3974" spans="1:7" x14ac:dyDescent="0.25">
      <c r="A3974" s="112"/>
      <c r="B3974" s="21" t="s">
        <v>9578</v>
      </c>
      <c r="C3974" s="21" t="s">
        <v>9579</v>
      </c>
      <c r="D3974" s="21" t="s">
        <v>2505</v>
      </c>
      <c r="E3974" s="50" t="b">
        <v>1</v>
      </c>
      <c r="F3974" s="72" t="str">
        <f>HYPERLINK("http://nsgreg.nga.mil/genc/view?v=295599&amp;end_month=6&amp;end_day=30&amp;end_year=2019","Metlika")</f>
        <v>Metlika</v>
      </c>
      <c r="G3974" s="72" t="str">
        <f>HYPERLINK("http://api.nsgreg.nga.mil/geo-division/GENC/6/3-11/SI-073","as:GENC:6:3-11:SI-073")</f>
        <v>as:GENC:6:3-11:SI-073</v>
      </c>
    </row>
    <row r="3975" spans="1:7" x14ac:dyDescent="0.25">
      <c r="A3975" s="112"/>
      <c r="B3975" s="21" t="s">
        <v>9580</v>
      </c>
      <c r="C3975" s="21" t="s">
        <v>9581</v>
      </c>
      <c r="D3975" s="21" t="s">
        <v>2505</v>
      </c>
      <c r="E3975" s="50" t="b">
        <v>1</v>
      </c>
      <c r="F3975" s="72" t="str">
        <f>HYPERLINK("http://nsgreg.nga.mil/genc/view?v=295600&amp;end_month=6&amp;end_day=30&amp;end_year=2019","Mežica")</f>
        <v>Mežica</v>
      </c>
      <c r="G3975" s="72" t="str">
        <f>HYPERLINK("http://api.nsgreg.nga.mil/geo-division/GENC/6/3-11/SI-074","as:GENC:6:3-11:SI-074")</f>
        <v>as:GENC:6:3-11:SI-074</v>
      </c>
    </row>
    <row r="3976" spans="1:7" x14ac:dyDescent="0.25">
      <c r="A3976" s="112"/>
      <c r="B3976" s="21" t="s">
        <v>9582</v>
      </c>
      <c r="C3976" s="21" t="s">
        <v>9583</v>
      </c>
      <c r="D3976" s="21" t="s">
        <v>2505</v>
      </c>
      <c r="E3976" s="50" t="b">
        <v>1</v>
      </c>
      <c r="F3976" s="72" t="str">
        <f>HYPERLINK("http://nsgreg.nga.mil/genc/view?v=295694&amp;end_month=6&amp;end_day=30&amp;end_year=2019","Miklavž na Dravskem Polju")</f>
        <v>Miklavž na Dravskem Polju</v>
      </c>
      <c r="G3976" s="72" t="str">
        <f>HYPERLINK("http://api.nsgreg.nga.mil/geo-division/GENC/6/3-11/SI-169","as:GENC:6:3-11:SI-169")</f>
        <v>as:GENC:6:3-11:SI-169</v>
      </c>
    </row>
    <row r="3977" spans="1:7" x14ac:dyDescent="0.25">
      <c r="A3977" s="112"/>
      <c r="B3977" s="21" t="s">
        <v>9584</v>
      </c>
      <c r="C3977" s="21" t="s">
        <v>9585</v>
      </c>
      <c r="D3977" s="21" t="s">
        <v>2505</v>
      </c>
      <c r="E3977" s="50" t="b">
        <v>1</v>
      </c>
      <c r="F3977" s="72" t="str">
        <f>HYPERLINK("http://nsgreg.nga.mil/genc/view?v=295601&amp;end_month=6&amp;end_day=30&amp;end_year=2019","Miren-Kostanjevica")</f>
        <v>Miren-Kostanjevica</v>
      </c>
      <c r="G3977" s="72" t="str">
        <f>HYPERLINK("http://api.nsgreg.nga.mil/geo-division/GENC/6/3-11/SI-075","as:GENC:6:3-11:SI-075")</f>
        <v>as:GENC:6:3-11:SI-075</v>
      </c>
    </row>
    <row r="3978" spans="1:7" x14ac:dyDescent="0.25">
      <c r="A3978" s="112"/>
      <c r="B3978" s="21" t="s">
        <v>9586</v>
      </c>
      <c r="C3978" s="21" t="s">
        <v>9587</v>
      </c>
      <c r="D3978" s="21" t="s">
        <v>2505</v>
      </c>
      <c r="E3978" s="50" t="b">
        <v>1</v>
      </c>
      <c r="F3978" s="72" t="str">
        <f>HYPERLINK("http://nsgreg.nga.mil/genc/view?v=295737&amp;end_month=6&amp;end_day=30&amp;end_year=2019","Mirna")</f>
        <v>Mirna</v>
      </c>
      <c r="G3978" s="72" t="str">
        <f>HYPERLINK("http://api.nsgreg.nga.mil/geo-division/GENC/6/3-11/SI-212","as:GENC:6:3-11:SI-212")</f>
        <v>as:GENC:6:3-11:SI-212</v>
      </c>
    </row>
    <row r="3979" spans="1:7" x14ac:dyDescent="0.25">
      <c r="A3979" s="112"/>
      <c r="B3979" s="21" t="s">
        <v>9588</v>
      </c>
      <c r="C3979" s="21" t="s">
        <v>9589</v>
      </c>
      <c r="D3979" s="21" t="s">
        <v>2505</v>
      </c>
      <c r="E3979" s="50" t="b">
        <v>1</v>
      </c>
      <c r="F3979" s="72" t="str">
        <f>HYPERLINK("http://nsgreg.nga.mil/genc/view?v=295695&amp;end_month=6&amp;end_day=30&amp;end_year=2019","Mirna Peč")</f>
        <v>Mirna Peč</v>
      </c>
      <c r="G3979" s="72" t="str">
        <f>HYPERLINK("http://api.nsgreg.nga.mil/geo-division/GENC/6/3-11/SI-170","as:GENC:6:3-11:SI-170")</f>
        <v>as:GENC:6:3-11:SI-170</v>
      </c>
    </row>
    <row r="3980" spans="1:7" x14ac:dyDescent="0.25">
      <c r="A3980" s="112"/>
      <c r="B3980" s="21" t="s">
        <v>9590</v>
      </c>
      <c r="C3980" s="21" t="s">
        <v>9591</v>
      </c>
      <c r="D3980" s="21" t="s">
        <v>2505</v>
      </c>
      <c r="E3980" s="50" t="b">
        <v>1</v>
      </c>
      <c r="F3980" s="72" t="str">
        <f>HYPERLINK("http://nsgreg.nga.mil/genc/view?v=295602&amp;end_month=6&amp;end_day=30&amp;end_year=2019","Mislinja")</f>
        <v>Mislinja</v>
      </c>
      <c r="G3980" s="72" t="str">
        <f>HYPERLINK("http://api.nsgreg.nga.mil/geo-division/GENC/6/3-11/SI-076","as:GENC:6:3-11:SI-076")</f>
        <v>as:GENC:6:3-11:SI-076</v>
      </c>
    </row>
    <row r="3981" spans="1:7" x14ac:dyDescent="0.25">
      <c r="A3981" s="112"/>
      <c r="B3981" s="21" t="s">
        <v>9592</v>
      </c>
      <c r="C3981" s="21" t="s">
        <v>9593</v>
      </c>
      <c r="D3981" s="21" t="s">
        <v>2505</v>
      </c>
      <c r="E3981" s="50" t="b">
        <v>1</v>
      </c>
      <c r="F3981" s="72" t="str">
        <f>HYPERLINK("http://nsgreg.nga.mil/genc/view?v=295724&amp;end_month=6&amp;end_day=30&amp;end_year=2019","Mokronog-Trebelno")</f>
        <v>Mokronog-Trebelno</v>
      </c>
      <c r="G3981" s="72" t="str">
        <f>HYPERLINK("http://api.nsgreg.nga.mil/geo-division/GENC/6/3-11/SI-199","as:GENC:6:3-11:SI-199")</f>
        <v>as:GENC:6:3-11:SI-199</v>
      </c>
    </row>
    <row r="3982" spans="1:7" x14ac:dyDescent="0.25">
      <c r="A3982" s="112"/>
      <c r="B3982" s="21" t="s">
        <v>9594</v>
      </c>
      <c r="C3982" s="21" t="s">
        <v>9595</v>
      </c>
      <c r="D3982" s="21" t="s">
        <v>2505</v>
      </c>
      <c r="E3982" s="50" t="b">
        <v>1</v>
      </c>
      <c r="F3982" s="72" t="str">
        <f>HYPERLINK("http://nsgreg.nga.mil/genc/view?v=295603&amp;end_month=6&amp;end_day=30&amp;end_year=2019","Moravče")</f>
        <v>Moravče</v>
      </c>
      <c r="G3982" s="72" t="str">
        <f>HYPERLINK("http://api.nsgreg.nga.mil/geo-division/GENC/6/3-11/SI-077","as:GENC:6:3-11:SI-077")</f>
        <v>as:GENC:6:3-11:SI-077</v>
      </c>
    </row>
    <row r="3983" spans="1:7" x14ac:dyDescent="0.25">
      <c r="A3983" s="112"/>
      <c r="B3983" s="21" t="s">
        <v>9596</v>
      </c>
      <c r="C3983" s="21" t="s">
        <v>9597</v>
      </c>
      <c r="D3983" s="21" t="s">
        <v>2505</v>
      </c>
      <c r="E3983" s="50" t="b">
        <v>1</v>
      </c>
      <c r="F3983" s="72" t="str">
        <f>HYPERLINK("http://nsgreg.nga.mil/genc/view?v=295604&amp;end_month=6&amp;end_day=30&amp;end_year=2019","Moravske Toplice")</f>
        <v>Moravske Toplice</v>
      </c>
      <c r="G3983" s="72" t="str">
        <f>HYPERLINK("http://api.nsgreg.nga.mil/geo-division/GENC/6/3-11/SI-078","as:GENC:6:3-11:SI-078")</f>
        <v>as:GENC:6:3-11:SI-078</v>
      </c>
    </row>
    <row r="3984" spans="1:7" x14ac:dyDescent="0.25">
      <c r="A3984" s="112"/>
      <c r="B3984" s="21" t="s">
        <v>9598</v>
      </c>
      <c r="C3984" s="21" t="s">
        <v>9599</v>
      </c>
      <c r="D3984" s="21" t="s">
        <v>2505</v>
      </c>
      <c r="E3984" s="50" t="b">
        <v>1</v>
      </c>
      <c r="F3984" s="72" t="str">
        <f>HYPERLINK("http://nsgreg.nga.mil/genc/view?v=295605&amp;end_month=6&amp;end_day=30&amp;end_year=2019","Mozirje")</f>
        <v>Mozirje</v>
      </c>
      <c r="G3984" s="72" t="str">
        <f>HYPERLINK("http://api.nsgreg.nga.mil/geo-division/GENC/6/3-11/SI-079","as:GENC:6:3-11:SI-079")</f>
        <v>as:GENC:6:3-11:SI-079</v>
      </c>
    </row>
    <row r="3985" spans="1:7" x14ac:dyDescent="0.25">
      <c r="A3985" s="112"/>
      <c r="B3985" s="21" t="s">
        <v>9600</v>
      </c>
      <c r="C3985" s="21" t="s">
        <v>9601</v>
      </c>
      <c r="D3985" s="21" t="s">
        <v>9519</v>
      </c>
      <c r="E3985" s="50" t="b">
        <v>1</v>
      </c>
      <c r="F3985" s="72" t="str">
        <f>HYPERLINK("http://nsgreg.nga.mil/genc/view?v=295606&amp;end_month=6&amp;end_day=30&amp;end_year=2019","Murska Sobota")</f>
        <v>Murska Sobota</v>
      </c>
      <c r="G3985" s="72" t="str">
        <f>HYPERLINK("http://api.nsgreg.nga.mil/geo-division/GENC/6/3-11/SI-080","as:GENC:6:3-11:SI-080")</f>
        <v>as:GENC:6:3-11:SI-080</v>
      </c>
    </row>
    <row r="3986" spans="1:7" x14ac:dyDescent="0.25">
      <c r="A3986" s="112"/>
      <c r="B3986" s="21" t="s">
        <v>9602</v>
      </c>
      <c r="C3986" s="21" t="s">
        <v>9603</v>
      </c>
      <c r="D3986" s="21" t="s">
        <v>2505</v>
      </c>
      <c r="E3986" s="50" t="b">
        <v>1</v>
      </c>
      <c r="F3986" s="72" t="str">
        <f>HYPERLINK("http://nsgreg.nga.mil/genc/view?v=295607&amp;end_month=6&amp;end_day=30&amp;end_year=2019","Muta")</f>
        <v>Muta</v>
      </c>
      <c r="G3986" s="72" t="str">
        <f>HYPERLINK("http://api.nsgreg.nga.mil/geo-division/GENC/6/3-11/SI-081","as:GENC:6:3-11:SI-081")</f>
        <v>as:GENC:6:3-11:SI-081</v>
      </c>
    </row>
    <row r="3987" spans="1:7" x14ac:dyDescent="0.25">
      <c r="A3987" s="112"/>
      <c r="B3987" s="21" t="s">
        <v>9604</v>
      </c>
      <c r="C3987" s="21" t="s">
        <v>9605</v>
      </c>
      <c r="D3987" s="21" t="s">
        <v>2505</v>
      </c>
      <c r="E3987" s="50" t="b">
        <v>1</v>
      </c>
      <c r="F3987" s="72" t="str">
        <f>HYPERLINK("http://nsgreg.nga.mil/genc/view?v=295608&amp;end_month=6&amp;end_day=30&amp;end_year=2019","Naklo")</f>
        <v>Naklo</v>
      </c>
      <c r="G3987" s="72" t="str">
        <f>HYPERLINK("http://api.nsgreg.nga.mil/geo-division/GENC/6/3-11/SI-082","as:GENC:6:3-11:SI-082")</f>
        <v>as:GENC:6:3-11:SI-082</v>
      </c>
    </row>
    <row r="3988" spans="1:7" x14ac:dyDescent="0.25">
      <c r="A3988" s="112"/>
      <c r="B3988" s="21" t="s">
        <v>9606</v>
      </c>
      <c r="C3988" s="21" t="s">
        <v>9607</v>
      </c>
      <c r="D3988" s="21" t="s">
        <v>2505</v>
      </c>
      <c r="E3988" s="50" t="b">
        <v>1</v>
      </c>
      <c r="F3988" s="72" t="str">
        <f>HYPERLINK("http://nsgreg.nga.mil/genc/view?v=295609&amp;end_month=6&amp;end_day=30&amp;end_year=2019","Nazarje")</f>
        <v>Nazarje</v>
      </c>
      <c r="G3988" s="72" t="str">
        <f>HYPERLINK("http://api.nsgreg.nga.mil/geo-division/GENC/6/3-11/SI-083","as:GENC:6:3-11:SI-083")</f>
        <v>as:GENC:6:3-11:SI-083</v>
      </c>
    </row>
    <row r="3989" spans="1:7" x14ac:dyDescent="0.25">
      <c r="A3989" s="112"/>
      <c r="B3989" s="21" t="s">
        <v>9608</v>
      </c>
      <c r="C3989" s="21" t="s">
        <v>9609</v>
      </c>
      <c r="D3989" s="21" t="s">
        <v>9519</v>
      </c>
      <c r="E3989" s="50" t="b">
        <v>1</v>
      </c>
      <c r="F3989" s="72" t="str">
        <f>HYPERLINK("http://nsgreg.nga.mil/genc/view?v=295610&amp;end_month=6&amp;end_day=30&amp;end_year=2019","Nova Gorica")</f>
        <v>Nova Gorica</v>
      </c>
      <c r="G3989" s="72" t="str">
        <f>HYPERLINK("http://api.nsgreg.nga.mil/geo-division/GENC/6/3-11/SI-084","as:GENC:6:3-11:SI-084")</f>
        <v>as:GENC:6:3-11:SI-084</v>
      </c>
    </row>
    <row r="3990" spans="1:7" x14ac:dyDescent="0.25">
      <c r="A3990" s="112"/>
      <c r="B3990" s="21" t="s">
        <v>9610</v>
      </c>
      <c r="C3990" s="21" t="s">
        <v>9611</v>
      </c>
      <c r="D3990" s="21" t="s">
        <v>9519</v>
      </c>
      <c r="E3990" s="50" t="b">
        <v>1</v>
      </c>
      <c r="F3990" s="72" t="str">
        <f>HYPERLINK("http://nsgreg.nga.mil/genc/view?v=295611&amp;end_month=6&amp;end_day=30&amp;end_year=2019","Novo Mesto")</f>
        <v>Novo Mesto</v>
      </c>
      <c r="G3990" s="72" t="str">
        <f>HYPERLINK("http://api.nsgreg.nga.mil/geo-division/GENC/6/3-11/SI-085","as:GENC:6:3-11:SI-085")</f>
        <v>as:GENC:6:3-11:SI-085</v>
      </c>
    </row>
    <row r="3991" spans="1:7" x14ac:dyDescent="0.25">
      <c r="A3991" s="112"/>
      <c r="B3991" s="21" t="s">
        <v>9612</v>
      </c>
      <c r="C3991" s="21" t="s">
        <v>9613</v>
      </c>
      <c r="D3991" s="21" t="s">
        <v>2505</v>
      </c>
      <c r="E3991" s="50" t="b">
        <v>1</v>
      </c>
      <c r="F3991" s="72" t="str">
        <f>HYPERLINK("http://nsgreg.nga.mil/genc/view?v=295612&amp;end_month=6&amp;end_day=30&amp;end_year=2019","Odranci")</f>
        <v>Odranci</v>
      </c>
      <c r="G3991" s="72" t="str">
        <f>HYPERLINK("http://api.nsgreg.nga.mil/geo-division/GENC/6/3-11/SI-086","as:GENC:6:3-11:SI-086")</f>
        <v>as:GENC:6:3-11:SI-086</v>
      </c>
    </row>
    <row r="3992" spans="1:7" x14ac:dyDescent="0.25">
      <c r="A3992" s="112"/>
      <c r="B3992" s="21" t="s">
        <v>9614</v>
      </c>
      <c r="C3992" s="21" t="s">
        <v>9615</v>
      </c>
      <c r="D3992" s="21" t="s">
        <v>2505</v>
      </c>
      <c r="E3992" s="50" t="b">
        <v>1</v>
      </c>
      <c r="F3992" s="72" t="str">
        <f>HYPERLINK("http://nsgreg.nga.mil/genc/view?v=295696&amp;end_month=6&amp;end_day=30&amp;end_year=2019","Oplotnica")</f>
        <v>Oplotnica</v>
      </c>
      <c r="G3992" s="72" t="str">
        <f>HYPERLINK("http://api.nsgreg.nga.mil/geo-division/GENC/6/3-11/SI-171","as:GENC:6:3-11:SI-171")</f>
        <v>as:GENC:6:3-11:SI-171</v>
      </c>
    </row>
    <row r="3993" spans="1:7" x14ac:dyDescent="0.25">
      <c r="A3993" s="112"/>
      <c r="B3993" s="21" t="s">
        <v>9616</v>
      </c>
      <c r="C3993" s="21" t="s">
        <v>9617</v>
      </c>
      <c r="D3993" s="21" t="s">
        <v>2505</v>
      </c>
      <c r="E3993" s="50" t="b">
        <v>1</v>
      </c>
      <c r="F3993" s="72" t="str">
        <f>HYPERLINK("http://nsgreg.nga.mil/genc/view?v=295613&amp;end_month=6&amp;end_day=30&amp;end_year=2019","Ormož")</f>
        <v>Ormož</v>
      </c>
      <c r="G3993" s="72" t="str">
        <f>HYPERLINK("http://api.nsgreg.nga.mil/geo-division/GENC/6/3-11/SI-087","as:GENC:6:3-11:SI-087")</f>
        <v>as:GENC:6:3-11:SI-087</v>
      </c>
    </row>
    <row r="3994" spans="1:7" x14ac:dyDescent="0.25">
      <c r="A3994" s="112"/>
      <c r="B3994" s="21" t="s">
        <v>9618</v>
      </c>
      <c r="C3994" s="21" t="s">
        <v>9619</v>
      </c>
      <c r="D3994" s="21" t="s">
        <v>2505</v>
      </c>
      <c r="E3994" s="50" t="b">
        <v>1</v>
      </c>
      <c r="F3994" s="72" t="str">
        <f>HYPERLINK("http://nsgreg.nga.mil/genc/view?v=295614&amp;end_month=6&amp;end_day=30&amp;end_year=2019","Osilnica")</f>
        <v>Osilnica</v>
      </c>
      <c r="G3994" s="72" t="str">
        <f>HYPERLINK("http://api.nsgreg.nga.mil/geo-division/GENC/6/3-11/SI-088","as:GENC:6:3-11:SI-088")</f>
        <v>as:GENC:6:3-11:SI-088</v>
      </c>
    </row>
    <row r="3995" spans="1:7" x14ac:dyDescent="0.25">
      <c r="A3995" s="112"/>
      <c r="B3995" s="21" t="s">
        <v>9620</v>
      </c>
      <c r="C3995" s="21" t="s">
        <v>9621</v>
      </c>
      <c r="D3995" s="21" t="s">
        <v>2505</v>
      </c>
      <c r="E3995" s="50" t="b">
        <v>1</v>
      </c>
      <c r="F3995" s="72" t="str">
        <f>HYPERLINK("http://nsgreg.nga.mil/genc/view?v=295615&amp;end_month=6&amp;end_day=30&amp;end_year=2019","Pesnica")</f>
        <v>Pesnica</v>
      </c>
      <c r="G3995" s="72" t="str">
        <f>HYPERLINK("http://api.nsgreg.nga.mil/geo-division/GENC/6/3-11/SI-089","as:GENC:6:3-11:SI-089")</f>
        <v>as:GENC:6:3-11:SI-089</v>
      </c>
    </row>
    <row r="3996" spans="1:7" x14ac:dyDescent="0.25">
      <c r="A3996" s="112"/>
      <c r="B3996" s="21" t="s">
        <v>9622</v>
      </c>
      <c r="C3996" s="21" t="s">
        <v>9623</v>
      </c>
      <c r="D3996" s="21" t="s">
        <v>2505</v>
      </c>
      <c r="E3996" s="50" t="b">
        <v>1</v>
      </c>
      <c r="F3996" s="72" t="str">
        <f>HYPERLINK("http://nsgreg.nga.mil/genc/view?v=295616&amp;end_month=6&amp;end_day=30&amp;end_year=2019","Piran")</f>
        <v>Piran</v>
      </c>
      <c r="G3996" s="72" t="str">
        <f>HYPERLINK("http://api.nsgreg.nga.mil/geo-division/GENC/6/3-11/SI-090","as:GENC:6:3-11:SI-090")</f>
        <v>as:GENC:6:3-11:SI-090</v>
      </c>
    </row>
    <row r="3997" spans="1:7" x14ac:dyDescent="0.25">
      <c r="A3997" s="112"/>
      <c r="B3997" s="21" t="s">
        <v>9624</v>
      </c>
      <c r="C3997" s="21" t="s">
        <v>9625</v>
      </c>
      <c r="D3997" s="21" t="s">
        <v>2505</v>
      </c>
      <c r="E3997" s="50" t="b">
        <v>1</v>
      </c>
      <c r="F3997" s="72" t="str">
        <f>HYPERLINK("http://nsgreg.nga.mil/genc/view?v=295617&amp;end_month=6&amp;end_day=30&amp;end_year=2019","Pivka")</f>
        <v>Pivka</v>
      </c>
      <c r="G3997" s="72" t="str">
        <f>HYPERLINK("http://api.nsgreg.nga.mil/geo-division/GENC/6/3-11/SI-091","as:GENC:6:3-11:SI-091")</f>
        <v>as:GENC:6:3-11:SI-091</v>
      </c>
    </row>
    <row r="3998" spans="1:7" x14ac:dyDescent="0.25">
      <c r="A3998" s="112"/>
      <c r="B3998" s="21" t="s">
        <v>9626</v>
      </c>
      <c r="C3998" s="21" t="s">
        <v>9627</v>
      </c>
      <c r="D3998" s="21" t="s">
        <v>2505</v>
      </c>
      <c r="E3998" s="50" t="b">
        <v>1</v>
      </c>
      <c r="F3998" s="72" t="str">
        <f>HYPERLINK("http://nsgreg.nga.mil/genc/view?v=295618&amp;end_month=6&amp;end_day=30&amp;end_year=2019","Podčetrtek")</f>
        <v>Podčetrtek</v>
      </c>
      <c r="G3998" s="72" t="str">
        <f>HYPERLINK("http://api.nsgreg.nga.mil/geo-division/GENC/6/3-11/SI-092","as:GENC:6:3-11:SI-092")</f>
        <v>as:GENC:6:3-11:SI-092</v>
      </c>
    </row>
    <row r="3999" spans="1:7" x14ac:dyDescent="0.25">
      <c r="A3999" s="112"/>
      <c r="B3999" s="21" t="s">
        <v>9628</v>
      </c>
      <c r="C3999" s="21" t="s">
        <v>9629</v>
      </c>
      <c r="D3999" s="21" t="s">
        <v>2505</v>
      </c>
      <c r="E3999" s="50" t="b">
        <v>1</v>
      </c>
      <c r="F3999" s="72" t="str">
        <f>HYPERLINK("http://nsgreg.nga.mil/genc/view?v=295697&amp;end_month=6&amp;end_day=30&amp;end_year=2019","Podlehnik")</f>
        <v>Podlehnik</v>
      </c>
      <c r="G3999" s="72" t="str">
        <f>HYPERLINK("http://api.nsgreg.nga.mil/geo-division/GENC/6/3-11/SI-172","as:GENC:6:3-11:SI-172")</f>
        <v>as:GENC:6:3-11:SI-172</v>
      </c>
    </row>
    <row r="4000" spans="1:7" x14ac:dyDescent="0.25">
      <c r="A4000" s="112"/>
      <c r="B4000" s="21" t="s">
        <v>9630</v>
      </c>
      <c r="C4000" s="21" t="s">
        <v>9631</v>
      </c>
      <c r="D4000" s="21" t="s">
        <v>2505</v>
      </c>
      <c r="E4000" s="50" t="b">
        <v>1</v>
      </c>
      <c r="F4000" s="72" t="str">
        <f>HYPERLINK("http://nsgreg.nga.mil/genc/view?v=295619&amp;end_month=6&amp;end_day=30&amp;end_year=2019","Podvelka")</f>
        <v>Podvelka</v>
      </c>
      <c r="G4000" s="72" t="str">
        <f>HYPERLINK("http://api.nsgreg.nga.mil/geo-division/GENC/6/3-11/SI-093","as:GENC:6:3-11:SI-093")</f>
        <v>as:GENC:6:3-11:SI-093</v>
      </c>
    </row>
    <row r="4001" spans="1:7" x14ac:dyDescent="0.25">
      <c r="A4001" s="112"/>
      <c r="B4001" s="21" t="s">
        <v>9632</v>
      </c>
      <c r="C4001" s="21" t="s">
        <v>9633</v>
      </c>
      <c r="D4001" s="21" t="s">
        <v>2505</v>
      </c>
      <c r="E4001" s="50" t="b">
        <v>1</v>
      </c>
      <c r="F4001" s="72" t="str">
        <f>HYPERLINK("http://nsgreg.nga.mil/genc/view?v=295725&amp;end_month=6&amp;end_day=30&amp;end_year=2019","Poljčane")</f>
        <v>Poljčane</v>
      </c>
      <c r="G4001" s="72" t="str">
        <f>HYPERLINK("http://api.nsgreg.nga.mil/geo-division/GENC/6/3-11/SI-200","as:GENC:6:3-11:SI-200")</f>
        <v>as:GENC:6:3-11:SI-200</v>
      </c>
    </row>
    <row r="4002" spans="1:7" x14ac:dyDescent="0.25">
      <c r="A4002" s="112"/>
      <c r="B4002" s="21" t="s">
        <v>9634</v>
      </c>
      <c r="C4002" s="21" t="s">
        <v>9635</v>
      </c>
      <c r="D4002" s="21" t="s">
        <v>2505</v>
      </c>
      <c r="E4002" s="50" t="b">
        <v>1</v>
      </c>
      <c r="F4002" s="72" t="str">
        <f>HYPERLINK("http://nsgreg.nga.mil/genc/view?v=295698&amp;end_month=6&amp;end_day=30&amp;end_year=2019","Polzela")</f>
        <v>Polzela</v>
      </c>
      <c r="G4002" s="72" t="str">
        <f>HYPERLINK("http://api.nsgreg.nga.mil/geo-division/GENC/6/3-11/SI-173","as:GENC:6:3-11:SI-173")</f>
        <v>as:GENC:6:3-11:SI-173</v>
      </c>
    </row>
    <row r="4003" spans="1:7" x14ac:dyDescent="0.25">
      <c r="A4003" s="112"/>
      <c r="B4003" s="21" t="s">
        <v>9636</v>
      </c>
      <c r="C4003" s="21" t="s">
        <v>9637</v>
      </c>
      <c r="D4003" s="21" t="s">
        <v>2505</v>
      </c>
      <c r="E4003" s="50" t="b">
        <v>1</v>
      </c>
      <c r="F4003" s="72" t="str">
        <f>HYPERLINK("http://nsgreg.nga.mil/genc/view?v=295620&amp;end_month=6&amp;end_day=30&amp;end_year=2019","Postojna")</f>
        <v>Postojna</v>
      </c>
      <c r="G4003" s="72" t="str">
        <f>HYPERLINK("http://api.nsgreg.nga.mil/geo-division/GENC/6/3-11/SI-094","as:GENC:6:3-11:SI-094")</f>
        <v>as:GENC:6:3-11:SI-094</v>
      </c>
    </row>
    <row r="4004" spans="1:7" x14ac:dyDescent="0.25">
      <c r="A4004" s="112"/>
      <c r="B4004" s="21" t="s">
        <v>9638</v>
      </c>
      <c r="C4004" s="21" t="s">
        <v>9639</v>
      </c>
      <c r="D4004" s="21" t="s">
        <v>2505</v>
      </c>
      <c r="E4004" s="50" t="b">
        <v>1</v>
      </c>
      <c r="F4004" s="72" t="str">
        <f>HYPERLINK("http://nsgreg.nga.mil/genc/view?v=295699&amp;end_month=6&amp;end_day=30&amp;end_year=2019","Prebold")</f>
        <v>Prebold</v>
      </c>
      <c r="G4004" s="72" t="str">
        <f>HYPERLINK("http://api.nsgreg.nga.mil/geo-division/GENC/6/3-11/SI-174","as:GENC:6:3-11:SI-174")</f>
        <v>as:GENC:6:3-11:SI-174</v>
      </c>
    </row>
    <row r="4005" spans="1:7" x14ac:dyDescent="0.25">
      <c r="A4005" s="112"/>
      <c r="B4005" s="21" t="s">
        <v>9640</v>
      </c>
      <c r="C4005" s="21" t="s">
        <v>9641</v>
      </c>
      <c r="D4005" s="21" t="s">
        <v>2505</v>
      </c>
      <c r="E4005" s="50" t="b">
        <v>1</v>
      </c>
      <c r="F4005" s="72" t="str">
        <f>HYPERLINK("http://nsgreg.nga.mil/genc/view?v=295621&amp;end_month=6&amp;end_day=30&amp;end_year=2019","Preddvor")</f>
        <v>Preddvor</v>
      </c>
      <c r="G4005" s="72" t="str">
        <f>HYPERLINK("http://api.nsgreg.nga.mil/geo-division/GENC/6/3-11/SI-095","as:GENC:6:3-11:SI-095")</f>
        <v>as:GENC:6:3-11:SI-095</v>
      </c>
    </row>
    <row r="4006" spans="1:7" x14ac:dyDescent="0.25">
      <c r="A4006" s="112"/>
      <c r="B4006" s="21" t="s">
        <v>9642</v>
      </c>
      <c r="C4006" s="21" t="s">
        <v>9643</v>
      </c>
      <c r="D4006" s="21" t="s">
        <v>2505</v>
      </c>
      <c r="E4006" s="50" t="b">
        <v>1</v>
      </c>
      <c r="F4006" s="72" t="str">
        <f>HYPERLINK("http://nsgreg.nga.mil/genc/view?v=295700&amp;end_month=6&amp;end_day=30&amp;end_year=2019","Prevalje")</f>
        <v>Prevalje</v>
      </c>
      <c r="G4006" s="72" t="str">
        <f>HYPERLINK("http://api.nsgreg.nga.mil/geo-division/GENC/6/3-11/SI-175","as:GENC:6:3-11:SI-175")</f>
        <v>as:GENC:6:3-11:SI-175</v>
      </c>
    </row>
    <row r="4007" spans="1:7" x14ac:dyDescent="0.25">
      <c r="A4007" s="112"/>
      <c r="B4007" s="21" t="s">
        <v>9644</v>
      </c>
      <c r="C4007" s="21" t="s">
        <v>9645</v>
      </c>
      <c r="D4007" s="21" t="s">
        <v>9519</v>
      </c>
      <c r="E4007" s="50" t="b">
        <v>1</v>
      </c>
      <c r="F4007" s="72" t="str">
        <f>HYPERLINK("http://nsgreg.nga.mil/genc/view?v=295622&amp;end_month=6&amp;end_day=30&amp;end_year=2019","Ptuj")</f>
        <v>Ptuj</v>
      </c>
      <c r="G4007" s="72" t="str">
        <f>HYPERLINK("http://api.nsgreg.nga.mil/geo-division/GENC/6/3-11/SI-096","as:GENC:6:3-11:SI-096")</f>
        <v>as:GENC:6:3-11:SI-096</v>
      </c>
    </row>
    <row r="4008" spans="1:7" x14ac:dyDescent="0.25">
      <c r="A4008" s="112"/>
      <c r="B4008" s="21" t="s">
        <v>9646</v>
      </c>
      <c r="C4008" s="21" t="s">
        <v>9647</v>
      </c>
      <c r="D4008" s="21" t="s">
        <v>2505</v>
      </c>
      <c r="E4008" s="50" t="b">
        <v>1</v>
      </c>
      <c r="F4008" s="72" t="str">
        <f>HYPERLINK("http://nsgreg.nga.mil/genc/view?v=295623&amp;end_month=6&amp;end_day=30&amp;end_year=2019","Puconci")</f>
        <v>Puconci</v>
      </c>
      <c r="G4008" s="72" t="str">
        <f>HYPERLINK("http://api.nsgreg.nga.mil/geo-division/GENC/6/3-11/SI-097","as:GENC:6:3-11:SI-097")</f>
        <v>as:GENC:6:3-11:SI-097</v>
      </c>
    </row>
    <row r="4009" spans="1:7" x14ac:dyDescent="0.25">
      <c r="A4009" s="112"/>
      <c r="B4009" s="21" t="s">
        <v>9648</v>
      </c>
      <c r="C4009" s="21" t="s">
        <v>9649</v>
      </c>
      <c r="D4009" s="21" t="s">
        <v>2505</v>
      </c>
      <c r="E4009" s="50" t="b">
        <v>1</v>
      </c>
      <c r="F4009" s="72" t="str">
        <f>HYPERLINK("http://nsgreg.nga.mil/genc/view?v=295624&amp;end_month=6&amp;end_day=30&amp;end_year=2019","Rače-Fram")</f>
        <v>Rače-Fram</v>
      </c>
      <c r="G4009" s="72" t="str">
        <f>HYPERLINK("http://api.nsgreg.nga.mil/geo-division/GENC/6/3-11/SI-098","as:GENC:6:3-11:SI-098")</f>
        <v>as:GENC:6:3-11:SI-098</v>
      </c>
    </row>
    <row r="4010" spans="1:7" x14ac:dyDescent="0.25">
      <c r="A4010" s="112"/>
      <c r="B4010" s="21" t="s">
        <v>9650</v>
      </c>
      <c r="C4010" s="21" t="s">
        <v>9651</v>
      </c>
      <c r="D4010" s="21" t="s">
        <v>2505</v>
      </c>
      <c r="E4010" s="50" t="b">
        <v>1</v>
      </c>
      <c r="F4010" s="72" t="str">
        <f>HYPERLINK("http://nsgreg.nga.mil/genc/view?v=295625&amp;end_month=6&amp;end_day=30&amp;end_year=2019","Radeče")</f>
        <v>Radeče</v>
      </c>
      <c r="G4010" s="72" t="str">
        <f>HYPERLINK("http://api.nsgreg.nga.mil/geo-division/GENC/6/3-11/SI-099","as:GENC:6:3-11:SI-099")</f>
        <v>as:GENC:6:3-11:SI-099</v>
      </c>
    </row>
    <row r="4011" spans="1:7" x14ac:dyDescent="0.25">
      <c r="A4011" s="112"/>
      <c r="B4011" s="21" t="s">
        <v>9652</v>
      </c>
      <c r="C4011" s="21" t="s">
        <v>9653</v>
      </c>
      <c r="D4011" s="21" t="s">
        <v>2505</v>
      </c>
      <c r="E4011" s="50" t="b">
        <v>1</v>
      </c>
      <c r="F4011" s="72" t="str">
        <f>HYPERLINK("http://nsgreg.nga.mil/genc/view?v=295626&amp;end_month=6&amp;end_day=30&amp;end_year=2019","Radenci")</f>
        <v>Radenci</v>
      </c>
      <c r="G4011" s="72" t="str">
        <f>HYPERLINK("http://api.nsgreg.nga.mil/geo-division/GENC/6/3-11/SI-100","as:GENC:6:3-11:SI-100")</f>
        <v>as:GENC:6:3-11:SI-100</v>
      </c>
    </row>
    <row r="4012" spans="1:7" x14ac:dyDescent="0.25">
      <c r="A4012" s="112"/>
      <c r="B4012" s="21" t="s">
        <v>9654</v>
      </c>
      <c r="C4012" s="21" t="s">
        <v>9655</v>
      </c>
      <c r="D4012" s="21" t="s">
        <v>2505</v>
      </c>
      <c r="E4012" s="50" t="b">
        <v>1</v>
      </c>
      <c r="F4012" s="72" t="str">
        <f>HYPERLINK("http://nsgreg.nga.mil/genc/view?v=295627&amp;end_month=6&amp;end_day=30&amp;end_year=2019","Radlje ob Dravi")</f>
        <v>Radlje ob Dravi</v>
      </c>
      <c r="G4012" s="72" t="str">
        <f>HYPERLINK("http://api.nsgreg.nga.mil/geo-division/GENC/6/3-11/SI-101","as:GENC:6:3-11:SI-101")</f>
        <v>as:GENC:6:3-11:SI-101</v>
      </c>
    </row>
    <row r="4013" spans="1:7" x14ac:dyDescent="0.25">
      <c r="A4013" s="112"/>
      <c r="B4013" s="21" t="s">
        <v>9656</v>
      </c>
      <c r="C4013" s="21" t="s">
        <v>9657</v>
      </c>
      <c r="D4013" s="21" t="s">
        <v>2505</v>
      </c>
      <c r="E4013" s="50" t="b">
        <v>1</v>
      </c>
      <c r="F4013" s="72" t="str">
        <f>HYPERLINK("http://nsgreg.nga.mil/genc/view?v=295628&amp;end_month=6&amp;end_day=30&amp;end_year=2019","Radovljica")</f>
        <v>Radovljica</v>
      </c>
      <c r="G4013" s="72" t="str">
        <f>HYPERLINK("http://api.nsgreg.nga.mil/geo-division/GENC/6/3-11/SI-102","as:GENC:6:3-11:SI-102")</f>
        <v>as:GENC:6:3-11:SI-102</v>
      </c>
    </row>
    <row r="4014" spans="1:7" x14ac:dyDescent="0.25">
      <c r="A4014" s="112"/>
      <c r="B4014" s="21" t="s">
        <v>9658</v>
      </c>
      <c r="C4014" s="21" t="s">
        <v>9659</v>
      </c>
      <c r="D4014" s="21" t="s">
        <v>2505</v>
      </c>
      <c r="E4014" s="50" t="b">
        <v>1</v>
      </c>
      <c r="F4014" s="72" t="str">
        <f>HYPERLINK("http://nsgreg.nga.mil/genc/view?v=295629&amp;end_month=6&amp;end_day=30&amp;end_year=2019","Ravne na Koroškem")</f>
        <v>Ravne na Koroškem</v>
      </c>
      <c r="G4014" s="72" t="str">
        <f>HYPERLINK("http://api.nsgreg.nga.mil/geo-division/GENC/6/3-11/SI-103","as:GENC:6:3-11:SI-103")</f>
        <v>as:GENC:6:3-11:SI-103</v>
      </c>
    </row>
    <row r="4015" spans="1:7" x14ac:dyDescent="0.25">
      <c r="A4015" s="112"/>
      <c r="B4015" s="21" t="s">
        <v>9660</v>
      </c>
      <c r="C4015" s="21" t="s">
        <v>9661</v>
      </c>
      <c r="D4015" s="21" t="s">
        <v>2505</v>
      </c>
      <c r="E4015" s="50" t="b">
        <v>1</v>
      </c>
      <c r="F4015" s="72" t="str">
        <f>HYPERLINK("http://nsgreg.nga.mil/genc/view?v=295701&amp;end_month=6&amp;end_day=30&amp;end_year=2019","Razkrižje")</f>
        <v>Razkrižje</v>
      </c>
      <c r="G4015" s="72" t="str">
        <f>HYPERLINK("http://api.nsgreg.nga.mil/geo-division/GENC/6/3-11/SI-176","as:GENC:6:3-11:SI-176")</f>
        <v>as:GENC:6:3-11:SI-176</v>
      </c>
    </row>
    <row r="4016" spans="1:7" x14ac:dyDescent="0.25">
      <c r="A4016" s="112"/>
      <c r="B4016" s="21" t="s">
        <v>9662</v>
      </c>
      <c r="C4016" s="21" t="s">
        <v>9663</v>
      </c>
      <c r="D4016" s="21" t="s">
        <v>2505</v>
      </c>
      <c r="E4016" s="50" t="b">
        <v>1</v>
      </c>
      <c r="F4016" s="72" t="str">
        <f>HYPERLINK("http://nsgreg.nga.mil/genc/view?v=295734&amp;end_month=6&amp;end_day=30&amp;end_year=2019","Rečica ob Savinji")</f>
        <v>Rečica ob Savinji</v>
      </c>
      <c r="G4016" s="72" t="str">
        <f>HYPERLINK("http://api.nsgreg.nga.mil/geo-division/GENC/6/3-11/SI-209","as:GENC:6:3-11:SI-209")</f>
        <v>as:GENC:6:3-11:SI-209</v>
      </c>
    </row>
    <row r="4017" spans="1:7" x14ac:dyDescent="0.25">
      <c r="A4017" s="112"/>
      <c r="B4017" s="21" t="s">
        <v>9664</v>
      </c>
      <c r="C4017" s="21" t="s">
        <v>9665</v>
      </c>
      <c r="D4017" s="21" t="s">
        <v>2505</v>
      </c>
      <c r="E4017" s="50" t="b">
        <v>1</v>
      </c>
      <c r="F4017" s="72" t="str">
        <f>HYPERLINK("http://nsgreg.nga.mil/genc/view?v=295726&amp;end_month=6&amp;end_day=30&amp;end_year=2019","Renče-Vogrsko")</f>
        <v>Renče-Vogrsko</v>
      </c>
      <c r="G4017" s="72" t="str">
        <f>HYPERLINK("http://api.nsgreg.nga.mil/geo-division/GENC/6/3-11/SI-201","as:GENC:6:3-11:SI-201")</f>
        <v>as:GENC:6:3-11:SI-201</v>
      </c>
    </row>
    <row r="4018" spans="1:7" x14ac:dyDescent="0.25">
      <c r="A4018" s="112"/>
      <c r="B4018" s="21" t="s">
        <v>9666</v>
      </c>
      <c r="C4018" s="21" t="s">
        <v>9667</v>
      </c>
      <c r="D4018" s="21" t="s">
        <v>2505</v>
      </c>
      <c r="E4018" s="50" t="b">
        <v>1</v>
      </c>
      <c r="F4018" s="72" t="str">
        <f>HYPERLINK("http://nsgreg.nga.mil/genc/view?v=295630&amp;end_month=6&amp;end_day=30&amp;end_year=2019","Ribnica")</f>
        <v>Ribnica</v>
      </c>
      <c r="G4018" s="72" t="str">
        <f>HYPERLINK("http://api.nsgreg.nga.mil/geo-division/GENC/6/3-11/SI-104","as:GENC:6:3-11:SI-104")</f>
        <v>as:GENC:6:3-11:SI-104</v>
      </c>
    </row>
    <row r="4019" spans="1:7" x14ac:dyDescent="0.25">
      <c r="A4019" s="112"/>
      <c r="B4019" s="21" t="s">
        <v>9668</v>
      </c>
      <c r="C4019" s="21" t="s">
        <v>9669</v>
      </c>
      <c r="D4019" s="21" t="s">
        <v>2505</v>
      </c>
      <c r="E4019" s="50" t="b">
        <v>1</v>
      </c>
      <c r="F4019" s="72" t="str">
        <f>HYPERLINK("http://nsgreg.nga.mil/genc/view?v=295702&amp;end_month=6&amp;end_day=30&amp;end_year=2019","Ribnica na Pohorju")</f>
        <v>Ribnica na Pohorju</v>
      </c>
      <c r="G4019" s="72" t="str">
        <f>HYPERLINK("http://api.nsgreg.nga.mil/geo-division/GENC/6/3-11/SI-177","as:GENC:6:3-11:SI-177")</f>
        <v>as:GENC:6:3-11:SI-177</v>
      </c>
    </row>
    <row r="4020" spans="1:7" x14ac:dyDescent="0.25">
      <c r="A4020" s="112"/>
      <c r="B4020" s="21" t="s">
        <v>9670</v>
      </c>
      <c r="C4020" s="21" t="s">
        <v>9671</v>
      </c>
      <c r="D4020" s="21" t="s">
        <v>2505</v>
      </c>
      <c r="E4020" s="50" t="b">
        <v>1</v>
      </c>
      <c r="F4020" s="72" t="str">
        <f>HYPERLINK("http://nsgreg.nga.mil/genc/view?v=295632&amp;end_month=6&amp;end_day=30&amp;end_year=2019","Rogaška Slatina")</f>
        <v>Rogaška Slatina</v>
      </c>
      <c r="G4020" s="72" t="str">
        <f>HYPERLINK("http://api.nsgreg.nga.mil/geo-division/GENC/6/3-11/SI-106","as:GENC:6:3-11:SI-106")</f>
        <v>as:GENC:6:3-11:SI-106</v>
      </c>
    </row>
    <row r="4021" spans="1:7" x14ac:dyDescent="0.25">
      <c r="A4021" s="112"/>
      <c r="B4021" s="21" t="s">
        <v>9672</v>
      </c>
      <c r="C4021" s="21" t="s">
        <v>9673</v>
      </c>
      <c r="D4021" s="21" t="s">
        <v>2505</v>
      </c>
      <c r="E4021" s="50" t="b">
        <v>1</v>
      </c>
      <c r="F4021" s="72" t="str">
        <f>HYPERLINK("http://nsgreg.nga.mil/genc/view?v=295631&amp;end_month=6&amp;end_day=30&amp;end_year=2019","Rogašovci")</f>
        <v>Rogašovci</v>
      </c>
      <c r="G4021" s="72" t="str">
        <f>HYPERLINK("http://api.nsgreg.nga.mil/geo-division/GENC/6/3-11/SI-105","as:GENC:6:3-11:SI-105")</f>
        <v>as:GENC:6:3-11:SI-105</v>
      </c>
    </row>
    <row r="4022" spans="1:7" x14ac:dyDescent="0.25">
      <c r="A4022" s="112"/>
      <c r="B4022" s="21" t="s">
        <v>9674</v>
      </c>
      <c r="C4022" s="21" t="s">
        <v>9675</v>
      </c>
      <c r="D4022" s="21" t="s">
        <v>2505</v>
      </c>
      <c r="E4022" s="50" t="b">
        <v>1</v>
      </c>
      <c r="F4022" s="72" t="str">
        <f>HYPERLINK("http://nsgreg.nga.mil/genc/view?v=295633&amp;end_month=6&amp;end_day=30&amp;end_year=2019","Rogatec")</f>
        <v>Rogatec</v>
      </c>
      <c r="G4022" s="72" t="str">
        <f>HYPERLINK("http://api.nsgreg.nga.mil/geo-division/GENC/6/3-11/SI-107","as:GENC:6:3-11:SI-107")</f>
        <v>as:GENC:6:3-11:SI-107</v>
      </c>
    </row>
    <row r="4023" spans="1:7" x14ac:dyDescent="0.25">
      <c r="A4023" s="112"/>
      <c r="B4023" s="21" t="s">
        <v>9676</v>
      </c>
      <c r="C4023" s="21" t="s">
        <v>9677</v>
      </c>
      <c r="D4023" s="21" t="s">
        <v>2505</v>
      </c>
      <c r="E4023" s="50" t="b">
        <v>1</v>
      </c>
      <c r="F4023" s="72" t="str">
        <f>HYPERLINK("http://nsgreg.nga.mil/genc/view?v=295634&amp;end_month=6&amp;end_day=30&amp;end_year=2019","Ruše")</f>
        <v>Ruše</v>
      </c>
      <c r="G4023" s="72" t="str">
        <f>HYPERLINK("http://api.nsgreg.nga.mil/geo-division/GENC/6/3-11/SI-108","as:GENC:6:3-11:SI-108")</f>
        <v>as:GENC:6:3-11:SI-108</v>
      </c>
    </row>
    <row r="4024" spans="1:7" x14ac:dyDescent="0.25">
      <c r="A4024" s="112"/>
      <c r="B4024" s="21" t="s">
        <v>9678</v>
      </c>
      <c r="C4024" s="21" t="s">
        <v>9679</v>
      </c>
      <c r="D4024" s="21" t="s">
        <v>2505</v>
      </c>
      <c r="E4024" s="50" t="b">
        <v>1</v>
      </c>
      <c r="F4024" s="72" t="str">
        <f>HYPERLINK("http://nsgreg.nga.mil/genc/view?v=295559&amp;end_month=6&amp;end_day=30&amp;end_year=2019","Šalovci")</f>
        <v>Šalovci</v>
      </c>
      <c r="G4024" s="72" t="str">
        <f>HYPERLINK("http://api.nsgreg.nga.mil/geo-division/GENC/6/3-11/SI-033","as:GENC:6:3-11:SI-033")</f>
        <v>as:GENC:6:3-11:SI-033</v>
      </c>
    </row>
    <row r="4025" spans="1:7" x14ac:dyDescent="0.25">
      <c r="A4025" s="112"/>
      <c r="B4025" s="21" t="s">
        <v>9680</v>
      </c>
      <c r="C4025" s="21" t="s">
        <v>9681</v>
      </c>
      <c r="D4025" s="21" t="s">
        <v>2505</v>
      </c>
      <c r="E4025" s="50" t="b">
        <v>1</v>
      </c>
      <c r="F4025" s="72" t="str">
        <f>HYPERLINK("http://nsgreg.nga.mil/genc/view?v=295703&amp;end_month=6&amp;end_day=30&amp;end_year=2019","Selnica ob Dravi")</f>
        <v>Selnica ob Dravi</v>
      </c>
      <c r="G4025" s="72" t="str">
        <f>HYPERLINK("http://api.nsgreg.nga.mil/geo-division/GENC/6/3-11/SI-178","as:GENC:6:3-11:SI-178")</f>
        <v>as:GENC:6:3-11:SI-178</v>
      </c>
    </row>
    <row r="4026" spans="1:7" x14ac:dyDescent="0.25">
      <c r="A4026" s="112"/>
      <c r="B4026" s="21" t="s">
        <v>9682</v>
      </c>
      <c r="C4026" s="21" t="s">
        <v>9683</v>
      </c>
      <c r="D4026" s="21" t="s">
        <v>2505</v>
      </c>
      <c r="E4026" s="50" t="b">
        <v>1</v>
      </c>
      <c r="F4026" s="72" t="str">
        <f>HYPERLINK("http://nsgreg.nga.mil/genc/view?v=295635&amp;end_month=6&amp;end_day=30&amp;end_year=2019","Semič")</f>
        <v>Semič</v>
      </c>
      <c r="G4026" s="72" t="str">
        <f>HYPERLINK("http://api.nsgreg.nga.mil/geo-division/GENC/6/3-11/SI-109","as:GENC:6:3-11:SI-109")</f>
        <v>as:GENC:6:3-11:SI-109</v>
      </c>
    </row>
    <row r="4027" spans="1:7" x14ac:dyDescent="0.25">
      <c r="A4027" s="112"/>
      <c r="B4027" s="21" t="s">
        <v>9684</v>
      </c>
      <c r="C4027" s="21" t="s">
        <v>9685</v>
      </c>
      <c r="D4027" s="21" t="s">
        <v>2505</v>
      </c>
      <c r="E4027" s="50" t="b">
        <v>1</v>
      </c>
      <c r="F4027" s="72" t="str">
        <f>HYPERLINK("http://nsgreg.nga.mil/genc/view?v=295708&amp;end_month=6&amp;end_day=30&amp;end_year=2019","Šempeter-Vrtojba")</f>
        <v>Šempeter-Vrtojba</v>
      </c>
      <c r="G4027" s="72" t="str">
        <f>HYPERLINK("http://api.nsgreg.nga.mil/geo-division/GENC/6/3-11/SI-183","as:GENC:6:3-11:SI-183")</f>
        <v>as:GENC:6:3-11:SI-183</v>
      </c>
    </row>
    <row r="4028" spans="1:7" x14ac:dyDescent="0.25">
      <c r="A4028" s="112"/>
      <c r="B4028" s="21" t="s">
        <v>9686</v>
      </c>
      <c r="C4028" s="21" t="s">
        <v>9687</v>
      </c>
      <c r="D4028" s="21" t="s">
        <v>2505</v>
      </c>
      <c r="E4028" s="50" t="b">
        <v>1</v>
      </c>
      <c r="F4028" s="72" t="str">
        <f>HYPERLINK("http://nsgreg.nga.mil/genc/view?v=295643&amp;end_month=6&amp;end_day=30&amp;end_year=2019","Šenčur")</f>
        <v>Šenčur</v>
      </c>
      <c r="G4028" s="72" t="str">
        <f>HYPERLINK("http://api.nsgreg.nga.mil/geo-division/GENC/6/3-11/SI-117","as:GENC:6:3-11:SI-117")</f>
        <v>as:GENC:6:3-11:SI-117</v>
      </c>
    </row>
    <row r="4029" spans="1:7" x14ac:dyDescent="0.25">
      <c r="A4029" s="112"/>
      <c r="B4029" s="21" t="s">
        <v>9688</v>
      </c>
      <c r="C4029" s="21" t="s">
        <v>9689</v>
      </c>
      <c r="D4029" s="21" t="s">
        <v>2505</v>
      </c>
      <c r="E4029" s="50" t="b">
        <v>1</v>
      </c>
      <c r="F4029" s="72" t="str">
        <f>HYPERLINK("http://nsgreg.nga.mil/genc/view?v=295644&amp;end_month=6&amp;end_day=30&amp;end_year=2019","Šentilj")</f>
        <v>Šentilj</v>
      </c>
      <c r="G4029" s="72" t="str">
        <f>HYPERLINK("http://api.nsgreg.nga.mil/geo-division/GENC/6/3-11/SI-118","as:GENC:6:3-11:SI-118")</f>
        <v>as:GENC:6:3-11:SI-118</v>
      </c>
    </row>
    <row r="4030" spans="1:7" x14ac:dyDescent="0.25">
      <c r="A4030" s="112"/>
      <c r="B4030" s="21" t="s">
        <v>9690</v>
      </c>
      <c r="C4030" s="21" t="s">
        <v>9691</v>
      </c>
      <c r="D4030" s="21" t="s">
        <v>2505</v>
      </c>
      <c r="E4030" s="50" t="b">
        <v>1</v>
      </c>
      <c r="F4030" s="72" t="str">
        <f>HYPERLINK("http://nsgreg.nga.mil/genc/view?v=295645&amp;end_month=6&amp;end_day=30&amp;end_year=2019","Šentjernej")</f>
        <v>Šentjernej</v>
      </c>
      <c r="G4030" s="72" t="str">
        <f>HYPERLINK("http://api.nsgreg.nga.mil/geo-division/GENC/6/3-11/SI-119","as:GENC:6:3-11:SI-119")</f>
        <v>as:GENC:6:3-11:SI-119</v>
      </c>
    </row>
    <row r="4031" spans="1:7" x14ac:dyDescent="0.25">
      <c r="A4031" s="112"/>
      <c r="B4031" s="21" t="s">
        <v>9692</v>
      </c>
      <c r="C4031" s="21" t="s">
        <v>9693</v>
      </c>
      <c r="D4031" s="21" t="s">
        <v>2505</v>
      </c>
      <c r="E4031" s="50" t="b">
        <v>1</v>
      </c>
      <c r="F4031" s="72" t="str">
        <f>HYPERLINK("http://nsgreg.nga.mil/genc/view?v=295646&amp;end_month=6&amp;end_day=30&amp;end_year=2019","Šentjur")</f>
        <v>Šentjur</v>
      </c>
      <c r="G4031" s="72" t="str">
        <f>HYPERLINK("http://api.nsgreg.nga.mil/geo-division/GENC/6/3-11/SI-120","as:GENC:6:3-11:SI-120")</f>
        <v>as:GENC:6:3-11:SI-120</v>
      </c>
    </row>
    <row r="4032" spans="1:7" x14ac:dyDescent="0.25">
      <c r="A4032" s="112"/>
      <c r="B4032" s="21" t="s">
        <v>9694</v>
      </c>
      <c r="C4032" s="21" t="s">
        <v>9695</v>
      </c>
      <c r="D4032" s="21" t="s">
        <v>2505</v>
      </c>
      <c r="E4032" s="50" t="b">
        <v>1</v>
      </c>
      <c r="F4032" s="72" t="str">
        <f>HYPERLINK("http://nsgreg.nga.mil/genc/view?v=295736&amp;end_month=6&amp;end_day=30&amp;end_year=2019","Šentrupert")</f>
        <v>Šentrupert</v>
      </c>
      <c r="G4032" s="72" t="str">
        <f>HYPERLINK("http://api.nsgreg.nga.mil/geo-division/GENC/6/3-11/SI-211","as:GENC:6:3-11:SI-211")</f>
        <v>as:GENC:6:3-11:SI-211</v>
      </c>
    </row>
    <row r="4033" spans="1:7" x14ac:dyDescent="0.25">
      <c r="A4033" s="112"/>
      <c r="B4033" s="21" t="s">
        <v>9696</v>
      </c>
      <c r="C4033" s="21" t="s">
        <v>9697</v>
      </c>
      <c r="D4033" s="21" t="s">
        <v>2505</v>
      </c>
      <c r="E4033" s="50" t="b">
        <v>1</v>
      </c>
      <c r="F4033" s="72" t="str">
        <f>HYPERLINK("http://nsgreg.nga.mil/genc/view?v=295636&amp;end_month=6&amp;end_day=30&amp;end_year=2019","Sevnica")</f>
        <v>Sevnica</v>
      </c>
      <c r="G4033" s="72" t="str">
        <f>HYPERLINK("http://api.nsgreg.nga.mil/geo-division/GENC/6/3-11/SI-110","as:GENC:6:3-11:SI-110")</f>
        <v>as:GENC:6:3-11:SI-110</v>
      </c>
    </row>
    <row r="4034" spans="1:7" x14ac:dyDescent="0.25">
      <c r="A4034" s="112"/>
      <c r="B4034" s="21" t="s">
        <v>9698</v>
      </c>
      <c r="C4034" s="21" t="s">
        <v>9699</v>
      </c>
      <c r="D4034" s="21" t="s">
        <v>2505</v>
      </c>
      <c r="E4034" s="50" t="b">
        <v>1</v>
      </c>
      <c r="F4034" s="72" t="str">
        <f>HYPERLINK("http://nsgreg.nga.mil/genc/view?v=295637&amp;end_month=6&amp;end_day=30&amp;end_year=2019","Sežana")</f>
        <v>Sežana</v>
      </c>
      <c r="G4034" s="72" t="str">
        <f>HYPERLINK("http://api.nsgreg.nga.mil/geo-division/GENC/6/3-11/SI-111","as:GENC:6:3-11:SI-111")</f>
        <v>as:GENC:6:3-11:SI-111</v>
      </c>
    </row>
    <row r="4035" spans="1:7" x14ac:dyDescent="0.25">
      <c r="A4035" s="112"/>
      <c r="B4035" s="21" t="s">
        <v>9700</v>
      </c>
      <c r="C4035" s="21" t="s">
        <v>9701</v>
      </c>
      <c r="D4035" s="21" t="s">
        <v>2505</v>
      </c>
      <c r="E4035" s="50" t="b">
        <v>1</v>
      </c>
      <c r="F4035" s="72" t="str">
        <f>HYPERLINK("http://nsgreg.nga.mil/genc/view?v=295647&amp;end_month=6&amp;end_day=30&amp;end_year=2019","Škocjan")</f>
        <v>Škocjan</v>
      </c>
      <c r="G4035" s="72" t="str">
        <f>HYPERLINK("http://api.nsgreg.nga.mil/geo-division/GENC/6/3-11/SI-121","as:GENC:6:3-11:SI-121")</f>
        <v>as:GENC:6:3-11:SI-121</v>
      </c>
    </row>
    <row r="4036" spans="1:7" x14ac:dyDescent="0.25">
      <c r="A4036" s="112"/>
      <c r="B4036" s="21" t="s">
        <v>9702</v>
      </c>
      <c r="C4036" s="21" t="s">
        <v>9703</v>
      </c>
      <c r="D4036" s="21" t="s">
        <v>2505</v>
      </c>
      <c r="E4036" s="50" t="b">
        <v>1</v>
      </c>
      <c r="F4036" s="72" t="str">
        <f>HYPERLINK("http://nsgreg.nga.mil/genc/view?v=295648&amp;end_month=6&amp;end_day=30&amp;end_year=2019","Škofja Loka")</f>
        <v>Škofja Loka</v>
      </c>
      <c r="G4036" s="72" t="str">
        <f>HYPERLINK("http://api.nsgreg.nga.mil/geo-division/GENC/6/3-11/SI-122","as:GENC:6:3-11:SI-122")</f>
        <v>as:GENC:6:3-11:SI-122</v>
      </c>
    </row>
    <row r="4037" spans="1:7" x14ac:dyDescent="0.25">
      <c r="A4037" s="112"/>
      <c r="B4037" s="21" t="s">
        <v>9704</v>
      </c>
      <c r="C4037" s="21" t="s">
        <v>9705</v>
      </c>
      <c r="D4037" s="21" t="s">
        <v>2505</v>
      </c>
      <c r="E4037" s="50" t="b">
        <v>1</v>
      </c>
      <c r="F4037" s="72" t="str">
        <f>HYPERLINK("http://nsgreg.nga.mil/genc/view?v=295649&amp;end_month=6&amp;end_day=30&amp;end_year=2019","Škofljica")</f>
        <v>Škofljica</v>
      </c>
      <c r="G4037" s="72" t="str">
        <f>HYPERLINK("http://api.nsgreg.nga.mil/geo-division/GENC/6/3-11/SI-123","as:GENC:6:3-11:SI-123")</f>
        <v>as:GENC:6:3-11:SI-123</v>
      </c>
    </row>
    <row r="4038" spans="1:7" x14ac:dyDescent="0.25">
      <c r="A4038" s="112"/>
      <c r="B4038" s="21" t="s">
        <v>9706</v>
      </c>
      <c r="C4038" s="21" t="s">
        <v>9707</v>
      </c>
      <c r="D4038" s="21" t="s">
        <v>9519</v>
      </c>
      <c r="E4038" s="50" t="b">
        <v>1</v>
      </c>
      <c r="F4038" s="72" t="str">
        <f>HYPERLINK("http://nsgreg.nga.mil/genc/view?v=295638&amp;end_month=6&amp;end_day=30&amp;end_year=2019","Slovenj Gradec")</f>
        <v>Slovenj Gradec</v>
      </c>
      <c r="G4038" s="72" t="str">
        <f>HYPERLINK("http://api.nsgreg.nga.mil/geo-division/GENC/6/3-11/SI-112","as:GENC:6:3-11:SI-112")</f>
        <v>as:GENC:6:3-11:SI-112</v>
      </c>
    </row>
    <row r="4039" spans="1:7" x14ac:dyDescent="0.25">
      <c r="A4039" s="112"/>
      <c r="B4039" s="21" t="s">
        <v>9708</v>
      </c>
      <c r="C4039" s="21" t="s">
        <v>9709</v>
      </c>
      <c r="D4039" s="21" t="s">
        <v>2505</v>
      </c>
      <c r="E4039" s="50" t="b">
        <v>1</v>
      </c>
      <c r="F4039" s="72" t="str">
        <f>HYPERLINK("http://nsgreg.nga.mil/genc/view?v=295639&amp;end_month=6&amp;end_day=30&amp;end_year=2019","Slovenska Bistrica")</f>
        <v>Slovenska Bistrica</v>
      </c>
      <c r="G4039" s="72" t="str">
        <f>HYPERLINK("http://api.nsgreg.nga.mil/geo-division/GENC/6/3-11/SI-113","as:GENC:6:3-11:SI-113")</f>
        <v>as:GENC:6:3-11:SI-113</v>
      </c>
    </row>
    <row r="4040" spans="1:7" x14ac:dyDescent="0.25">
      <c r="A4040" s="112"/>
      <c r="B4040" s="21" t="s">
        <v>9710</v>
      </c>
      <c r="C4040" s="21" t="s">
        <v>9711</v>
      </c>
      <c r="D4040" s="21" t="s">
        <v>2505</v>
      </c>
      <c r="E4040" s="50" t="b">
        <v>1</v>
      </c>
      <c r="F4040" s="72" t="str">
        <f>HYPERLINK("http://nsgreg.nga.mil/genc/view?v=295640&amp;end_month=6&amp;end_day=30&amp;end_year=2019","Slovenske Konjice")</f>
        <v>Slovenske Konjice</v>
      </c>
      <c r="G4040" s="72" t="str">
        <f>HYPERLINK("http://api.nsgreg.nga.mil/geo-division/GENC/6/3-11/SI-114","as:GENC:6:3-11:SI-114")</f>
        <v>as:GENC:6:3-11:SI-114</v>
      </c>
    </row>
    <row r="4041" spans="1:7" x14ac:dyDescent="0.25">
      <c r="A4041" s="112"/>
      <c r="B4041" s="21" t="s">
        <v>9712</v>
      </c>
      <c r="C4041" s="21" t="s">
        <v>9713</v>
      </c>
      <c r="D4041" s="21" t="s">
        <v>2505</v>
      </c>
      <c r="E4041" s="50" t="b">
        <v>1</v>
      </c>
      <c r="F4041" s="72" t="str">
        <f>HYPERLINK("http://nsgreg.nga.mil/genc/view?v=295650&amp;end_month=6&amp;end_day=30&amp;end_year=2019","Šmarje pri Jelšah")</f>
        <v>Šmarje pri Jelšah</v>
      </c>
      <c r="G4041" s="72" t="str">
        <f>HYPERLINK("http://api.nsgreg.nga.mil/geo-division/GENC/6/3-11/SI-124","as:GENC:6:3-11:SI-124")</f>
        <v>as:GENC:6:3-11:SI-124</v>
      </c>
    </row>
    <row r="4042" spans="1:7" x14ac:dyDescent="0.25">
      <c r="A4042" s="112"/>
      <c r="B4042" s="21" t="s">
        <v>9714</v>
      </c>
      <c r="C4042" s="21" t="s">
        <v>9715</v>
      </c>
      <c r="D4042" s="21" t="s">
        <v>2505</v>
      </c>
      <c r="E4042" s="50" t="b">
        <v>1</v>
      </c>
      <c r="F4042" s="72" t="str">
        <f>HYPERLINK("http://nsgreg.nga.mil/genc/view?v=295731&amp;end_month=6&amp;end_day=30&amp;end_year=2019","Šmarješke Toplice")</f>
        <v>Šmarješke Toplice</v>
      </c>
      <c r="G4042" s="72" t="str">
        <f>HYPERLINK("http://api.nsgreg.nga.mil/geo-division/GENC/6/3-11/SI-206","as:GENC:6:3-11:SI-206")</f>
        <v>as:GENC:6:3-11:SI-206</v>
      </c>
    </row>
    <row r="4043" spans="1:7" x14ac:dyDescent="0.25">
      <c r="A4043" s="112"/>
      <c r="B4043" s="21" t="s">
        <v>9716</v>
      </c>
      <c r="C4043" s="21" t="s">
        <v>9717</v>
      </c>
      <c r="D4043" s="21" t="s">
        <v>2505</v>
      </c>
      <c r="E4043" s="50" t="b">
        <v>1</v>
      </c>
      <c r="F4043" s="72" t="str">
        <f>HYPERLINK("http://nsgreg.nga.mil/genc/view?v=295651&amp;end_month=6&amp;end_day=30&amp;end_year=2019","Šmartno ob Paki")</f>
        <v>Šmartno ob Paki</v>
      </c>
      <c r="G4043" s="72" t="str">
        <f>HYPERLINK("http://api.nsgreg.nga.mil/geo-division/GENC/6/3-11/SI-125","as:GENC:6:3-11:SI-125")</f>
        <v>as:GENC:6:3-11:SI-125</v>
      </c>
    </row>
    <row r="4044" spans="1:7" x14ac:dyDescent="0.25">
      <c r="A4044" s="112"/>
      <c r="B4044" s="21" t="s">
        <v>9718</v>
      </c>
      <c r="C4044" s="21" t="s">
        <v>9719</v>
      </c>
      <c r="D4044" s="21" t="s">
        <v>2505</v>
      </c>
      <c r="E4044" s="50" t="b">
        <v>1</v>
      </c>
      <c r="F4044" s="72" t="str">
        <f>HYPERLINK("http://nsgreg.nga.mil/genc/view?v=295719&amp;end_month=6&amp;end_day=30&amp;end_year=2019","Šmartno pri Litiji")</f>
        <v>Šmartno pri Litiji</v>
      </c>
      <c r="G4044" s="72" t="str">
        <f>HYPERLINK("http://api.nsgreg.nga.mil/geo-division/GENC/6/3-11/SI-194","as:GENC:6:3-11:SI-194")</f>
        <v>as:GENC:6:3-11:SI-194</v>
      </c>
    </row>
    <row r="4045" spans="1:7" x14ac:dyDescent="0.25">
      <c r="A4045" s="112"/>
      <c r="B4045" s="21" t="s">
        <v>9720</v>
      </c>
      <c r="C4045" s="21" t="s">
        <v>9721</v>
      </c>
      <c r="D4045" s="21" t="s">
        <v>2505</v>
      </c>
      <c r="E4045" s="50" t="b">
        <v>1</v>
      </c>
      <c r="F4045" s="72" t="str">
        <f>HYPERLINK("http://nsgreg.nga.mil/genc/view?v=295704&amp;end_month=6&amp;end_day=30&amp;end_year=2019","Sodražica")</f>
        <v>Sodražica</v>
      </c>
      <c r="G4045" s="72" t="str">
        <f>HYPERLINK("http://api.nsgreg.nga.mil/geo-division/GENC/6/3-11/SI-179","as:GENC:6:3-11:SI-179")</f>
        <v>as:GENC:6:3-11:SI-179</v>
      </c>
    </row>
    <row r="4046" spans="1:7" x14ac:dyDescent="0.25">
      <c r="A4046" s="112"/>
      <c r="B4046" s="21" t="s">
        <v>9722</v>
      </c>
      <c r="C4046" s="21" t="s">
        <v>9723</v>
      </c>
      <c r="D4046" s="21" t="s">
        <v>2505</v>
      </c>
      <c r="E4046" s="50" t="b">
        <v>1</v>
      </c>
      <c r="F4046" s="72" t="str">
        <f>HYPERLINK("http://nsgreg.nga.mil/genc/view?v=295705&amp;end_month=6&amp;end_day=30&amp;end_year=2019","Solčava")</f>
        <v>Solčava</v>
      </c>
      <c r="G4046" s="72" t="str">
        <f>HYPERLINK("http://api.nsgreg.nga.mil/geo-division/GENC/6/3-11/SI-180","as:GENC:6:3-11:SI-180")</f>
        <v>as:GENC:6:3-11:SI-180</v>
      </c>
    </row>
    <row r="4047" spans="1:7" x14ac:dyDescent="0.25">
      <c r="A4047" s="112"/>
      <c r="B4047" s="21" t="s">
        <v>9724</v>
      </c>
      <c r="C4047" s="21" t="s">
        <v>9725</v>
      </c>
      <c r="D4047" s="21" t="s">
        <v>2505</v>
      </c>
      <c r="E4047" s="50" t="b">
        <v>1</v>
      </c>
      <c r="F4047" s="72" t="str">
        <f>HYPERLINK("http://nsgreg.nga.mil/genc/view?v=295652&amp;end_month=6&amp;end_day=30&amp;end_year=2019","Šoštanj")</f>
        <v>Šoštanj</v>
      </c>
      <c r="G4047" s="72" t="str">
        <f>HYPERLINK("http://api.nsgreg.nga.mil/geo-division/GENC/6/3-11/SI-126","as:GENC:6:3-11:SI-126")</f>
        <v>as:GENC:6:3-11:SI-126</v>
      </c>
    </row>
    <row r="4048" spans="1:7" x14ac:dyDescent="0.25">
      <c r="A4048" s="112"/>
      <c r="B4048" s="21" t="s">
        <v>9726</v>
      </c>
      <c r="C4048" s="21" t="s">
        <v>9727</v>
      </c>
      <c r="D4048" s="21" t="s">
        <v>2505</v>
      </c>
      <c r="E4048" s="50" t="b">
        <v>1</v>
      </c>
      <c r="F4048" s="72" t="str">
        <f>HYPERLINK("http://nsgreg.nga.mil/genc/view?v=295727&amp;end_month=6&amp;end_day=30&amp;end_year=2019","Središče ob Dravi")</f>
        <v>Središče ob Dravi</v>
      </c>
      <c r="G4048" s="72" t="str">
        <f>HYPERLINK("http://api.nsgreg.nga.mil/geo-division/GENC/6/3-11/SI-202","as:GENC:6:3-11:SI-202")</f>
        <v>as:GENC:6:3-11:SI-202</v>
      </c>
    </row>
    <row r="4049" spans="1:7" x14ac:dyDescent="0.25">
      <c r="A4049" s="112"/>
      <c r="B4049" s="21" t="s">
        <v>9728</v>
      </c>
      <c r="C4049" s="21" t="s">
        <v>9729</v>
      </c>
      <c r="D4049" s="21" t="s">
        <v>2505</v>
      </c>
      <c r="E4049" s="50" t="b">
        <v>1</v>
      </c>
      <c r="F4049" s="72" t="str">
        <f>HYPERLINK("http://nsgreg.nga.mil/genc/view?v=295641&amp;end_month=6&amp;end_day=30&amp;end_year=2019","Starše")</f>
        <v>Starše</v>
      </c>
      <c r="G4049" s="72" t="str">
        <f>HYPERLINK("http://api.nsgreg.nga.mil/geo-division/GENC/6/3-11/SI-115","as:GENC:6:3-11:SI-115")</f>
        <v>as:GENC:6:3-11:SI-115</v>
      </c>
    </row>
    <row r="4050" spans="1:7" x14ac:dyDescent="0.25">
      <c r="A4050" s="112"/>
      <c r="B4050" s="21" t="s">
        <v>9730</v>
      </c>
      <c r="C4050" s="21" t="s">
        <v>9731</v>
      </c>
      <c r="D4050" s="21" t="s">
        <v>2505</v>
      </c>
      <c r="E4050" s="50" t="b">
        <v>1</v>
      </c>
      <c r="F4050" s="72" t="str">
        <f>HYPERLINK("http://nsgreg.nga.mil/genc/view?v=295653&amp;end_month=6&amp;end_day=30&amp;end_year=2019","Štore")</f>
        <v>Štore</v>
      </c>
      <c r="G4050" s="72" t="str">
        <f>HYPERLINK("http://api.nsgreg.nga.mil/geo-division/GENC/6/3-11/SI-127","as:GENC:6:3-11:SI-127")</f>
        <v>as:GENC:6:3-11:SI-127</v>
      </c>
    </row>
    <row r="4051" spans="1:7" x14ac:dyDescent="0.25">
      <c r="A4051" s="112"/>
      <c r="B4051" s="21" t="s">
        <v>9732</v>
      </c>
      <c r="C4051" s="21" t="s">
        <v>9733</v>
      </c>
      <c r="D4051" s="21" t="s">
        <v>2505</v>
      </c>
      <c r="E4051" s="50" t="b">
        <v>1</v>
      </c>
      <c r="F4051" s="72" t="str">
        <f>HYPERLINK("http://nsgreg.nga.mil/genc/view?v=295728&amp;end_month=6&amp;end_day=30&amp;end_year=2019","Straža")</f>
        <v>Straža</v>
      </c>
      <c r="G4051" s="72" t="str">
        <f>HYPERLINK("http://api.nsgreg.nga.mil/geo-division/GENC/6/3-11/SI-203","as:GENC:6:3-11:SI-203")</f>
        <v>as:GENC:6:3-11:SI-203</v>
      </c>
    </row>
    <row r="4052" spans="1:7" x14ac:dyDescent="0.25">
      <c r="A4052" s="112"/>
      <c r="B4052" s="21" t="s">
        <v>9734</v>
      </c>
      <c r="C4052" s="21" t="s">
        <v>9735</v>
      </c>
      <c r="D4052" s="21" t="s">
        <v>2505</v>
      </c>
      <c r="E4052" s="50" t="b">
        <v>1</v>
      </c>
      <c r="F4052" s="72" t="str">
        <f>HYPERLINK("http://nsgreg.nga.mil/genc/view?v=295706&amp;end_month=6&amp;end_day=30&amp;end_year=2019","Sveta Ana")</f>
        <v>Sveta Ana</v>
      </c>
      <c r="G4052" s="72" t="str">
        <f>HYPERLINK("http://api.nsgreg.nga.mil/geo-division/GENC/6/3-11/SI-181","as:GENC:6:3-11:SI-181")</f>
        <v>as:GENC:6:3-11:SI-181</v>
      </c>
    </row>
    <row r="4053" spans="1:7" x14ac:dyDescent="0.25">
      <c r="A4053" s="112"/>
      <c r="B4053" s="21" t="s">
        <v>9736</v>
      </c>
      <c r="C4053" s="21" t="s">
        <v>9737</v>
      </c>
      <c r="D4053" s="21" t="s">
        <v>2505</v>
      </c>
      <c r="E4053" s="50" t="b">
        <v>1</v>
      </c>
      <c r="F4053" s="72" t="str">
        <f>HYPERLINK("http://nsgreg.nga.mil/genc/view?v=295729&amp;end_month=6&amp;end_day=30&amp;end_year=2019","Sveta Trojica v Slovenskih Goricah")</f>
        <v>Sveta Trojica v Slovenskih Goricah</v>
      </c>
      <c r="G4053" s="72" t="str">
        <f>HYPERLINK("http://api.nsgreg.nga.mil/geo-division/GENC/6/3-11/SI-204","as:GENC:6:3-11:SI-204")</f>
        <v>as:GENC:6:3-11:SI-204</v>
      </c>
    </row>
    <row r="4054" spans="1:7" x14ac:dyDescent="0.25">
      <c r="A4054" s="112"/>
      <c r="B4054" s="21" t="s">
        <v>9738</v>
      </c>
      <c r="C4054" s="21" t="s">
        <v>9739</v>
      </c>
      <c r="D4054" s="21" t="s">
        <v>2505</v>
      </c>
      <c r="E4054" s="50" t="b">
        <v>1</v>
      </c>
      <c r="F4054" s="72" t="str">
        <f>HYPERLINK("http://nsgreg.nga.mil/genc/view?v=295707&amp;end_month=6&amp;end_day=30&amp;end_year=2019","Sveti Andraž v Slovenskih Goricah")</f>
        <v>Sveti Andraž v Slovenskih Goricah</v>
      </c>
      <c r="G4054" s="72" t="str">
        <f>HYPERLINK("http://api.nsgreg.nga.mil/geo-division/GENC/6/3-11/SI-182","as:GENC:6:3-11:SI-182")</f>
        <v>as:GENC:6:3-11:SI-182</v>
      </c>
    </row>
    <row r="4055" spans="1:7" x14ac:dyDescent="0.25">
      <c r="A4055" s="112"/>
      <c r="B4055" s="21" t="s">
        <v>9740</v>
      </c>
      <c r="C4055" s="21" t="s">
        <v>9741</v>
      </c>
      <c r="D4055" s="21" t="s">
        <v>2505</v>
      </c>
      <c r="E4055" s="50" t="b">
        <v>1</v>
      </c>
      <c r="F4055" s="72" t="str">
        <f>HYPERLINK("http://nsgreg.nga.mil/genc/view?v=295642&amp;end_month=6&amp;end_day=30&amp;end_year=2019","Sveti Jurij ob Ščavnici")</f>
        <v>Sveti Jurij ob Ščavnici</v>
      </c>
      <c r="G4055" s="72" t="str">
        <f>HYPERLINK("http://api.nsgreg.nga.mil/geo-division/GENC/6/3-11/SI-116","as:GENC:6:3-11:SI-116")</f>
        <v>as:GENC:6:3-11:SI-116</v>
      </c>
    </row>
    <row r="4056" spans="1:7" x14ac:dyDescent="0.25">
      <c r="A4056" s="112"/>
      <c r="B4056" s="21" t="s">
        <v>9742</v>
      </c>
      <c r="C4056" s="21" t="s">
        <v>9743</v>
      </c>
      <c r="D4056" s="21" t="s">
        <v>2505</v>
      </c>
      <c r="E4056" s="50" t="b">
        <v>1</v>
      </c>
      <c r="F4056" s="72" t="str">
        <f>HYPERLINK("http://nsgreg.nga.mil/genc/view?v=295735&amp;end_month=6&amp;end_day=30&amp;end_year=2019","Sveti Jurij v Slovenskih Goricah")</f>
        <v>Sveti Jurij v Slovenskih Goricah</v>
      </c>
      <c r="G4056" s="72" t="str">
        <f>HYPERLINK("http://api.nsgreg.nga.mil/geo-division/GENC/6/3-11/SI-210","as:GENC:6:3-11:SI-210")</f>
        <v>as:GENC:6:3-11:SI-210</v>
      </c>
    </row>
    <row r="4057" spans="1:7" x14ac:dyDescent="0.25">
      <c r="A4057" s="112"/>
      <c r="B4057" s="21" t="s">
        <v>9744</v>
      </c>
      <c r="C4057" s="21" t="s">
        <v>9745</v>
      </c>
      <c r="D4057" s="21" t="s">
        <v>2505</v>
      </c>
      <c r="E4057" s="50" t="b">
        <v>1</v>
      </c>
      <c r="F4057" s="72" t="str">
        <f>HYPERLINK("http://nsgreg.nga.mil/genc/view?v=295730&amp;end_month=6&amp;end_day=30&amp;end_year=2019","Sveti Tomaž")</f>
        <v>Sveti Tomaž</v>
      </c>
      <c r="G4057" s="72" t="str">
        <f>HYPERLINK("http://api.nsgreg.nga.mil/geo-division/GENC/6/3-11/SI-205","as:GENC:6:3-11:SI-205")</f>
        <v>as:GENC:6:3-11:SI-205</v>
      </c>
    </row>
    <row r="4058" spans="1:7" x14ac:dyDescent="0.25">
      <c r="A4058" s="112"/>
      <c r="B4058" s="21" t="s">
        <v>9746</v>
      </c>
      <c r="C4058" s="21" t="s">
        <v>9747</v>
      </c>
      <c r="D4058" s="21" t="s">
        <v>2505</v>
      </c>
      <c r="E4058" s="50" t="b">
        <v>1</v>
      </c>
      <c r="F4058" s="72" t="str">
        <f>HYPERLINK("http://nsgreg.nga.mil/genc/view?v=295709&amp;end_month=6&amp;end_day=30&amp;end_year=2019","Tabor")</f>
        <v>Tabor</v>
      </c>
      <c r="G4058" s="72" t="str">
        <f>HYPERLINK("http://api.nsgreg.nga.mil/geo-division/GENC/6/3-11/SI-184","as:GENC:6:3-11:SI-184")</f>
        <v>as:GENC:6:3-11:SI-184</v>
      </c>
    </row>
    <row r="4059" spans="1:7" x14ac:dyDescent="0.25">
      <c r="A4059" s="112"/>
      <c r="B4059" s="21" t="s">
        <v>9748</v>
      </c>
      <c r="C4059" s="21" t="s">
        <v>9749</v>
      </c>
      <c r="D4059" s="21" t="s">
        <v>2505</v>
      </c>
      <c r="E4059" s="50" t="b">
        <v>1</v>
      </c>
      <c r="F4059" s="72" t="str">
        <f>HYPERLINK("http://nsgreg.nga.mil/genc/view?v=295536&amp;end_month=6&amp;end_day=30&amp;end_year=2019","Tišina")</f>
        <v>Tišina</v>
      </c>
      <c r="G4059" s="72" t="str">
        <f>HYPERLINK("http://api.nsgreg.nga.mil/geo-division/GENC/6/3-11/SI-010","as:GENC:6:3-11:SI-010")</f>
        <v>as:GENC:6:3-11:SI-010</v>
      </c>
    </row>
    <row r="4060" spans="1:7" x14ac:dyDescent="0.25">
      <c r="A4060" s="112"/>
      <c r="B4060" s="21" t="s">
        <v>9750</v>
      </c>
      <c r="C4060" s="21" t="s">
        <v>9751</v>
      </c>
      <c r="D4060" s="21" t="s">
        <v>2505</v>
      </c>
      <c r="E4060" s="50" t="b">
        <v>1</v>
      </c>
      <c r="F4060" s="72" t="str">
        <f>HYPERLINK("http://nsgreg.nga.mil/genc/view?v=295654&amp;end_month=6&amp;end_day=30&amp;end_year=2019","Tolmin")</f>
        <v>Tolmin</v>
      </c>
      <c r="G4060" s="72" t="str">
        <f>HYPERLINK("http://api.nsgreg.nga.mil/geo-division/GENC/6/3-11/SI-128","as:GENC:6:3-11:SI-128")</f>
        <v>as:GENC:6:3-11:SI-128</v>
      </c>
    </row>
    <row r="4061" spans="1:7" x14ac:dyDescent="0.25">
      <c r="A4061" s="112"/>
      <c r="B4061" s="21" t="s">
        <v>9752</v>
      </c>
      <c r="C4061" s="21" t="s">
        <v>9753</v>
      </c>
      <c r="D4061" s="21" t="s">
        <v>2505</v>
      </c>
      <c r="E4061" s="50" t="b">
        <v>1</v>
      </c>
      <c r="F4061" s="72" t="str">
        <f>HYPERLINK("http://nsgreg.nga.mil/genc/view?v=295655&amp;end_month=6&amp;end_day=30&amp;end_year=2019","Trbovlje")</f>
        <v>Trbovlje</v>
      </c>
      <c r="G4061" s="72" t="str">
        <f>HYPERLINK("http://api.nsgreg.nga.mil/geo-division/GENC/6/3-11/SI-129","as:GENC:6:3-11:SI-129")</f>
        <v>as:GENC:6:3-11:SI-129</v>
      </c>
    </row>
    <row r="4062" spans="1:7" x14ac:dyDescent="0.25">
      <c r="A4062" s="112"/>
      <c r="B4062" s="21" t="s">
        <v>9754</v>
      </c>
      <c r="C4062" s="21" t="s">
        <v>9755</v>
      </c>
      <c r="D4062" s="21" t="s">
        <v>2505</v>
      </c>
      <c r="E4062" s="50" t="b">
        <v>1</v>
      </c>
      <c r="F4062" s="72" t="str">
        <f>HYPERLINK("http://nsgreg.nga.mil/genc/view?v=295656&amp;end_month=6&amp;end_day=30&amp;end_year=2019","Trebnje")</f>
        <v>Trebnje</v>
      </c>
      <c r="G4062" s="72" t="str">
        <f>HYPERLINK("http://api.nsgreg.nga.mil/geo-division/GENC/6/3-11/SI-130","as:GENC:6:3-11:SI-130")</f>
        <v>as:GENC:6:3-11:SI-130</v>
      </c>
    </row>
    <row r="4063" spans="1:7" x14ac:dyDescent="0.25">
      <c r="A4063" s="112"/>
      <c r="B4063" s="21" t="s">
        <v>9756</v>
      </c>
      <c r="C4063" s="21" t="s">
        <v>9757</v>
      </c>
      <c r="D4063" s="21" t="s">
        <v>2505</v>
      </c>
      <c r="E4063" s="50" t="b">
        <v>1</v>
      </c>
      <c r="F4063" s="72" t="str">
        <f>HYPERLINK("http://nsgreg.nga.mil/genc/view?v=295710&amp;end_month=6&amp;end_day=30&amp;end_year=2019","Trnovska Vas")</f>
        <v>Trnovska Vas</v>
      </c>
      <c r="G4063" s="72" t="str">
        <f>HYPERLINK("http://api.nsgreg.nga.mil/geo-division/GENC/6/3-11/SI-185","as:GENC:6:3-11:SI-185")</f>
        <v>as:GENC:6:3-11:SI-185</v>
      </c>
    </row>
    <row r="4064" spans="1:7" x14ac:dyDescent="0.25">
      <c r="A4064" s="112"/>
      <c r="B4064" s="21" t="s">
        <v>9758</v>
      </c>
      <c r="C4064" s="21" t="s">
        <v>9759</v>
      </c>
      <c r="D4064" s="21" t="s">
        <v>2505</v>
      </c>
      <c r="E4064" s="50" t="b">
        <v>1</v>
      </c>
      <c r="F4064" s="72" t="str">
        <f>HYPERLINK("http://nsgreg.nga.mil/genc/view?v=295657&amp;end_month=6&amp;end_day=30&amp;end_year=2019","Tržič")</f>
        <v>Tržič</v>
      </c>
      <c r="G4064" s="72" t="str">
        <f>HYPERLINK("http://api.nsgreg.nga.mil/geo-division/GENC/6/3-11/SI-131","as:GENC:6:3-11:SI-131")</f>
        <v>as:GENC:6:3-11:SI-131</v>
      </c>
    </row>
    <row r="4065" spans="1:7" x14ac:dyDescent="0.25">
      <c r="A4065" s="112"/>
      <c r="B4065" s="21" t="s">
        <v>9760</v>
      </c>
      <c r="C4065" s="21" t="s">
        <v>9761</v>
      </c>
      <c r="D4065" s="21" t="s">
        <v>2505</v>
      </c>
      <c r="E4065" s="50" t="b">
        <v>1</v>
      </c>
      <c r="F4065" s="72" t="str">
        <f>HYPERLINK("http://nsgreg.nga.mil/genc/view?v=295711&amp;end_month=6&amp;end_day=30&amp;end_year=2019","Trzin")</f>
        <v>Trzin</v>
      </c>
      <c r="G4065" s="72" t="str">
        <f>HYPERLINK("http://api.nsgreg.nga.mil/geo-division/GENC/6/3-11/SI-186","as:GENC:6:3-11:SI-186")</f>
        <v>as:GENC:6:3-11:SI-186</v>
      </c>
    </row>
    <row r="4066" spans="1:7" x14ac:dyDescent="0.25">
      <c r="A4066" s="112"/>
      <c r="B4066" s="21" t="s">
        <v>9762</v>
      </c>
      <c r="C4066" s="21" t="s">
        <v>9763</v>
      </c>
      <c r="D4066" s="21" t="s">
        <v>2505</v>
      </c>
      <c r="E4066" s="50" t="b">
        <v>1</v>
      </c>
      <c r="F4066" s="72" t="str">
        <f>HYPERLINK("http://nsgreg.nga.mil/genc/view?v=295658&amp;end_month=6&amp;end_day=30&amp;end_year=2019","Turnišče")</f>
        <v>Turnišče</v>
      </c>
      <c r="G4066" s="72" t="str">
        <f>HYPERLINK("http://api.nsgreg.nga.mil/geo-division/GENC/6/3-11/SI-132","as:GENC:6:3-11:SI-132")</f>
        <v>as:GENC:6:3-11:SI-132</v>
      </c>
    </row>
    <row r="4067" spans="1:7" x14ac:dyDescent="0.25">
      <c r="A4067" s="112"/>
      <c r="B4067" s="21" t="s">
        <v>9764</v>
      </c>
      <c r="C4067" s="21" t="s">
        <v>9765</v>
      </c>
      <c r="D4067" s="21" t="s">
        <v>9519</v>
      </c>
      <c r="E4067" s="50" t="b">
        <v>1</v>
      </c>
      <c r="F4067" s="72" t="str">
        <f>HYPERLINK("http://nsgreg.nga.mil/genc/view?v=295659&amp;end_month=6&amp;end_day=30&amp;end_year=2019","Velenje")</f>
        <v>Velenje</v>
      </c>
      <c r="G4067" s="72" t="str">
        <f>HYPERLINK("http://api.nsgreg.nga.mil/geo-division/GENC/6/3-11/SI-133","as:GENC:6:3-11:SI-133")</f>
        <v>as:GENC:6:3-11:SI-133</v>
      </c>
    </row>
    <row r="4068" spans="1:7" x14ac:dyDescent="0.25">
      <c r="A4068" s="112"/>
      <c r="B4068" s="21" t="s">
        <v>9766</v>
      </c>
      <c r="C4068" s="21" t="s">
        <v>9767</v>
      </c>
      <c r="D4068" s="21" t="s">
        <v>2505</v>
      </c>
      <c r="E4068" s="50" t="b">
        <v>1</v>
      </c>
      <c r="F4068" s="72" t="str">
        <f>HYPERLINK("http://nsgreg.nga.mil/genc/view?v=295712&amp;end_month=6&amp;end_day=30&amp;end_year=2019","Velika Polana")</f>
        <v>Velika Polana</v>
      </c>
      <c r="G4068" s="72" t="str">
        <f>HYPERLINK("http://api.nsgreg.nga.mil/geo-division/GENC/6/3-11/SI-187","as:GENC:6:3-11:SI-187")</f>
        <v>as:GENC:6:3-11:SI-187</v>
      </c>
    </row>
    <row r="4069" spans="1:7" x14ac:dyDescent="0.25">
      <c r="A4069" s="112"/>
      <c r="B4069" s="21" t="s">
        <v>9768</v>
      </c>
      <c r="C4069" s="21" t="s">
        <v>9769</v>
      </c>
      <c r="D4069" s="21" t="s">
        <v>2505</v>
      </c>
      <c r="E4069" s="50" t="b">
        <v>1</v>
      </c>
      <c r="F4069" s="72" t="str">
        <f>HYPERLINK("http://nsgreg.nga.mil/genc/view?v=295660&amp;end_month=6&amp;end_day=30&amp;end_year=2019","Velike Lašče")</f>
        <v>Velike Lašče</v>
      </c>
      <c r="G4069" s="72" t="str">
        <f>HYPERLINK("http://api.nsgreg.nga.mil/geo-division/GENC/6/3-11/SI-134","as:GENC:6:3-11:SI-134")</f>
        <v>as:GENC:6:3-11:SI-134</v>
      </c>
    </row>
    <row r="4070" spans="1:7" x14ac:dyDescent="0.25">
      <c r="A4070" s="112"/>
      <c r="B4070" s="21" t="s">
        <v>9770</v>
      </c>
      <c r="C4070" s="21" t="s">
        <v>9771</v>
      </c>
      <c r="D4070" s="21" t="s">
        <v>2505</v>
      </c>
      <c r="E4070" s="50" t="b">
        <v>1</v>
      </c>
      <c r="F4070" s="72" t="str">
        <f>HYPERLINK("http://nsgreg.nga.mil/genc/view?v=295713&amp;end_month=6&amp;end_day=30&amp;end_year=2019","Veržej")</f>
        <v>Veržej</v>
      </c>
      <c r="G4070" s="72" t="str">
        <f>HYPERLINK("http://api.nsgreg.nga.mil/geo-division/GENC/6/3-11/SI-188","as:GENC:6:3-11:SI-188")</f>
        <v>as:GENC:6:3-11:SI-188</v>
      </c>
    </row>
    <row r="4071" spans="1:7" x14ac:dyDescent="0.25">
      <c r="A4071" s="112"/>
      <c r="B4071" s="21" t="s">
        <v>9772</v>
      </c>
      <c r="C4071" s="21" t="s">
        <v>9773</v>
      </c>
      <c r="D4071" s="21" t="s">
        <v>2505</v>
      </c>
      <c r="E4071" s="50" t="b">
        <v>1</v>
      </c>
      <c r="F4071" s="72" t="str">
        <f>HYPERLINK("http://nsgreg.nga.mil/genc/view?v=295661&amp;end_month=6&amp;end_day=30&amp;end_year=2019","Videm")</f>
        <v>Videm</v>
      </c>
      <c r="G4071" s="72" t="str">
        <f>HYPERLINK("http://api.nsgreg.nga.mil/geo-division/GENC/6/3-11/SI-135","as:GENC:6:3-11:SI-135")</f>
        <v>as:GENC:6:3-11:SI-135</v>
      </c>
    </row>
    <row r="4072" spans="1:7" x14ac:dyDescent="0.25">
      <c r="A4072" s="112"/>
      <c r="B4072" s="21" t="s">
        <v>9774</v>
      </c>
      <c r="C4072" s="21" t="s">
        <v>9775</v>
      </c>
      <c r="D4072" s="21" t="s">
        <v>2505</v>
      </c>
      <c r="E4072" s="50" t="b">
        <v>1</v>
      </c>
      <c r="F4072" s="72" t="str">
        <f>HYPERLINK("http://nsgreg.nga.mil/genc/view?v=295662&amp;end_month=6&amp;end_day=30&amp;end_year=2019","Vipava")</f>
        <v>Vipava</v>
      </c>
      <c r="G4072" s="72" t="str">
        <f>HYPERLINK("http://api.nsgreg.nga.mil/geo-division/GENC/6/3-11/SI-136","as:GENC:6:3-11:SI-136")</f>
        <v>as:GENC:6:3-11:SI-136</v>
      </c>
    </row>
    <row r="4073" spans="1:7" x14ac:dyDescent="0.25">
      <c r="A4073" s="112"/>
      <c r="B4073" s="21" t="s">
        <v>9776</v>
      </c>
      <c r="C4073" s="21" t="s">
        <v>9777</v>
      </c>
      <c r="D4073" s="21" t="s">
        <v>2505</v>
      </c>
      <c r="E4073" s="50" t="b">
        <v>1</v>
      </c>
      <c r="F4073" s="72" t="str">
        <f>HYPERLINK("http://nsgreg.nga.mil/genc/view?v=295663&amp;end_month=6&amp;end_day=30&amp;end_year=2019","Vitanje")</f>
        <v>Vitanje</v>
      </c>
      <c r="G4073" s="72" t="str">
        <f>HYPERLINK("http://api.nsgreg.nga.mil/geo-division/GENC/6/3-11/SI-137","as:GENC:6:3-11:SI-137")</f>
        <v>as:GENC:6:3-11:SI-137</v>
      </c>
    </row>
    <row r="4074" spans="1:7" x14ac:dyDescent="0.25">
      <c r="A4074" s="112"/>
      <c r="B4074" s="21" t="s">
        <v>9778</v>
      </c>
      <c r="C4074" s="21" t="s">
        <v>9779</v>
      </c>
      <c r="D4074" s="21" t="s">
        <v>2505</v>
      </c>
      <c r="E4074" s="50" t="b">
        <v>1</v>
      </c>
      <c r="F4074" s="72" t="str">
        <f>HYPERLINK("http://nsgreg.nga.mil/genc/view?v=295664&amp;end_month=6&amp;end_day=30&amp;end_year=2019","Vodice")</f>
        <v>Vodice</v>
      </c>
      <c r="G4074" s="72" t="str">
        <f>HYPERLINK("http://api.nsgreg.nga.mil/geo-division/GENC/6/3-11/SI-138","as:GENC:6:3-11:SI-138")</f>
        <v>as:GENC:6:3-11:SI-138</v>
      </c>
    </row>
    <row r="4075" spans="1:7" x14ac:dyDescent="0.25">
      <c r="A4075" s="112"/>
      <c r="B4075" s="21" t="s">
        <v>9780</v>
      </c>
      <c r="C4075" s="21" t="s">
        <v>9781</v>
      </c>
      <c r="D4075" s="21" t="s">
        <v>2505</v>
      </c>
      <c r="E4075" s="50" t="b">
        <v>1</v>
      </c>
      <c r="F4075" s="72" t="str">
        <f>HYPERLINK("http://nsgreg.nga.mil/genc/view?v=295665&amp;end_month=6&amp;end_day=30&amp;end_year=2019","Vojnik")</f>
        <v>Vojnik</v>
      </c>
      <c r="G4075" s="72" t="str">
        <f>HYPERLINK("http://api.nsgreg.nga.mil/geo-division/GENC/6/3-11/SI-139","as:GENC:6:3-11:SI-139")</f>
        <v>as:GENC:6:3-11:SI-139</v>
      </c>
    </row>
    <row r="4076" spans="1:7" x14ac:dyDescent="0.25">
      <c r="A4076" s="112"/>
      <c r="B4076" s="21" t="s">
        <v>9782</v>
      </c>
      <c r="C4076" s="21" t="s">
        <v>9783</v>
      </c>
      <c r="D4076" s="21" t="s">
        <v>2505</v>
      </c>
      <c r="E4076" s="50" t="b">
        <v>1</v>
      </c>
      <c r="F4076" s="72" t="str">
        <f>HYPERLINK("http://nsgreg.nga.mil/genc/view?v=295714&amp;end_month=6&amp;end_day=30&amp;end_year=2019","Vransko")</f>
        <v>Vransko</v>
      </c>
      <c r="G4076" s="72" t="str">
        <f>HYPERLINK("http://api.nsgreg.nga.mil/geo-division/GENC/6/3-11/SI-189","as:GENC:6:3-11:SI-189")</f>
        <v>as:GENC:6:3-11:SI-189</v>
      </c>
    </row>
    <row r="4077" spans="1:7" x14ac:dyDescent="0.25">
      <c r="A4077" s="112"/>
      <c r="B4077" s="21" t="s">
        <v>9784</v>
      </c>
      <c r="C4077" s="21" t="s">
        <v>9785</v>
      </c>
      <c r="D4077" s="21" t="s">
        <v>2505</v>
      </c>
      <c r="E4077" s="50" t="b">
        <v>1</v>
      </c>
      <c r="F4077" s="72" t="str">
        <f>HYPERLINK("http://nsgreg.nga.mil/genc/view?v=295666&amp;end_month=6&amp;end_day=30&amp;end_year=2019","Vrhnika")</f>
        <v>Vrhnika</v>
      </c>
      <c r="G4077" s="72" t="str">
        <f>HYPERLINK("http://api.nsgreg.nga.mil/geo-division/GENC/6/3-11/SI-140","as:GENC:6:3-11:SI-140")</f>
        <v>as:GENC:6:3-11:SI-140</v>
      </c>
    </row>
    <row r="4078" spans="1:7" x14ac:dyDescent="0.25">
      <c r="A4078" s="112"/>
      <c r="B4078" s="21" t="s">
        <v>9786</v>
      </c>
      <c r="C4078" s="21" t="s">
        <v>9787</v>
      </c>
      <c r="D4078" s="21" t="s">
        <v>2505</v>
      </c>
      <c r="E4078" s="50" t="b">
        <v>1</v>
      </c>
      <c r="F4078" s="72" t="str">
        <f>HYPERLINK("http://nsgreg.nga.mil/genc/view?v=295667&amp;end_month=6&amp;end_day=30&amp;end_year=2019","Vuzenica")</f>
        <v>Vuzenica</v>
      </c>
      <c r="G4078" s="72" t="str">
        <f>HYPERLINK("http://api.nsgreg.nga.mil/geo-division/GENC/6/3-11/SI-141","as:GENC:6:3-11:SI-141")</f>
        <v>as:GENC:6:3-11:SI-141</v>
      </c>
    </row>
    <row r="4079" spans="1:7" x14ac:dyDescent="0.25">
      <c r="A4079" s="112"/>
      <c r="B4079" s="21" t="s">
        <v>9788</v>
      </c>
      <c r="C4079" s="21" t="s">
        <v>9789</v>
      </c>
      <c r="D4079" s="21" t="s">
        <v>2505</v>
      </c>
      <c r="E4079" s="50" t="b">
        <v>1</v>
      </c>
      <c r="F4079" s="72" t="str">
        <f>HYPERLINK("http://nsgreg.nga.mil/genc/view?v=295668&amp;end_month=6&amp;end_day=30&amp;end_year=2019","Zagorje ob Savi")</f>
        <v>Zagorje ob Savi</v>
      </c>
      <c r="G4079" s="72" t="str">
        <f>HYPERLINK("http://api.nsgreg.nga.mil/geo-division/GENC/6/3-11/SI-142","as:GENC:6:3-11:SI-142")</f>
        <v>as:GENC:6:3-11:SI-142</v>
      </c>
    </row>
    <row r="4080" spans="1:7" x14ac:dyDescent="0.25">
      <c r="A4080" s="112"/>
      <c r="B4080" s="21" t="s">
        <v>9790</v>
      </c>
      <c r="C4080" s="21" t="s">
        <v>9791</v>
      </c>
      <c r="D4080" s="21" t="s">
        <v>2505</v>
      </c>
      <c r="E4080" s="50" t="b">
        <v>1</v>
      </c>
      <c r="F4080" s="72" t="str">
        <f>HYPERLINK("http://nsgreg.nga.mil/genc/view?v=295715&amp;end_month=6&amp;end_day=30&amp;end_year=2019","Žalec")</f>
        <v>Žalec</v>
      </c>
      <c r="G4080" s="72" t="str">
        <f>HYPERLINK("http://api.nsgreg.nga.mil/geo-division/GENC/6/3-11/SI-190","as:GENC:6:3-11:SI-190")</f>
        <v>as:GENC:6:3-11:SI-190</v>
      </c>
    </row>
    <row r="4081" spans="1:7" x14ac:dyDescent="0.25">
      <c r="A4081" s="112"/>
      <c r="B4081" s="21" t="s">
        <v>9792</v>
      </c>
      <c r="C4081" s="21" t="s">
        <v>9793</v>
      </c>
      <c r="D4081" s="21" t="s">
        <v>2505</v>
      </c>
      <c r="E4081" s="50" t="b">
        <v>1</v>
      </c>
      <c r="F4081" s="72" t="str">
        <f>HYPERLINK("http://nsgreg.nga.mil/genc/view?v=295669&amp;end_month=6&amp;end_day=30&amp;end_year=2019","Zavrč")</f>
        <v>Zavrč</v>
      </c>
      <c r="G4081" s="72" t="str">
        <f>HYPERLINK("http://api.nsgreg.nga.mil/geo-division/GENC/6/3-11/SI-143","as:GENC:6:3-11:SI-143")</f>
        <v>as:GENC:6:3-11:SI-143</v>
      </c>
    </row>
    <row r="4082" spans="1:7" x14ac:dyDescent="0.25">
      <c r="A4082" s="112"/>
      <c r="B4082" s="21" t="s">
        <v>9794</v>
      </c>
      <c r="C4082" s="21" t="s">
        <v>9795</v>
      </c>
      <c r="D4082" s="21" t="s">
        <v>2505</v>
      </c>
      <c r="E4082" s="50" t="b">
        <v>1</v>
      </c>
      <c r="F4082" s="72" t="str">
        <f>HYPERLINK("http://nsgreg.nga.mil/genc/view?v=295671&amp;end_month=6&amp;end_day=30&amp;end_year=2019","Železniki")</f>
        <v>Železniki</v>
      </c>
      <c r="G4082" s="72" t="str">
        <f>HYPERLINK("http://api.nsgreg.nga.mil/geo-division/GENC/6/3-11/SI-146","as:GENC:6:3-11:SI-146")</f>
        <v>as:GENC:6:3-11:SI-146</v>
      </c>
    </row>
    <row r="4083" spans="1:7" x14ac:dyDescent="0.25">
      <c r="A4083" s="112"/>
      <c r="B4083" s="21" t="s">
        <v>9796</v>
      </c>
      <c r="C4083" s="21" t="s">
        <v>9797</v>
      </c>
      <c r="D4083" s="21" t="s">
        <v>2505</v>
      </c>
      <c r="E4083" s="50" t="b">
        <v>1</v>
      </c>
      <c r="F4083" s="72" t="str">
        <f>HYPERLINK("http://nsgreg.nga.mil/genc/view?v=295716&amp;end_month=6&amp;end_day=30&amp;end_year=2019","Žetale")</f>
        <v>Žetale</v>
      </c>
      <c r="G4083" s="72" t="str">
        <f>HYPERLINK("http://api.nsgreg.nga.mil/geo-division/GENC/6/3-11/SI-191","as:GENC:6:3-11:SI-191")</f>
        <v>as:GENC:6:3-11:SI-191</v>
      </c>
    </row>
    <row r="4084" spans="1:7" x14ac:dyDescent="0.25">
      <c r="A4084" s="112"/>
      <c r="B4084" s="21" t="s">
        <v>9798</v>
      </c>
      <c r="C4084" s="21" t="s">
        <v>9799</v>
      </c>
      <c r="D4084" s="21" t="s">
        <v>2505</v>
      </c>
      <c r="E4084" s="50" t="b">
        <v>1</v>
      </c>
      <c r="F4084" s="72" t="str">
        <f>HYPERLINK("http://nsgreg.nga.mil/genc/view?v=295672&amp;end_month=6&amp;end_day=30&amp;end_year=2019","Žiri")</f>
        <v>Žiri</v>
      </c>
      <c r="G4084" s="72" t="str">
        <f>HYPERLINK("http://api.nsgreg.nga.mil/geo-division/GENC/6/3-11/SI-147","as:GENC:6:3-11:SI-147")</f>
        <v>as:GENC:6:3-11:SI-147</v>
      </c>
    </row>
    <row r="4085" spans="1:7" x14ac:dyDescent="0.25">
      <c r="A4085" s="112"/>
      <c r="B4085" s="21" t="s">
        <v>9800</v>
      </c>
      <c r="C4085" s="21" t="s">
        <v>9801</v>
      </c>
      <c r="D4085" s="21" t="s">
        <v>2505</v>
      </c>
      <c r="E4085" s="50" t="b">
        <v>1</v>
      </c>
      <c r="F4085" s="72" t="str">
        <f>HYPERLINK("http://nsgreg.nga.mil/genc/view?v=295717&amp;end_month=6&amp;end_day=30&amp;end_year=2019","Žirovnica")</f>
        <v>Žirovnica</v>
      </c>
      <c r="G4085" s="72" t="str">
        <f>HYPERLINK("http://api.nsgreg.nga.mil/geo-division/GENC/6/3-11/SI-192","as:GENC:6:3-11:SI-192")</f>
        <v>as:GENC:6:3-11:SI-192</v>
      </c>
    </row>
    <row r="4086" spans="1:7" x14ac:dyDescent="0.25">
      <c r="A4086" s="112"/>
      <c r="B4086" s="21" t="s">
        <v>9802</v>
      </c>
      <c r="C4086" s="21" t="s">
        <v>9803</v>
      </c>
      <c r="D4086" s="21" t="s">
        <v>2505</v>
      </c>
      <c r="E4086" s="50" t="b">
        <v>1</v>
      </c>
      <c r="F4086" s="72" t="str">
        <f>HYPERLINK("http://nsgreg.nga.mil/genc/view?v=295670&amp;end_month=6&amp;end_day=30&amp;end_year=2019","Zreče")</f>
        <v>Zreče</v>
      </c>
      <c r="G4086" s="72" t="str">
        <f>HYPERLINK("http://api.nsgreg.nga.mil/geo-division/GENC/6/3-11/SI-144","as:GENC:6:3-11:SI-144")</f>
        <v>as:GENC:6:3-11:SI-144</v>
      </c>
    </row>
    <row r="4087" spans="1:7" x14ac:dyDescent="0.25">
      <c r="A4087" s="113"/>
      <c r="B4087" s="47" t="s">
        <v>9804</v>
      </c>
      <c r="C4087" s="47" t="s">
        <v>9805</v>
      </c>
      <c r="D4087" s="47" t="s">
        <v>2505</v>
      </c>
      <c r="E4087" s="51" t="b">
        <v>1</v>
      </c>
      <c r="F4087" s="73" t="str">
        <f>HYPERLINK("http://nsgreg.nga.mil/genc/view?v=295718&amp;end_month=6&amp;end_day=30&amp;end_year=2019","Žužemberk")</f>
        <v>Žužemberk</v>
      </c>
      <c r="G4087" s="73" t="str">
        <f>HYPERLINK("http://api.nsgreg.nga.mil/geo-division/GENC/6/3-11/SI-193","as:GENC:6:3-11:SI-193")</f>
        <v>as:GENC:6:3-11:SI-193</v>
      </c>
    </row>
    <row r="4088" spans="1:7" x14ac:dyDescent="0.25">
      <c r="A4088" s="111" t="str">
        <f>HYPERLINK("[#]Codes_for_GE_Names!A234:I234","SOLOMON ISLANDS")</f>
        <v>SOLOMON ISLANDS</v>
      </c>
      <c r="B4088" s="42" t="s">
        <v>9806</v>
      </c>
      <c r="C4088" s="42" t="s">
        <v>2595</v>
      </c>
      <c r="D4088" s="42" t="s">
        <v>1668</v>
      </c>
      <c r="E4088" s="49" t="b">
        <v>1</v>
      </c>
      <c r="F4088" s="74" t="str">
        <f>HYPERLINK("http://nsgreg.nga.mil/genc/view?v=295445&amp;end_month=6&amp;end_day=30&amp;end_year=2019","Central")</f>
        <v>Central</v>
      </c>
      <c r="G4088" s="74" t="str">
        <f>HYPERLINK("http://api.nsgreg.nga.mil/geo-division/GENC/6/3-11/SB-CE","as:GENC:6:3-11:SB-CE")</f>
        <v>as:GENC:6:3-11:SB-CE</v>
      </c>
    </row>
    <row r="4089" spans="1:7" x14ac:dyDescent="0.25">
      <c r="A4089" s="112"/>
      <c r="B4089" s="21" t="s">
        <v>9807</v>
      </c>
      <c r="C4089" s="21" t="s">
        <v>8833</v>
      </c>
      <c r="D4089" s="21" t="s">
        <v>1668</v>
      </c>
      <c r="E4089" s="50" t="b">
        <v>1</v>
      </c>
      <c r="F4089" s="72" t="str">
        <f>HYPERLINK("http://nsgreg.nga.mil/genc/view?v=295446&amp;end_month=6&amp;end_day=30&amp;end_year=2019","Choiseul")</f>
        <v>Choiseul</v>
      </c>
      <c r="G4089" s="72" t="str">
        <f>HYPERLINK("http://api.nsgreg.nga.mil/geo-division/GENC/6/3-11/SB-CH","as:GENC:6:3-11:SB-CH")</f>
        <v>as:GENC:6:3-11:SB-CH</v>
      </c>
    </row>
    <row r="4090" spans="1:7" x14ac:dyDescent="0.25">
      <c r="A4090" s="112"/>
      <c r="B4090" s="21" t="s">
        <v>9808</v>
      </c>
      <c r="C4090" s="21" t="s">
        <v>9809</v>
      </c>
      <c r="D4090" s="21" t="s">
        <v>1668</v>
      </c>
      <c r="E4090" s="50" t="b">
        <v>1</v>
      </c>
      <c r="F4090" s="72" t="str">
        <f>HYPERLINK("http://nsgreg.nga.mil/genc/view?v=295448&amp;end_month=6&amp;end_day=30&amp;end_year=2019","Guadalcanal")</f>
        <v>Guadalcanal</v>
      </c>
      <c r="G4090" s="72" t="str">
        <f>HYPERLINK("http://api.nsgreg.nga.mil/geo-division/GENC/6/3-11/SB-GU","as:GENC:6:3-11:SB-GU")</f>
        <v>as:GENC:6:3-11:SB-GU</v>
      </c>
    </row>
    <row r="4091" spans="1:7" x14ac:dyDescent="0.25">
      <c r="A4091" s="112"/>
      <c r="B4091" s="21" t="s">
        <v>9810</v>
      </c>
      <c r="C4091" s="21" t="s">
        <v>9811</v>
      </c>
      <c r="D4091" s="21" t="s">
        <v>1996</v>
      </c>
      <c r="E4091" s="50" t="b">
        <v>1</v>
      </c>
      <c r="F4091" s="72" t="str">
        <f>HYPERLINK("http://nsgreg.nga.mil/genc/view?v=295447&amp;end_month=6&amp;end_day=30&amp;end_year=2019","Honiara")</f>
        <v>Honiara</v>
      </c>
      <c r="G4091" s="72" t="str">
        <f>HYPERLINK("http://api.nsgreg.nga.mil/geo-division/GENC/6/3-11/SB-CT","as:GENC:6:3-11:SB-CT")</f>
        <v>as:GENC:6:3-11:SB-CT</v>
      </c>
    </row>
    <row r="4092" spans="1:7" x14ac:dyDescent="0.25">
      <c r="A4092" s="112"/>
      <c r="B4092" s="21" t="s">
        <v>9812</v>
      </c>
      <c r="C4092" s="21" t="s">
        <v>9813</v>
      </c>
      <c r="D4092" s="21" t="s">
        <v>1668</v>
      </c>
      <c r="E4092" s="50" t="b">
        <v>1</v>
      </c>
      <c r="F4092" s="72" t="str">
        <f>HYPERLINK("http://nsgreg.nga.mil/genc/view?v=295449&amp;end_month=6&amp;end_day=30&amp;end_year=2019","Isabel")</f>
        <v>Isabel</v>
      </c>
      <c r="G4092" s="72" t="str">
        <f>HYPERLINK("http://api.nsgreg.nga.mil/geo-division/GENC/6/3-11/SB-IS","as:GENC:6:3-11:SB-IS")</f>
        <v>as:GENC:6:3-11:SB-IS</v>
      </c>
    </row>
    <row r="4093" spans="1:7" x14ac:dyDescent="0.25">
      <c r="A4093" s="112"/>
      <c r="B4093" s="21" t="s">
        <v>9814</v>
      </c>
      <c r="C4093" s="21" t="s">
        <v>9815</v>
      </c>
      <c r="D4093" s="21" t="s">
        <v>1668</v>
      </c>
      <c r="E4093" s="50" t="b">
        <v>1</v>
      </c>
      <c r="F4093" s="72" t="str">
        <f>HYPERLINK("http://nsgreg.nga.mil/genc/view?v=295450&amp;end_month=6&amp;end_day=30&amp;end_year=2019","Makira and Ulawa")</f>
        <v>Makira and Ulawa</v>
      </c>
      <c r="G4093" s="72" t="str">
        <f>HYPERLINK("http://api.nsgreg.nga.mil/geo-division/GENC/6/3-11/SB-MK","as:GENC:6:3-11:SB-MK")</f>
        <v>as:GENC:6:3-11:SB-MK</v>
      </c>
    </row>
    <row r="4094" spans="1:7" x14ac:dyDescent="0.25">
      <c r="A4094" s="112"/>
      <c r="B4094" s="21" t="s">
        <v>9816</v>
      </c>
      <c r="C4094" s="21" t="s">
        <v>9817</v>
      </c>
      <c r="D4094" s="21" t="s">
        <v>1668</v>
      </c>
      <c r="E4094" s="50" t="b">
        <v>1</v>
      </c>
      <c r="F4094" s="72" t="str">
        <f>HYPERLINK("http://nsgreg.nga.mil/genc/view?v=295451&amp;end_month=6&amp;end_day=30&amp;end_year=2019","Malaita")</f>
        <v>Malaita</v>
      </c>
      <c r="G4094" s="72" t="str">
        <f>HYPERLINK("http://api.nsgreg.nga.mil/geo-division/GENC/6/3-11/SB-ML","as:GENC:6:3-11:SB-ML")</f>
        <v>as:GENC:6:3-11:SB-ML</v>
      </c>
    </row>
    <row r="4095" spans="1:7" x14ac:dyDescent="0.25">
      <c r="A4095" s="112"/>
      <c r="B4095" s="21" t="s">
        <v>9818</v>
      </c>
      <c r="C4095" s="21" t="s">
        <v>9819</v>
      </c>
      <c r="D4095" s="21" t="s">
        <v>1668</v>
      </c>
      <c r="E4095" s="50" t="b">
        <v>1</v>
      </c>
      <c r="F4095" s="72" t="str">
        <f>HYPERLINK("http://nsgreg.nga.mil/genc/view?v=295452&amp;end_month=6&amp;end_day=30&amp;end_year=2019","Rennell and Bellona")</f>
        <v>Rennell and Bellona</v>
      </c>
      <c r="G4095" s="72" t="str">
        <f>HYPERLINK("http://api.nsgreg.nga.mil/geo-division/GENC/6/3-11/SB-RB","as:GENC:6:3-11:SB-RB")</f>
        <v>as:GENC:6:3-11:SB-RB</v>
      </c>
    </row>
    <row r="4096" spans="1:7" x14ac:dyDescent="0.25">
      <c r="A4096" s="112"/>
      <c r="B4096" s="21" t="s">
        <v>9820</v>
      </c>
      <c r="C4096" s="21" t="s">
        <v>9821</v>
      </c>
      <c r="D4096" s="21" t="s">
        <v>1668</v>
      </c>
      <c r="E4096" s="50" t="b">
        <v>1</v>
      </c>
      <c r="F4096" s="72" t="str">
        <f>HYPERLINK("http://nsgreg.nga.mil/genc/view?v=295453&amp;end_month=6&amp;end_day=30&amp;end_year=2019","Temotu")</f>
        <v>Temotu</v>
      </c>
      <c r="G4096" s="72" t="str">
        <f>HYPERLINK("http://api.nsgreg.nga.mil/geo-division/GENC/6/3-11/SB-TE","as:GENC:6:3-11:SB-TE")</f>
        <v>as:GENC:6:3-11:SB-TE</v>
      </c>
    </row>
    <row r="4097" spans="1:7" x14ac:dyDescent="0.25">
      <c r="A4097" s="113"/>
      <c r="B4097" s="47" t="s">
        <v>9822</v>
      </c>
      <c r="C4097" s="47" t="s">
        <v>4131</v>
      </c>
      <c r="D4097" s="47" t="s">
        <v>1668</v>
      </c>
      <c r="E4097" s="51" t="b">
        <v>1</v>
      </c>
      <c r="F4097" s="73" t="str">
        <f>HYPERLINK("http://nsgreg.nga.mil/genc/view?v=295454&amp;end_month=6&amp;end_day=30&amp;end_year=2019","Western")</f>
        <v>Western</v>
      </c>
      <c r="G4097" s="73" t="str">
        <f>HYPERLINK("http://api.nsgreg.nga.mil/geo-division/GENC/6/3-11/SB-WE","as:GENC:6:3-11:SB-WE")</f>
        <v>as:GENC:6:3-11:SB-WE</v>
      </c>
    </row>
    <row r="4098" spans="1:7" x14ac:dyDescent="0.25">
      <c r="A4098" s="111" t="str">
        <f>HYPERLINK("[#]Codes_for_GE_Names!A235:I235","SOMALIA")</f>
        <v>SOMALIA</v>
      </c>
      <c r="B4098" s="42" t="s">
        <v>9823</v>
      </c>
      <c r="C4098" s="42" t="s">
        <v>9824</v>
      </c>
      <c r="D4098" s="42" t="s">
        <v>1975</v>
      </c>
      <c r="E4098" s="49" t="b">
        <v>1</v>
      </c>
      <c r="F4098" s="74" t="str">
        <f>HYPERLINK("http://nsgreg.nga.mil/genc/view?v=295775&amp;end_month=6&amp;end_day=30&amp;end_year=2019","Awdal")</f>
        <v>Awdal</v>
      </c>
      <c r="G4098" s="74" t="str">
        <f>HYPERLINK("http://api.nsgreg.nga.mil/geo-division/GENC/6/3-11/SO-AW","as:GENC:6:3-11:SO-AW")</f>
        <v>as:GENC:6:3-11:SO-AW</v>
      </c>
    </row>
    <row r="4099" spans="1:7" x14ac:dyDescent="0.25">
      <c r="A4099" s="112"/>
      <c r="B4099" s="21" t="s">
        <v>9825</v>
      </c>
      <c r="C4099" s="21" t="s">
        <v>9826</v>
      </c>
      <c r="D4099" s="21" t="s">
        <v>1975</v>
      </c>
      <c r="E4099" s="50" t="b">
        <v>1</v>
      </c>
      <c r="F4099" s="72" t="str">
        <f>HYPERLINK("http://nsgreg.nga.mil/genc/view?v=295776&amp;end_month=6&amp;end_day=30&amp;end_year=2019","Bakool")</f>
        <v>Bakool</v>
      </c>
      <c r="G4099" s="72" t="str">
        <f>HYPERLINK("http://api.nsgreg.nga.mil/geo-division/GENC/6/3-11/SO-BK","as:GENC:6:3-11:SO-BK")</f>
        <v>as:GENC:6:3-11:SO-BK</v>
      </c>
    </row>
    <row r="4100" spans="1:7" x14ac:dyDescent="0.25">
      <c r="A4100" s="112"/>
      <c r="B4100" s="21" t="s">
        <v>9827</v>
      </c>
      <c r="C4100" s="21" t="s">
        <v>9828</v>
      </c>
      <c r="D4100" s="21" t="s">
        <v>1975</v>
      </c>
      <c r="E4100" s="50" t="b">
        <v>1</v>
      </c>
      <c r="F4100" s="72" t="str">
        <f>HYPERLINK("http://nsgreg.nga.mil/genc/view?v=295777&amp;end_month=6&amp;end_day=30&amp;end_year=2019","Banaadir")</f>
        <v>Banaadir</v>
      </c>
      <c r="G4100" s="72" t="str">
        <f>HYPERLINK("http://api.nsgreg.nga.mil/geo-division/GENC/6/3-11/SO-BN","as:GENC:6:3-11:SO-BN")</f>
        <v>as:GENC:6:3-11:SO-BN</v>
      </c>
    </row>
    <row r="4101" spans="1:7" x14ac:dyDescent="0.25">
      <c r="A4101" s="112"/>
      <c r="B4101" s="21" t="s">
        <v>9829</v>
      </c>
      <c r="C4101" s="21" t="s">
        <v>9830</v>
      </c>
      <c r="D4101" s="21" t="s">
        <v>1975</v>
      </c>
      <c r="E4101" s="50" t="b">
        <v>1</v>
      </c>
      <c r="F4101" s="72" t="str">
        <f>HYPERLINK("http://nsgreg.nga.mil/genc/view?v=295778&amp;end_month=6&amp;end_day=30&amp;end_year=2019","Bari")</f>
        <v>Bari</v>
      </c>
      <c r="G4101" s="72" t="str">
        <f>HYPERLINK("http://api.nsgreg.nga.mil/geo-division/GENC/6/3-11/SO-BR","as:GENC:6:3-11:SO-BR")</f>
        <v>as:GENC:6:3-11:SO-BR</v>
      </c>
    </row>
    <row r="4102" spans="1:7" x14ac:dyDescent="0.25">
      <c r="A4102" s="112"/>
      <c r="B4102" s="21" t="s">
        <v>9831</v>
      </c>
      <c r="C4102" s="21" t="s">
        <v>9832</v>
      </c>
      <c r="D4102" s="21" t="s">
        <v>1975</v>
      </c>
      <c r="E4102" s="50" t="b">
        <v>1</v>
      </c>
      <c r="F4102" s="72" t="str">
        <f>HYPERLINK("http://nsgreg.nga.mil/genc/view?v=295779&amp;end_month=6&amp;end_day=30&amp;end_year=2019","Bay")</f>
        <v>Bay</v>
      </c>
      <c r="G4102" s="72" t="str">
        <f>HYPERLINK("http://api.nsgreg.nga.mil/geo-division/GENC/6/3-11/SO-BY","as:GENC:6:3-11:SO-BY")</f>
        <v>as:GENC:6:3-11:SO-BY</v>
      </c>
    </row>
    <row r="4103" spans="1:7" x14ac:dyDescent="0.25">
      <c r="A4103" s="112"/>
      <c r="B4103" s="21" t="s">
        <v>9833</v>
      </c>
      <c r="C4103" s="21" t="s">
        <v>9834</v>
      </c>
      <c r="D4103" s="21" t="s">
        <v>1975</v>
      </c>
      <c r="E4103" s="50" t="b">
        <v>1</v>
      </c>
      <c r="F4103" s="72" t="str">
        <f>HYPERLINK("http://nsgreg.nga.mil/genc/view?v=295780&amp;end_month=6&amp;end_day=30&amp;end_year=2019","Galguduud")</f>
        <v>Galguduud</v>
      </c>
      <c r="G4103" s="72" t="str">
        <f>HYPERLINK("http://api.nsgreg.nga.mil/geo-division/GENC/6/3-11/SO-GA","as:GENC:6:3-11:SO-GA")</f>
        <v>as:GENC:6:3-11:SO-GA</v>
      </c>
    </row>
    <row r="4104" spans="1:7" x14ac:dyDescent="0.25">
      <c r="A4104" s="112"/>
      <c r="B4104" s="21" t="s">
        <v>9835</v>
      </c>
      <c r="C4104" s="21" t="s">
        <v>9836</v>
      </c>
      <c r="D4104" s="21" t="s">
        <v>1975</v>
      </c>
      <c r="E4104" s="50" t="b">
        <v>1</v>
      </c>
      <c r="F4104" s="72" t="str">
        <f>HYPERLINK("http://nsgreg.nga.mil/genc/view?v=295781&amp;end_month=6&amp;end_day=30&amp;end_year=2019","Gedo")</f>
        <v>Gedo</v>
      </c>
      <c r="G4104" s="72" t="str">
        <f>HYPERLINK("http://api.nsgreg.nga.mil/geo-division/GENC/6/3-11/SO-GE","as:GENC:6:3-11:SO-GE")</f>
        <v>as:GENC:6:3-11:SO-GE</v>
      </c>
    </row>
    <row r="4105" spans="1:7" x14ac:dyDescent="0.25">
      <c r="A4105" s="112"/>
      <c r="B4105" s="21" t="s">
        <v>9837</v>
      </c>
      <c r="C4105" s="21" t="s">
        <v>9838</v>
      </c>
      <c r="D4105" s="21" t="s">
        <v>1975</v>
      </c>
      <c r="E4105" s="50" t="b">
        <v>1</v>
      </c>
      <c r="F4105" s="72" t="str">
        <f>HYPERLINK("http://nsgreg.nga.mil/genc/view?v=295782&amp;end_month=6&amp;end_day=30&amp;end_year=2019","Hiiraan")</f>
        <v>Hiiraan</v>
      </c>
      <c r="G4105" s="72" t="str">
        <f>HYPERLINK("http://api.nsgreg.nga.mil/geo-division/GENC/6/3-11/SO-HI","as:GENC:6:3-11:SO-HI")</f>
        <v>as:GENC:6:3-11:SO-HI</v>
      </c>
    </row>
    <row r="4106" spans="1:7" x14ac:dyDescent="0.25">
      <c r="A4106" s="112"/>
      <c r="B4106" s="21" t="s">
        <v>9839</v>
      </c>
      <c r="C4106" s="21" t="s">
        <v>9840</v>
      </c>
      <c r="D4106" s="21" t="s">
        <v>1975</v>
      </c>
      <c r="E4106" s="50" t="b">
        <v>1</v>
      </c>
      <c r="F4106" s="72" t="str">
        <f>HYPERLINK("http://nsgreg.nga.mil/genc/view?v=295783&amp;end_month=6&amp;end_day=30&amp;end_year=2019","Jubbada Dhexe")</f>
        <v>Jubbada Dhexe</v>
      </c>
      <c r="G4106" s="72" t="str">
        <f>HYPERLINK("http://api.nsgreg.nga.mil/geo-division/GENC/6/3-11/SO-JD","as:GENC:6:3-11:SO-JD")</f>
        <v>as:GENC:6:3-11:SO-JD</v>
      </c>
    </row>
    <row r="4107" spans="1:7" x14ac:dyDescent="0.25">
      <c r="A4107" s="112"/>
      <c r="B4107" s="21" t="s">
        <v>9841</v>
      </c>
      <c r="C4107" s="21" t="s">
        <v>9842</v>
      </c>
      <c r="D4107" s="21" t="s">
        <v>1975</v>
      </c>
      <c r="E4107" s="50" t="b">
        <v>1</v>
      </c>
      <c r="F4107" s="72" t="str">
        <f>HYPERLINK("http://nsgreg.nga.mil/genc/view?v=295784&amp;end_month=6&amp;end_day=30&amp;end_year=2019","Jubbada Hoose")</f>
        <v>Jubbada Hoose</v>
      </c>
      <c r="G4107" s="72" t="str">
        <f>HYPERLINK("http://api.nsgreg.nga.mil/geo-division/GENC/6/3-11/SO-JH","as:GENC:6:3-11:SO-JH")</f>
        <v>as:GENC:6:3-11:SO-JH</v>
      </c>
    </row>
    <row r="4108" spans="1:7" x14ac:dyDescent="0.25">
      <c r="A4108" s="112"/>
      <c r="B4108" s="21" t="s">
        <v>9843</v>
      </c>
      <c r="C4108" s="21" t="s">
        <v>9844</v>
      </c>
      <c r="D4108" s="21" t="s">
        <v>1975</v>
      </c>
      <c r="E4108" s="50" t="b">
        <v>1</v>
      </c>
      <c r="F4108" s="72" t="str">
        <f>HYPERLINK("http://nsgreg.nga.mil/genc/view?v=295785&amp;end_month=6&amp;end_day=30&amp;end_year=2019","Mudug")</f>
        <v>Mudug</v>
      </c>
      <c r="G4108" s="72" t="str">
        <f>HYPERLINK("http://api.nsgreg.nga.mil/geo-division/GENC/6/3-11/SO-MU","as:GENC:6:3-11:SO-MU")</f>
        <v>as:GENC:6:3-11:SO-MU</v>
      </c>
    </row>
    <row r="4109" spans="1:7" x14ac:dyDescent="0.25">
      <c r="A4109" s="112"/>
      <c r="B4109" s="21" t="s">
        <v>9845</v>
      </c>
      <c r="C4109" s="21" t="s">
        <v>9846</v>
      </c>
      <c r="D4109" s="21" t="s">
        <v>1975</v>
      </c>
      <c r="E4109" s="50" t="b">
        <v>1</v>
      </c>
      <c r="F4109" s="72" t="str">
        <f>HYPERLINK("http://nsgreg.nga.mil/genc/view?v=295786&amp;end_month=6&amp;end_day=30&amp;end_year=2019","Nugaal")</f>
        <v>Nugaal</v>
      </c>
      <c r="G4109" s="72" t="str">
        <f>HYPERLINK("http://api.nsgreg.nga.mil/geo-division/GENC/6/3-11/SO-NU","as:GENC:6:3-11:SO-NU")</f>
        <v>as:GENC:6:3-11:SO-NU</v>
      </c>
    </row>
    <row r="4110" spans="1:7" x14ac:dyDescent="0.25">
      <c r="A4110" s="112"/>
      <c r="B4110" s="21" t="s">
        <v>9847</v>
      </c>
      <c r="C4110" s="21" t="s">
        <v>9848</v>
      </c>
      <c r="D4110" s="21" t="s">
        <v>1975</v>
      </c>
      <c r="E4110" s="50" t="b">
        <v>1</v>
      </c>
      <c r="F4110" s="72" t="str">
        <f>HYPERLINK("http://nsgreg.nga.mil/genc/view?v=295787&amp;end_month=6&amp;end_day=30&amp;end_year=2019","Sanaag")</f>
        <v>Sanaag</v>
      </c>
      <c r="G4110" s="72" t="str">
        <f>HYPERLINK("http://api.nsgreg.nga.mil/geo-division/GENC/6/3-11/SO-SA","as:GENC:6:3-11:SO-SA")</f>
        <v>as:GENC:6:3-11:SO-SA</v>
      </c>
    </row>
    <row r="4111" spans="1:7" x14ac:dyDescent="0.25">
      <c r="A4111" s="112"/>
      <c r="B4111" s="21" t="s">
        <v>9849</v>
      </c>
      <c r="C4111" s="21" t="s">
        <v>9850</v>
      </c>
      <c r="D4111" s="21" t="s">
        <v>1975</v>
      </c>
      <c r="E4111" s="50" t="b">
        <v>1</v>
      </c>
      <c r="F4111" s="72" t="str">
        <f>HYPERLINK("http://nsgreg.nga.mil/genc/view?v=295788&amp;end_month=6&amp;end_day=30&amp;end_year=2019","Shabeellaha Dhexe")</f>
        <v>Shabeellaha Dhexe</v>
      </c>
      <c r="G4111" s="72" t="str">
        <f>HYPERLINK("http://api.nsgreg.nga.mil/geo-division/GENC/6/3-11/SO-SD","as:GENC:6:3-11:SO-SD")</f>
        <v>as:GENC:6:3-11:SO-SD</v>
      </c>
    </row>
    <row r="4112" spans="1:7" x14ac:dyDescent="0.25">
      <c r="A4112" s="112"/>
      <c r="B4112" s="21" t="s">
        <v>9851</v>
      </c>
      <c r="C4112" s="21" t="s">
        <v>9852</v>
      </c>
      <c r="D4112" s="21" t="s">
        <v>1975</v>
      </c>
      <c r="E4112" s="50" t="b">
        <v>1</v>
      </c>
      <c r="F4112" s="72" t="str">
        <f>HYPERLINK("http://nsgreg.nga.mil/genc/view?v=295789&amp;end_month=6&amp;end_day=30&amp;end_year=2019","Shabeellaha Hoose")</f>
        <v>Shabeellaha Hoose</v>
      </c>
      <c r="G4112" s="72" t="str">
        <f>HYPERLINK("http://api.nsgreg.nga.mil/geo-division/GENC/6/3-11/SO-SH","as:GENC:6:3-11:SO-SH")</f>
        <v>as:GENC:6:3-11:SO-SH</v>
      </c>
    </row>
    <row r="4113" spans="1:7" x14ac:dyDescent="0.25">
      <c r="A4113" s="112"/>
      <c r="B4113" s="21" t="s">
        <v>9853</v>
      </c>
      <c r="C4113" s="21" t="s">
        <v>9854</v>
      </c>
      <c r="D4113" s="21" t="s">
        <v>1975</v>
      </c>
      <c r="E4113" s="50" t="b">
        <v>1</v>
      </c>
      <c r="F4113" s="72" t="str">
        <f>HYPERLINK("http://nsgreg.nga.mil/genc/view?v=295790&amp;end_month=6&amp;end_day=30&amp;end_year=2019","Sool")</f>
        <v>Sool</v>
      </c>
      <c r="G4113" s="72" t="str">
        <f>HYPERLINK("http://api.nsgreg.nga.mil/geo-division/GENC/6/3-11/SO-SO","as:GENC:6:3-11:SO-SO")</f>
        <v>as:GENC:6:3-11:SO-SO</v>
      </c>
    </row>
    <row r="4114" spans="1:7" x14ac:dyDescent="0.25">
      <c r="A4114" s="112"/>
      <c r="B4114" s="21" t="s">
        <v>9855</v>
      </c>
      <c r="C4114" s="21" t="s">
        <v>9856</v>
      </c>
      <c r="D4114" s="21" t="s">
        <v>1975</v>
      </c>
      <c r="E4114" s="50" t="b">
        <v>1</v>
      </c>
      <c r="F4114" s="72" t="str">
        <f>HYPERLINK("http://nsgreg.nga.mil/genc/view?v=295791&amp;end_month=6&amp;end_day=30&amp;end_year=2019","Togdheer")</f>
        <v>Togdheer</v>
      </c>
      <c r="G4114" s="72" t="str">
        <f>HYPERLINK("http://api.nsgreg.nga.mil/geo-division/GENC/6/3-11/SO-TO","as:GENC:6:3-11:SO-TO")</f>
        <v>as:GENC:6:3-11:SO-TO</v>
      </c>
    </row>
    <row r="4115" spans="1:7" x14ac:dyDescent="0.25">
      <c r="A4115" s="113"/>
      <c r="B4115" s="47" t="s">
        <v>9857</v>
      </c>
      <c r="C4115" s="47" t="s">
        <v>9858</v>
      </c>
      <c r="D4115" s="47" t="s">
        <v>1975</v>
      </c>
      <c r="E4115" s="51" t="b">
        <v>1</v>
      </c>
      <c r="F4115" s="73" t="str">
        <f>HYPERLINK("http://nsgreg.nga.mil/genc/view?v=295792&amp;end_month=6&amp;end_day=30&amp;end_year=2019","Woqooyi Galbeed")</f>
        <v>Woqooyi Galbeed</v>
      </c>
      <c r="G4115" s="73" t="str">
        <f>HYPERLINK("http://api.nsgreg.nga.mil/geo-division/GENC/6/3-11/SO-WO","as:GENC:6:3-11:SO-WO")</f>
        <v>as:GENC:6:3-11:SO-WO</v>
      </c>
    </row>
    <row r="4116" spans="1:7" x14ac:dyDescent="0.25">
      <c r="A4116" s="111" t="str">
        <f>HYPERLINK("[#]Codes_for_GE_Names!A236:I236","SOUTH AFRICA")</f>
        <v>SOUTH AFRICA</v>
      </c>
      <c r="B4116" s="42" t="s">
        <v>9859</v>
      </c>
      <c r="C4116" s="42" t="s">
        <v>9860</v>
      </c>
      <c r="D4116" s="42" t="s">
        <v>1668</v>
      </c>
      <c r="E4116" s="49" t="b">
        <v>1</v>
      </c>
      <c r="F4116" s="74" t="str">
        <f>HYPERLINK("http://nsgreg.nga.mil/genc/view?v=296595&amp;end_month=6&amp;end_day=30&amp;end_year=2019","Eastern Cape")</f>
        <v>Eastern Cape</v>
      </c>
      <c r="G4116" s="74" t="str">
        <f>HYPERLINK("http://api.nsgreg.nga.mil/geo-division/GENC/6/3-11/ZA-EC","as:GENC:6:3-11:ZA-EC")</f>
        <v>as:GENC:6:3-11:ZA-EC</v>
      </c>
    </row>
    <row r="4117" spans="1:7" x14ac:dyDescent="0.25">
      <c r="A4117" s="112"/>
      <c r="B4117" s="21" t="s">
        <v>9861</v>
      </c>
      <c r="C4117" s="21" t="s">
        <v>9862</v>
      </c>
      <c r="D4117" s="21" t="s">
        <v>1668</v>
      </c>
      <c r="E4117" s="50" t="b">
        <v>1</v>
      </c>
      <c r="F4117" s="72" t="str">
        <f>HYPERLINK("http://nsgreg.nga.mil/genc/view?v=296596&amp;end_month=6&amp;end_day=30&amp;end_year=2019","Free State")</f>
        <v>Free State</v>
      </c>
      <c r="G4117" s="72" t="str">
        <f>HYPERLINK("http://api.nsgreg.nga.mil/geo-division/GENC/6/3-11/ZA-FS","as:GENC:6:3-11:ZA-FS")</f>
        <v>as:GENC:6:3-11:ZA-FS</v>
      </c>
    </row>
    <row r="4118" spans="1:7" x14ac:dyDescent="0.25">
      <c r="A4118" s="112"/>
      <c r="B4118" s="21" t="s">
        <v>9863</v>
      </c>
      <c r="C4118" s="21" t="s">
        <v>9864</v>
      </c>
      <c r="D4118" s="21" t="s">
        <v>1668</v>
      </c>
      <c r="E4118" s="50" t="b">
        <v>1</v>
      </c>
      <c r="F4118" s="72" t="str">
        <f>HYPERLINK("http://nsgreg.nga.mil/genc/view?v=296597&amp;end_month=6&amp;end_day=30&amp;end_year=2019","Gauteng")</f>
        <v>Gauteng</v>
      </c>
      <c r="G4118" s="72" t="str">
        <f>HYPERLINK("http://api.nsgreg.nga.mil/geo-division/GENC/6/3-11/ZA-GT","as:GENC:6:3-11:ZA-GT")</f>
        <v>as:GENC:6:3-11:ZA-GT</v>
      </c>
    </row>
    <row r="4119" spans="1:7" x14ac:dyDescent="0.25">
      <c r="A4119" s="112"/>
      <c r="B4119" s="21" t="s">
        <v>9865</v>
      </c>
      <c r="C4119" s="21" t="s">
        <v>9866</v>
      </c>
      <c r="D4119" s="21" t="s">
        <v>1668</v>
      </c>
      <c r="E4119" s="50" t="b">
        <v>1</v>
      </c>
      <c r="F4119" s="72" t="str">
        <f>HYPERLINK("http://nsgreg.nga.mil/genc/view?v=296601&amp;end_month=6&amp;end_day=30&amp;end_year=2019","KwaZulu-Natal")</f>
        <v>KwaZulu-Natal</v>
      </c>
      <c r="G4119" s="72" t="str">
        <f>HYPERLINK("http://api.nsgreg.nga.mil/geo-division/GENC/6/3-11/ZA-NL","as:GENC:6:3-11:ZA-NL")</f>
        <v>as:GENC:6:3-11:ZA-NL</v>
      </c>
    </row>
    <row r="4120" spans="1:7" x14ac:dyDescent="0.25">
      <c r="A4120" s="112"/>
      <c r="B4120" s="21" t="s">
        <v>9867</v>
      </c>
      <c r="C4120" s="21" t="s">
        <v>9868</v>
      </c>
      <c r="D4120" s="21" t="s">
        <v>1668</v>
      </c>
      <c r="E4120" s="50" t="b">
        <v>1</v>
      </c>
      <c r="F4120" s="72" t="str">
        <f>HYPERLINK("http://nsgreg.nga.mil/genc/view?v=296598&amp;end_month=6&amp;end_day=30&amp;end_year=2019","Limpopo")</f>
        <v>Limpopo</v>
      </c>
      <c r="G4120" s="72" t="str">
        <f>HYPERLINK("http://api.nsgreg.nga.mil/geo-division/GENC/6/3-11/ZA-LP","as:GENC:6:3-11:ZA-LP")</f>
        <v>as:GENC:6:3-11:ZA-LP</v>
      </c>
    </row>
    <row r="4121" spans="1:7" x14ac:dyDescent="0.25">
      <c r="A4121" s="112"/>
      <c r="B4121" s="21" t="s">
        <v>9869</v>
      </c>
      <c r="C4121" s="21" t="s">
        <v>9870</v>
      </c>
      <c r="D4121" s="21" t="s">
        <v>1668</v>
      </c>
      <c r="E4121" s="50" t="b">
        <v>1</v>
      </c>
      <c r="F4121" s="72" t="str">
        <f>HYPERLINK("http://nsgreg.nga.mil/genc/view?v=296599&amp;end_month=6&amp;end_day=30&amp;end_year=2019","Mpumalanga")</f>
        <v>Mpumalanga</v>
      </c>
      <c r="G4121" s="72" t="str">
        <f>HYPERLINK("http://api.nsgreg.nga.mil/geo-division/GENC/6/3-11/ZA-MP","as:GENC:6:3-11:ZA-MP")</f>
        <v>as:GENC:6:3-11:ZA-MP</v>
      </c>
    </row>
    <row r="4122" spans="1:7" x14ac:dyDescent="0.25">
      <c r="A4122" s="112"/>
      <c r="B4122" s="21" t="s">
        <v>9871</v>
      </c>
      <c r="C4122" s="21" t="s">
        <v>9872</v>
      </c>
      <c r="D4122" s="21" t="s">
        <v>1668</v>
      </c>
      <c r="E4122" s="50" t="b">
        <v>1</v>
      </c>
      <c r="F4122" s="72" t="str">
        <f>HYPERLINK("http://nsgreg.nga.mil/genc/view?v=296600&amp;end_month=6&amp;end_day=30&amp;end_year=2019","Northern Cape")</f>
        <v>Northern Cape</v>
      </c>
      <c r="G4122" s="72" t="str">
        <f>HYPERLINK("http://api.nsgreg.nga.mil/geo-division/GENC/6/3-11/ZA-NC","as:GENC:6:3-11:ZA-NC")</f>
        <v>as:GENC:6:3-11:ZA-NC</v>
      </c>
    </row>
    <row r="4123" spans="1:7" x14ac:dyDescent="0.25">
      <c r="A4123" s="112"/>
      <c r="B4123" s="21" t="s">
        <v>9873</v>
      </c>
      <c r="C4123" s="21" t="s">
        <v>2618</v>
      </c>
      <c r="D4123" s="21" t="s">
        <v>1668</v>
      </c>
      <c r="E4123" s="50" t="b">
        <v>1</v>
      </c>
      <c r="F4123" s="72" t="str">
        <f>HYPERLINK("http://nsgreg.nga.mil/genc/view?v=296602&amp;end_month=6&amp;end_day=30&amp;end_year=2019","North West")</f>
        <v>North West</v>
      </c>
      <c r="G4123" s="72" t="str">
        <f>HYPERLINK("http://api.nsgreg.nga.mil/geo-division/GENC/6/3-11/ZA-NW","as:GENC:6:3-11:ZA-NW")</f>
        <v>as:GENC:6:3-11:ZA-NW</v>
      </c>
    </row>
    <row r="4124" spans="1:7" x14ac:dyDescent="0.25">
      <c r="A4124" s="113"/>
      <c r="B4124" s="47" t="s">
        <v>9874</v>
      </c>
      <c r="C4124" s="47" t="s">
        <v>9875</v>
      </c>
      <c r="D4124" s="47" t="s">
        <v>1668</v>
      </c>
      <c r="E4124" s="51" t="b">
        <v>1</v>
      </c>
      <c r="F4124" s="73" t="str">
        <f>HYPERLINK("http://nsgreg.nga.mil/genc/view?v=296603&amp;end_month=6&amp;end_day=30&amp;end_year=2019","Western Cape")</f>
        <v>Western Cape</v>
      </c>
      <c r="G4124" s="73" t="str">
        <f>HYPERLINK("http://api.nsgreg.nga.mil/geo-division/GENC/6/3-11/ZA-WC","as:GENC:6:3-11:ZA-WC")</f>
        <v>as:GENC:6:3-11:ZA-WC</v>
      </c>
    </row>
    <row r="4125" spans="1:7" x14ac:dyDescent="0.25">
      <c r="A4125" s="111" t="str">
        <f>HYPERLINK("[#]Codes_for_GE_Names!A238:I238","SOUTH SUDAN")</f>
        <v>SOUTH SUDAN</v>
      </c>
      <c r="B4125" s="42" t="s">
        <v>9876</v>
      </c>
      <c r="C4125" s="42" t="s">
        <v>9877</v>
      </c>
      <c r="D4125" s="42" t="s">
        <v>2002</v>
      </c>
      <c r="E4125" s="49" t="b">
        <v>1</v>
      </c>
      <c r="F4125" s="74" t="str">
        <f>HYPERLINK("http://nsgreg.nga.mil/genc/view?v=295805&amp;end_month=6&amp;end_day=30&amp;end_year=2019","Central Equatoria")</f>
        <v>Central Equatoria</v>
      </c>
      <c r="G4125" s="74" t="str">
        <f>HYPERLINK("http://api.nsgreg.nga.mil/geo-division/GENC/6/3-11/SS-EC","as:GENC:6:3-11:SS-EC")</f>
        <v>as:GENC:6:3-11:SS-EC</v>
      </c>
    </row>
    <row r="4126" spans="1:7" x14ac:dyDescent="0.25">
      <c r="A4126" s="112"/>
      <c r="B4126" s="21" t="s">
        <v>9878</v>
      </c>
      <c r="C4126" s="21" t="s">
        <v>9879</v>
      </c>
      <c r="D4126" s="21" t="s">
        <v>2002</v>
      </c>
      <c r="E4126" s="50" t="b">
        <v>1</v>
      </c>
      <c r="F4126" s="72" t="str">
        <f>HYPERLINK("http://nsgreg.nga.mil/genc/view?v=295806&amp;end_month=6&amp;end_day=30&amp;end_year=2019","Eastern Equatoria")</f>
        <v>Eastern Equatoria</v>
      </c>
      <c r="G4126" s="72" t="str">
        <f>HYPERLINK("http://api.nsgreg.nga.mil/geo-division/GENC/6/3-11/SS-EE","as:GENC:6:3-11:SS-EE")</f>
        <v>as:GENC:6:3-11:SS-EE</v>
      </c>
    </row>
    <row r="4127" spans="1:7" x14ac:dyDescent="0.25">
      <c r="A4127" s="112"/>
      <c r="B4127" s="21" t="s">
        <v>9880</v>
      </c>
      <c r="C4127" s="21" t="s">
        <v>9881</v>
      </c>
      <c r="D4127" s="21" t="s">
        <v>2002</v>
      </c>
      <c r="E4127" s="50" t="b">
        <v>1</v>
      </c>
      <c r="F4127" s="72" t="str">
        <f>HYPERLINK("http://nsgreg.nga.mil/genc/view?v=295808&amp;end_month=6&amp;end_day=30&amp;end_year=2019","Jonglei")</f>
        <v>Jonglei</v>
      </c>
      <c r="G4127" s="72" t="str">
        <f>HYPERLINK("http://api.nsgreg.nga.mil/geo-division/GENC/6/3-11/SS-JG","as:GENC:6:3-11:SS-JG")</f>
        <v>as:GENC:6:3-11:SS-JG</v>
      </c>
    </row>
    <row r="4128" spans="1:7" x14ac:dyDescent="0.25">
      <c r="A4128" s="112"/>
      <c r="B4128" s="21" t="s">
        <v>9882</v>
      </c>
      <c r="C4128" s="21" t="s">
        <v>9883</v>
      </c>
      <c r="D4128" s="21" t="s">
        <v>2002</v>
      </c>
      <c r="E4128" s="50" t="b">
        <v>1</v>
      </c>
      <c r="F4128" s="72" t="str">
        <f>HYPERLINK("http://nsgreg.nga.mil/genc/view?v=295809&amp;end_month=6&amp;end_day=30&amp;end_year=2019","Lakes")</f>
        <v>Lakes</v>
      </c>
      <c r="G4128" s="72" t="str">
        <f>HYPERLINK("http://api.nsgreg.nga.mil/geo-division/GENC/6/3-11/SS-LK","as:GENC:6:3-11:SS-LK")</f>
        <v>as:GENC:6:3-11:SS-LK</v>
      </c>
    </row>
    <row r="4129" spans="1:7" x14ac:dyDescent="0.25">
      <c r="A4129" s="112"/>
      <c r="B4129" s="21" t="s">
        <v>9884</v>
      </c>
      <c r="C4129" s="21" t="s">
        <v>9885</v>
      </c>
      <c r="D4129" s="21" t="s">
        <v>2002</v>
      </c>
      <c r="E4129" s="50" t="b">
        <v>1</v>
      </c>
      <c r="F4129" s="72" t="str">
        <f>HYPERLINK("http://nsgreg.nga.mil/genc/view?v=295803&amp;end_month=6&amp;end_day=30&amp;end_year=2019","Northern Bahr el Ghazal")</f>
        <v>Northern Bahr el Ghazal</v>
      </c>
      <c r="G4129" s="72" t="str">
        <f>HYPERLINK("http://api.nsgreg.nga.mil/geo-division/GENC/6/3-11/SS-BN","as:GENC:6:3-11:SS-BN")</f>
        <v>as:GENC:6:3-11:SS-BN</v>
      </c>
    </row>
    <row r="4130" spans="1:7" x14ac:dyDescent="0.25">
      <c r="A4130" s="112"/>
      <c r="B4130" s="21" t="s">
        <v>9886</v>
      </c>
      <c r="C4130" s="21" t="s">
        <v>9887</v>
      </c>
      <c r="D4130" s="21" t="s">
        <v>2002</v>
      </c>
      <c r="E4130" s="50" t="b">
        <v>1</v>
      </c>
      <c r="F4130" s="72" t="str">
        <f>HYPERLINK("http://nsgreg.nga.mil/genc/view?v=295811&amp;end_month=6&amp;end_day=30&amp;end_year=2019","Unity")</f>
        <v>Unity</v>
      </c>
      <c r="G4130" s="72" t="str">
        <f>HYPERLINK("http://api.nsgreg.nga.mil/geo-division/GENC/6/3-11/SS-UY","as:GENC:6:3-11:SS-UY")</f>
        <v>as:GENC:6:3-11:SS-UY</v>
      </c>
    </row>
    <row r="4131" spans="1:7" x14ac:dyDescent="0.25">
      <c r="A4131" s="112"/>
      <c r="B4131" s="21" t="s">
        <v>9888</v>
      </c>
      <c r="C4131" s="21" t="s">
        <v>9889</v>
      </c>
      <c r="D4131" s="21" t="s">
        <v>2002</v>
      </c>
      <c r="E4131" s="50" t="b">
        <v>1</v>
      </c>
      <c r="F4131" s="72" t="str">
        <f>HYPERLINK("http://nsgreg.nga.mil/genc/view?v=295810&amp;end_month=6&amp;end_day=30&amp;end_year=2019","Upper Nile")</f>
        <v>Upper Nile</v>
      </c>
      <c r="G4131" s="72" t="str">
        <f>HYPERLINK("http://api.nsgreg.nga.mil/geo-division/GENC/6/3-11/SS-NU","as:GENC:6:3-11:SS-NU")</f>
        <v>as:GENC:6:3-11:SS-NU</v>
      </c>
    </row>
    <row r="4132" spans="1:7" x14ac:dyDescent="0.25">
      <c r="A4132" s="112"/>
      <c r="B4132" s="21" t="s">
        <v>9890</v>
      </c>
      <c r="C4132" s="21" t="s">
        <v>9891</v>
      </c>
      <c r="D4132" s="21" t="s">
        <v>2002</v>
      </c>
      <c r="E4132" s="50" t="b">
        <v>1</v>
      </c>
      <c r="F4132" s="72" t="str">
        <f>HYPERLINK("http://nsgreg.nga.mil/genc/view?v=295812&amp;end_month=6&amp;end_day=30&amp;end_year=2019","Warrap")</f>
        <v>Warrap</v>
      </c>
      <c r="G4132" s="72" t="str">
        <f>HYPERLINK("http://api.nsgreg.nga.mil/geo-division/GENC/6/3-11/SS-WR","as:GENC:6:3-11:SS-WR")</f>
        <v>as:GENC:6:3-11:SS-WR</v>
      </c>
    </row>
    <row r="4133" spans="1:7" x14ac:dyDescent="0.25">
      <c r="A4133" s="112"/>
      <c r="B4133" s="21" t="s">
        <v>9892</v>
      </c>
      <c r="C4133" s="21" t="s">
        <v>9893</v>
      </c>
      <c r="D4133" s="21" t="s">
        <v>2002</v>
      </c>
      <c r="E4133" s="50" t="b">
        <v>1</v>
      </c>
      <c r="F4133" s="72" t="str">
        <f>HYPERLINK("http://nsgreg.nga.mil/genc/view?v=295804&amp;end_month=6&amp;end_day=30&amp;end_year=2019","Western Bahr el Ghazal")</f>
        <v>Western Bahr el Ghazal</v>
      </c>
      <c r="G4133" s="72" t="str">
        <f>HYPERLINK("http://api.nsgreg.nga.mil/geo-division/GENC/6/3-11/SS-BW","as:GENC:6:3-11:SS-BW")</f>
        <v>as:GENC:6:3-11:SS-BW</v>
      </c>
    </row>
    <row r="4134" spans="1:7" x14ac:dyDescent="0.25">
      <c r="A4134" s="113"/>
      <c r="B4134" s="47" t="s">
        <v>9894</v>
      </c>
      <c r="C4134" s="47" t="s">
        <v>9895</v>
      </c>
      <c r="D4134" s="47" t="s">
        <v>2002</v>
      </c>
      <c r="E4134" s="51" t="b">
        <v>1</v>
      </c>
      <c r="F4134" s="73" t="str">
        <f>HYPERLINK("http://nsgreg.nga.mil/genc/view?v=295807&amp;end_month=6&amp;end_day=30&amp;end_year=2019","Western Equatoria")</f>
        <v>Western Equatoria</v>
      </c>
      <c r="G4134" s="73" t="str">
        <f>HYPERLINK("http://api.nsgreg.nga.mil/geo-division/GENC/6/3-11/SS-EW","as:GENC:6:3-11:SS-EW")</f>
        <v>as:GENC:6:3-11:SS-EW</v>
      </c>
    </row>
    <row r="4135" spans="1:7" x14ac:dyDescent="0.25">
      <c r="A4135" s="111" t="str">
        <f>HYPERLINK("[#]Codes_for_GE_Names!A239:I239","SPAIN")</f>
        <v>SPAIN</v>
      </c>
      <c r="B4135" s="42" t="s">
        <v>9896</v>
      </c>
      <c r="C4135" s="42" t="s">
        <v>9897</v>
      </c>
      <c r="D4135" s="42" t="s">
        <v>9898</v>
      </c>
      <c r="E4135" s="49" t="b">
        <v>1</v>
      </c>
      <c r="F4135" s="74" t="str">
        <f>HYPERLINK("http://nsgreg.nga.mil/genc/view?v=292415&amp;end_month=6&amp;end_day=30&amp;end_year=2019","Andalusia")</f>
        <v>Andalusia</v>
      </c>
      <c r="G4135" s="74" t="str">
        <f>HYPERLINK("http://api.nsgreg.nga.mil/geo-division/GENC/6/3-11/ES-AN","as:GENC:6:3-11:ES-AN")</f>
        <v>as:GENC:6:3-11:ES-AN</v>
      </c>
    </row>
    <row r="4136" spans="1:7" x14ac:dyDescent="0.25">
      <c r="A4136" s="112"/>
      <c r="B4136" s="21" t="s">
        <v>9899</v>
      </c>
      <c r="C4136" s="21" t="s">
        <v>9900</v>
      </c>
      <c r="D4136" s="76" t="s">
        <v>1668</v>
      </c>
      <c r="E4136" s="77" t="b">
        <v>0</v>
      </c>
      <c r="F4136" s="72" t="str">
        <f>HYPERLINK("http://nsgreg.nga.mil/genc/view?v=292414&amp;end_month=6&amp;end_day=30&amp;end_year=2019","Almería")</f>
        <v>Almería</v>
      </c>
      <c r="G4136" s="72" t="str">
        <f>HYPERLINK("http://api.nsgreg.nga.mil/geo-division/GENC/6/3-11/ES-AL","as:GENC:6:3-11:ES-AL")</f>
        <v>as:GENC:6:3-11:ES-AL</v>
      </c>
    </row>
    <row r="4137" spans="1:7" x14ac:dyDescent="0.25">
      <c r="A4137" s="112"/>
      <c r="B4137" s="21" t="s">
        <v>9901</v>
      </c>
      <c r="C4137" s="21" t="s">
        <v>9902</v>
      </c>
      <c r="D4137" s="76" t="s">
        <v>1668</v>
      </c>
      <c r="E4137" s="77" t="b">
        <v>0</v>
      </c>
      <c r="F4137" s="72" t="str">
        <f>HYPERLINK("http://nsgreg.nga.mil/genc/view?v=292424&amp;end_month=6&amp;end_day=30&amp;end_year=2019","Cádiz")</f>
        <v>Cádiz</v>
      </c>
      <c r="G4137" s="72" t="str">
        <f>HYPERLINK("http://api.nsgreg.nga.mil/geo-division/GENC/6/3-11/ES-CA","as:GENC:6:3-11:ES-CA")</f>
        <v>as:GENC:6:3-11:ES-CA</v>
      </c>
    </row>
    <row r="4138" spans="1:7" x14ac:dyDescent="0.25">
      <c r="A4138" s="112"/>
      <c r="B4138" s="21" t="s">
        <v>9903</v>
      </c>
      <c r="C4138" s="21" t="s">
        <v>9904</v>
      </c>
      <c r="D4138" s="76" t="s">
        <v>1668</v>
      </c>
      <c r="E4138" s="77" t="b">
        <v>0</v>
      </c>
      <c r="F4138" s="72" t="str">
        <f>HYPERLINK("http://nsgreg.nga.mil/genc/view?v=292431&amp;end_month=6&amp;end_day=30&amp;end_year=2019","Córdoba")</f>
        <v>Córdoba</v>
      </c>
      <c r="G4138" s="72" t="str">
        <f>HYPERLINK("http://api.nsgreg.nga.mil/geo-division/GENC/6/3-11/ES-CO","as:GENC:6:3-11:ES-CO")</f>
        <v>as:GENC:6:3-11:ES-CO</v>
      </c>
    </row>
    <row r="4139" spans="1:7" x14ac:dyDescent="0.25">
      <c r="A4139" s="112"/>
      <c r="B4139" s="21" t="s">
        <v>9905</v>
      </c>
      <c r="C4139" s="21" t="s">
        <v>9906</v>
      </c>
      <c r="D4139" s="76" t="s">
        <v>1668</v>
      </c>
      <c r="E4139" s="77" t="b">
        <v>0</v>
      </c>
      <c r="F4139" s="72" t="str">
        <f>HYPERLINK("http://nsgreg.nga.mil/genc/view?v=292440&amp;end_month=6&amp;end_day=30&amp;end_year=2019","Granada")</f>
        <v>Granada</v>
      </c>
      <c r="G4139" s="72" t="str">
        <f>HYPERLINK("http://api.nsgreg.nga.mil/geo-division/GENC/6/3-11/ES-GR","as:GENC:6:3-11:ES-GR")</f>
        <v>as:GENC:6:3-11:ES-GR</v>
      </c>
    </row>
    <row r="4140" spans="1:7" x14ac:dyDescent="0.25">
      <c r="A4140" s="112"/>
      <c r="B4140" s="21" t="s">
        <v>9907</v>
      </c>
      <c r="C4140" s="21" t="s">
        <v>9908</v>
      </c>
      <c r="D4140" s="76" t="s">
        <v>1668</v>
      </c>
      <c r="E4140" s="77" t="b">
        <v>0</v>
      </c>
      <c r="F4140" s="72" t="str">
        <f>HYPERLINK("http://nsgreg.nga.mil/genc/view?v=292442&amp;end_month=6&amp;end_day=30&amp;end_year=2019","Huelva")</f>
        <v>Huelva</v>
      </c>
      <c r="G4140" s="72" t="str">
        <f>HYPERLINK("http://api.nsgreg.nga.mil/geo-division/GENC/6/3-11/ES-H","as:GENC:6:3-11:ES-H")</f>
        <v>as:GENC:6:3-11:ES-H</v>
      </c>
    </row>
    <row r="4141" spans="1:7" x14ac:dyDescent="0.25">
      <c r="A4141" s="112"/>
      <c r="B4141" s="21" t="s">
        <v>9909</v>
      </c>
      <c r="C4141" s="21" t="s">
        <v>9910</v>
      </c>
      <c r="D4141" s="76" t="s">
        <v>1668</v>
      </c>
      <c r="E4141" s="77" t="b">
        <v>0</v>
      </c>
      <c r="F4141" s="72" t="str">
        <f>HYPERLINK("http://nsgreg.nga.mil/genc/view?v=292445&amp;end_month=6&amp;end_day=30&amp;end_year=2019","Jaén")</f>
        <v>Jaén</v>
      </c>
      <c r="G4141" s="72" t="str">
        <f>HYPERLINK("http://api.nsgreg.nga.mil/geo-division/GENC/6/3-11/ES-J","as:GENC:6:3-11:ES-J")</f>
        <v>as:GENC:6:3-11:ES-J</v>
      </c>
    </row>
    <row r="4142" spans="1:7" x14ac:dyDescent="0.25">
      <c r="A4142" s="112"/>
      <c r="B4142" s="21" t="s">
        <v>9911</v>
      </c>
      <c r="C4142" s="21" t="s">
        <v>9912</v>
      </c>
      <c r="D4142" s="76" t="s">
        <v>1668</v>
      </c>
      <c r="E4142" s="77" t="b">
        <v>0</v>
      </c>
      <c r="F4142" s="72" t="str">
        <f>HYPERLINK("http://nsgreg.nga.mil/genc/view?v=292451&amp;end_month=6&amp;end_day=30&amp;end_year=2019","Málaga")</f>
        <v>Málaga</v>
      </c>
      <c r="G4142" s="72" t="str">
        <f>HYPERLINK("http://api.nsgreg.nga.mil/geo-division/GENC/6/3-11/ES-MA","as:GENC:6:3-11:ES-MA")</f>
        <v>as:GENC:6:3-11:ES-MA</v>
      </c>
    </row>
    <row r="4143" spans="1:7" x14ac:dyDescent="0.25">
      <c r="A4143" s="112"/>
      <c r="B4143" s="21" t="s">
        <v>9913</v>
      </c>
      <c r="C4143" s="21" t="s">
        <v>9914</v>
      </c>
      <c r="D4143" s="76" t="s">
        <v>1668</v>
      </c>
      <c r="E4143" s="77" t="b">
        <v>0</v>
      </c>
      <c r="F4143" s="72" t="str">
        <f>HYPERLINK("http://nsgreg.nga.mil/genc/view?v=292467&amp;end_month=6&amp;end_day=30&amp;end_year=2019","Sevilla")</f>
        <v>Sevilla</v>
      </c>
      <c r="G4143" s="72" t="str">
        <f>HYPERLINK("http://api.nsgreg.nga.mil/geo-division/GENC/6/3-11/ES-SE","as:GENC:6:3-11:ES-SE")</f>
        <v>as:GENC:6:3-11:ES-SE</v>
      </c>
    </row>
    <row r="4144" spans="1:7" x14ac:dyDescent="0.25">
      <c r="A4144" s="112"/>
      <c r="B4144" s="21" t="s">
        <v>9915</v>
      </c>
      <c r="C4144" s="21" t="s">
        <v>9916</v>
      </c>
      <c r="D4144" s="21" t="s">
        <v>9898</v>
      </c>
      <c r="E4144" s="50" t="b">
        <v>1</v>
      </c>
      <c r="F4144" s="72" t="str">
        <f>HYPERLINK("http://nsgreg.nga.mil/genc/view?v=292416&amp;end_month=6&amp;end_day=30&amp;end_year=2019","Aragon")</f>
        <v>Aragon</v>
      </c>
      <c r="G4144" s="72" t="str">
        <f>HYPERLINK("http://api.nsgreg.nga.mil/geo-division/GENC/6/3-11/ES-AR","as:GENC:6:3-11:ES-AR")</f>
        <v>as:GENC:6:3-11:ES-AR</v>
      </c>
    </row>
    <row r="4145" spans="1:7" x14ac:dyDescent="0.25">
      <c r="A4145" s="112"/>
      <c r="B4145" s="21" t="s">
        <v>9917</v>
      </c>
      <c r="C4145" s="21" t="s">
        <v>9918</v>
      </c>
      <c r="D4145" s="76" t="s">
        <v>1668</v>
      </c>
      <c r="E4145" s="77" t="b">
        <v>0</v>
      </c>
      <c r="F4145" s="72" t="str">
        <f>HYPERLINK("http://nsgreg.nga.mil/genc/view?v=292443&amp;end_month=6&amp;end_day=30&amp;end_year=2019","Huesca")</f>
        <v>Huesca</v>
      </c>
      <c r="G4145" s="72" t="str">
        <f>HYPERLINK("http://api.nsgreg.nga.mil/geo-division/GENC/6/3-11/ES-HU","as:GENC:6:3-11:ES-HU")</f>
        <v>as:GENC:6:3-11:ES-HU</v>
      </c>
    </row>
    <row r="4146" spans="1:7" x14ac:dyDescent="0.25">
      <c r="A4146" s="112"/>
      <c r="B4146" s="21" t="s">
        <v>9919</v>
      </c>
      <c r="C4146" s="21" t="s">
        <v>9920</v>
      </c>
      <c r="D4146" s="76" t="s">
        <v>1668</v>
      </c>
      <c r="E4146" s="77" t="b">
        <v>0</v>
      </c>
      <c r="F4146" s="72" t="str">
        <f>HYPERLINK("http://nsgreg.nga.mil/genc/view?v=292472&amp;end_month=6&amp;end_day=30&amp;end_year=2019","Teruel")</f>
        <v>Teruel</v>
      </c>
      <c r="G4146" s="72" t="str">
        <f>HYPERLINK("http://api.nsgreg.nga.mil/geo-division/GENC/6/3-11/ES-TE","as:GENC:6:3-11:ES-TE")</f>
        <v>as:GENC:6:3-11:ES-TE</v>
      </c>
    </row>
    <row r="4147" spans="1:7" x14ac:dyDescent="0.25">
      <c r="A4147" s="112"/>
      <c r="B4147" s="21" t="s">
        <v>9921</v>
      </c>
      <c r="C4147" s="21" t="s">
        <v>9922</v>
      </c>
      <c r="D4147" s="76" t="s">
        <v>1668</v>
      </c>
      <c r="E4147" s="77" t="b">
        <v>0</v>
      </c>
      <c r="F4147" s="72" t="str">
        <f>HYPERLINK("http://nsgreg.nga.mil/genc/view?v=292479&amp;end_month=6&amp;end_day=30&amp;end_year=2019","Zaragoza")</f>
        <v>Zaragoza</v>
      </c>
      <c r="G4147" s="72" t="str">
        <f>HYPERLINK("http://api.nsgreg.nga.mil/geo-division/GENC/6/3-11/ES-Z","as:GENC:6:3-11:ES-Z")</f>
        <v>as:GENC:6:3-11:ES-Z</v>
      </c>
    </row>
    <row r="4148" spans="1:7" x14ac:dyDescent="0.25">
      <c r="A4148" s="112"/>
      <c r="B4148" s="21" t="s">
        <v>9923</v>
      </c>
      <c r="C4148" s="21" t="s">
        <v>9924</v>
      </c>
      <c r="D4148" s="21" t="s">
        <v>9898</v>
      </c>
      <c r="E4148" s="50" t="b">
        <v>1</v>
      </c>
      <c r="F4148" s="72" t="str">
        <f>HYPERLINK("http://nsgreg.nga.mil/genc/view?v=292417&amp;end_month=6&amp;end_day=30&amp;end_year=2019","Asturias")</f>
        <v>Asturias</v>
      </c>
      <c r="G4148" s="72" t="str">
        <f>HYPERLINK("http://api.nsgreg.nga.mil/geo-division/GENC/6/3-11/ES-AS","as:GENC:6:3-11:ES-AS")</f>
        <v>as:GENC:6:3-11:ES-AS</v>
      </c>
    </row>
    <row r="4149" spans="1:7" x14ac:dyDescent="0.25">
      <c r="A4149" s="112"/>
      <c r="B4149" s="21" t="s">
        <v>9925</v>
      </c>
      <c r="C4149" s="21" t="s">
        <v>9926</v>
      </c>
      <c r="D4149" s="76" t="s">
        <v>1668</v>
      </c>
      <c r="E4149" s="77" t="b">
        <v>0</v>
      </c>
      <c r="F4149" s="72" t="str">
        <f>HYPERLINK("http://nsgreg.nga.mil/genc/view?v=292458&amp;end_month=6&amp;end_day=30&amp;end_year=2019","Asturias")</f>
        <v>Asturias</v>
      </c>
      <c r="G4149" s="72" t="str">
        <f>HYPERLINK("http://api.nsgreg.nga.mil/geo-division/GENC/6/3-11/ES-O","as:GENC:6:3-11:ES-O")</f>
        <v>as:GENC:6:3-11:ES-O</v>
      </c>
    </row>
    <row r="4150" spans="1:7" x14ac:dyDescent="0.25">
      <c r="A4150" s="112"/>
      <c r="B4150" s="21" t="s">
        <v>9927</v>
      </c>
      <c r="C4150" s="21" t="s">
        <v>9928</v>
      </c>
      <c r="D4150" s="21" t="s">
        <v>9898</v>
      </c>
      <c r="E4150" s="50" t="b">
        <v>1</v>
      </c>
      <c r="F4150" s="72" t="str">
        <f>HYPERLINK("http://nsgreg.nga.mil/genc/view?v=292444&amp;end_month=6&amp;end_day=30&amp;end_year=2019","Balearic Islands")</f>
        <v>Balearic Islands</v>
      </c>
      <c r="G4150" s="72" t="str">
        <f>HYPERLINK("http://api.nsgreg.nga.mil/geo-division/GENC/6/3-11/ES-IB","as:GENC:6:3-11:ES-IB")</f>
        <v>as:GENC:6:3-11:ES-IB</v>
      </c>
    </row>
    <row r="4151" spans="1:7" x14ac:dyDescent="0.25">
      <c r="A4151" s="112"/>
      <c r="B4151" s="21" t="s">
        <v>9929</v>
      </c>
      <c r="C4151" s="21" t="s">
        <v>9930</v>
      </c>
      <c r="D4151" s="76" t="s">
        <v>1668</v>
      </c>
      <c r="E4151" s="77" t="b">
        <v>0</v>
      </c>
      <c r="F4151" s="72" t="str">
        <f>HYPERLINK("http://nsgreg.nga.mil/genc/view?v=292461&amp;end_month=6&amp;end_day=30&amp;end_year=2019","Baleares")</f>
        <v>Baleares</v>
      </c>
      <c r="G4151" s="72" t="str">
        <f>HYPERLINK("http://api.nsgreg.nga.mil/geo-division/GENC/6/3-11/ES-PM","as:GENC:6:3-11:ES-PM")</f>
        <v>as:GENC:6:3-11:ES-PM</v>
      </c>
    </row>
    <row r="4152" spans="1:7" x14ac:dyDescent="0.25">
      <c r="A4152" s="112"/>
      <c r="B4152" s="21" t="s">
        <v>9931</v>
      </c>
      <c r="C4152" s="21" t="s">
        <v>9932</v>
      </c>
      <c r="D4152" s="21" t="s">
        <v>9898</v>
      </c>
      <c r="E4152" s="50" t="b">
        <v>1</v>
      </c>
      <c r="F4152" s="72" t="str">
        <f>HYPERLINK("http://nsgreg.nga.mil/genc/view?v=292463&amp;end_month=6&amp;end_day=30&amp;end_year=2019","Basque Country")</f>
        <v>Basque Country</v>
      </c>
      <c r="G4152" s="72" t="str">
        <f>HYPERLINK("http://api.nsgreg.nga.mil/geo-division/GENC/6/3-11/ES-PV","as:GENC:6:3-11:ES-PV")</f>
        <v>as:GENC:6:3-11:ES-PV</v>
      </c>
    </row>
    <row r="4153" spans="1:7" x14ac:dyDescent="0.25">
      <c r="A4153" s="112"/>
      <c r="B4153" s="21" t="s">
        <v>9933</v>
      </c>
      <c r="C4153" s="21" t="s">
        <v>9934</v>
      </c>
      <c r="D4153" s="76" t="s">
        <v>1668</v>
      </c>
      <c r="E4153" s="77" t="b">
        <v>0</v>
      </c>
      <c r="F4153" s="72" t="str">
        <f>HYPERLINK("http://nsgreg.nga.mil/genc/view?v=292478&amp;end_month=6&amp;end_day=30&amp;end_year=2019","Álava")</f>
        <v>Álava</v>
      </c>
      <c r="G4153" s="72" t="str">
        <f>HYPERLINK("http://api.nsgreg.nga.mil/geo-division/GENC/6/3-11/ES-VI","as:GENC:6:3-11:ES-VI")</f>
        <v>as:GENC:6:3-11:ES-VI</v>
      </c>
    </row>
    <row r="4154" spans="1:7" x14ac:dyDescent="0.25">
      <c r="A4154" s="112"/>
      <c r="B4154" s="21" t="s">
        <v>9935</v>
      </c>
      <c r="C4154" s="21" t="s">
        <v>9936</v>
      </c>
      <c r="D4154" s="76" t="s">
        <v>1668</v>
      </c>
      <c r="E4154" s="77" t="b">
        <v>0</v>
      </c>
      <c r="F4154" s="72" t="str">
        <f>HYPERLINK("http://nsgreg.nga.mil/genc/view?v=292470&amp;end_month=6&amp;end_day=30&amp;end_year=2019","Guipúzcoa")</f>
        <v>Guipúzcoa</v>
      </c>
      <c r="G4154" s="72" t="str">
        <f>HYPERLINK("http://api.nsgreg.nga.mil/geo-division/GENC/6/3-11/ES-SS","as:GENC:6:3-11:ES-SS")</f>
        <v>as:GENC:6:3-11:ES-SS</v>
      </c>
    </row>
    <row r="4155" spans="1:7" x14ac:dyDescent="0.25">
      <c r="A4155" s="112"/>
      <c r="B4155" s="21" t="s">
        <v>9937</v>
      </c>
      <c r="C4155" s="21" t="s">
        <v>9938</v>
      </c>
      <c r="D4155" s="76" t="s">
        <v>1668</v>
      </c>
      <c r="E4155" s="77" t="b">
        <v>0</v>
      </c>
      <c r="F4155" s="72" t="str">
        <f>HYPERLINK("http://nsgreg.nga.mil/genc/view?v=292421&amp;end_month=6&amp;end_day=30&amp;end_year=2019","Vizcaya")</f>
        <v>Vizcaya</v>
      </c>
      <c r="G4155" s="72" t="str">
        <f>HYPERLINK("http://api.nsgreg.nga.mil/geo-division/GENC/6/3-11/ES-BI","as:GENC:6:3-11:ES-BI")</f>
        <v>as:GENC:6:3-11:ES-BI</v>
      </c>
    </row>
    <row r="4156" spans="1:7" x14ac:dyDescent="0.25">
      <c r="A4156" s="112"/>
      <c r="B4156" s="21" t="s">
        <v>9939</v>
      </c>
      <c r="C4156" s="21" t="s">
        <v>9940</v>
      </c>
      <c r="D4156" s="21" t="s">
        <v>9898</v>
      </c>
      <c r="E4156" s="50" t="b">
        <v>1</v>
      </c>
      <c r="F4156" s="72" t="str">
        <f>HYPERLINK("http://nsgreg.nga.mil/genc/view?v=292430&amp;end_month=6&amp;end_day=30&amp;end_year=2019","Canary Islands")</f>
        <v>Canary Islands</v>
      </c>
      <c r="G4156" s="72" t="str">
        <f>HYPERLINK("http://api.nsgreg.nga.mil/geo-division/GENC/6/3-11/ES-CN","as:GENC:6:3-11:ES-CN")</f>
        <v>as:GENC:6:3-11:ES-CN</v>
      </c>
    </row>
    <row r="4157" spans="1:7" x14ac:dyDescent="0.25">
      <c r="A4157" s="112"/>
      <c r="B4157" s="21" t="s">
        <v>9941</v>
      </c>
      <c r="C4157" s="21" t="s">
        <v>9942</v>
      </c>
      <c r="D4157" s="76" t="s">
        <v>1668</v>
      </c>
      <c r="E4157" s="77" t="b">
        <v>0</v>
      </c>
      <c r="F4157" s="72" t="str">
        <f>HYPERLINK("http://nsgreg.nga.mil/genc/view?v=292438&amp;end_month=6&amp;end_day=30&amp;end_year=2019","Las Palmas")</f>
        <v>Las Palmas</v>
      </c>
      <c r="G4157" s="72" t="str">
        <f>HYPERLINK("http://api.nsgreg.nga.mil/geo-division/GENC/6/3-11/ES-GC","as:GENC:6:3-11:ES-GC")</f>
        <v>as:GENC:6:3-11:ES-GC</v>
      </c>
    </row>
    <row r="4158" spans="1:7" x14ac:dyDescent="0.25">
      <c r="A4158" s="112"/>
      <c r="B4158" s="21" t="s">
        <v>9943</v>
      </c>
      <c r="C4158" s="21" t="s">
        <v>9944</v>
      </c>
      <c r="D4158" s="76" t="s">
        <v>1668</v>
      </c>
      <c r="E4158" s="77" t="b">
        <v>0</v>
      </c>
      <c r="F4158" s="72" t="str">
        <f>HYPERLINK("http://nsgreg.nga.mil/genc/view?v=292473&amp;end_month=6&amp;end_day=30&amp;end_year=2019","Santa Cruz de Tenerife")</f>
        <v>Santa Cruz de Tenerife</v>
      </c>
      <c r="G4158" s="72" t="str">
        <f>HYPERLINK("http://api.nsgreg.nga.mil/geo-division/GENC/6/3-11/ES-TF","as:GENC:6:3-11:ES-TF")</f>
        <v>as:GENC:6:3-11:ES-TF</v>
      </c>
    </row>
    <row r="4159" spans="1:7" x14ac:dyDescent="0.25">
      <c r="A4159" s="112"/>
      <c r="B4159" s="21" t="s">
        <v>9945</v>
      </c>
      <c r="C4159" s="21" t="s">
        <v>9946</v>
      </c>
      <c r="D4159" s="21" t="s">
        <v>9898</v>
      </c>
      <c r="E4159" s="50" t="b">
        <v>1</v>
      </c>
      <c r="F4159" s="72" t="str">
        <f>HYPERLINK("http://nsgreg.nga.mil/genc/view?v=292425&amp;end_month=6&amp;end_day=30&amp;end_year=2019","Cantabria")</f>
        <v>Cantabria</v>
      </c>
      <c r="G4159" s="72" t="str">
        <f>HYPERLINK("http://api.nsgreg.nga.mil/geo-division/GENC/6/3-11/ES-CB","as:GENC:6:3-11:ES-CB")</f>
        <v>as:GENC:6:3-11:ES-CB</v>
      </c>
    </row>
    <row r="4160" spans="1:7" x14ac:dyDescent="0.25">
      <c r="A4160" s="112"/>
      <c r="B4160" s="21" t="s">
        <v>9947</v>
      </c>
      <c r="C4160" s="21" t="s">
        <v>9948</v>
      </c>
      <c r="D4160" s="76" t="s">
        <v>1668</v>
      </c>
      <c r="E4160" s="77" t="b">
        <v>0</v>
      </c>
      <c r="F4160" s="72" t="str">
        <f>HYPERLINK("http://nsgreg.nga.mil/genc/view?v=292465&amp;end_month=6&amp;end_day=30&amp;end_year=2019","Cantabria")</f>
        <v>Cantabria</v>
      </c>
      <c r="G4160" s="72" t="str">
        <f>HYPERLINK("http://api.nsgreg.nga.mil/geo-division/GENC/6/3-11/ES-S","as:GENC:6:3-11:ES-S")</f>
        <v>as:GENC:6:3-11:ES-S</v>
      </c>
    </row>
    <row r="4161" spans="1:7" x14ac:dyDescent="0.25">
      <c r="A4161" s="112"/>
      <c r="B4161" s="21" t="s">
        <v>9949</v>
      </c>
      <c r="C4161" s="21" t="s">
        <v>9950</v>
      </c>
      <c r="D4161" s="21" t="s">
        <v>9898</v>
      </c>
      <c r="E4161" s="50" t="b">
        <v>1</v>
      </c>
      <c r="F4161" s="72" t="str">
        <f>HYPERLINK("http://nsgreg.nga.mil/genc/view?v=292429&amp;end_month=6&amp;end_day=30&amp;end_year=2019","Castille-La Mancha")</f>
        <v>Castille-La Mancha</v>
      </c>
      <c r="G4161" s="72" t="str">
        <f>HYPERLINK("http://api.nsgreg.nga.mil/geo-division/GENC/6/3-11/ES-CM","as:GENC:6:3-11:ES-CM")</f>
        <v>as:GENC:6:3-11:ES-CM</v>
      </c>
    </row>
    <row r="4162" spans="1:7" x14ac:dyDescent="0.25">
      <c r="A4162" s="112"/>
      <c r="B4162" s="21" t="s">
        <v>9951</v>
      </c>
      <c r="C4162" s="21" t="s">
        <v>9952</v>
      </c>
      <c r="D4162" s="76" t="s">
        <v>1668</v>
      </c>
      <c r="E4162" s="77" t="b">
        <v>0</v>
      </c>
      <c r="F4162" s="72" t="str">
        <f>HYPERLINK("http://nsgreg.nga.mil/genc/view?v=292413&amp;end_month=6&amp;end_day=30&amp;end_year=2019","Albacete")</f>
        <v>Albacete</v>
      </c>
      <c r="G4162" s="72" t="str">
        <f>HYPERLINK("http://api.nsgreg.nga.mil/geo-division/GENC/6/3-11/ES-AB","as:GENC:6:3-11:ES-AB")</f>
        <v>as:GENC:6:3-11:ES-AB</v>
      </c>
    </row>
    <row r="4163" spans="1:7" x14ac:dyDescent="0.25">
      <c r="A4163" s="112"/>
      <c r="B4163" s="21" t="s">
        <v>9953</v>
      </c>
      <c r="C4163" s="21" t="s">
        <v>9954</v>
      </c>
      <c r="D4163" s="76" t="s">
        <v>1668</v>
      </c>
      <c r="E4163" s="77" t="b">
        <v>0</v>
      </c>
      <c r="F4163" s="72" t="str">
        <f>HYPERLINK("http://nsgreg.nga.mil/genc/view?v=292432&amp;end_month=6&amp;end_day=30&amp;end_year=2019","Ciudad Real")</f>
        <v>Ciudad Real</v>
      </c>
      <c r="G4163" s="72" t="str">
        <f>HYPERLINK("http://api.nsgreg.nga.mil/geo-division/GENC/6/3-11/ES-CR","as:GENC:6:3-11:ES-CR")</f>
        <v>as:GENC:6:3-11:ES-CR</v>
      </c>
    </row>
    <row r="4164" spans="1:7" x14ac:dyDescent="0.25">
      <c r="A4164" s="112"/>
      <c r="B4164" s="21" t="s">
        <v>9955</v>
      </c>
      <c r="C4164" s="21" t="s">
        <v>9956</v>
      </c>
      <c r="D4164" s="76" t="s">
        <v>1668</v>
      </c>
      <c r="E4164" s="77" t="b">
        <v>0</v>
      </c>
      <c r="F4164" s="72" t="str">
        <f>HYPERLINK("http://nsgreg.nga.mil/genc/view?v=292435&amp;end_month=6&amp;end_day=30&amp;end_year=2019","Cuenca")</f>
        <v>Cuenca</v>
      </c>
      <c r="G4164" s="72" t="str">
        <f>HYPERLINK("http://api.nsgreg.nga.mil/geo-division/GENC/6/3-11/ES-CU","as:GENC:6:3-11:ES-CU")</f>
        <v>as:GENC:6:3-11:ES-CU</v>
      </c>
    </row>
    <row r="4165" spans="1:7" x14ac:dyDescent="0.25">
      <c r="A4165" s="112"/>
      <c r="B4165" s="21" t="s">
        <v>9957</v>
      </c>
      <c r="C4165" s="21" t="s">
        <v>9958</v>
      </c>
      <c r="D4165" s="76" t="s">
        <v>1668</v>
      </c>
      <c r="E4165" s="77" t="b">
        <v>0</v>
      </c>
      <c r="F4165" s="72" t="str">
        <f>HYPERLINK("http://nsgreg.nga.mil/genc/view?v=292441&amp;end_month=6&amp;end_day=30&amp;end_year=2019","Guadalajara")</f>
        <v>Guadalajara</v>
      </c>
      <c r="G4165" s="72" t="str">
        <f>HYPERLINK("http://api.nsgreg.nga.mil/geo-division/GENC/6/3-11/ES-GU","as:GENC:6:3-11:ES-GU")</f>
        <v>as:GENC:6:3-11:ES-GU</v>
      </c>
    </row>
    <row r="4166" spans="1:7" x14ac:dyDescent="0.25">
      <c r="A4166" s="112"/>
      <c r="B4166" s="21" t="s">
        <v>9959</v>
      </c>
      <c r="C4166" s="21" t="s">
        <v>9960</v>
      </c>
      <c r="D4166" s="76" t="s">
        <v>1668</v>
      </c>
      <c r="E4166" s="77" t="b">
        <v>0</v>
      </c>
      <c r="F4166" s="72" t="str">
        <f>HYPERLINK("http://nsgreg.nga.mil/genc/view?v=292474&amp;end_month=6&amp;end_day=30&amp;end_year=2019","Toledo")</f>
        <v>Toledo</v>
      </c>
      <c r="G4166" s="72" t="str">
        <f>HYPERLINK("http://api.nsgreg.nga.mil/geo-division/GENC/6/3-11/ES-TO","as:GENC:6:3-11:ES-TO")</f>
        <v>as:GENC:6:3-11:ES-TO</v>
      </c>
    </row>
    <row r="4167" spans="1:7" x14ac:dyDescent="0.25">
      <c r="A4167" s="112"/>
      <c r="B4167" s="21" t="s">
        <v>9961</v>
      </c>
      <c r="C4167" s="21" t="s">
        <v>9962</v>
      </c>
      <c r="D4167" s="21" t="s">
        <v>9898</v>
      </c>
      <c r="E4167" s="50" t="b">
        <v>1</v>
      </c>
      <c r="F4167" s="72" t="str">
        <f>HYPERLINK("http://nsgreg.nga.mil/genc/view?v=292428&amp;end_month=6&amp;end_day=30&amp;end_year=2019","Castille-Leon")</f>
        <v>Castille-Leon</v>
      </c>
      <c r="G4167" s="72" t="str">
        <f>HYPERLINK("http://api.nsgreg.nga.mil/geo-division/GENC/6/3-11/ES-CL","as:GENC:6:3-11:ES-CL")</f>
        <v>as:GENC:6:3-11:ES-CL</v>
      </c>
    </row>
    <row r="4168" spans="1:7" x14ac:dyDescent="0.25">
      <c r="A4168" s="112"/>
      <c r="B4168" s="21" t="s">
        <v>9963</v>
      </c>
      <c r="C4168" s="21" t="s">
        <v>9964</v>
      </c>
      <c r="D4168" s="76" t="s">
        <v>1668</v>
      </c>
      <c r="E4168" s="77" t="b">
        <v>0</v>
      </c>
      <c r="F4168" s="72" t="str">
        <f>HYPERLINK("http://nsgreg.nga.mil/genc/view?v=292418&amp;end_month=6&amp;end_day=30&amp;end_year=2019","Ávila")</f>
        <v>Ávila</v>
      </c>
      <c r="G4168" s="72" t="str">
        <f>HYPERLINK("http://api.nsgreg.nga.mil/geo-division/GENC/6/3-11/ES-AV","as:GENC:6:3-11:ES-AV")</f>
        <v>as:GENC:6:3-11:ES-AV</v>
      </c>
    </row>
    <row r="4169" spans="1:7" x14ac:dyDescent="0.25">
      <c r="A4169" s="112"/>
      <c r="B4169" s="21" t="s">
        <v>9965</v>
      </c>
      <c r="C4169" s="21" t="s">
        <v>9966</v>
      </c>
      <c r="D4169" s="76" t="s">
        <v>1668</v>
      </c>
      <c r="E4169" s="77" t="b">
        <v>0</v>
      </c>
      <c r="F4169" s="72" t="str">
        <f>HYPERLINK("http://nsgreg.nga.mil/genc/view?v=292422&amp;end_month=6&amp;end_day=30&amp;end_year=2019","Burgos")</f>
        <v>Burgos</v>
      </c>
      <c r="G4169" s="72" t="str">
        <f>HYPERLINK("http://api.nsgreg.nga.mil/geo-division/GENC/6/3-11/ES-BU","as:GENC:6:3-11:ES-BU")</f>
        <v>as:GENC:6:3-11:ES-BU</v>
      </c>
    </row>
    <row r="4170" spans="1:7" x14ac:dyDescent="0.25">
      <c r="A4170" s="112"/>
      <c r="B4170" s="21" t="s">
        <v>9967</v>
      </c>
      <c r="C4170" s="21" t="s">
        <v>9968</v>
      </c>
      <c r="D4170" s="76" t="s">
        <v>1668</v>
      </c>
      <c r="E4170" s="77" t="b">
        <v>0</v>
      </c>
      <c r="F4170" s="72" t="str">
        <f>HYPERLINK("http://nsgreg.nga.mil/genc/view?v=292447&amp;end_month=6&amp;end_day=30&amp;end_year=2019","León")</f>
        <v>León</v>
      </c>
      <c r="G4170" s="72" t="str">
        <f>HYPERLINK("http://api.nsgreg.nga.mil/geo-division/GENC/6/3-11/ES-LE","as:GENC:6:3-11:ES-LE")</f>
        <v>as:GENC:6:3-11:ES-LE</v>
      </c>
    </row>
    <row r="4171" spans="1:7" x14ac:dyDescent="0.25">
      <c r="A4171" s="112"/>
      <c r="B4171" s="21" t="s">
        <v>9969</v>
      </c>
      <c r="C4171" s="21" t="s">
        <v>9970</v>
      </c>
      <c r="D4171" s="76" t="s">
        <v>1668</v>
      </c>
      <c r="E4171" s="77" t="b">
        <v>0</v>
      </c>
      <c r="F4171" s="72" t="str">
        <f>HYPERLINK("http://nsgreg.nga.mil/genc/view?v=292460&amp;end_month=6&amp;end_day=30&amp;end_year=2019","Palencia")</f>
        <v>Palencia</v>
      </c>
      <c r="G4171" s="72" t="str">
        <f>HYPERLINK("http://api.nsgreg.nga.mil/geo-division/GENC/6/3-11/ES-P","as:GENC:6:3-11:ES-P")</f>
        <v>as:GENC:6:3-11:ES-P</v>
      </c>
    </row>
    <row r="4172" spans="1:7" x14ac:dyDescent="0.25">
      <c r="A4172" s="112"/>
      <c r="B4172" s="21" t="s">
        <v>9971</v>
      </c>
      <c r="C4172" s="21" t="s">
        <v>9972</v>
      </c>
      <c r="D4172" s="76" t="s">
        <v>1668</v>
      </c>
      <c r="E4172" s="77" t="b">
        <v>0</v>
      </c>
      <c r="F4172" s="72" t="str">
        <f>HYPERLINK("http://nsgreg.nga.mil/genc/view?v=292466&amp;end_month=6&amp;end_day=30&amp;end_year=2019","Salamanca")</f>
        <v>Salamanca</v>
      </c>
      <c r="G4172" s="72" t="str">
        <f>HYPERLINK("http://api.nsgreg.nga.mil/geo-division/GENC/6/3-11/ES-SA","as:GENC:6:3-11:ES-SA")</f>
        <v>as:GENC:6:3-11:ES-SA</v>
      </c>
    </row>
    <row r="4173" spans="1:7" x14ac:dyDescent="0.25">
      <c r="A4173" s="112"/>
      <c r="B4173" s="21" t="s">
        <v>9973</v>
      </c>
      <c r="C4173" s="21" t="s">
        <v>9974</v>
      </c>
      <c r="D4173" s="76" t="s">
        <v>1668</v>
      </c>
      <c r="E4173" s="77" t="b">
        <v>0</v>
      </c>
      <c r="F4173" s="72" t="str">
        <f>HYPERLINK("http://nsgreg.nga.mil/genc/view?v=292468&amp;end_month=6&amp;end_day=30&amp;end_year=2019","Segovia")</f>
        <v>Segovia</v>
      </c>
      <c r="G4173" s="72" t="str">
        <f>HYPERLINK("http://api.nsgreg.nga.mil/geo-division/GENC/6/3-11/ES-SG","as:GENC:6:3-11:ES-SG")</f>
        <v>as:GENC:6:3-11:ES-SG</v>
      </c>
    </row>
    <row r="4174" spans="1:7" x14ac:dyDescent="0.25">
      <c r="A4174" s="112"/>
      <c r="B4174" s="21" t="s">
        <v>9975</v>
      </c>
      <c r="C4174" s="21" t="s">
        <v>9976</v>
      </c>
      <c r="D4174" s="76" t="s">
        <v>1668</v>
      </c>
      <c r="E4174" s="77" t="b">
        <v>0</v>
      </c>
      <c r="F4174" s="72" t="str">
        <f>HYPERLINK("http://nsgreg.nga.mil/genc/view?v=292469&amp;end_month=6&amp;end_day=30&amp;end_year=2019","Soria")</f>
        <v>Soria</v>
      </c>
      <c r="G4174" s="72" t="str">
        <f>HYPERLINK("http://api.nsgreg.nga.mil/geo-division/GENC/6/3-11/ES-SO","as:GENC:6:3-11:ES-SO")</f>
        <v>as:GENC:6:3-11:ES-SO</v>
      </c>
    </row>
    <row r="4175" spans="1:7" x14ac:dyDescent="0.25">
      <c r="A4175" s="112"/>
      <c r="B4175" s="21" t="s">
        <v>9977</v>
      </c>
      <c r="C4175" s="21" t="s">
        <v>9978</v>
      </c>
      <c r="D4175" s="76" t="s">
        <v>1668</v>
      </c>
      <c r="E4175" s="77" t="b">
        <v>0</v>
      </c>
      <c r="F4175" s="72" t="str">
        <f>HYPERLINK("http://nsgreg.nga.mil/genc/view?v=292476&amp;end_month=6&amp;end_day=30&amp;end_year=2019","Valladolid")</f>
        <v>Valladolid</v>
      </c>
      <c r="G4175" s="72" t="str">
        <f>HYPERLINK("http://api.nsgreg.nga.mil/geo-division/GENC/6/3-11/ES-VA","as:GENC:6:3-11:ES-VA")</f>
        <v>as:GENC:6:3-11:ES-VA</v>
      </c>
    </row>
    <row r="4176" spans="1:7" x14ac:dyDescent="0.25">
      <c r="A4176" s="112"/>
      <c r="B4176" s="21" t="s">
        <v>9979</v>
      </c>
      <c r="C4176" s="21" t="s">
        <v>9980</v>
      </c>
      <c r="D4176" s="76" t="s">
        <v>1668</v>
      </c>
      <c r="E4176" s="77" t="b">
        <v>0</v>
      </c>
      <c r="F4176" s="72" t="str">
        <f>HYPERLINK("http://nsgreg.nga.mil/genc/view?v=292480&amp;end_month=6&amp;end_day=30&amp;end_year=2019","Zamora")</f>
        <v>Zamora</v>
      </c>
      <c r="G4176" s="72" t="str">
        <f>HYPERLINK("http://api.nsgreg.nga.mil/geo-division/GENC/6/3-11/ES-ZA","as:GENC:6:3-11:ES-ZA")</f>
        <v>as:GENC:6:3-11:ES-ZA</v>
      </c>
    </row>
    <row r="4177" spans="1:7" x14ac:dyDescent="0.25">
      <c r="A4177" s="112"/>
      <c r="B4177" s="21" t="s">
        <v>9981</v>
      </c>
      <c r="C4177" s="21" t="s">
        <v>9982</v>
      </c>
      <c r="D4177" s="21" t="s">
        <v>9898</v>
      </c>
      <c r="E4177" s="50" t="b">
        <v>1</v>
      </c>
      <c r="F4177" s="72" t="str">
        <f>HYPERLINK("http://nsgreg.nga.mil/genc/view?v=292434&amp;end_month=6&amp;end_day=30&amp;end_year=2019","Catalonia")</f>
        <v>Catalonia</v>
      </c>
      <c r="G4177" s="72" t="str">
        <f>HYPERLINK("http://api.nsgreg.nga.mil/geo-division/GENC/6/3-11/ES-CT","as:GENC:6:3-11:ES-CT")</f>
        <v>as:GENC:6:3-11:ES-CT</v>
      </c>
    </row>
    <row r="4178" spans="1:7" x14ac:dyDescent="0.25">
      <c r="A4178" s="112"/>
      <c r="B4178" s="21" t="s">
        <v>9983</v>
      </c>
      <c r="C4178" s="21" t="s">
        <v>9984</v>
      </c>
      <c r="D4178" s="76" t="s">
        <v>1668</v>
      </c>
      <c r="E4178" s="77" t="b">
        <v>0</v>
      </c>
      <c r="F4178" s="72" t="str">
        <f>HYPERLINK("http://nsgreg.nga.mil/genc/view?v=292419&amp;end_month=6&amp;end_day=30&amp;end_year=2019","Barcelona")</f>
        <v>Barcelona</v>
      </c>
      <c r="G4178" s="72" t="str">
        <f>HYPERLINK("http://api.nsgreg.nga.mil/geo-division/GENC/6/3-11/ES-B","as:GENC:6:3-11:ES-B")</f>
        <v>as:GENC:6:3-11:ES-B</v>
      </c>
    </row>
    <row r="4179" spans="1:7" x14ac:dyDescent="0.25">
      <c r="A4179" s="112"/>
      <c r="B4179" s="21" t="s">
        <v>9985</v>
      </c>
      <c r="C4179" s="21" t="s">
        <v>9986</v>
      </c>
      <c r="D4179" s="76" t="s">
        <v>1668</v>
      </c>
      <c r="E4179" s="77" t="b">
        <v>0</v>
      </c>
      <c r="F4179" s="72" t="str">
        <f>HYPERLINK("http://nsgreg.nga.mil/genc/view?v=292439&amp;end_month=6&amp;end_day=30&amp;end_year=2019","Gerona")</f>
        <v>Gerona</v>
      </c>
      <c r="G4179" s="72" t="str">
        <f>HYPERLINK("http://api.nsgreg.nga.mil/geo-division/GENC/6/3-11/ES-GI","as:GENC:6:3-11:ES-GI")</f>
        <v>as:GENC:6:3-11:ES-GI</v>
      </c>
    </row>
    <row r="4180" spans="1:7" x14ac:dyDescent="0.25">
      <c r="A4180" s="112"/>
      <c r="B4180" s="21" t="s">
        <v>9987</v>
      </c>
      <c r="C4180" s="21" t="s">
        <v>9988</v>
      </c>
      <c r="D4180" s="76" t="s">
        <v>1668</v>
      </c>
      <c r="E4180" s="77" t="b">
        <v>0</v>
      </c>
      <c r="F4180" s="72" t="str">
        <f>HYPERLINK("http://nsgreg.nga.mil/genc/view?v=292446&amp;end_month=6&amp;end_day=30&amp;end_year=2019","Lérida")</f>
        <v>Lérida</v>
      </c>
      <c r="G4180" s="72" t="str">
        <f>HYPERLINK("http://api.nsgreg.nga.mil/geo-division/GENC/6/3-11/ES-L","as:GENC:6:3-11:ES-L")</f>
        <v>as:GENC:6:3-11:ES-L</v>
      </c>
    </row>
    <row r="4181" spans="1:7" x14ac:dyDescent="0.25">
      <c r="A4181" s="112"/>
      <c r="B4181" s="21" t="s">
        <v>9989</v>
      </c>
      <c r="C4181" s="21" t="s">
        <v>9990</v>
      </c>
      <c r="D4181" s="76" t="s">
        <v>1668</v>
      </c>
      <c r="E4181" s="77" t="b">
        <v>0</v>
      </c>
      <c r="F4181" s="72" t="str">
        <f>HYPERLINK("http://nsgreg.nga.mil/genc/view?v=292471&amp;end_month=6&amp;end_day=30&amp;end_year=2019","Tarragona")</f>
        <v>Tarragona</v>
      </c>
      <c r="G4181" s="72" t="str">
        <f>HYPERLINK("http://api.nsgreg.nga.mil/geo-division/GENC/6/3-11/ES-T","as:GENC:6:3-11:ES-T")</f>
        <v>as:GENC:6:3-11:ES-T</v>
      </c>
    </row>
    <row r="4182" spans="1:7" x14ac:dyDescent="0.25">
      <c r="A4182" s="112"/>
      <c r="B4182" s="21" t="s">
        <v>9991</v>
      </c>
      <c r="C4182" s="21" t="s">
        <v>9992</v>
      </c>
      <c r="D4182" s="21" t="s">
        <v>1928</v>
      </c>
      <c r="E4182" s="50" t="b">
        <v>1</v>
      </c>
      <c r="F4182" s="72" t="str">
        <f>HYPERLINK("http://nsgreg.nga.mil/genc/view?v=292427&amp;end_month=6&amp;end_day=30&amp;end_year=2019","Ceuta")</f>
        <v>Ceuta</v>
      </c>
      <c r="G4182" s="72" t="str">
        <f>HYPERLINK("http://api.nsgreg.nga.mil/geo-division/GENC/6/3-11/ES-CE","as:GENC:6:3-11:ES-CE")</f>
        <v>as:GENC:6:3-11:ES-CE</v>
      </c>
    </row>
    <row r="4183" spans="1:7" x14ac:dyDescent="0.25">
      <c r="A4183" s="112"/>
      <c r="B4183" s="21" t="s">
        <v>9993</v>
      </c>
      <c r="C4183" s="21" t="s">
        <v>9994</v>
      </c>
      <c r="D4183" s="21" t="s">
        <v>9898</v>
      </c>
      <c r="E4183" s="50" t="b">
        <v>1</v>
      </c>
      <c r="F4183" s="72" t="str">
        <f>HYPERLINK("http://nsgreg.nga.mil/genc/view?v=292436&amp;end_month=6&amp;end_day=30&amp;end_year=2019","Extremadura")</f>
        <v>Extremadura</v>
      </c>
      <c r="G4183" s="72" t="str">
        <f>HYPERLINK("http://api.nsgreg.nga.mil/geo-division/GENC/6/3-11/ES-EX","as:GENC:6:3-11:ES-EX")</f>
        <v>as:GENC:6:3-11:ES-EX</v>
      </c>
    </row>
    <row r="4184" spans="1:7" x14ac:dyDescent="0.25">
      <c r="A4184" s="112"/>
      <c r="B4184" s="21" t="s">
        <v>9995</v>
      </c>
      <c r="C4184" s="21" t="s">
        <v>9996</v>
      </c>
      <c r="D4184" s="76" t="s">
        <v>1668</v>
      </c>
      <c r="E4184" s="77" t="b">
        <v>0</v>
      </c>
      <c r="F4184" s="72" t="str">
        <f>HYPERLINK("http://nsgreg.nga.mil/genc/view?v=292420&amp;end_month=6&amp;end_day=30&amp;end_year=2019","Badajoz")</f>
        <v>Badajoz</v>
      </c>
      <c r="G4184" s="72" t="str">
        <f>HYPERLINK("http://api.nsgreg.nga.mil/geo-division/GENC/6/3-11/ES-BA","as:GENC:6:3-11:ES-BA")</f>
        <v>as:GENC:6:3-11:ES-BA</v>
      </c>
    </row>
    <row r="4185" spans="1:7" x14ac:dyDescent="0.25">
      <c r="A4185" s="112"/>
      <c r="B4185" s="21" t="s">
        <v>9997</v>
      </c>
      <c r="C4185" s="21" t="s">
        <v>9998</v>
      </c>
      <c r="D4185" s="76" t="s">
        <v>1668</v>
      </c>
      <c r="E4185" s="77" t="b">
        <v>0</v>
      </c>
      <c r="F4185" s="72" t="str">
        <f>HYPERLINK("http://nsgreg.nga.mil/genc/view?v=292426&amp;end_month=6&amp;end_day=30&amp;end_year=2019","Cáceres")</f>
        <v>Cáceres</v>
      </c>
      <c r="G4185" s="72" t="str">
        <f>HYPERLINK("http://api.nsgreg.nga.mil/geo-division/GENC/6/3-11/ES-CC","as:GENC:6:3-11:ES-CC")</f>
        <v>as:GENC:6:3-11:ES-CC</v>
      </c>
    </row>
    <row r="4186" spans="1:7" x14ac:dyDescent="0.25">
      <c r="A4186" s="112"/>
      <c r="B4186" s="21" t="s">
        <v>9999</v>
      </c>
      <c r="C4186" s="21" t="s">
        <v>10000</v>
      </c>
      <c r="D4186" s="21" t="s">
        <v>9898</v>
      </c>
      <c r="E4186" s="50" t="b">
        <v>1</v>
      </c>
      <c r="F4186" s="72" t="str">
        <f>HYPERLINK("http://nsgreg.nga.mil/genc/view?v=292437&amp;end_month=6&amp;end_day=30&amp;end_year=2019","Galicia")</f>
        <v>Galicia</v>
      </c>
      <c r="G4186" s="72" t="str">
        <f>HYPERLINK("http://api.nsgreg.nga.mil/geo-division/GENC/6/3-11/ES-GA","as:GENC:6:3-11:ES-GA")</f>
        <v>as:GENC:6:3-11:ES-GA</v>
      </c>
    </row>
    <row r="4187" spans="1:7" x14ac:dyDescent="0.25">
      <c r="A4187" s="112"/>
      <c r="B4187" s="21" t="s">
        <v>10001</v>
      </c>
      <c r="C4187" s="21" t="s">
        <v>10002</v>
      </c>
      <c r="D4187" s="76" t="s">
        <v>1668</v>
      </c>
      <c r="E4187" s="77" t="b">
        <v>0</v>
      </c>
      <c r="F4187" s="72" t="str">
        <f>HYPERLINK("http://nsgreg.nga.mil/genc/view?v=292423&amp;end_month=6&amp;end_day=30&amp;end_year=2019","A Coruña")</f>
        <v>A Coruña</v>
      </c>
      <c r="G4187" s="72" t="str">
        <f>HYPERLINK("http://api.nsgreg.nga.mil/geo-division/GENC/6/3-11/ES-C","as:GENC:6:3-11:ES-C")</f>
        <v>as:GENC:6:3-11:ES-C</v>
      </c>
    </row>
    <row r="4188" spans="1:7" x14ac:dyDescent="0.25">
      <c r="A4188" s="112"/>
      <c r="B4188" s="21" t="s">
        <v>10003</v>
      </c>
      <c r="C4188" s="21" t="s">
        <v>10004</v>
      </c>
      <c r="D4188" s="76" t="s">
        <v>1668</v>
      </c>
      <c r="E4188" s="77" t="b">
        <v>0</v>
      </c>
      <c r="F4188" s="72" t="str">
        <f>HYPERLINK("http://nsgreg.nga.mil/genc/view?v=292449&amp;end_month=6&amp;end_day=30&amp;end_year=2019","Lugo")</f>
        <v>Lugo</v>
      </c>
      <c r="G4188" s="72" t="str">
        <f>HYPERLINK("http://api.nsgreg.nga.mil/geo-division/GENC/6/3-11/ES-LU","as:GENC:6:3-11:ES-LU")</f>
        <v>as:GENC:6:3-11:ES-LU</v>
      </c>
    </row>
    <row r="4189" spans="1:7" x14ac:dyDescent="0.25">
      <c r="A4189" s="112"/>
      <c r="B4189" s="21" t="s">
        <v>10005</v>
      </c>
      <c r="C4189" s="21" t="s">
        <v>10006</v>
      </c>
      <c r="D4189" s="76" t="s">
        <v>1668</v>
      </c>
      <c r="E4189" s="77" t="b">
        <v>0</v>
      </c>
      <c r="F4189" s="72" t="str">
        <f>HYPERLINK("http://nsgreg.nga.mil/genc/view?v=292459&amp;end_month=6&amp;end_day=30&amp;end_year=2019","Ourense")</f>
        <v>Ourense</v>
      </c>
      <c r="G4189" s="72" t="str">
        <f>HYPERLINK("http://api.nsgreg.nga.mil/geo-division/GENC/6/3-11/ES-OR","as:GENC:6:3-11:ES-OR")</f>
        <v>as:GENC:6:3-11:ES-OR</v>
      </c>
    </row>
    <row r="4190" spans="1:7" x14ac:dyDescent="0.25">
      <c r="A4190" s="112"/>
      <c r="B4190" s="21" t="s">
        <v>10007</v>
      </c>
      <c r="C4190" s="21" t="s">
        <v>10008</v>
      </c>
      <c r="D4190" s="76" t="s">
        <v>1668</v>
      </c>
      <c r="E4190" s="77" t="b">
        <v>0</v>
      </c>
      <c r="F4190" s="72" t="str">
        <f>HYPERLINK("http://nsgreg.nga.mil/genc/view?v=292462&amp;end_month=6&amp;end_day=30&amp;end_year=2019","Pontevedra")</f>
        <v>Pontevedra</v>
      </c>
      <c r="G4190" s="72" t="str">
        <f>HYPERLINK("http://api.nsgreg.nga.mil/geo-division/GENC/6/3-11/ES-PO","as:GENC:6:3-11:ES-PO")</f>
        <v>as:GENC:6:3-11:ES-PO</v>
      </c>
    </row>
    <row r="4191" spans="1:7" x14ac:dyDescent="0.25">
      <c r="A4191" s="112"/>
      <c r="B4191" s="21" t="s">
        <v>10009</v>
      </c>
      <c r="C4191" s="21" t="s">
        <v>1948</v>
      </c>
      <c r="D4191" s="21" t="s">
        <v>9898</v>
      </c>
      <c r="E4191" s="50" t="b">
        <v>1</v>
      </c>
      <c r="F4191" s="72" t="str">
        <f>HYPERLINK("http://nsgreg.nga.mil/genc/view?v=292464&amp;end_month=6&amp;end_day=30&amp;end_year=2019","La Rioja")</f>
        <v>La Rioja</v>
      </c>
      <c r="G4191" s="72" t="str">
        <f>HYPERLINK("http://api.nsgreg.nga.mil/geo-division/GENC/6/3-11/ES-RI","as:GENC:6:3-11:ES-RI")</f>
        <v>as:GENC:6:3-11:ES-RI</v>
      </c>
    </row>
    <row r="4192" spans="1:7" x14ac:dyDescent="0.25">
      <c r="A4192" s="112"/>
      <c r="B4192" s="21" t="s">
        <v>10010</v>
      </c>
      <c r="C4192" s="21" t="s">
        <v>10011</v>
      </c>
      <c r="D4192" s="76" t="s">
        <v>1668</v>
      </c>
      <c r="E4192" s="77" t="b">
        <v>0</v>
      </c>
      <c r="F4192" s="72" t="str">
        <f>HYPERLINK("http://nsgreg.nga.mil/genc/view?v=292448&amp;end_month=6&amp;end_day=30&amp;end_year=2019","La Rioja")</f>
        <v>La Rioja</v>
      </c>
      <c r="G4192" s="72" t="str">
        <f>HYPERLINK("http://api.nsgreg.nga.mil/geo-division/GENC/6/3-11/ES-LO","as:GENC:6:3-11:ES-LO")</f>
        <v>as:GENC:6:3-11:ES-LO</v>
      </c>
    </row>
    <row r="4193" spans="1:7" x14ac:dyDescent="0.25">
      <c r="A4193" s="112"/>
      <c r="B4193" s="21" t="s">
        <v>10012</v>
      </c>
      <c r="C4193" s="21" t="s">
        <v>10013</v>
      </c>
      <c r="D4193" s="21" t="s">
        <v>9898</v>
      </c>
      <c r="E4193" s="50" t="b">
        <v>1</v>
      </c>
      <c r="F4193" s="72" t="str">
        <f>HYPERLINK("http://nsgreg.nga.mil/genc/view?v=292453&amp;end_month=6&amp;end_day=30&amp;end_year=2019","Madrid")</f>
        <v>Madrid</v>
      </c>
      <c r="G4193" s="72" t="str">
        <f>HYPERLINK("http://api.nsgreg.nga.mil/geo-division/GENC/6/3-11/ES-MD","as:GENC:6:3-11:ES-MD")</f>
        <v>as:GENC:6:3-11:ES-MD</v>
      </c>
    </row>
    <row r="4194" spans="1:7" x14ac:dyDescent="0.25">
      <c r="A4194" s="112"/>
      <c r="B4194" s="21" t="s">
        <v>10014</v>
      </c>
      <c r="C4194" s="21" t="s">
        <v>10015</v>
      </c>
      <c r="D4194" s="76" t="s">
        <v>1668</v>
      </c>
      <c r="E4194" s="77" t="b">
        <v>0</v>
      </c>
      <c r="F4194" s="72" t="str">
        <f>HYPERLINK("http://nsgreg.nga.mil/genc/view?v=292450&amp;end_month=6&amp;end_day=30&amp;end_year=2019","Madrid")</f>
        <v>Madrid</v>
      </c>
      <c r="G4194" s="72" t="str">
        <f>HYPERLINK("http://api.nsgreg.nga.mil/geo-division/GENC/6/3-11/ES-M","as:GENC:6:3-11:ES-M")</f>
        <v>as:GENC:6:3-11:ES-M</v>
      </c>
    </row>
    <row r="4195" spans="1:7" x14ac:dyDescent="0.25">
      <c r="A4195" s="112"/>
      <c r="B4195" s="21" t="s">
        <v>10016</v>
      </c>
      <c r="C4195" s="21" t="s">
        <v>10017</v>
      </c>
      <c r="D4195" s="21" t="s">
        <v>1928</v>
      </c>
      <c r="E4195" s="50" t="b">
        <v>1</v>
      </c>
      <c r="F4195" s="72" t="str">
        <f>HYPERLINK("http://nsgreg.nga.mil/genc/view?v=292454&amp;end_month=6&amp;end_day=30&amp;end_year=2019","Melilla")</f>
        <v>Melilla</v>
      </c>
      <c r="G4195" s="72" t="str">
        <f>HYPERLINK("http://api.nsgreg.nga.mil/geo-division/GENC/6/3-11/ES-ML","as:GENC:6:3-11:ES-ML")</f>
        <v>as:GENC:6:3-11:ES-ML</v>
      </c>
    </row>
    <row r="4196" spans="1:7" x14ac:dyDescent="0.25">
      <c r="A4196" s="112"/>
      <c r="B4196" s="21" t="s">
        <v>10018</v>
      </c>
      <c r="C4196" s="21" t="s">
        <v>10019</v>
      </c>
      <c r="D4196" s="21" t="s">
        <v>9898</v>
      </c>
      <c r="E4196" s="50" t="b">
        <v>1</v>
      </c>
      <c r="F4196" s="72" t="str">
        <f>HYPERLINK("http://nsgreg.nga.mil/genc/view?v=292452&amp;end_month=6&amp;end_day=30&amp;end_year=2019","Murcia")</f>
        <v>Murcia</v>
      </c>
      <c r="G4196" s="72" t="str">
        <f>HYPERLINK("http://api.nsgreg.nga.mil/geo-division/GENC/6/3-11/ES-MC","as:GENC:6:3-11:ES-MC")</f>
        <v>as:GENC:6:3-11:ES-MC</v>
      </c>
    </row>
    <row r="4197" spans="1:7" x14ac:dyDescent="0.25">
      <c r="A4197" s="112"/>
      <c r="B4197" s="21" t="s">
        <v>10020</v>
      </c>
      <c r="C4197" s="21" t="s">
        <v>10021</v>
      </c>
      <c r="D4197" s="76" t="s">
        <v>1668</v>
      </c>
      <c r="E4197" s="77" t="b">
        <v>0</v>
      </c>
      <c r="F4197" s="72" t="str">
        <f>HYPERLINK("http://nsgreg.nga.mil/genc/view?v=292455&amp;end_month=6&amp;end_day=30&amp;end_year=2019","Murcia")</f>
        <v>Murcia</v>
      </c>
      <c r="G4197" s="72" t="str">
        <f>HYPERLINK("http://api.nsgreg.nga.mil/geo-division/GENC/6/3-11/ES-MU","as:GENC:6:3-11:ES-MU")</f>
        <v>as:GENC:6:3-11:ES-MU</v>
      </c>
    </row>
    <row r="4198" spans="1:7" x14ac:dyDescent="0.25">
      <c r="A4198" s="112"/>
      <c r="B4198" s="21" t="s">
        <v>10022</v>
      </c>
      <c r="C4198" s="21" t="s">
        <v>10023</v>
      </c>
      <c r="D4198" s="21" t="s">
        <v>9898</v>
      </c>
      <c r="E4198" s="50" t="b">
        <v>1</v>
      </c>
      <c r="F4198" s="72" t="str">
        <f>HYPERLINK("http://nsgreg.nga.mil/genc/view?v=292457&amp;end_month=6&amp;end_day=30&amp;end_year=2019","Navarre")</f>
        <v>Navarre</v>
      </c>
      <c r="G4198" s="72" t="str">
        <f>HYPERLINK("http://api.nsgreg.nga.mil/geo-division/GENC/6/3-11/ES-NC","as:GENC:6:3-11:ES-NC")</f>
        <v>as:GENC:6:3-11:ES-NC</v>
      </c>
    </row>
    <row r="4199" spans="1:7" x14ac:dyDescent="0.25">
      <c r="A4199" s="112"/>
      <c r="B4199" s="21" t="s">
        <v>10024</v>
      </c>
      <c r="C4199" s="21" t="s">
        <v>10025</v>
      </c>
      <c r="D4199" s="76" t="s">
        <v>1668</v>
      </c>
      <c r="E4199" s="77" t="b">
        <v>0</v>
      </c>
      <c r="F4199" s="72" t="str">
        <f>HYPERLINK("http://nsgreg.nga.mil/genc/view?v=292456&amp;end_month=6&amp;end_day=30&amp;end_year=2019","Navarra")</f>
        <v>Navarra</v>
      </c>
      <c r="G4199" s="72" t="str">
        <f>HYPERLINK("http://api.nsgreg.nga.mil/geo-division/GENC/6/3-11/ES-NA","as:GENC:6:3-11:ES-NA")</f>
        <v>as:GENC:6:3-11:ES-NA</v>
      </c>
    </row>
    <row r="4200" spans="1:7" x14ac:dyDescent="0.25">
      <c r="A4200" s="112"/>
      <c r="B4200" s="21" t="s">
        <v>10026</v>
      </c>
      <c r="C4200" s="21" t="s">
        <v>10027</v>
      </c>
      <c r="D4200" s="21" t="s">
        <v>9898</v>
      </c>
      <c r="E4200" s="50" t="b">
        <v>1</v>
      </c>
      <c r="F4200" s="72" t="str">
        <f>HYPERLINK("http://nsgreg.nga.mil/genc/view?v=292477&amp;end_month=6&amp;end_day=30&amp;end_year=2019","Valencia")</f>
        <v>Valencia</v>
      </c>
      <c r="G4200" s="72" t="str">
        <f>HYPERLINK("http://api.nsgreg.nga.mil/geo-division/GENC/6/3-11/ES-VC","as:GENC:6:3-11:ES-VC")</f>
        <v>as:GENC:6:3-11:ES-VC</v>
      </c>
    </row>
    <row r="4201" spans="1:7" x14ac:dyDescent="0.25">
      <c r="A4201" s="112"/>
      <c r="B4201" s="21" t="s">
        <v>10028</v>
      </c>
      <c r="C4201" s="21" t="s">
        <v>10029</v>
      </c>
      <c r="D4201" s="76" t="s">
        <v>1668</v>
      </c>
      <c r="E4201" s="77" t="b">
        <v>0</v>
      </c>
      <c r="F4201" s="72" t="str">
        <f>HYPERLINK("http://nsgreg.nga.mil/genc/view?v=292412&amp;end_month=6&amp;end_day=30&amp;end_year=2019","Alicante")</f>
        <v>Alicante</v>
      </c>
      <c r="G4201" s="72" t="str">
        <f>HYPERLINK("http://api.nsgreg.nga.mil/geo-division/GENC/6/3-11/ES-A","as:GENC:6:3-11:ES-A")</f>
        <v>as:GENC:6:3-11:ES-A</v>
      </c>
    </row>
    <row r="4202" spans="1:7" x14ac:dyDescent="0.25">
      <c r="A4202" s="112"/>
      <c r="B4202" s="21" t="s">
        <v>10030</v>
      </c>
      <c r="C4202" s="21" t="s">
        <v>10031</v>
      </c>
      <c r="D4202" s="76" t="s">
        <v>1668</v>
      </c>
      <c r="E4202" s="77" t="b">
        <v>0</v>
      </c>
      <c r="F4202" s="72" t="str">
        <f>HYPERLINK("http://nsgreg.nga.mil/genc/view?v=292433&amp;end_month=6&amp;end_day=30&amp;end_year=2019","Castellón")</f>
        <v>Castellón</v>
      </c>
      <c r="G4202" s="72" t="str">
        <f>HYPERLINK("http://api.nsgreg.nga.mil/geo-division/GENC/6/3-11/ES-CS","as:GENC:6:3-11:ES-CS")</f>
        <v>as:GENC:6:3-11:ES-CS</v>
      </c>
    </row>
    <row r="4203" spans="1:7" x14ac:dyDescent="0.25">
      <c r="A4203" s="113"/>
      <c r="B4203" s="47" t="s">
        <v>10032</v>
      </c>
      <c r="C4203" s="47" t="s">
        <v>10033</v>
      </c>
      <c r="D4203" s="78" t="s">
        <v>1668</v>
      </c>
      <c r="E4203" s="79" t="b">
        <v>0</v>
      </c>
      <c r="F4203" s="73" t="str">
        <f>HYPERLINK("http://nsgreg.nga.mil/genc/view?v=292475&amp;end_month=6&amp;end_day=30&amp;end_year=2019","Valencia")</f>
        <v>Valencia</v>
      </c>
      <c r="G4203" s="73" t="str">
        <f>HYPERLINK("http://api.nsgreg.nga.mil/geo-division/GENC/6/3-11/ES-V","as:GENC:6:3-11:ES-V")</f>
        <v>as:GENC:6:3-11:ES-V</v>
      </c>
    </row>
    <row r="4204" spans="1:7" x14ac:dyDescent="0.25">
      <c r="A4204" s="111" t="str">
        <f>HYPERLINK("[#]Codes_for_GE_Names!A241:I241","SRI LANKA")</f>
        <v>SRI LANKA</v>
      </c>
      <c r="B4204" s="42" t="s">
        <v>10034</v>
      </c>
      <c r="C4204" s="42" t="s">
        <v>2595</v>
      </c>
      <c r="D4204" s="42" t="s">
        <v>1668</v>
      </c>
      <c r="E4204" s="49" t="b">
        <v>1</v>
      </c>
      <c r="F4204" s="74" t="str">
        <f>HYPERLINK("http://nsgreg.nga.mil/genc/view?v=293831&amp;end_month=6&amp;end_day=30&amp;end_year=2019","Central")</f>
        <v>Central</v>
      </c>
      <c r="G4204" s="74" t="str">
        <f>HYPERLINK("http://api.nsgreg.nga.mil/geo-division/GENC/6/3-11/LK-2","as:GENC:6:3-11:LK-2")</f>
        <v>as:GENC:6:3-11:LK-2</v>
      </c>
    </row>
    <row r="4205" spans="1:7" x14ac:dyDescent="0.25">
      <c r="A4205" s="112"/>
      <c r="B4205" s="21" t="s">
        <v>10035</v>
      </c>
      <c r="C4205" s="21" t="s">
        <v>10036</v>
      </c>
      <c r="D4205" s="76" t="s">
        <v>2035</v>
      </c>
      <c r="E4205" s="77" t="b">
        <v>0</v>
      </c>
      <c r="F4205" s="72" t="str">
        <f>HYPERLINK("http://nsgreg.nga.mil/genc/view?v=293832&amp;end_month=6&amp;end_day=30&amp;end_year=2019","Kandy")</f>
        <v>Kandy</v>
      </c>
      <c r="G4205" s="72" t="str">
        <f>HYPERLINK("http://api.nsgreg.nga.mil/geo-division/GENC/6/3-11/LK-21","as:GENC:6:3-11:LK-21")</f>
        <v>as:GENC:6:3-11:LK-21</v>
      </c>
    </row>
    <row r="4206" spans="1:7" x14ac:dyDescent="0.25">
      <c r="A4206" s="112"/>
      <c r="B4206" s="21" t="s">
        <v>10037</v>
      </c>
      <c r="C4206" s="21" t="s">
        <v>10038</v>
      </c>
      <c r="D4206" s="76" t="s">
        <v>2035</v>
      </c>
      <c r="E4206" s="77" t="b">
        <v>0</v>
      </c>
      <c r="F4206" s="72" t="str">
        <f>HYPERLINK("http://nsgreg.nga.mil/genc/view?v=293833&amp;end_month=6&amp;end_day=30&amp;end_year=2019","Matale")</f>
        <v>Matale</v>
      </c>
      <c r="G4206" s="72" t="str">
        <f>HYPERLINK("http://api.nsgreg.nga.mil/geo-division/GENC/6/3-11/LK-22","as:GENC:6:3-11:LK-22")</f>
        <v>as:GENC:6:3-11:LK-22</v>
      </c>
    </row>
    <row r="4207" spans="1:7" x14ac:dyDescent="0.25">
      <c r="A4207" s="112"/>
      <c r="B4207" s="21" t="s">
        <v>10039</v>
      </c>
      <c r="C4207" s="21" t="s">
        <v>10040</v>
      </c>
      <c r="D4207" s="76" t="s">
        <v>2035</v>
      </c>
      <c r="E4207" s="77" t="b">
        <v>0</v>
      </c>
      <c r="F4207" s="72" t="str">
        <f>HYPERLINK("http://nsgreg.nga.mil/genc/view?v=293834&amp;end_month=6&amp;end_day=30&amp;end_year=2019","Nuwara Eliya")</f>
        <v>Nuwara Eliya</v>
      </c>
      <c r="G4207" s="72" t="str">
        <f>HYPERLINK("http://api.nsgreg.nga.mil/geo-division/GENC/6/3-11/LK-23","as:GENC:6:3-11:LK-23")</f>
        <v>as:GENC:6:3-11:LK-23</v>
      </c>
    </row>
    <row r="4208" spans="1:7" x14ac:dyDescent="0.25">
      <c r="A4208" s="112"/>
      <c r="B4208" s="21" t="s">
        <v>10041</v>
      </c>
      <c r="C4208" s="21" t="s">
        <v>4113</v>
      </c>
      <c r="D4208" s="21" t="s">
        <v>1668</v>
      </c>
      <c r="E4208" s="50" t="b">
        <v>1</v>
      </c>
      <c r="F4208" s="72" t="str">
        <f>HYPERLINK("http://nsgreg.nga.mil/genc/view?v=293845&amp;end_month=6&amp;end_day=30&amp;end_year=2019","Eastern")</f>
        <v>Eastern</v>
      </c>
      <c r="G4208" s="72" t="str">
        <f>HYPERLINK("http://api.nsgreg.nga.mil/geo-division/GENC/6/3-11/LK-5","as:GENC:6:3-11:LK-5")</f>
        <v>as:GENC:6:3-11:LK-5</v>
      </c>
    </row>
    <row r="4209" spans="1:7" x14ac:dyDescent="0.25">
      <c r="A4209" s="112"/>
      <c r="B4209" s="21" t="s">
        <v>10042</v>
      </c>
      <c r="C4209" s="21" t="s">
        <v>10043</v>
      </c>
      <c r="D4209" s="76" t="s">
        <v>2035</v>
      </c>
      <c r="E4209" s="77" t="b">
        <v>0</v>
      </c>
      <c r="F4209" s="72" t="str">
        <f>HYPERLINK("http://nsgreg.nga.mil/genc/view?v=293847&amp;end_month=6&amp;end_day=30&amp;end_year=2019","Ampara")</f>
        <v>Ampara</v>
      </c>
      <c r="G4209" s="72" t="str">
        <f>HYPERLINK("http://api.nsgreg.nga.mil/geo-division/GENC/6/3-11/LK-52","as:GENC:6:3-11:LK-52")</f>
        <v>as:GENC:6:3-11:LK-52</v>
      </c>
    </row>
    <row r="4210" spans="1:7" x14ac:dyDescent="0.25">
      <c r="A4210" s="112"/>
      <c r="B4210" s="21" t="s">
        <v>10044</v>
      </c>
      <c r="C4210" s="21" t="s">
        <v>10045</v>
      </c>
      <c r="D4210" s="76" t="s">
        <v>2035</v>
      </c>
      <c r="E4210" s="77" t="b">
        <v>0</v>
      </c>
      <c r="F4210" s="72" t="str">
        <f>HYPERLINK("http://nsgreg.nga.mil/genc/view?v=293846&amp;end_month=6&amp;end_day=30&amp;end_year=2019","Batticaloa")</f>
        <v>Batticaloa</v>
      </c>
      <c r="G4210" s="72" t="str">
        <f>HYPERLINK("http://api.nsgreg.nga.mil/geo-division/GENC/6/3-11/LK-51","as:GENC:6:3-11:LK-51")</f>
        <v>as:GENC:6:3-11:LK-51</v>
      </c>
    </row>
    <row r="4211" spans="1:7" x14ac:dyDescent="0.25">
      <c r="A4211" s="112"/>
      <c r="B4211" s="21" t="s">
        <v>10046</v>
      </c>
      <c r="C4211" s="21" t="s">
        <v>10047</v>
      </c>
      <c r="D4211" s="76" t="s">
        <v>2035</v>
      </c>
      <c r="E4211" s="77" t="b">
        <v>0</v>
      </c>
      <c r="F4211" s="72" t="str">
        <f>HYPERLINK("http://nsgreg.nga.mil/genc/view?v=293848&amp;end_month=6&amp;end_day=30&amp;end_year=2019","Trincomalee")</f>
        <v>Trincomalee</v>
      </c>
      <c r="G4211" s="72" t="str">
        <f>HYPERLINK("http://api.nsgreg.nga.mil/geo-division/GENC/6/3-11/LK-53","as:GENC:6:3-11:LK-53")</f>
        <v>as:GENC:6:3-11:LK-53</v>
      </c>
    </row>
    <row r="4212" spans="1:7" x14ac:dyDescent="0.25">
      <c r="A4212" s="112"/>
      <c r="B4212" s="21" t="s">
        <v>10048</v>
      </c>
      <c r="C4212" s="21" t="s">
        <v>10049</v>
      </c>
      <c r="D4212" s="21" t="s">
        <v>1668</v>
      </c>
      <c r="E4212" s="50" t="b">
        <v>1</v>
      </c>
      <c r="F4212" s="72" t="str">
        <f>HYPERLINK("http://nsgreg.nga.mil/genc/view?v=293839&amp;end_month=6&amp;end_day=30&amp;end_year=2019","North Central")</f>
        <v>North Central</v>
      </c>
      <c r="G4212" s="72" t="str">
        <f>HYPERLINK("http://api.nsgreg.nga.mil/geo-division/GENC/6/3-11/LK-4","as:GENC:6:3-11:LK-4")</f>
        <v>as:GENC:6:3-11:LK-4</v>
      </c>
    </row>
    <row r="4213" spans="1:7" x14ac:dyDescent="0.25">
      <c r="A4213" s="112"/>
      <c r="B4213" s="21" t="s">
        <v>10050</v>
      </c>
      <c r="C4213" s="21" t="s">
        <v>10051</v>
      </c>
      <c r="D4213" s="76" t="s">
        <v>2035</v>
      </c>
      <c r="E4213" s="77" t="b">
        <v>0</v>
      </c>
      <c r="F4213" s="72" t="str">
        <f>HYPERLINK("http://nsgreg.nga.mil/genc/view?v=293840&amp;end_month=6&amp;end_day=30&amp;end_year=2019","Jaffna")</f>
        <v>Jaffna</v>
      </c>
      <c r="G4213" s="72" t="str">
        <f>HYPERLINK("http://api.nsgreg.nga.mil/geo-division/GENC/6/3-11/LK-41","as:GENC:6:3-11:LK-41")</f>
        <v>as:GENC:6:3-11:LK-41</v>
      </c>
    </row>
    <row r="4214" spans="1:7" x14ac:dyDescent="0.25">
      <c r="A4214" s="112"/>
      <c r="B4214" s="21" t="s">
        <v>10052</v>
      </c>
      <c r="C4214" s="21" t="s">
        <v>10053</v>
      </c>
      <c r="D4214" s="76" t="s">
        <v>2035</v>
      </c>
      <c r="E4214" s="77" t="b">
        <v>0</v>
      </c>
      <c r="F4214" s="72" t="str">
        <f>HYPERLINK("http://nsgreg.nga.mil/genc/view?v=293841&amp;end_month=6&amp;end_day=30&amp;end_year=2019","Kilinochchi")</f>
        <v>Kilinochchi</v>
      </c>
      <c r="G4214" s="72" t="str">
        <f>HYPERLINK("http://api.nsgreg.nga.mil/geo-division/GENC/6/3-11/LK-42","as:GENC:6:3-11:LK-42")</f>
        <v>as:GENC:6:3-11:LK-42</v>
      </c>
    </row>
    <row r="4215" spans="1:7" x14ac:dyDescent="0.25">
      <c r="A4215" s="112"/>
      <c r="B4215" s="21" t="s">
        <v>10054</v>
      </c>
      <c r="C4215" s="21" t="s">
        <v>10055</v>
      </c>
      <c r="D4215" s="76" t="s">
        <v>2035</v>
      </c>
      <c r="E4215" s="77" t="b">
        <v>0</v>
      </c>
      <c r="F4215" s="72" t="str">
        <f>HYPERLINK("http://nsgreg.nga.mil/genc/view?v=293842&amp;end_month=6&amp;end_day=30&amp;end_year=2019","Mannar")</f>
        <v>Mannar</v>
      </c>
      <c r="G4215" s="72" t="str">
        <f>HYPERLINK("http://api.nsgreg.nga.mil/geo-division/GENC/6/3-11/LK-43","as:GENC:6:3-11:LK-43")</f>
        <v>as:GENC:6:3-11:LK-43</v>
      </c>
    </row>
    <row r="4216" spans="1:7" x14ac:dyDescent="0.25">
      <c r="A4216" s="112"/>
      <c r="B4216" s="21" t="s">
        <v>10056</v>
      </c>
      <c r="C4216" s="21" t="s">
        <v>10057</v>
      </c>
      <c r="D4216" s="76" t="s">
        <v>2035</v>
      </c>
      <c r="E4216" s="77" t="b">
        <v>0</v>
      </c>
      <c r="F4216" s="72" t="str">
        <f>HYPERLINK("http://nsgreg.nga.mil/genc/view?v=293844&amp;end_month=6&amp;end_day=30&amp;end_year=2019","Mullaittivu")</f>
        <v>Mullaittivu</v>
      </c>
      <c r="G4216" s="72" t="str">
        <f>HYPERLINK("http://api.nsgreg.nga.mil/geo-division/GENC/6/3-11/LK-45","as:GENC:6:3-11:LK-45")</f>
        <v>as:GENC:6:3-11:LK-45</v>
      </c>
    </row>
    <row r="4217" spans="1:7" x14ac:dyDescent="0.25">
      <c r="A4217" s="112"/>
      <c r="B4217" s="21" t="s">
        <v>10058</v>
      </c>
      <c r="C4217" s="21" t="s">
        <v>10059</v>
      </c>
      <c r="D4217" s="76" t="s">
        <v>2035</v>
      </c>
      <c r="E4217" s="77" t="b">
        <v>0</v>
      </c>
      <c r="F4217" s="72" t="str">
        <f>HYPERLINK("http://nsgreg.nga.mil/genc/view?v=293843&amp;end_month=6&amp;end_day=30&amp;end_year=2019","Vavuniya")</f>
        <v>Vavuniya</v>
      </c>
      <c r="G4217" s="72" t="str">
        <f>HYPERLINK("http://api.nsgreg.nga.mil/geo-division/GENC/6/3-11/LK-44","as:GENC:6:3-11:LK-44")</f>
        <v>as:GENC:6:3-11:LK-44</v>
      </c>
    </row>
    <row r="4218" spans="1:7" x14ac:dyDescent="0.25">
      <c r="A4218" s="112"/>
      <c r="B4218" s="21" t="s">
        <v>10060</v>
      </c>
      <c r="C4218" s="21" t="s">
        <v>4121</v>
      </c>
      <c r="D4218" s="21" t="s">
        <v>1668</v>
      </c>
      <c r="E4218" s="50" t="b">
        <v>1</v>
      </c>
      <c r="F4218" s="72" t="str">
        <f>HYPERLINK("http://nsgreg.nga.mil/genc/view?v=293852&amp;end_month=6&amp;end_day=30&amp;end_year=2019","Northern")</f>
        <v>Northern</v>
      </c>
      <c r="G4218" s="72" t="str">
        <f>HYPERLINK("http://api.nsgreg.nga.mil/geo-division/GENC/6/3-11/LK-7","as:GENC:6:3-11:LK-7")</f>
        <v>as:GENC:6:3-11:LK-7</v>
      </c>
    </row>
    <row r="4219" spans="1:7" x14ac:dyDescent="0.25">
      <c r="A4219" s="112"/>
      <c r="B4219" s="21" t="s">
        <v>10061</v>
      </c>
      <c r="C4219" s="21" t="s">
        <v>10062</v>
      </c>
      <c r="D4219" s="76" t="s">
        <v>2035</v>
      </c>
      <c r="E4219" s="77" t="b">
        <v>0</v>
      </c>
      <c r="F4219" s="72" t="str">
        <f>HYPERLINK("http://nsgreg.nga.mil/genc/view?v=293853&amp;end_month=6&amp;end_day=30&amp;end_year=2019","Anuradhapura")</f>
        <v>Anuradhapura</v>
      </c>
      <c r="G4219" s="72" t="str">
        <f>HYPERLINK("http://api.nsgreg.nga.mil/geo-division/GENC/6/3-11/LK-71","as:GENC:6:3-11:LK-71")</f>
        <v>as:GENC:6:3-11:LK-71</v>
      </c>
    </row>
    <row r="4220" spans="1:7" x14ac:dyDescent="0.25">
      <c r="A4220" s="112"/>
      <c r="B4220" s="21" t="s">
        <v>10063</v>
      </c>
      <c r="C4220" s="21" t="s">
        <v>10064</v>
      </c>
      <c r="D4220" s="76" t="s">
        <v>2035</v>
      </c>
      <c r="E4220" s="77" t="b">
        <v>0</v>
      </c>
      <c r="F4220" s="72" t="str">
        <f>HYPERLINK("http://nsgreg.nga.mil/genc/view?v=293854&amp;end_month=6&amp;end_day=30&amp;end_year=2019","Polonnaruwa")</f>
        <v>Polonnaruwa</v>
      </c>
      <c r="G4220" s="72" t="str">
        <f>HYPERLINK("http://api.nsgreg.nga.mil/geo-division/GENC/6/3-11/LK-72","as:GENC:6:3-11:LK-72")</f>
        <v>as:GENC:6:3-11:LK-72</v>
      </c>
    </row>
    <row r="4221" spans="1:7" x14ac:dyDescent="0.25">
      <c r="A4221" s="112"/>
      <c r="B4221" s="21" t="s">
        <v>10065</v>
      </c>
      <c r="C4221" s="21" t="s">
        <v>9354</v>
      </c>
      <c r="D4221" s="21" t="s">
        <v>1668</v>
      </c>
      <c r="E4221" s="50" t="b">
        <v>1</v>
      </c>
      <c r="F4221" s="72" t="str">
        <f>HYPERLINK("http://nsgreg.nga.mil/genc/view?v=293849&amp;end_month=6&amp;end_day=30&amp;end_year=2019","North Western")</f>
        <v>North Western</v>
      </c>
      <c r="G4221" s="72" t="str">
        <f>HYPERLINK("http://api.nsgreg.nga.mil/geo-division/GENC/6/3-11/LK-6","as:GENC:6:3-11:LK-6")</f>
        <v>as:GENC:6:3-11:LK-6</v>
      </c>
    </row>
    <row r="4222" spans="1:7" x14ac:dyDescent="0.25">
      <c r="A4222" s="112"/>
      <c r="B4222" s="21" t="s">
        <v>10066</v>
      </c>
      <c r="C4222" s="21" t="s">
        <v>10067</v>
      </c>
      <c r="D4222" s="76" t="s">
        <v>2035</v>
      </c>
      <c r="E4222" s="77" t="b">
        <v>0</v>
      </c>
      <c r="F4222" s="72" t="str">
        <f>HYPERLINK("http://nsgreg.nga.mil/genc/view?v=293850&amp;end_month=6&amp;end_day=30&amp;end_year=2019","Kurunegala")</f>
        <v>Kurunegala</v>
      </c>
      <c r="G4222" s="72" t="str">
        <f>HYPERLINK("http://api.nsgreg.nga.mil/geo-division/GENC/6/3-11/LK-61","as:GENC:6:3-11:LK-61")</f>
        <v>as:GENC:6:3-11:LK-61</v>
      </c>
    </row>
    <row r="4223" spans="1:7" x14ac:dyDescent="0.25">
      <c r="A4223" s="112"/>
      <c r="B4223" s="21" t="s">
        <v>10068</v>
      </c>
      <c r="C4223" s="21" t="s">
        <v>10069</v>
      </c>
      <c r="D4223" s="76" t="s">
        <v>2035</v>
      </c>
      <c r="E4223" s="77" t="b">
        <v>0</v>
      </c>
      <c r="F4223" s="72" t="str">
        <f>HYPERLINK("http://nsgreg.nga.mil/genc/view?v=293851&amp;end_month=6&amp;end_day=30&amp;end_year=2019","Puttalam")</f>
        <v>Puttalam</v>
      </c>
      <c r="G4223" s="72" t="str">
        <f>HYPERLINK("http://api.nsgreg.nga.mil/geo-division/GENC/6/3-11/LK-62","as:GENC:6:3-11:LK-62")</f>
        <v>as:GENC:6:3-11:LK-62</v>
      </c>
    </row>
    <row r="4224" spans="1:7" x14ac:dyDescent="0.25">
      <c r="A4224" s="112"/>
      <c r="B4224" s="21" t="s">
        <v>10070</v>
      </c>
      <c r="C4224" s="21" t="s">
        <v>10071</v>
      </c>
      <c r="D4224" s="21" t="s">
        <v>1668</v>
      </c>
      <c r="E4224" s="50" t="b">
        <v>1</v>
      </c>
      <c r="F4224" s="72" t="str">
        <f>HYPERLINK("http://nsgreg.nga.mil/genc/view?v=293858&amp;end_month=6&amp;end_day=30&amp;end_year=2019","Sabaragamuwa")</f>
        <v>Sabaragamuwa</v>
      </c>
      <c r="G4224" s="72" t="str">
        <f>HYPERLINK("http://api.nsgreg.nga.mil/geo-division/GENC/6/3-11/LK-9","as:GENC:6:3-11:LK-9")</f>
        <v>as:GENC:6:3-11:LK-9</v>
      </c>
    </row>
    <row r="4225" spans="1:7" x14ac:dyDescent="0.25">
      <c r="A4225" s="112"/>
      <c r="B4225" s="21" t="s">
        <v>10072</v>
      </c>
      <c r="C4225" s="21" t="s">
        <v>10073</v>
      </c>
      <c r="D4225" s="76" t="s">
        <v>2035</v>
      </c>
      <c r="E4225" s="77" t="b">
        <v>0</v>
      </c>
      <c r="F4225" s="72" t="str">
        <f>HYPERLINK("http://nsgreg.nga.mil/genc/view?v=293860&amp;end_month=6&amp;end_day=30&amp;end_year=2019","Kegalla")</f>
        <v>Kegalla</v>
      </c>
      <c r="G4225" s="72" t="str">
        <f>HYPERLINK("http://api.nsgreg.nga.mil/geo-division/GENC/6/3-11/LK-92","as:GENC:6:3-11:LK-92")</f>
        <v>as:GENC:6:3-11:LK-92</v>
      </c>
    </row>
    <row r="4226" spans="1:7" x14ac:dyDescent="0.25">
      <c r="A4226" s="112"/>
      <c r="B4226" s="21" t="s">
        <v>10074</v>
      </c>
      <c r="C4226" s="21" t="s">
        <v>10075</v>
      </c>
      <c r="D4226" s="76" t="s">
        <v>2035</v>
      </c>
      <c r="E4226" s="77" t="b">
        <v>0</v>
      </c>
      <c r="F4226" s="72" t="str">
        <f>HYPERLINK("http://nsgreg.nga.mil/genc/view?v=293859&amp;end_month=6&amp;end_day=30&amp;end_year=2019","Ratnapura")</f>
        <v>Ratnapura</v>
      </c>
      <c r="G4226" s="72" t="str">
        <f>HYPERLINK("http://api.nsgreg.nga.mil/geo-division/GENC/6/3-11/LK-91","as:GENC:6:3-11:LK-91")</f>
        <v>as:GENC:6:3-11:LK-91</v>
      </c>
    </row>
    <row r="4227" spans="1:7" x14ac:dyDescent="0.25">
      <c r="A4227" s="112"/>
      <c r="B4227" s="21" t="s">
        <v>10076</v>
      </c>
      <c r="C4227" s="21" t="s">
        <v>2624</v>
      </c>
      <c r="D4227" s="21" t="s">
        <v>1668</v>
      </c>
      <c r="E4227" s="50" t="b">
        <v>1</v>
      </c>
      <c r="F4227" s="72" t="str">
        <f>HYPERLINK("http://nsgreg.nga.mil/genc/view?v=293835&amp;end_month=6&amp;end_day=30&amp;end_year=2019","Southern")</f>
        <v>Southern</v>
      </c>
      <c r="G4227" s="72" t="str">
        <f>HYPERLINK("http://api.nsgreg.nga.mil/geo-division/GENC/6/3-11/LK-3","as:GENC:6:3-11:LK-3")</f>
        <v>as:GENC:6:3-11:LK-3</v>
      </c>
    </row>
    <row r="4228" spans="1:7" x14ac:dyDescent="0.25">
      <c r="A4228" s="112"/>
      <c r="B4228" s="21" t="s">
        <v>10077</v>
      </c>
      <c r="C4228" s="21" t="s">
        <v>10078</v>
      </c>
      <c r="D4228" s="76" t="s">
        <v>2035</v>
      </c>
      <c r="E4228" s="77" t="b">
        <v>0</v>
      </c>
      <c r="F4228" s="72" t="str">
        <f>HYPERLINK("http://nsgreg.nga.mil/genc/view?v=293836&amp;end_month=6&amp;end_day=30&amp;end_year=2019","Galle")</f>
        <v>Galle</v>
      </c>
      <c r="G4228" s="72" t="str">
        <f>HYPERLINK("http://api.nsgreg.nga.mil/geo-division/GENC/6/3-11/LK-31","as:GENC:6:3-11:LK-31")</f>
        <v>as:GENC:6:3-11:LK-31</v>
      </c>
    </row>
    <row r="4229" spans="1:7" x14ac:dyDescent="0.25">
      <c r="A4229" s="112"/>
      <c r="B4229" s="21" t="s">
        <v>10079</v>
      </c>
      <c r="C4229" s="21" t="s">
        <v>10080</v>
      </c>
      <c r="D4229" s="76" t="s">
        <v>2035</v>
      </c>
      <c r="E4229" s="77" t="b">
        <v>0</v>
      </c>
      <c r="F4229" s="72" t="str">
        <f>HYPERLINK("http://nsgreg.nga.mil/genc/view?v=293838&amp;end_month=6&amp;end_day=30&amp;end_year=2019","Hambantota")</f>
        <v>Hambantota</v>
      </c>
      <c r="G4229" s="72" t="str">
        <f>HYPERLINK("http://api.nsgreg.nga.mil/geo-division/GENC/6/3-11/LK-33","as:GENC:6:3-11:LK-33")</f>
        <v>as:GENC:6:3-11:LK-33</v>
      </c>
    </row>
    <row r="4230" spans="1:7" x14ac:dyDescent="0.25">
      <c r="A4230" s="112"/>
      <c r="B4230" s="21" t="s">
        <v>10081</v>
      </c>
      <c r="C4230" s="21" t="s">
        <v>10082</v>
      </c>
      <c r="D4230" s="76" t="s">
        <v>2035</v>
      </c>
      <c r="E4230" s="77" t="b">
        <v>0</v>
      </c>
      <c r="F4230" s="72" t="str">
        <f>HYPERLINK("http://nsgreg.nga.mil/genc/view?v=293837&amp;end_month=6&amp;end_day=30&amp;end_year=2019","Matara")</f>
        <v>Matara</v>
      </c>
      <c r="G4230" s="72" t="str">
        <f>HYPERLINK("http://api.nsgreg.nga.mil/geo-division/GENC/6/3-11/LK-32","as:GENC:6:3-11:LK-32")</f>
        <v>as:GENC:6:3-11:LK-32</v>
      </c>
    </row>
    <row r="4231" spans="1:7" x14ac:dyDescent="0.25">
      <c r="A4231" s="112"/>
      <c r="B4231" s="21" t="s">
        <v>10083</v>
      </c>
      <c r="C4231" s="21" t="s">
        <v>10084</v>
      </c>
      <c r="D4231" s="21" t="s">
        <v>1668</v>
      </c>
      <c r="E4231" s="50" t="b">
        <v>1</v>
      </c>
      <c r="F4231" s="72" t="str">
        <f>HYPERLINK("http://nsgreg.nga.mil/genc/view?v=293855&amp;end_month=6&amp;end_day=30&amp;end_year=2019","Uva")</f>
        <v>Uva</v>
      </c>
      <c r="G4231" s="72" t="str">
        <f>HYPERLINK("http://api.nsgreg.nga.mil/geo-division/GENC/6/3-11/LK-8","as:GENC:6:3-11:LK-8")</f>
        <v>as:GENC:6:3-11:LK-8</v>
      </c>
    </row>
    <row r="4232" spans="1:7" x14ac:dyDescent="0.25">
      <c r="A4232" s="112"/>
      <c r="B4232" s="21" t="s">
        <v>10085</v>
      </c>
      <c r="C4232" s="21" t="s">
        <v>10086</v>
      </c>
      <c r="D4232" s="76" t="s">
        <v>2035</v>
      </c>
      <c r="E4232" s="77" t="b">
        <v>0</v>
      </c>
      <c r="F4232" s="72" t="str">
        <f>HYPERLINK("http://nsgreg.nga.mil/genc/view?v=293856&amp;end_month=6&amp;end_day=30&amp;end_year=2019","Badulla")</f>
        <v>Badulla</v>
      </c>
      <c r="G4232" s="72" t="str">
        <f>HYPERLINK("http://api.nsgreg.nga.mil/geo-division/GENC/6/3-11/LK-81","as:GENC:6:3-11:LK-81")</f>
        <v>as:GENC:6:3-11:LK-81</v>
      </c>
    </row>
    <row r="4233" spans="1:7" x14ac:dyDescent="0.25">
      <c r="A4233" s="112"/>
      <c r="B4233" s="21" t="s">
        <v>10087</v>
      </c>
      <c r="C4233" s="21" t="s">
        <v>10088</v>
      </c>
      <c r="D4233" s="76" t="s">
        <v>2035</v>
      </c>
      <c r="E4233" s="77" t="b">
        <v>0</v>
      </c>
      <c r="F4233" s="72" t="str">
        <f>HYPERLINK("http://nsgreg.nga.mil/genc/view?v=293857&amp;end_month=6&amp;end_day=30&amp;end_year=2019","Monaragala")</f>
        <v>Monaragala</v>
      </c>
      <c r="G4233" s="72" t="str">
        <f>HYPERLINK("http://api.nsgreg.nga.mil/geo-division/GENC/6/3-11/LK-82","as:GENC:6:3-11:LK-82")</f>
        <v>as:GENC:6:3-11:LK-82</v>
      </c>
    </row>
    <row r="4234" spans="1:7" x14ac:dyDescent="0.25">
      <c r="A4234" s="112"/>
      <c r="B4234" s="21" t="s">
        <v>10089</v>
      </c>
      <c r="C4234" s="21" t="s">
        <v>4131</v>
      </c>
      <c r="D4234" s="21" t="s">
        <v>1668</v>
      </c>
      <c r="E4234" s="50" t="b">
        <v>1</v>
      </c>
      <c r="F4234" s="72" t="str">
        <f>HYPERLINK("http://nsgreg.nga.mil/genc/view?v=293827&amp;end_month=6&amp;end_day=30&amp;end_year=2019","Western")</f>
        <v>Western</v>
      </c>
      <c r="G4234" s="72" t="str">
        <f>HYPERLINK("http://api.nsgreg.nga.mil/geo-division/GENC/6/3-11/LK-1","as:GENC:6:3-11:LK-1")</f>
        <v>as:GENC:6:3-11:LK-1</v>
      </c>
    </row>
    <row r="4235" spans="1:7" x14ac:dyDescent="0.25">
      <c r="A4235" s="112"/>
      <c r="B4235" s="21" t="s">
        <v>10090</v>
      </c>
      <c r="C4235" s="21" t="s">
        <v>10091</v>
      </c>
      <c r="D4235" s="76" t="s">
        <v>2035</v>
      </c>
      <c r="E4235" s="77" t="b">
        <v>0</v>
      </c>
      <c r="F4235" s="72" t="str">
        <f>HYPERLINK("http://nsgreg.nga.mil/genc/view?v=293828&amp;end_month=6&amp;end_day=30&amp;end_year=2019","Colombo")</f>
        <v>Colombo</v>
      </c>
      <c r="G4235" s="72" t="str">
        <f>HYPERLINK("http://api.nsgreg.nga.mil/geo-division/GENC/6/3-11/LK-11","as:GENC:6:3-11:LK-11")</f>
        <v>as:GENC:6:3-11:LK-11</v>
      </c>
    </row>
    <row r="4236" spans="1:7" x14ac:dyDescent="0.25">
      <c r="A4236" s="112"/>
      <c r="B4236" s="21" t="s">
        <v>10092</v>
      </c>
      <c r="C4236" s="21" t="s">
        <v>10093</v>
      </c>
      <c r="D4236" s="76" t="s">
        <v>2035</v>
      </c>
      <c r="E4236" s="77" t="b">
        <v>0</v>
      </c>
      <c r="F4236" s="72" t="str">
        <f>HYPERLINK("http://nsgreg.nga.mil/genc/view?v=293829&amp;end_month=6&amp;end_day=30&amp;end_year=2019","Gampaha")</f>
        <v>Gampaha</v>
      </c>
      <c r="G4236" s="72" t="str">
        <f>HYPERLINK("http://api.nsgreg.nga.mil/geo-division/GENC/6/3-11/LK-12","as:GENC:6:3-11:LK-12")</f>
        <v>as:GENC:6:3-11:LK-12</v>
      </c>
    </row>
    <row r="4237" spans="1:7" x14ac:dyDescent="0.25">
      <c r="A4237" s="113"/>
      <c r="B4237" s="47" t="s">
        <v>10094</v>
      </c>
      <c r="C4237" s="47" t="s">
        <v>10095</v>
      </c>
      <c r="D4237" s="78" t="s">
        <v>2035</v>
      </c>
      <c r="E4237" s="79" t="b">
        <v>0</v>
      </c>
      <c r="F4237" s="73" t="str">
        <f>HYPERLINK("http://nsgreg.nga.mil/genc/view?v=293830&amp;end_month=6&amp;end_day=30&amp;end_year=2019","Kalutara")</f>
        <v>Kalutara</v>
      </c>
      <c r="G4237" s="73" t="str">
        <f>HYPERLINK("http://api.nsgreg.nga.mil/geo-division/GENC/6/3-11/LK-13","as:GENC:6:3-11:LK-13")</f>
        <v>as:GENC:6:3-11:LK-13</v>
      </c>
    </row>
    <row r="4238" spans="1:7" x14ac:dyDescent="0.25">
      <c r="A4238" s="111" t="str">
        <f>HYPERLINK("[#]Codes_for_GE_Names!A242:I242","SUDAN")</f>
        <v>SUDAN</v>
      </c>
      <c r="B4238" s="42" t="s">
        <v>10096</v>
      </c>
      <c r="C4238" s="42" t="s">
        <v>10097</v>
      </c>
      <c r="D4238" s="42" t="s">
        <v>2002</v>
      </c>
      <c r="E4238" s="49" t="b">
        <v>1</v>
      </c>
      <c r="F4238" s="74" t="str">
        <f>HYPERLINK("http://nsgreg.nga.mil/genc/view?v=295492&amp;end_month=6&amp;end_day=30&amp;end_year=2019","Blue Nile")</f>
        <v>Blue Nile</v>
      </c>
      <c r="G4238" s="74" t="str">
        <f>HYPERLINK("http://api.nsgreg.nga.mil/geo-division/GENC/6/3-11/SD-NB","as:GENC:6:3-11:SD-NB")</f>
        <v>as:GENC:6:3-11:SD-NB</v>
      </c>
    </row>
    <row r="4239" spans="1:7" x14ac:dyDescent="0.25">
      <c r="A4239" s="112"/>
      <c r="B4239" s="21" t="s">
        <v>10098</v>
      </c>
      <c r="C4239" s="21" t="s">
        <v>10099</v>
      </c>
      <c r="D4239" s="21" t="s">
        <v>2002</v>
      </c>
      <c r="E4239" s="50" t="b">
        <v>1</v>
      </c>
      <c r="F4239" s="72" t="str">
        <f>HYPERLINK("http://nsgreg.nga.mil/genc/view?v=295480&amp;end_month=6&amp;end_day=30&amp;end_year=2019","Central Darfur")</f>
        <v>Central Darfur</v>
      </c>
      <c r="G4239" s="72" t="str">
        <f>HYPERLINK("http://api.nsgreg.nga.mil/geo-division/GENC/6/3-11/SD-DC","as:GENC:6:3-11:SD-DC")</f>
        <v>as:GENC:6:3-11:SD-DC</v>
      </c>
    </row>
    <row r="4240" spans="1:7" x14ac:dyDescent="0.25">
      <c r="A4240" s="112"/>
      <c r="B4240" s="21" t="s">
        <v>10100</v>
      </c>
      <c r="C4240" s="21" t="s">
        <v>10101</v>
      </c>
      <c r="D4240" s="21" t="s">
        <v>2002</v>
      </c>
      <c r="E4240" s="50" t="b">
        <v>1</v>
      </c>
      <c r="F4240" s="72" t="str">
        <f>HYPERLINK("http://nsgreg.nga.mil/genc/view?v=295481&amp;end_month=6&amp;end_day=30&amp;end_year=2019","East Darfur")</f>
        <v>East Darfur</v>
      </c>
      <c r="G4240" s="72" t="str">
        <f>HYPERLINK("http://api.nsgreg.nga.mil/geo-division/GENC/6/3-11/SD-DE","as:GENC:6:3-11:SD-DE")</f>
        <v>as:GENC:6:3-11:SD-DE</v>
      </c>
    </row>
    <row r="4241" spans="1:7" x14ac:dyDescent="0.25">
      <c r="A4241" s="112"/>
      <c r="B4241" s="21" t="s">
        <v>10102</v>
      </c>
      <c r="C4241" s="21" t="s">
        <v>10103</v>
      </c>
      <c r="D4241" s="21" t="s">
        <v>2002</v>
      </c>
      <c r="E4241" s="50" t="b">
        <v>1</v>
      </c>
      <c r="F4241" s="72" t="str">
        <f>HYPERLINK("http://nsgreg.nga.mil/genc/view?v=295485&amp;end_month=6&amp;end_day=30&amp;end_year=2019","Gedaref")</f>
        <v>Gedaref</v>
      </c>
      <c r="G4241" s="72" t="str">
        <f>HYPERLINK("http://api.nsgreg.nga.mil/geo-division/GENC/6/3-11/SD-GD","as:GENC:6:3-11:SD-GD")</f>
        <v>as:GENC:6:3-11:SD-GD</v>
      </c>
    </row>
    <row r="4242" spans="1:7" x14ac:dyDescent="0.25">
      <c r="A4242" s="112"/>
      <c r="B4242" s="21" t="s">
        <v>10104</v>
      </c>
      <c r="C4242" s="21" t="s">
        <v>10105</v>
      </c>
      <c r="D4242" s="21" t="s">
        <v>2002</v>
      </c>
      <c r="E4242" s="50" t="b">
        <v>1</v>
      </c>
      <c r="F4242" s="72" t="str">
        <f>HYPERLINK("http://nsgreg.nga.mil/genc/view?v=295487&amp;end_month=6&amp;end_day=30&amp;end_year=2019","Gezira")</f>
        <v>Gezira</v>
      </c>
      <c r="G4242" s="72" t="str">
        <f>HYPERLINK("http://api.nsgreg.nga.mil/geo-division/GENC/6/3-11/SD-GZ","as:GENC:6:3-11:SD-GZ")</f>
        <v>as:GENC:6:3-11:SD-GZ</v>
      </c>
    </row>
    <row r="4243" spans="1:7" x14ac:dyDescent="0.25">
      <c r="A4243" s="112"/>
      <c r="B4243" s="21" t="s">
        <v>10106</v>
      </c>
      <c r="C4243" s="21" t="s">
        <v>10107</v>
      </c>
      <c r="D4243" s="21" t="s">
        <v>2002</v>
      </c>
      <c r="E4243" s="50" t="b">
        <v>1</v>
      </c>
      <c r="F4243" s="72" t="str">
        <f>HYPERLINK("http://nsgreg.nga.mil/genc/view?v=295488&amp;end_month=6&amp;end_day=30&amp;end_year=2019","Kassala")</f>
        <v>Kassala</v>
      </c>
      <c r="G4243" s="72" t="str">
        <f>HYPERLINK("http://api.nsgreg.nga.mil/geo-division/GENC/6/3-11/SD-KA","as:GENC:6:3-11:SD-KA")</f>
        <v>as:GENC:6:3-11:SD-KA</v>
      </c>
    </row>
    <row r="4244" spans="1:7" x14ac:dyDescent="0.25">
      <c r="A4244" s="112"/>
      <c r="B4244" s="21" t="s">
        <v>10108</v>
      </c>
      <c r="C4244" s="21" t="s">
        <v>10109</v>
      </c>
      <c r="D4244" s="21" t="s">
        <v>2002</v>
      </c>
      <c r="E4244" s="50" t="b">
        <v>1</v>
      </c>
      <c r="F4244" s="72" t="str">
        <f>HYPERLINK("http://nsgreg.nga.mil/genc/view?v=295489&amp;end_month=6&amp;end_day=30&amp;end_year=2019","Khartoum")</f>
        <v>Khartoum</v>
      </c>
      <c r="G4244" s="72" t="str">
        <f>HYPERLINK("http://api.nsgreg.nga.mil/geo-division/GENC/6/3-11/SD-KH","as:GENC:6:3-11:SD-KH")</f>
        <v>as:GENC:6:3-11:SD-KH</v>
      </c>
    </row>
    <row r="4245" spans="1:7" x14ac:dyDescent="0.25">
      <c r="A4245" s="112"/>
      <c r="B4245" s="21" t="s">
        <v>10110</v>
      </c>
      <c r="C4245" s="21" t="s">
        <v>10111</v>
      </c>
      <c r="D4245" s="21" t="s">
        <v>2002</v>
      </c>
      <c r="E4245" s="50" t="b">
        <v>1</v>
      </c>
      <c r="F4245" s="72" t="str">
        <f>HYPERLINK("http://nsgreg.nga.mil/genc/view?v=295482&amp;end_month=6&amp;end_day=30&amp;end_year=2019","North Darfur")</f>
        <v>North Darfur</v>
      </c>
      <c r="G4245" s="72" t="str">
        <f>HYPERLINK("http://api.nsgreg.nga.mil/geo-division/GENC/6/3-11/SD-DN","as:GENC:6:3-11:SD-DN")</f>
        <v>as:GENC:6:3-11:SD-DN</v>
      </c>
    </row>
    <row r="4246" spans="1:7" x14ac:dyDescent="0.25">
      <c r="A4246" s="112"/>
      <c r="B4246" s="21" t="s">
        <v>10112</v>
      </c>
      <c r="C4246" s="21" t="s">
        <v>4121</v>
      </c>
      <c r="D4246" s="21" t="s">
        <v>2002</v>
      </c>
      <c r="E4246" s="50" t="b">
        <v>1</v>
      </c>
      <c r="F4246" s="72" t="str">
        <f>HYPERLINK("http://nsgreg.nga.mil/genc/view?v=295493&amp;end_month=6&amp;end_day=30&amp;end_year=2019","Northern")</f>
        <v>Northern</v>
      </c>
      <c r="G4246" s="72" t="str">
        <f>HYPERLINK("http://api.nsgreg.nga.mil/geo-division/GENC/6/3-11/SD-NO","as:GENC:6:3-11:SD-NO")</f>
        <v>as:GENC:6:3-11:SD-NO</v>
      </c>
    </row>
    <row r="4247" spans="1:7" x14ac:dyDescent="0.25">
      <c r="A4247" s="112"/>
      <c r="B4247" s="21" t="s">
        <v>10113</v>
      </c>
      <c r="C4247" s="21" t="s">
        <v>10114</v>
      </c>
      <c r="D4247" s="21" t="s">
        <v>2002</v>
      </c>
      <c r="E4247" s="50" t="b">
        <v>1</v>
      </c>
      <c r="F4247" s="72" t="str">
        <f>HYPERLINK("http://nsgreg.nga.mil/genc/view?v=295490&amp;end_month=6&amp;end_day=30&amp;end_year=2019","North Kordofan")</f>
        <v>North Kordofan</v>
      </c>
      <c r="G4247" s="72" t="str">
        <f>HYPERLINK("http://api.nsgreg.nga.mil/geo-division/GENC/6/3-11/SD-KN","as:GENC:6:3-11:SD-KN")</f>
        <v>as:GENC:6:3-11:SD-KN</v>
      </c>
    </row>
    <row r="4248" spans="1:7" x14ac:dyDescent="0.25">
      <c r="A4248" s="112"/>
      <c r="B4248" s="21" t="s">
        <v>10115</v>
      </c>
      <c r="C4248" s="21" t="s">
        <v>10116</v>
      </c>
      <c r="D4248" s="21" t="s">
        <v>2002</v>
      </c>
      <c r="E4248" s="50" t="b">
        <v>1</v>
      </c>
      <c r="F4248" s="72" t="str">
        <f>HYPERLINK("http://nsgreg.nga.mil/genc/view?v=295496&amp;end_month=6&amp;end_day=30&amp;end_year=2019","Red Sea")</f>
        <v>Red Sea</v>
      </c>
      <c r="G4248" s="72" t="str">
        <f>HYPERLINK("http://api.nsgreg.nga.mil/geo-division/GENC/6/3-11/SD-RS","as:GENC:6:3-11:SD-RS")</f>
        <v>as:GENC:6:3-11:SD-RS</v>
      </c>
    </row>
    <row r="4249" spans="1:7" x14ac:dyDescent="0.25">
      <c r="A4249" s="112"/>
      <c r="B4249" s="21" t="s">
        <v>10117</v>
      </c>
      <c r="C4249" s="21" t="s">
        <v>10118</v>
      </c>
      <c r="D4249" s="21" t="s">
        <v>2002</v>
      </c>
      <c r="E4249" s="50" t="b">
        <v>1</v>
      </c>
      <c r="F4249" s="72" t="str">
        <f>HYPERLINK("http://nsgreg.nga.mil/genc/view?v=295494&amp;end_month=6&amp;end_day=30&amp;end_year=2019","River Nile")</f>
        <v>River Nile</v>
      </c>
      <c r="G4249" s="72" t="str">
        <f>HYPERLINK("http://api.nsgreg.nga.mil/geo-division/GENC/6/3-11/SD-NR","as:GENC:6:3-11:SD-NR")</f>
        <v>as:GENC:6:3-11:SD-NR</v>
      </c>
    </row>
    <row r="4250" spans="1:7" x14ac:dyDescent="0.25">
      <c r="A4250" s="112"/>
      <c r="B4250" s="21" t="s">
        <v>10119</v>
      </c>
      <c r="C4250" s="21" t="s">
        <v>10120</v>
      </c>
      <c r="D4250" s="21" t="s">
        <v>2002</v>
      </c>
      <c r="E4250" s="50" t="b">
        <v>1</v>
      </c>
      <c r="F4250" s="72" t="str">
        <f>HYPERLINK("http://nsgreg.nga.mil/genc/view?v=295497&amp;end_month=6&amp;end_day=30&amp;end_year=2019","Sennar")</f>
        <v>Sennar</v>
      </c>
      <c r="G4250" s="72" t="str">
        <f>HYPERLINK("http://api.nsgreg.nga.mil/geo-division/GENC/6/3-11/SD-SI","as:GENC:6:3-11:SD-SI")</f>
        <v>as:GENC:6:3-11:SD-SI</v>
      </c>
    </row>
    <row r="4251" spans="1:7" x14ac:dyDescent="0.25">
      <c r="A4251" s="112"/>
      <c r="B4251" s="21" t="s">
        <v>10121</v>
      </c>
      <c r="C4251" s="21" t="s">
        <v>10122</v>
      </c>
      <c r="D4251" s="21" t="s">
        <v>2002</v>
      </c>
      <c r="E4251" s="50" t="b">
        <v>1</v>
      </c>
      <c r="F4251" s="72" t="str">
        <f>HYPERLINK("http://nsgreg.nga.mil/genc/view?v=295483&amp;end_month=6&amp;end_day=30&amp;end_year=2019","South Darfur")</f>
        <v>South Darfur</v>
      </c>
      <c r="G4251" s="72" t="str">
        <f>HYPERLINK("http://api.nsgreg.nga.mil/geo-division/GENC/6/3-11/SD-DS","as:GENC:6:3-11:SD-DS")</f>
        <v>as:GENC:6:3-11:SD-DS</v>
      </c>
    </row>
    <row r="4252" spans="1:7" x14ac:dyDescent="0.25">
      <c r="A4252" s="112"/>
      <c r="B4252" s="21" t="s">
        <v>10123</v>
      </c>
      <c r="C4252" s="21" t="s">
        <v>10124</v>
      </c>
      <c r="D4252" s="21" t="s">
        <v>2002</v>
      </c>
      <c r="E4252" s="50" t="b">
        <v>1</v>
      </c>
      <c r="F4252" s="72" t="str">
        <f>HYPERLINK("http://nsgreg.nga.mil/genc/view?v=295491&amp;end_month=6&amp;end_day=30&amp;end_year=2019","South Kordofan")</f>
        <v>South Kordofan</v>
      </c>
      <c r="G4252" s="72" t="str">
        <f>HYPERLINK("http://api.nsgreg.nga.mil/geo-division/GENC/6/3-11/SD-KS","as:GENC:6:3-11:SD-KS")</f>
        <v>as:GENC:6:3-11:SD-KS</v>
      </c>
    </row>
    <row r="4253" spans="1:7" x14ac:dyDescent="0.25">
      <c r="A4253" s="112"/>
      <c r="B4253" s="21" t="s">
        <v>10125</v>
      </c>
      <c r="C4253" s="21" t="s">
        <v>10126</v>
      </c>
      <c r="D4253" s="21" t="s">
        <v>2002</v>
      </c>
      <c r="E4253" s="50" t="b">
        <v>1</v>
      </c>
      <c r="F4253" s="72" t="str">
        <f>HYPERLINK("http://nsgreg.nga.mil/genc/view?v=295486&amp;end_month=6&amp;end_day=30&amp;end_year=2019","West Kordofan")</f>
        <v>West Kordofan</v>
      </c>
      <c r="G4253" s="72" t="str">
        <f>HYPERLINK("http://api.nsgreg.nga.mil/geo-division/GENC/6/3-11/SD-GK","as:GENC:6:3-11:SD-GK")</f>
        <v>as:GENC:6:3-11:SD-GK</v>
      </c>
    </row>
    <row r="4254" spans="1:7" x14ac:dyDescent="0.25">
      <c r="A4254" s="112"/>
      <c r="B4254" s="21" t="s">
        <v>10127</v>
      </c>
      <c r="C4254" s="21" t="s">
        <v>10128</v>
      </c>
      <c r="D4254" s="21" t="s">
        <v>2002</v>
      </c>
      <c r="E4254" s="50" t="b">
        <v>1</v>
      </c>
      <c r="F4254" s="72" t="str">
        <f>HYPERLINK("http://nsgreg.nga.mil/genc/view?v=295484&amp;end_month=6&amp;end_day=30&amp;end_year=2019","West Darfur")</f>
        <v>West Darfur</v>
      </c>
      <c r="G4254" s="72" t="str">
        <f>HYPERLINK("http://api.nsgreg.nga.mil/geo-division/GENC/6/3-11/SD-DW","as:GENC:6:3-11:SD-DW")</f>
        <v>as:GENC:6:3-11:SD-DW</v>
      </c>
    </row>
    <row r="4255" spans="1:7" x14ac:dyDescent="0.25">
      <c r="A4255" s="113"/>
      <c r="B4255" s="47" t="s">
        <v>10129</v>
      </c>
      <c r="C4255" s="47" t="s">
        <v>10130</v>
      </c>
      <c r="D4255" s="47" t="s">
        <v>2002</v>
      </c>
      <c r="E4255" s="51" t="b">
        <v>1</v>
      </c>
      <c r="F4255" s="73" t="str">
        <f>HYPERLINK("http://nsgreg.nga.mil/genc/view?v=295495&amp;end_month=6&amp;end_day=30&amp;end_year=2019","White Nile")</f>
        <v>White Nile</v>
      </c>
      <c r="G4255" s="73" t="str">
        <f>HYPERLINK("http://api.nsgreg.nga.mil/geo-division/GENC/6/3-11/SD-NW","as:GENC:6:3-11:SD-NW")</f>
        <v>as:GENC:6:3-11:SD-NW</v>
      </c>
    </row>
    <row r="4256" spans="1:7" x14ac:dyDescent="0.25">
      <c r="A4256" s="111" t="str">
        <f>HYPERLINK("[#]Codes_for_GE_Names!A243:I243","SURINAME")</f>
        <v>SURINAME</v>
      </c>
      <c r="B4256" s="42" t="s">
        <v>10131</v>
      </c>
      <c r="C4256" s="42" t="s">
        <v>10132</v>
      </c>
      <c r="D4256" s="42" t="s">
        <v>2035</v>
      </c>
      <c r="E4256" s="49" t="b">
        <v>1</v>
      </c>
      <c r="F4256" s="74" t="str">
        <f>HYPERLINK("http://nsgreg.nga.mil/genc/view?v=295793&amp;end_month=6&amp;end_day=30&amp;end_year=2019","Brokopondo")</f>
        <v>Brokopondo</v>
      </c>
      <c r="G4256" s="74" t="str">
        <f>HYPERLINK("http://api.nsgreg.nga.mil/geo-division/GENC/6/3-11/SR-BR","as:GENC:6:3-11:SR-BR")</f>
        <v>as:GENC:6:3-11:SR-BR</v>
      </c>
    </row>
    <row r="4257" spans="1:7" x14ac:dyDescent="0.25">
      <c r="A4257" s="112"/>
      <c r="B4257" s="21" t="s">
        <v>10133</v>
      </c>
      <c r="C4257" s="21" t="s">
        <v>10134</v>
      </c>
      <c r="D4257" s="21" t="s">
        <v>2035</v>
      </c>
      <c r="E4257" s="50" t="b">
        <v>1</v>
      </c>
      <c r="F4257" s="72" t="str">
        <f>HYPERLINK("http://nsgreg.nga.mil/genc/view?v=295794&amp;end_month=6&amp;end_day=30&amp;end_year=2019","Commewijne")</f>
        <v>Commewijne</v>
      </c>
      <c r="G4257" s="72" t="str">
        <f>HYPERLINK("http://api.nsgreg.nga.mil/geo-division/GENC/6/3-11/SR-CM","as:GENC:6:3-11:SR-CM")</f>
        <v>as:GENC:6:3-11:SR-CM</v>
      </c>
    </row>
    <row r="4258" spans="1:7" x14ac:dyDescent="0.25">
      <c r="A4258" s="112"/>
      <c r="B4258" s="21" t="s">
        <v>10135</v>
      </c>
      <c r="C4258" s="21" t="s">
        <v>10136</v>
      </c>
      <c r="D4258" s="21" t="s">
        <v>2035</v>
      </c>
      <c r="E4258" s="50" t="b">
        <v>1</v>
      </c>
      <c r="F4258" s="72" t="str">
        <f>HYPERLINK("http://nsgreg.nga.mil/genc/view?v=295795&amp;end_month=6&amp;end_day=30&amp;end_year=2019","Coronie")</f>
        <v>Coronie</v>
      </c>
      <c r="G4258" s="72" t="str">
        <f>HYPERLINK("http://api.nsgreg.nga.mil/geo-division/GENC/6/3-11/SR-CR","as:GENC:6:3-11:SR-CR")</f>
        <v>as:GENC:6:3-11:SR-CR</v>
      </c>
    </row>
    <row r="4259" spans="1:7" x14ac:dyDescent="0.25">
      <c r="A4259" s="112"/>
      <c r="B4259" s="21" t="s">
        <v>10137</v>
      </c>
      <c r="C4259" s="21" t="s">
        <v>10138</v>
      </c>
      <c r="D4259" s="21" t="s">
        <v>2035</v>
      </c>
      <c r="E4259" s="50" t="b">
        <v>1</v>
      </c>
      <c r="F4259" s="72" t="str">
        <f>HYPERLINK("http://nsgreg.nga.mil/genc/view?v=295796&amp;end_month=6&amp;end_day=30&amp;end_year=2019","Marowijne")</f>
        <v>Marowijne</v>
      </c>
      <c r="G4259" s="72" t="str">
        <f>HYPERLINK("http://api.nsgreg.nga.mil/geo-division/GENC/6/3-11/SR-MA","as:GENC:6:3-11:SR-MA")</f>
        <v>as:GENC:6:3-11:SR-MA</v>
      </c>
    </row>
    <row r="4260" spans="1:7" x14ac:dyDescent="0.25">
      <c r="A4260" s="112"/>
      <c r="B4260" s="21" t="s">
        <v>10139</v>
      </c>
      <c r="C4260" s="21" t="s">
        <v>10140</v>
      </c>
      <c r="D4260" s="21" t="s">
        <v>2035</v>
      </c>
      <c r="E4260" s="50" t="b">
        <v>1</v>
      </c>
      <c r="F4260" s="72" t="str">
        <f>HYPERLINK("http://nsgreg.nga.mil/genc/view?v=295797&amp;end_month=6&amp;end_day=30&amp;end_year=2019","Nickerie")</f>
        <v>Nickerie</v>
      </c>
      <c r="G4260" s="72" t="str">
        <f>HYPERLINK("http://api.nsgreg.nga.mil/geo-division/GENC/6/3-11/SR-NI","as:GENC:6:3-11:SR-NI")</f>
        <v>as:GENC:6:3-11:SR-NI</v>
      </c>
    </row>
    <row r="4261" spans="1:7" x14ac:dyDescent="0.25">
      <c r="A4261" s="112"/>
      <c r="B4261" s="21" t="s">
        <v>10141</v>
      </c>
      <c r="C4261" s="21" t="s">
        <v>10142</v>
      </c>
      <c r="D4261" s="21" t="s">
        <v>2035</v>
      </c>
      <c r="E4261" s="50" t="b">
        <v>1</v>
      </c>
      <c r="F4261" s="72" t="str">
        <f>HYPERLINK("http://nsgreg.nga.mil/genc/view?v=295799&amp;end_month=6&amp;end_day=30&amp;end_year=2019","Para")</f>
        <v>Para</v>
      </c>
      <c r="G4261" s="72" t="str">
        <f>HYPERLINK("http://api.nsgreg.nga.mil/geo-division/GENC/6/3-11/SR-PR","as:GENC:6:3-11:SR-PR")</f>
        <v>as:GENC:6:3-11:SR-PR</v>
      </c>
    </row>
    <row r="4262" spans="1:7" x14ac:dyDescent="0.25">
      <c r="A4262" s="112"/>
      <c r="B4262" s="21" t="s">
        <v>10143</v>
      </c>
      <c r="C4262" s="21" t="s">
        <v>10144</v>
      </c>
      <c r="D4262" s="21" t="s">
        <v>2035</v>
      </c>
      <c r="E4262" s="50" t="b">
        <v>1</v>
      </c>
      <c r="F4262" s="72" t="str">
        <f>HYPERLINK("http://nsgreg.nga.mil/genc/view?v=295798&amp;end_month=6&amp;end_day=30&amp;end_year=2019","Paramaribo")</f>
        <v>Paramaribo</v>
      </c>
      <c r="G4262" s="72" t="str">
        <f>HYPERLINK("http://api.nsgreg.nga.mil/geo-division/GENC/6/3-11/SR-PM","as:GENC:6:3-11:SR-PM")</f>
        <v>as:GENC:6:3-11:SR-PM</v>
      </c>
    </row>
    <row r="4263" spans="1:7" x14ac:dyDescent="0.25">
      <c r="A4263" s="112"/>
      <c r="B4263" s="21" t="s">
        <v>10145</v>
      </c>
      <c r="C4263" s="21" t="s">
        <v>10146</v>
      </c>
      <c r="D4263" s="21" t="s">
        <v>2035</v>
      </c>
      <c r="E4263" s="50" t="b">
        <v>1</v>
      </c>
      <c r="F4263" s="72" t="str">
        <f>HYPERLINK("http://nsgreg.nga.mil/genc/view?v=295800&amp;end_month=6&amp;end_day=30&amp;end_year=2019","Saramacca")</f>
        <v>Saramacca</v>
      </c>
      <c r="G4263" s="72" t="str">
        <f>HYPERLINK("http://api.nsgreg.nga.mil/geo-division/GENC/6/3-11/SR-SA","as:GENC:6:3-11:SR-SA")</f>
        <v>as:GENC:6:3-11:SR-SA</v>
      </c>
    </row>
    <row r="4264" spans="1:7" x14ac:dyDescent="0.25">
      <c r="A4264" s="112"/>
      <c r="B4264" s="21" t="s">
        <v>10147</v>
      </c>
      <c r="C4264" s="21" t="s">
        <v>10148</v>
      </c>
      <c r="D4264" s="21" t="s">
        <v>2035</v>
      </c>
      <c r="E4264" s="50" t="b">
        <v>1</v>
      </c>
      <c r="F4264" s="72" t="str">
        <f>HYPERLINK("http://nsgreg.nga.mil/genc/view?v=295801&amp;end_month=6&amp;end_day=30&amp;end_year=2019","Sipaliwini")</f>
        <v>Sipaliwini</v>
      </c>
      <c r="G4264" s="72" t="str">
        <f>HYPERLINK("http://api.nsgreg.nga.mil/geo-division/GENC/6/3-11/SR-SI","as:GENC:6:3-11:SR-SI")</f>
        <v>as:GENC:6:3-11:SR-SI</v>
      </c>
    </row>
    <row r="4265" spans="1:7" x14ac:dyDescent="0.25">
      <c r="A4265" s="113"/>
      <c r="B4265" s="47" t="s">
        <v>10149</v>
      </c>
      <c r="C4265" s="47" t="s">
        <v>10150</v>
      </c>
      <c r="D4265" s="47" t="s">
        <v>2035</v>
      </c>
      <c r="E4265" s="51" t="b">
        <v>1</v>
      </c>
      <c r="F4265" s="73" t="str">
        <f>HYPERLINK("http://nsgreg.nga.mil/genc/view?v=295802&amp;end_month=6&amp;end_day=30&amp;end_year=2019","Wanica")</f>
        <v>Wanica</v>
      </c>
      <c r="G4265" s="73" t="str">
        <f>HYPERLINK("http://api.nsgreg.nga.mil/geo-division/GENC/6/3-11/SR-WA","as:GENC:6:3-11:SR-WA")</f>
        <v>as:GENC:6:3-11:SR-WA</v>
      </c>
    </row>
    <row r="4266" spans="1:7" x14ac:dyDescent="0.25">
      <c r="A4266" s="111" t="str">
        <f>HYPERLINK("[#]Codes_for_GE_Names!A245:I245","SWEDEN")</f>
        <v>SWEDEN</v>
      </c>
      <c r="B4266" s="42" t="s">
        <v>10151</v>
      </c>
      <c r="C4266" s="42" t="s">
        <v>10152</v>
      </c>
      <c r="D4266" s="42" t="s">
        <v>1737</v>
      </c>
      <c r="E4266" s="49" t="b">
        <v>1</v>
      </c>
      <c r="F4266" s="74" t="str">
        <f>HYPERLINK("http://nsgreg.nga.mil/genc/view?v=295508&amp;end_month=6&amp;end_day=30&amp;end_year=2019","Blekinge")</f>
        <v>Blekinge</v>
      </c>
      <c r="G4266" s="74" t="str">
        <f>HYPERLINK("http://api.nsgreg.nga.mil/geo-division/GENC/6/3-11/SE-K","as:GENC:6:3-11:SE-K")</f>
        <v>as:GENC:6:3-11:SE-K</v>
      </c>
    </row>
    <row r="4267" spans="1:7" x14ac:dyDescent="0.25">
      <c r="A4267" s="112"/>
      <c r="B4267" s="21" t="s">
        <v>10153</v>
      </c>
      <c r="C4267" s="21" t="s">
        <v>10154</v>
      </c>
      <c r="D4267" s="21" t="s">
        <v>1737</v>
      </c>
      <c r="E4267" s="50" t="b">
        <v>1</v>
      </c>
      <c r="F4267" s="72" t="str">
        <f>HYPERLINK("http://nsgreg.nga.mil/genc/view?v=295515&amp;end_month=6&amp;end_day=30&amp;end_year=2019","Dalarna")</f>
        <v>Dalarna</v>
      </c>
      <c r="G4267" s="72" t="str">
        <f>HYPERLINK("http://api.nsgreg.nga.mil/geo-division/GENC/6/3-11/SE-W","as:GENC:6:3-11:SE-W")</f>
        <v>as:GENC:6:3-11:SE-W</v>
      </c>
    </row>
    <row r="4268" spans="1:7" x14ac:dyDescent="0.25">
      <c r="A4268" s="112"/>
      <c r="B4268" s="21" t="s">
        <v>10155</v>
      </c>
      <c r="C4268" s="21" t="s">
        <v>10156</v>
      </c>
      <c r="D4268" s="21" t="s">
        <v>1737</v>
      </c>
      <c r="E4268" s="50" t="b">
        <v>1</v>
      </c>
      <c r="F4268" s="72" t="str">
        <f>HYPERLINK("http://nsgreg.nga.mil/genc/view?v=295516&amp;end_month=6&amp;end_day=30&amp;end_year=2019","Gävleborg")</f>
        <v>Gävleborg</v>
      </c>
      <c r="G4268" s="72" t="str">
        <f>HYPERLINK("http://api.nsgreg.nga.mil/geo-division/GENC/6/3-11/SE-X","as:GENC:6:3-11:SE-X")</f>
        <v>as:GENC:6:3-11:SE-X</v>
      </c>
    </row>
    <row r="4269" spans="1:7" x14ac:dyDescent="0.25">
      <c r="A4269" s="112"/>
      <c r="B4269" s="21" t="s">
        <v>10157</v>
      </c>
      <c r="C4269" s="21" t="s">
        <v>10158</v>
      </c>
      <c r="D4269" s="21" t="s">
        <v>1737</v>
      </c>
      <c r="E4269" s="50" t="b">
        <v>1</v>
      </c>
      <c r="F4269" s="72" t="str">
        <f>HYPERLINK("http://nsgreg.nga.mil/genc/view?v=295507&amp;end_month=6&amp;end_day=30&amp;end_year=2019","Gotland")</f>
        <v>Gotland</v>
      </c>
      <c r="G4269" s="72" t="str">
        <f>HYPERLINK("http://api.nsgreg.nga.mil/geo-division/GENC/6/3-11/SE-I","as:GENC:6:3-11:SE-I")</f>
        <v>as:GENC:6:3-11:SE-I</v>
      </c>
    </row>
    <row r="4270" spans="1:7" x14ac:dyDescent="0.25">
      <c r="A4270" s="112"/>
      <c r="B4270" s="21" t="s">
        <v>10159</v>
      </c>
      <c r="C4270" s="21" t="s">
        <v>10160</v>
      </c>
      <c r="D4270" s="21" t="s">
        <v>1737</v>
      </c>
      <c r="E4270" s="50" t="b">
        <v>1</v>
      </c>
      <c r="F4270" s="72" t="str">
        <f>HYPERLINK("http://nsgreg.nga.mil/genc/view?v=295510&amp;end_month=6&amp;end_day=30&amp;end_year=2019","Halland")</f>
        <v>Halland</v>
      </c>
      <c r="G4270" s="72" t="str">
        <f>HYPERLINK("http://api.nsgreg.nga.mil/geo-division/GENC/6/3-11/SE-N","as:GENC:6:3-11:SE-N")</f>
        <v>as:GENC:6:3-11:SE-N</v>
      </c>
    </row>
    <row r="4271" spans="1:7" x14ac:dyDescent="0.25">
      <c r="A4271" s="112"/>
      <c r="B4271" s="21" t="s">
        <v>10161</v>
      </c>
      <c r="C4271" s="21" t="s">
        <v>10162</v>
      </c>
      <c r="D4271" s="21" t="s">
        <v>1737</v>
      </c>
      <c r="E4271" s="50" t="b">
        <v>1</v>
      </c>
      <c r="F4271" s="72" t="str">
        <f>HYPERLINK("http://nsgreg.nga.mil/genc/view?v=295518&amp;end_month=6&amp;end_day=30&amp;end_year=2019","Jämtland")</f>
        <v>Jämtland</v>
      </c>
      <c r="G4271" s="72" t="str">
        <f>HYPERLINK("http://api.nsgreg.nga.mil/geo-division/GENC/6/3-11/SE-Z","as:GENC:6:3-11:SE-Z")</f>
        <v>as:GENC:6:3-11:SE-Z</v>
      </c>
    </row>
    <row r="4272" spans="1:7" x14ac:dyDescent="0.25">
      <c r="A4272" s="112"/>
      <c r="B4272" s="21" t="s">
        <v>10163</v>
      </c>
      <c r="C4272" s="21" t="s">
        <v>10164</v>
      </c>
      <c r="D4272" s="21" t="s">
        <v>1737</v>
      </c>
      <c r="E4272" s="50" t="b">
        <v>1</v>
      </c>
      <c r="F4272" s="72" t="str">
        <f>HYPERLINK("http://nsgreg.nga.mil/genc/view?v=295504&amp;end_month=6&amp;end_day=30&amp;end_year=2019","Jönköping")</f>
        <v>Jönköping</v>
      </c>
      <c r="G4272" s="72" t="str">
        <f>HYPERLINK("http://api.nsgreg.nga.mil/geo-division/GENC/6/3-11/SE-F","as:GENC:6:3-11:SE-F")</f>
        <v>as:GENC:6:3-11:SE-F</v>
      </c>
    </row>
    <row r="4273" spans="1:7" x14ac:dyDescent="0.25">
      <c r="A4273" s="112"/>
      <c r="B4273" s="21" t="s">
        <v>10165</v>
      </c>
      <c r="C4273" s="21" t="s">
        <v>10166</v>
      </c>
      <c r="D4273" s="21" t="s">
        <v>1737</v>
      </c>
      <c r="E4273" s="50" t="b">
        <v>1</v>
      </c>
      <c r="F4273" s="72" t="str">
        <f>HYPERLINK("http://nsgreg.nga.mil/genc/view?v=295506&amp;end_month=6&amp;end_day=30&amp;end_year=2019","Kalmar")</f>
        <v>Kalmar</v>
      </c>
      <c r="G4273" s="72" t="str">
        <f>HYPERLINK("http://api.nsgreg.nga.mil/geo-division/GENC/6/3-11/SE-H","as:GENC:6:3-11:SE-H")</f>
        <v>as:GENC:6:3-11:SE-H</v>
      </c>
    </row>
    <row r="4274" spans="1:7" x14ac:dyDescent="0.25">
      <c r="A4274" s="112"/>
      <c r="B4274" s="21" t="s">
        <v>10167</v>
      </c>
      <c r="C4274" s="21" t="s">
        <v>10168</v>
      </c>
      <c r="D4274" s="21" t="s">
        <v>1737</v>
      </c>
      <c r="E4274" s="50" t="b">
        <v>1</v>
      </c>
      <c r="F4274" s="72" t="str">
        <f>HYPERLINK("http://nsgreg.nga.mil/genc/view?v=295505&amp;end_month=6&amp;end_day=30&amp;end_year=2019","Kronoberg")</f>
        <v>Kronoberg</v>
      </c>
      <c r="G4274" s="72" t="str">
        <f>HYPERLINK("http://api.nsgreg.nga.mil/geo-division/GENC/6/3-11/SE-G","as:GENC:6:3-11:SE-G")</f>
        <v>as:GENC:6:3-11:SE-G</v>
      </c>
    </row>
    <row r="4275" spans="1:7" x14ac:dyDescent="0.25">
      <c r="A4275" s="112"/>
      <c r="B4275" s="21" t="s">
        <v>10169</v>
      </c>
      <c r="C4275" s="21" t="s">
        <v>10170</v>
      </c>
      <c r="D4275" s="21" t="s">
        <v>1737</v>
      </c>
      <c r="E4275" s="50" t="b">
        <v>1</v>
      </c>
      <c r="F4275" s="72" t="str">
        <f>HYPERLINK("http://nsgreg.nga.mil/genc/view?v=295500&amp;end_month=6&amp;end_day=30&amp;end_year=2019","Norrbotten")</f>
        <v>Norrbotten</v>
      </c>
      <c r="G4275" s="72" t="str">
        <f>HYPERLINK("http://api.nsgreg.nga.mil/geo-division/GENC/6/3-11/SE-BD","as:GENC:6:3-11:SE-BD")</f>
        <v>as:GENC:6:3-11:SE-BD</v>
      </c>
    </row>
    <row r="4276" spans="1:7" x14ac:dyDescent="0.25">
      <c r="A4276" s="112"/>
      <c r="B4276" s="21" t="s">
        <v>10171</v>
      </c>
      <c r="C4276" s="21" t="s">
        <v>10172</v>
      </c>
      <c r="D4276" s="21" t="s">
        <v>1737</v>
      </c>
      <c r="E4276" s="50" t="b">
        <v>1</v>
      </c>
      <c r="F4276" s="72" t="str">
        <f>HYPERLINK("http://nsgreg.nga.mil/genc/view?v=295513&amp;end_month=6&amp;end_day=30&amp;end_year=2019","Örebro")</f>
        <v>Örebro</v>
      </c>
      <c r="G4276" s="72" t="str">
        <f>HYPERLINK("http://api.nsgreg.nga.mil/geo-division/GENC/6/3-11/SE-T","as:GENC:6:3-11:SE-T")</f>
        <v>as:GENC:6:3-11:SE-T</v>
      </c>
    </row>
    <row r="4277" spans="1:7" x14ac:dyDescent="0.25">
      <c r="A4277" s="112"/>
      <c r="B4277" s="21" t="s">
        <v>10173</v>
      </c>
      <c r="C4277" s="21" t="s">
        <v>10174</v>
      </c>
      <c r="D4277" s="21" t="s">
        <v>1737</v>
      </c>
      <c r="E4277" s="50" t="b">
        <v>1</v>
      </c>
      <c r="F4277" s="72" t="str">
        <f>HYPERLINK("http://nsgreg.nga.mil/genc/view?v=295503&amp;end_month=6&amp;end_day=30&amp;end_year=2019","Östergötland")</f>
        <v>Östergötland</v>
      </c>
      <c r="G4277" s="72" t="str">
        <f>HYPERLINK("http://api.nsgreg.nga.mil/geo-division/GENC/6/3-11/SE-E","as:GENC:6:3-11:SE-E")</f>
        <v>as:GENC:6:3-11:SE-E</v>
      </c>
    </row>
    <row r="4278" spans="1:7" x14ac:dyDescent="0.25">
      <c r="A4278" s="112"/>
      <c r="B4278" s="21" t="s">
        <v>10175</v>
      </c>
      <c r="C4278" s="21" t="s">
        <v>10176</v>
      </c>
      <c r="D4278" s="21" t="s">
        <v>1737</v>
      </c>
      <c r="E4278" s="50" t="b">
        <v>1</v>
      </c>
      <c r="F4278" s="72" t="str">
        <f>HYPERLINK("http://nsgreg.nga.mil/genc/view?v=295509&amp;end_month=6&amp;end_day=30&amp;end_year=2019","Skåne")</f>
        <v>Skåne</v>
      </c>
      <c r="G4278" s="72" t="str">
        <f>HYPERLINK("http://api.nsgreg.nga.mil/geo-division/GENC/6/3-11/SE-M","as:GENC:6:3-11:SE-M")</f>
        <v>as:GENC:6:3-11:SE-M</v>
      </c>
    </row>
    <row r="4279" spans="1:7" x14ac:dyDescent="0.25">
      <c r="A4279" s="112"/>
      <c r="B4279" s="21" t="s">
        <v>10177</v>
      </c>
      <c r="C4279" s="21" t="s">
        <v>10178</v>
      </c>
      <c r="D4279" s="21" t="s">
        <v>1737</v>
      </c>
      <c r="E4279" s="50" t="b">
        <v>1</v>
      </c>
      <c r="F4279" s="72" t="str">
        <f>HYPERLINK("http://nsgreg.nga.mil/genc/view?v=295502&amp;end_month=6&amp;end_day=30&amp;end_year=2019","Södermanland")</f>
        <v>Södermanland</v>
      </c>
      <c r="G4279" s="72" t="str">
        <f>HYPERLINK("http://api.nsgreg.nga.mil/geo-division/GENC/6/3-11/SE-D","as:GENC:6:3-11:SE-D")</f>
        <v>as:GENC:6:3-11:SE-D</v>
      </c>
    </row>
    <row r="4280" spans="1:7" x14ac:dyDescent="0.25">
      <c r="A4280" s="112"/>
      <c r="B4280" s="21" t="s">
        <v>10179</v>
      </c>
      <c r="C4280" s="21" t="s">
        <v>10180</v>
      </c>
      <c r="D4280" s="21" t="s">
        <v>1737</v>
      </c>
      <c r="E4280" s="50" t="b">
        <v>1</v>
      </c>
      <c r="F4280" s="72" t="str">
        <f>HYPERLINK("http://nsgreg.nga.mil/genc/view?v=295498&amp;end_month=6&amp;end_day=30&amp;end_year=2019","Stockholm")</f>
        <v>Stockholm</v>
      </c>
      <c r="G4280" s="72" t="str">
        <f>HYPERLINK("http://api.nsgreg.nga.mil/geo-division/GENC/6/3-11/SE-AB","as:GENC:6:3-11:SE-AB")</f>
        <v>as:GENC:6:3-11:SE-AB</v>
      </c>
    </row>
    <row r="4281" spans="1:7" x14ac:dyDescent="0.25">
      <c r="A4281" s="112"/>
      <c r="B4281" s="21" t="s">
        <v>10181</v>
      </c>
      <c r="C4281" s="21" t="s">
        <v>10182</v>
      </c>
      <c r="D4281" s="21" t="s">
        <v>1737</v>
      </c>
      <c r="E4281" s="50" t="b">
        <v>1</v>
      </c>
      <c r="F4281" s="72" t="str">
        <f>HYPERLINK("http://nsgreg.nga.mil/genc/view?v=295501&amp;end_month=6&amp;end_day=30&amp;end_year=2019","Uppsala")</f>
        <v>Uppsala</v>
      </c>
      <c r="G4281" s="72" t="str">
        <f>HYPERLINK("http://api.nsgreg.nga.mil/geo-division/GENC/6/3-11/SE-C","as:GENC:6:3-11:SE-C")</f>
        <v>as:GENC:6:3-11:SE-C</v>
      </c>
    </row>
    <row r="4282" spans="1:7" x14ac:dyDescent="0.25">
      <c r="A4282" s="112"/>
      <c r="B4282" s="21" t="s">
        <v>10183</v>
      </c>
      <c r="C4282" s="21" t="s">
        <v>10184</v>
      </c>
      <c r="D4282" s="21" t="s">
        <v>1737</v>
      </c>
      <c r="E4282" s="50" t="b">
        <v>1</v>
      </c>
      <c r="F4282" s="72" t="str">
        <f>HYPERLINK("http://nsgreg.nga.mil/genc/view?v=295512&amp;end_month=6&amp;end_day=30&amp;end_year=2019","Värmland")</f>
        <v>Värmland</v>
      </c>
      <c r="G4282" s="72" t="str">
        <f>HYPERLINK("http://api.nsgreg.nga.mil/geo-division/GENC/6/3-11/SE-S","as:GENC:6:3-11:SE-S")</f>
        <v>as:GENC:6:3-11:SE-S</v>
      </c>
    </row>
    <row r="4283" spans="1:7" x14ac:dyDescent="0.25">
      <c r="A4283" s="112"/>
      <c r="B4283" s="21" t="s">
        <v>10185</v>
      </c>
      <c r="C4283" s="21" t="s">
        <v>10186</v>
      </c>
      <c r="D4283" s="21" t="s">
        <v>1737</v>
      </c>
      <c r="E4283" s="50" t="b">
        <v>1</v>
      </c>
      <c r="F4283" s="72" t="str">
        <f>HYPERLINK("http://nsgreg.nga.mil/genc/view?v=295499&amp;end_month=6&amp;end_day=30&amp;end_year=2019","Västerbotten")</f>
        <v>Västerbotten</v>
      </c>
      <c r="G4283" s="72" t="str">
        <f>HYPERLINK("http://api.nsgreg.nga.mil/geo-division/GENC/6/3-11/SE-AC","as:GENC:6:3-11:SE-AC")</f>
        <v>as:GENC:6:3-11:SE-AC</v>
      </c>
    </row>
    <row r="4284" spans="1:7" x14ac:dyDescent="0.25">
      <c r="A4284" s="112"/>
      <c r="B4284" s="21" t="s">
        <v>10187</v>
      </c>
      <c r="C4284" s="21" t="s">
        <v>10188</v>
      </c>
      <c r="D4284" s="21" t="s">
        <v>1737</v>
      </c>
      <c r="E4284" s="50" t="b">
        <v>1</v>
      </c>
      <c r="F4284" s="72" t="str">
        <f>HYPERLINK("http://nsgreg.nga.mil/genc/view?v=295517&amp;end_month=6&amp;end_day=30&amp;end_year=2019","Västernorrland")</f>
        <v>Västernorrland</v>
      </c>
      <c r="G4284" s="72" t="str">
        <f>HYPERLINK("http://api.nsgreg.nga.mil/geo-division/GENC/6/3-11/SE-Y","as:GENC:6:3-11:SE-Y")</f>
        <v>as:GENC:6:3-11:SE-Y</v>
      </c>
    </row>
    <row r="4285" spans="1:7" x14ac:dyDescent="0.25">
      <c r="A4285" s="112"/>
      <c r="B4285" s="21" t="s">
        <v>10189</v>
      </c>
      <c r="C4285" s="21" t="s">
        <v>10190</v>
      </c>
      <c r="D4285" s="21" t="s">
        <v>1737</v>
      </c>
      <c r="E4285" s="50" t="b">
        <v>1</v>
      </c>
      <c r="F4285" s="72" t="str">
        <f>HYPERLINK("http://nsgreg.nga.mil/genc/view?v=295514&amp;end_month=6&amp;end_day=30&amp;end_year=2019","Västmanland")</f>
        <v>Västmanland</v>
      </c>
      <c r="G4285" s="72" t="str">
        <f>HYPERLINK("http://api.nsgreg.nga.mil/geo-division/GENC/6/3-11/SE-U","as:GENC:6:3-11:SE-U")</f>
        <v>as:GENC:6:3-11:SE-U</v>
      </c>
    </row>
    <row r="4286" spans="1:7" x14ac:dyDescent="0.25">
      <c r="A4286" s="113"/>
      <c r="B4286" s="47" t="s">
        <v>10191</v>
      </c>
      <c r="C4286" s="47" t="s">
        <v>10192</v>
      </c>
      <c r="D4286" s="47" t="s">
        <v>1737</v>
      </c>
      <c r="E4286" s="51" t="b">
        <v>1</v>
      </c>
      <c r="F4286" s="73" t="str">
        <f>HYPERLINK("http://nsgreg.nga.mil/genc/view?v=295511&amp;end_month=6&amp;end_day=30&amp;end_year=2019","Västra Götaland")</f>
        <v>Västra Götaland</v>
      </c>
      <c r="G4286" s="73" t="str">
        <f>HYPERLINK("http://api.nsgreg.nga.mil/geo-division/GENC/6/3-11/SE-O","as:GENC:6:3-11:SE-O")</f>
        <v>as:GENC:6:3-11:SE-O</v>
      </c>
    </row>
    <row r="4287" spans="1:7" x14ac:dyDescent="0.25">
      <c r="A4287" s="111" t="str">
        <f>HYPERLINK("[#]Codes_for_GE_Names!A246:I246","SWITZERLAND")</f>
        <v>SWITZERLAND</v>
      </c>
      <c r="B4287" s="42" t="s">
        <v>10193</v>
      </c>
      <c r="C4287" s="42" t="s">
        <v>10194</v>
      </c>
      <c r="D4287" s="42" t="s">
        <v>6587</v>
      </c>
      <c r="E4287" s="49" t="b">
        <v>1</v>
      </c>
      <c r="F4287" s="74" t="str">
        <f>HYPERLINK("http://nsgreg.nga.mil/genc/view?v=291937&amp;end_month=6&amp;end_day=30&amp;end_year=2019","Aargau")</f>
        <v>Aargau</v>
      </c>
      <c r="G4287" s="74" t="str">
        <f>HYPERLINK("http://api.nsgreg.nga.mil/geo-division/GENC/6/3-11/CH-AG","as:GENC:6:3-11:CH-AG")</f>
        <v>as:GENC:6:3-11:CH-AG</v>
      </c>
    </row>
    <row r="4288" spans="1:7" x14ac:dyDescent="0.25">
      <c r="A4288" s="112"/>
      <c r="B4288" s="21" t="s">
        <v>10195</v>
      </c>
      <c r="C4288" s="21" t="s">
        <v>10196</v>
      </c>
      <c r="D4288" s="21" t="s">
        <v>6587</v>
      </c>
      <c r="E4288" s="50" t="b">
        <v>1</v>
      </c>
      <c r="F4288" s="72" t="str">
        <f>HYPERLINK("http://nsgreg.nga.mil/genc/view?v=291939&amp;end_month=6&amp;end_day=30&amp;end_year=2019","Appenzell Ausserrhoden")</f>
        <v>Appenzell Ausserrhoden</v>
      </c>
      <c r="G4288" s="72" t="str">
        <f>HYPERLINK("http://api.nsgreg.nga.mil/geo-division/GENC/6/3-11/CH-AR","as:GENC:6:3-11:CH-AR")</f>
        <v>as:GENC:6:3-11:CH-AR</v>
      </c>
    </row>
    <row r="4289" spans="1:7" x14ac:dyDescent="0.25">
      <c r="A4289" s="112"/>
      <c r="B4289" s="21" t="s">
        <v>10197</v>
      </c>
      <c r="C4289" s="21" t="s">
        <v>10198</v>
      </c>
      <c r="D4289" s="21" t="s">
        <v>6587</v>
      </c>
      <c r="E4289" s="50" t="b">
        <v>1</v>
      </c>
      <c r="F4289" s="72" t="str">
        <f>HYPERLINK("http://nsgreg.nga.mil/genc/view?v=291938&amp;end_month=6&amp;end_day=30&amp;end_year=2019","Appenzell Innerrhoden")</f>
        <v>Appenzell Innerrhoden</v>
      </c>
      <c r="G4289" s="72" t="str">
        <f>HYPERLINK("http://api.nsgreg.nga.mil/geo-division/GENC/6/3-11/CH-AI","as:GENC:6:3-11:CH-AI")</f>
        <v>as:GENC:6:3-11:CH-AI</v>
      </c>
    </row>
    <row r="4290" spans="1:7" x14ac:dyDescent="0.25">
      <c r="A4290" s="112"/>
      <c r="B4290" s="21" t="s">
        <v>10199</v>
      </c>
      <c r="C4290" s="21" t="s">
        <v>10200</v>
      </c>
      <c r="D4290" s="21" t="s">
        <v>6587</v>
      </c>
      <c r="E4290" s="50" t="b">
        <v>1</v>
      </c>
      <c r="F4290" s="72" t="str">
        <f>HYPERLINK("http://nsgreg.nga.mil/genc/view?v=291941&amp;end_month=6&amp;end_day=30&amp;end_year=2019","Basel-Landschaft")</f>
        <v>Basel-Landschaft</v>
      </c>
      <c r="G4290" s="72" t="str">
        <f>HYPERLINK("http://api.nsgreg.nga.mil/geo-division/GENC/6/3-11/CH-BL","as:GENC:6:3-11:CH-BL")</f>
        <v>as:GENC:6:3-11:CH-BL</v>
      </c>
    </row>
    <row r="4291" spans="1:7" x14ac:dyDescent="0.25">
      <c r="A4291" s="112"/>
      <c r="B4291" s="21" t="s">
        <v>10201</v>
      </c>
      <c r="C4291" s="21" t="s">
        <v>10202</v>
      </c>
      <c r="D4291" s="21" t="s">
        <v>6587</v>
      </c>
      <c r="E4291" s="50" t="b">
        <v>1</v>
      </c>
      <c r="F4291" s="72" t="str">
        <f>HYPERLINK("http://nsgreg.nga.mil/genc/view?v=291942&amp;end_month=6&amp;end_day=30&amp;end_year=2019","Basel-Stadt")</f>
        <v>Basel-Stadt</v>
      </c>
      <c r="G4291" s="72" t="str">
        <f>HYPERLINK("http://api.nsgreg.nga.mil/geo-division/GENC/6/3-11/CH-BS","as:GENC:6:3-11:CH-BS")</f>
        <v>as:GENC:6:3-11:CH-BS</v>
      </c>
    </row>
    <row r="4292" spans="1:7" x14ac:dyDescent="0.25">
      <c r="A4292" s="112"/>
      <c r="B4292" s="21" t="s">
        <v>10203</v>
      </c>
      <c r="C4292" s="21" t="s">
        <v>10204</v>
      </c>
      <c r="D4292" s="21" t="s">
        <v>6587</v>
      </c>
      <c r="E4292" s="50" t="b">
        <v>1</v>
      </c>
      <c r="F4292" s="72" t="str">
        <f>HYPERLINK("http://nsgreg.nga.mil/genc/view?v=291940&amp;end_month=6&amp;end_day=30&amp;end_year=2019","Bern")</f>
        <v>Bern</v>
      </c>
      <c r="G4292" s="72" t="str">
        <f>HYPERLINK("http://api.nsgreg.nga.mil/geo-division/GENC/6/3-11/CH-BE","as:GENC:6:3-11:CH-BE")</f>
        <v>as:GENC:6:3-11:CH-BE</v>
      </c>
    </row>
    <row r="4293" spans="1:7" x14ac:dyDescent="0.25">
      <c r="A4293" s="112"/>
      <c r="B4293" s="21" t="s">
        <v>10205</v>
      </c>
      <c r="C4293" s="21" t="s">
        <v>10206</v>
      </c>
      <c r="D4293" s="21" t="s">
        <v>6587</v>
      </c>
      <c r="E4293" s="50" t="b">
        <v>1</v>
      </c>
      <c r="F4293" s="72" t="str">
        <f>HYPERLINK("http://nsgreg.nga.mil/genc/view?v=291943&amp;end_month=6&amp;end_day=30&amp;end_year=2019","Fribourg")</f>
        <v>Fribourg</v>
      </c>
      <c r="G4293" s="72" t="str">
        <f>HYPERLINK("http://api.nsgreg.nga.mil/geo-division/GENC/6/3-11/CH-FR","as:GENC:6:3-11:CH-FR")</f>
        <v>as:GENC:6:3-11:CH-FR</v>
      </c>
    </row>
    <row r="4294" spans="1:7" x14ac:dyDescent="0.25">
      <c r="A4294" s="112"/>
      <c r="B4294" s="21" t="s">
        <v>10207</v>
      </c>
      <c r="C4294" s="21" t="s">
        <v>10208</v>
      </c>
      <c r="D4294" s="21" t="s">
        <v>6587</v>
      </c>
      <c r="E4294" s="50" t="b">
        <v>1</v>
      </c>
      <c r="F4294" s="72" t="str">
        <f>HYPERLINK("http://nsgreg.nga.mil/genc/view?v=291944&amp;end_month=6&amp;end_day=30&amp;end_year=2019","Genève")</f>
        <v>Genève</v>
      </c>
      <c r="G4294" s="72" t="str">
        <f>HYPERLINK("http://api.nsgreg.nga.mil/geo-division/GENC/6/3-11/CH-GE","as:GENC:6:3-11:CH-GE")</f>
        <v>as:GENC:6:3-11:CH-GE</v>
      </c>
    </row>
    <row r="4295" spans="1:7" x14ac:dyDescent="0.25">
      <c r="A4295" s="112"/>
      <c r="B4295" s="21" t="s">
        <v>10209</v>
      </c>
      <c r="C4295" s="21" t="s">
        <v>10210</v>
      </c>
      <c r="D4295" s="21" t="s">
        <v>6587</v>
      </c>
      <c r="E4295" s="50" t="b">
        <v>1</v>
      </c>
      <c r="F4295" s="72" t="str">
        <f>HYPERLINK("http://nsgreg.nga.mil/genc/view?v=291945&amp;end_month=6&amp;end_day=30&amp;end_year=2019","Glarus")</f>
        <v>Glarus</v>
      </c>
      <c r="G4295" s="72" t="str">
        <f>HYPERLINK("http://api.nsgreg.nga.mil/geo-division/GENC/6/3-11/CH-GL","as:GENC:6:3-11:CH-GL")</f>
        <v>as:GENC:6:3-11:CH-GL</v>
      </c>
    </row>
    <row r="4296" spans="1:7" x14ac:dyDescent="0.25">
      <c r="A4296" s="112"/>
      <c r="B4296" s="21" t="s">
        <v>10211</v>
      </c>
      <c r="C4296" s="21" t="s">
        <v>10212</v>
      </c>
      <c r="D4296" s="21" t="s">
        <v>6587</v>
      </c>
      <c r="E4296" s="50" t="b">
        <v>1</v>
      </c>
      <c r="F4296" s="72" t="str">
        <f>HYPERLINK("http://nsgreg.nga.mil/genc/view?v=291946&amp;end_month=6&amp;end_day=30&amp;end_year=2019","Graubünden")</f>
        <v>Graubünden</v>
      </c>
      <c r="G4296" s="72" t="str">
        <f>HYPERLINK("http://api.nsgreg.nga.mil/geo-division/GENC/6/3-11/CH-GR","as:GENC:6:3-11:CH-GR")</f>
        <v>as:GENC:6:3-11:CH-GR</v>
      </c>
    </row>
    <row r="4297" spans="1:7" x14ac:dyDescent="0.25">
      <c r="A4297" s="112"/>
      <c r="B4297" s="21" t="s">
        <v>10213</v>
      </c>
      <c r="C4297" s="21" t="s">
        <v>10214</v>
      </c>
      <c r="D4297" s="21" t="s">
        <v>6587</v>
      </c>
      <c r="E4297" s="50" t="b">
        <v>1</v>
      </c>
      <c r="F4297" s="72" t="str">
        <f>HYPERLINK("http://nsgreg.nga.mil/genc/view?v=291947&amp;end_month=6&amp;end_day=30&amp;end_year=2019","Jura")</f>
        <v>Jura</v>
      </c>
      <c r="G4297" s="72" t="str">
        <f>HYPERLINK("http://api.nsgreg.nga.mil/geo-division/GENC/6/3-11/CH-JU","as:GENC:6:3-11:CH-JU")</f>
        <v>as:GENC:6:3-11:CH-JU</v>
      </c>
    </row>
    <row r="4298" spans="1:7" x14ac:dyDescent="0.25">
      <c r="A4298" s="112"/>
      <c r="B4298" s="21" t="s">
        <v>10215</v>
      </c>
      <c r="C4298" s="21" t="s">
        <v>10216</v>
      </c>
      <c r="D4298" s="21" t="s">
        <v>6587</v>
      </c>
      <c r="E4298" s="50" t="b">
        <v>1</v>
      </c>
      <c r="F4298" s="72" t="str">
        <f>HYPERLINK("http://nsgreg.nga.mil/genc/view?v=291948&amp;end_month=6&amp;end_day=30&amp;end_year=2019","Luzern")</f>
        <v>Luzern</v>
      </c>
      <c r="G4298" s="72" t="str">
        <f>HYPERLINK("http://api.nsgreg.nga.mil/geo-division/GENC/6/3-11/CH-LU","as:GENC:6:3-11:CH-LU")</f>
        <v>as:GENC:6:3-11:CH-LU</v>
      </c>
    </row>
    <row r="4299" spans="1:7" x14ac:dyDescent="0.25">
      <c r="A4299" s="112"/>
      <c r="B4299" s="21" t="s">
        <v>10217</v>
      </c>
      <c r="C4299" s="21" t="s">
        <v>10218</v>
      </c>
      <c r="D4299" s="21" t="s">
        <v>6587</v>
      </c>
      <c r="E4299" s="50" t="b">
        <v>1</v>
      </c>
      <c r="F4299" s="72" t="str">
        <f>HYPERLINK("http://nsgreg.nga.mil/genc/view?v=291949&amp;end_month=6&amp;end_day=30&amp;end_year=2019","Neuchâtel")</f>
        <v>Neuchâtel</v>
      </c>
      <c r="G4299" s="72" t="str">
        <f>HYPERLINK("http://api.nsgreg.nga.mil/geo-division/GENC/6/3-11/CH-NE","as:GENC:6:3-11:CH-NE")</f>
        <v>as:GENC:6:3-11:CH-NE</v>
      </c>
    </row>
    <row r="4300" spans="1:7" x14ac:dyDescent="0.25">
      <c r="A4300" s="112"/>
      <c r="B4300" s="21" t="s">
        <v>10219</v>
      </c>
      <c r="C4300" s="21" t="s">
        <v>10220</v>
      </c>
      <c r="D4300" s="21" t="s">
        <v>6587</v>
      </c>
      <c r="E4300" s="50" t="b">
        <v>1</v>
      </c>
      <c r="F4300" s="72" t="str">
        <f>HYPERLINK("http://nsgreg.nga.mil/genc/view?v=291950&amp;end_month=6&amp;end_day=30&amp;end_year=2019","Nidwalden")</f>
        <v>Nidwalden</v>
      </c>
      <c r="G4300" s="72" t="str">
        <f>HYPERLINK("http://api.nsgreg.nga.mil/geo-division/GENC/6/3-11/CH-NW","as:GENC:6:3-11:CH-NW")</f>
        <v>as:GENC:6:3-11:CH-NW</v>
      </c>
    </row>
    <row r="4301" spans="1:7" x14ac:dyDescent="0.25">
      <c r="A4301" s="112"/>
      <c r="B4301" s="21" t="s">
        <v>10221</v>
      </c>
      <c r="C4301" s="21" t="s">
        <v>10222</v>
      </c>
      <c r="D4301" s="21" t="s">
        <v>6587</v>
      </c>
      <c r="E4301" s="50" t="b">
        <v>1</v>
      </c>
      <c r="F4301" s="72" t="str">
        <f>HYPERLINK("http://nsgreg.nga.mil/genc/view?v=291951&amp;end_month=6&amp;end_day=30&amp;end_year=2019","Obwalden")</f>
        <v>Obwalden</v>
      </c>
      <c r="G4301" s="72" t="str">
        <f>HYPERLINK("http://api.nsgreg.nga.mil/geo-division/GENC/6/3-11/CH-OW","as:GENC:6:3-11:CH-OW")</f>
        <v>as:GENC:6:3-11:CH-OW</v>
      </c>
    </row>
    <row r="4302" spans="1:7" x14ac:dyDescent="0.25">
      <c r="A4302" s="112"/>
      <c r="B4302" s="21" t="s">
        <v>10223</v>
      </c>
      <c r="C4302" s="21" t="s">
        <v>10224</v>
      </c>
      <c r="D4302" s="21" t="s">
        <v>6587</v>
      </c>
      <c r="E4302" s="50" t="b">
        <v>1</v>
      </c>
      <c r="F4302" s="72" t="str">
        <f>HYPERLINK("http://nsgreg.nga.mil/genc/view?v=291952&amp;end_month=6&amp;end_day=30&amp;end_year=2019","Sankt Gallen")</f>
        <v>Sankt Gallen</v>
      </c>
      <c r="G4302" s="72" t="str">
        <f>HYPERLINK("http://api.nsgreg.nga.mil/geo-division/GENC/6/3-11/CH-SG","as:GENC:6:3-11:CH-SG")</f>
        <v>as:GENC:6:3-11:CH-SG</v>
      </c>
    </row>
    <row r="4303" spans="1:7" x14ac:dyDescent="0.25">
      <c r="A4303" s="112"/>
      <c r="B4303" s="21" t="s">
        <v>10225</v>
      </c>
      <c r="C4303" s="21" t="s">
        <v>10226</v>
      </c>
      <c r="D4303" s="21" t="s">
        <v>6587</v>
      </c>
      <c r="E4303" s="50" t="b">
        <v>1</v>
      </c>
      <c r="F4303" s="72" t="str">
        <f>HYPERLINK("http://nsgreg.nga.mil/genc/view?v=291953&amp;end_month=6&amp;end_day=30&amp;end_year=2019","Schaffhausen")</f>
        <v>Schaffhausen</v>
      </c>
      <c r="G4303" s="72" t="str">
        <f>HYPERLINK("http://api.nsgreg.nga.mil/geo-division/GENC/6/3-11/CH-SH","as:GENC:6:3-11:CH-SH")</f>
        <v>as:GENC:6:3-11:CH-SH</v>
      </c>
    </row>
    <row r="4304" spans="1:7" x14ac:dyDescent="0.25">
      <c r="A4304" s="112"/>
      <c r="B4304" s="21" t="s">
        <v>10227</v>
      </c>
      <c r="C4304" s="21" t="s">
        <v>10228</v>
      </c>
      <c r="D4304" s="21" t="s">
        <v>6587</v>
      </c>
      <c r="E4304" s="50" t="b">
        <v>1</v>
      </c>
      <c r="F4304" s="72" t="str">
        <f>HYPERLINK("http://nsgreg.nga.mil/genc/view?v=291955&amp;end_month=6&amp;end_day=30&amp;end_year=2019","Schwyz")</f>
        <v>Schwyz</v>
      </c>
      <c r="G4304" s="72" t="str">
        <f>HYPERLINK("http://api.nsgreg.nga.mil/geo-division/GENC/6/3-11/CH-SZ","as:GENC:6:3-11:CH-SZ")</f>
        <v>as:GENC:6:3-11:CH-SZ</v>
      </c>
    </row>
    <row r="4305" spans="1:7" x14ac:dyDescent="0.25">
      <c r="A4305" s="112"/>
      <c r="B4305" s="21" t="s">
        <v>10229</v>
      </c>
      <c r="C4305" s="21" t="s">
        <v>10230</v>
      </c>
      <c r="D4305" s="21" t="s">
        <v>6587</v>
      </c>
      <c r="E4305" s="50" t="b">
        <v>1</v>
      </c>
      <c r="F4305" s="72" t="str">
        <f>HYPERLINK("http://nsgreg.nga.mil/genc/view?v=291954&amp;end_month=6&amp;end_day=30&amp;end_year=2019","Solothurn")</f>
        <v>Solothurn</v>
      </c>
      <c r="G4305" s="72" t="str">
        <f>HYPERLINK("http://api.nsgreg.nga.mil/geo-division/GENC/6/3-11/CH-SO","as:GENC:6:3-11:CH-SO")</f>
        <v>as:GENC:6:3-11:CH-SO</v>
      </c>
    </row>
    <row r="4306" spans="1:7" x14ac:dyDescent="0.25">
      <c r="A4306" s="112"/>
      <c r="B4306" s="21" t="s">
        <v>10231</v>
      </c>
      <c r="C4306" s="21" t="s">
        <v>10232</v>
      </c>
      <c r="D4306" s="21" t="s">
        <v>6587</v>
      </c>
      <c r="E4306" s="50" t="b">
        <v>1</v>
      </c>
      <c r="F4306" s="72" t="str">
        <f>HYPERLINK("http://nsgreg.nga.mil/genc/view?v=291956&amp;end_month=6&amp;end_day=30&amp;end_year=2019","Thurgau")</f>
        <v>Thurgau</v>
      </c>
      <c r="G4306" s="72" t="str">
        <f>HYPERLINK("http://api.nsgreg.nga.mil/geo-division/GENC/6/3-11/CH-TG","as:GENC:6:3-11:CH-TG")</f>
        <v>as:GENC:6:3-11:CH-TG</v>
      </c>
    </row>
    <row r="4307" spans="1:7" x14ac:dyDescent="0.25">
      <c r="A4307" s="112"/>
      <c r="B4307" s="21" t="s">
        <v>10233</v>
      </c>
      <c r="C4307" s="21" t="s">
        <v>10234</v>
      </c>
      <c r="D4307" s="21" t="s">
        <v>6587</v>
      </c>
      <c r="E4307" s="50" t="b">
        <v>1</v>
      </c>
      <c r="F4307" s="72" t="str">
        <f>HYPERLINK("http://nsgreg.nga.mil/genc/view?v=291957&amp;end_month=6&amp;end_day=30&amp;end_year=2019","Ticino")</f>
        <v>Ticino</v>
      </c>
      <c r="G4307" s="72" t="str">
        <f>HYPERLINK("http://api.nsgreg.nga.mil/geo-division/GENC/6/3-11/CH-TI","as:GENC:6:3-11:CH-TI")</f>
        <v>as:GENC:6:3-11:CH-TI</v>
      </c>
    </row>
    <row r="4308" spans="1:7" x14ac:dyDescent="0.25">
      <c r="A4308" s="112"/>
      <c r="B4308" s="21" t="s">
        <v>10235</v>
      </c>
      <c r="C4308" s="21" t="s">
        <v>10236</v>
      </c>
      <c r="D4308" s="21" t="s">
        <v>6587</v>
      </c>
      <c r="E4308" s="50" t="b">
        <v>1</v>
      </c>
      <c r="F4308" s="72" t="str">
        <f>HYPERLINK("http://nsgreg.nga.mil/genc/view?v=291958&amp;end_month=6&amp;end_day=30&amp;end_year=2019","Uri")</f>
        <v>Uri</v>
      </c>
      <c r="G4308" s="72" t="str">
        <f>HYPERLINK("http://api.nsgreg.nga.mil/geo-division/GENC/6/3-11/CH-UR","as:GENC:6:3-11:CH-UR")</f>
        <v>as:GENC:6:3-11:CH-UR</v>
      </c>
    </row>
    <row r="4309" spans="1:7" x14ac:dyDescent="0.25">
      <c r="A4309" s="112"/>
      <c r="B4309" s="21" t="s">
        <v>10237</v>
      </c>
      <c r="C4309" s="21" t="s">
        <v>10238</v>
      </c>
      <c r="D4309" s="21" t="s">
        <v>6587</v>
      </c>
      <c r="E4309" s="50" t="b">
        <v>1</v>
      </c>
      <c r="F4309" s="72" t="str">
        <f>HYPERLINK("http://nsgreg.nga.mil/genc/view?v=291960&amp;end_month=6&amp;end_day=30&amp;end_year=2019","Valais")</f>
        <v>Valais</v>
      </c>
      <c r="G4309" s="72" t="str">
        <f>HYPERLINK("http://api.nsgreg.nga.mil/geo-division/GENC/6/3-11/CH-VS","as:GENC:6:3-11:CH-VS")</f>
        <v>as:GENC:6:3-11:CH-VS</v>
      </c>
    </row>
    <row r="4310" spans="1:7" x14ac:dyDescent="0.25">
      <c r="A4310" s="112"/>
      <c r="B4310" s="21" t="s">
        <v>10239</v>
      </c>
      <c r="C4310" s="21" t="s">
        <v>10240</v>
      </c>
      <c r="D4310" s="21" t="s">
        <v>6587</v>
      </c>
      <c r="E4310" s="50" t="b">
        <v>1</v>
      </c>
      <c r="F4310" s="72" t="str">
        <f>HYPERLINK("http://nsgreg.nga.mil/genc/view?v=291959&amp;end_month=6&amp;end_day=30&amp;end_year=2019","Vaud")</f>
        <v>Vaud</v>
      </c>
      <c r="G4310" s="72" t="str">
        <f>HYPERLINK("http://api.nsgreg.nga.mil/geo-division/GENC/6/3-11/CH-VD","as:GENC:6:3-11:CH-VD")</f>
        <v>as:GENC:6:3-11:CH-VD</v>
      </c>
    </row>
    <row r="4311" spans="1:7" x14ac:dyDescent="0.25">
      <c r="A4311" s="112"/>
      <c r="B4311" s="21" t="s">
        <v>10241</v>
      </c>
      <c r="C4311" s="21" t="s">
        <v>10242</v>
      </c>
      <c r="D4311" s="21" t="s">
        <v>6587</v>
      </c>
      <c r="E4311" s="50" t="b">
        <v>1</v>
      </c>
      <c r="F4311" s="72" t="str">
        <f>HYPERLINK("http://nsgreg.nga.mil/genc/view?v=291961&amp;end_month=6&amp;end_day=30&amp;end_year=2019","Zug")</f>
        <v>Zug</v>
      </c>
      <c r="G4311" s="72" t="str">
        <f>HYPERLINK("http://api.nsgreg.nga.mil/geo-division/GENC/6/3-11/CH-ZG","as:GENC:6:3-11:CH-ZG")</f>
        <v>as:GENC:6:3-11:CH-ZG</v>
      </c>
    </row>
    <row r="4312" spans="1:7" x14ac:dyDescent="0.25">
      <c r="A4312" s="113"/>
      <c r="B4312" s="47" t="s">
        <v>10243</v>
      </c>
      <c r="C4312" s="47" t="s">
        <v>10244</v>
      </c>
      <c r="D4312" s="47" t="s">
        <v>6587</v>
      </c>
      <c r="E4312" s="51" t="b">
        <v>1</v>
      </c>
      <c r="F4312" s="73" t="str">
        <f>HYPERLINK("http://nsgreg.nga.mil/genc/view?v=291962&amp;end_month=6&amp;end_day=30&amp;end_year=2019","Zürich")</f>
        <v>Zürich</v>
      </c>
      <c r="G4312" s="73" t="str">
        <f>HYPERLINK("http://api.nsgreg.nga.mil/geo-division/GENC/6/3-11/CH-ZH","as:GENC:6:3-11:CH-ZH")</f>
        <v>as:GENC:6:3-11:CH-ZH</v>
      </c>
    </row>
    <row r="4313" spans="1:7" x14ac:dyDescent="0.25">
      <c r="A4313" s="111" t="str">
        <f>HYPERLINK("[#]Codes_for_GE_Names!A247:I247","SYRIA")</f>
        <v>SYRIA</v>
      </c>
      <c r="B4313" s="42" t="s">
        <v>10245</v>
      </c>
      <c r="C4313" s="42" t="s">
        <v>10246</v>
      </c>
      <c r="D4313" s="42" t="s">
        <v>2255</v>
      </c>
      <c r="E4313" s="49" t="b">
        <v>1</v>
      </c>
      <c r="F4313" s="74" t="str">
        <f>HYPERLINK("http://nsgreg.nga.mil/genc/view?v=295838&amp;end_month=6&amp;end_day=30&amp;end_year=2019","Al Ḩasakah")</f>
        <v>Al Ḩasakah</v>
      </c>
      <c r="G4313" s="74" t="str">
        <f>HYPERLINK("http://api.nsgreg.nga.mil/geo-division/GENC/6/3-11/SY-HA","as:GENC:6:3-11:SY-HA")</f>
        <v>as:GENC:6:3-11:SY-HA</v>
      </c>
    </row>
    <row r="4314" spans="1:7" x14ac:dyDescent="0.25">
      <c r="A4314" s="112"/>
      <c r="B4314" s="21" t="s">
        <v>10247</v>
      </c>
      <c r="C4314" s="21" t="s">
        <v>10248</v>
      </c>
      <c r="D4314" s="21" t="s">
        <v>2255</v>
      </c>
      <c r="E4314" s="50" t="b">
        <v>1</v>
      </c>
      <c r="F4314" s="72" t="str">
        <f>HYPERLINK("http://nsgreg.nga.mil/genc/view?v=295843&amp;end_month=6&amp;end_day=30&amp;end_year=2019","Al Lādhiqīyah")</f>
        <v>Al Lādhiqīyah</v>
      </c>
      <c r="G4314" s="72" t="str">
        <f>HYPERLINK("http://api.nsgreg.nga.mil/geo-division/GENC/6/3-11/SY-LA","as:GENC:6:3-11:SY-LA")</f>
        <v>as:GENC:6:3-11:SY-LA</v>
      </c>
    </row>
    <row r="4315" spans="1:7" x14ac:dyDescent="0.25">
      <c r="A4315" s="112"/>
      <c r="B4315" s="21" t="s">
        <v>10249</v>
      </c>
      <c r="C4315" s="21" t="s">
        <v>10250</v>
      </c>
      <c r="D4315" s="21" t="s">
        <v>2255</v>
      </c>
      <c r="E4315" s="50" t="b">
        <v>1</v>
      </c>
      <c r="F4315" s="72" t="str">
        <f>HYPERLINK("http://nsgreg.nga.mil/genc/view?v=295844&amp;end_month=6&amp;end_day=30&amp;end_year=2019","Al Qunayţirah")</f>
        <v>Al Qunayţirah</v>
      </c>
      <c r="G4315" s="72" t="str">
        <f>HYPERLINK("http://api.nsgreg.nga.mil/geo-division/GENC/6/3-11/SY-QU","as:GENC:6:3-11:SY-QU")</f>
        <v>as:GENC:6:3-11:SY-QU</v>
      </c>
    </row>
    <row r="4316" spans="1:7" x14ac:dyDescent="0.25">
      <c r="A4316" s="112"/>
      <c r="B4316" s="21" t="s">
        <v>10251</v>
      </c>
      <c r="C4316" s="21" t="s">
        <v>10252</v>
      </c>
      <c r="D4316" s="21" t="s">
        <v>2255</v>
      </c>
      <c r="E4316" s="50" t="b">
        <v>1</v>
      </c>
      <c r="F4316" s="72" t="str">
        <f>HYPERLINK("http://nsgreg.nga.mil/genc/view?v=295845&amp;end_month=6&amp;end_day=30&amp;end_year=2019","Ar Raqqah")</f>
        <v>Ar Raqqah</v>
      </c>
      <c r="G4316" s="72" t="str">
        <f>HYPERLINK("http://api.nsgreg.nga.mil/geo-division/GENC/6/3-11/SY-RA","as:GENC:6:3-11:SY-RA")</f>
        <v>as:GENC:6:3-11:SY-RA</v>
      </c>
    </row>
    <row r="4317" spans="1:7" x14ac:dyDescent="0.25">
      <c r="A4317" s="112"/>
      <c r="B4317" s="21" t="s">
        <v>10253</v>
      </c>
      <c r="C4317" s="21" t="s">
        <v>10254</v>
      </c>
      <c r="D4317" s="21" t="s">
        <v>2255</v>
      </c>
      <c r="E4317" s="50" t="b">
        <v>1</v>
      </c>
      <c r="F4317" s="72" t="str">
        <f>HYPERLINK("http://nsgreg.nga.mil/genc/view?v=295847&amp;end_month=6&amp;end_day=30&amp;end_year=2019","As Suwaydā’")</f>
        <v>As Suwaydā’</v>
      </c>
      <c r="G4317" s="72" t="str">
        <f>HYPERLINK("http://api.nsgreg.nga.mil/geo-division/GENC/6/3-11/SY-SU","as:GENC:6:3-11:SY-SU")</f>
        <v>as:GENC:6:3-11:SY-SU</v>
      </c>
    </row>
    <row r="4318" spans="1:7" x14ac:dyDescent="0.25">
      <c r="A4318" s="112"/>
      <c r="B4318" s="21" t="s">
        <v>10255</v>
      </c>
      <c r="C4318" s="21" t="s">
        <v>10256</v>
      </c>
      <c r="D4318" s="21" t="s">
        <v>2255</v>
      </c>
      <c r="E4318" s="50" t="b">
        <v>1</v>
      </c>
      <c r="F4318" s="72" t="str">
        <f>HYPERLINK("http://nsgreg.nga.mil/genc/view?v=295836&amp;end_month=6&amp;end_day=30&amp;end_year=2019","Dar‘ā")</f>
        <v>Dar‘ā</v>
      </c>
      <c r="G4318" s="72" t="str">
        <f>HYPERLINK("http://api.nsgreg.nga.mil/geo-division/GENC/6/3-11/SY-DR","as:GENC:6:3-11:SY-DR")</f>
        <v>as:GENC:6:3-11:SY-DR</v>
      </c>
    </row>
    <row r="4319" spans="1:7" x14ac:dyDescent="0.25">
      <c r="A4319" s="112"/>
      <c r="B4319" s="21" t="s">
        <v>10257</v>
      </c>
      <c r="C4319" s="21" t="s">
        <v>10258</v>
      </c>
      <c r="D4319" s="21" t="s">
        <v>2255</v>
      </c>
      <c r="E4319" s="50" t="b">
        <v>1</v>
      </c>
      <c r="F4319" s="72" t="str">
        <f>HYPERLINK("http://nsgreg.nga.mil/genc/view?v=295837&amp;end_month=6&amp;end_day=30&amp;end_year=2019","Dayr az Zawr")</f>
        <v>Dayr az Zawr</v>
      </c>
      <c r="G4319" s="72" t="str">
        <f>HYPERLINK("http://api.nsgreg.nga.mil/geo-division/GENC/6/3-11/SY-DY","as:GENC:6:3-11:SY-DY")</f>
        <v>as:GENC:6:3-11:SY-DY</v>
      </c>
    </row>
    <row r="4320" spans="1:7" x14ac:dyDescent="0.25">
      <c r="A4320" s="112"/>
      <c r="B4320" s="21" t="s">
        <v>10259</v>
      </c>
      <c r="C4320" s="21" t="s">
        <v>10260</v>
      </c>
      <c r="D4320" s="21" t="s">
        <v>2255</v>
      </c>
      <c r="E4320" s="50" t="b">
        <v>1</v>
      </c>
      <c r="F4320" s="72" t="str">
        <f>HYPERLINK("http://nsgreg.nga.mil/genc/view?v=295835&amp;end_month=6&amp;end_day=30&amp;end_year=2019","Dimashq")</f>
        <v>Dimashq</v>
      </c>
      <c r="G4320" s="72" t="str">
        <f>HYPERLINK("http://api.nsgreg.nga.mil/geo-division/GENC/6/3-11/SY-DI","as:GENC:6:3-11:SY-DI")</f>
        <v>as:GENC:6:3-11:SY-DI</v>
      </c>
    </row>
    <row r="4321" spans="1:7" x14ac:dyDescent="0.25">
      <c r="A4321" s="112"/>
      <c r="B4321" s="21" t="s">
        <v>10261</v>
      </c>
      <c r="C4321" s="21" t="s">
        <v>10262</v>
      </c>
      <c r="D4321" s="21" t="s">
        <v>2255</v>
      </c>
      <c r="E4321" s="50" t="b">
        <v>1</v>
      </c>
      <c r="F4321" s="72" t="str">
        <f>HYPERLINK("http://nsgreg.nga.mil/genc/view?v=295840&amp;end_month=6&amp;end_day=30&amp;end_year=2019","Ḩalab")</f>
        <v>Ḩalab</v>
      </c>
      <c r="G4321" s="72" t="str">
        <f>HYPERLINK("http://api.nsgreg.nga.mil/geo-division/GENC/6/3-11/SY-HL","as:GENC:6:3-11:SY-HL")</f>
        <v>as:GENC:6:3-11:SY-HL</v>
      </c>
    </row>
    <row r="4322" spans="1:7" x14ac:dyDescent="0.25">
      <c r="A4322" s="112"/>
      <c r="B4322" s="21" t="s">
        <v>10263</v>
      </c>
      <c r="C4322" s="21" t="s">
        <v>10264</v>
      </c>
      <c r="D4322" s="21" t="s">
        <v>2255</v>
      </c>
      <c r="E4322" s="50" t="b">
        <v>1</v>
      </c>
      <c r="F4322" s="72" t="str">
        <f>HYPERLINK("http://nsgreg.nga.mil/genc/view?v=295841&amp;end_month=6&amp;end_day=30&amp;end_year=2019","Ḩamāh")</f>
        <v>Ḩamāh</v>
      </c>
      <c r="G4322" s="72" t="str">
        <f>HYPERLINK("http://api.nsgreg.nga.mil/geo-division/GENC/6/3-11/SY-HM","as:GENC:6:3-11:SY-HM")</f>
        <v>as:GENC:6:3-11:SY-HM</v>
      </c>
    </row>
    <row r="4323" spans="1:7" x14ac:dyDescent="0.25">
      <c r="A4323" s="112"/>
      <c r="B4323" s="21" t="s">
        <v>10265</v>
      </c>
      <c r="C4323" s="21" t="s">
        <v>10266</v>
      </c>
      <c r="D4323" s="21" t="s">
        <v>2255</v>
      </c>
      <c r="E4323" s="50" t="b">
        <v>1</v>
      </c>
      <c r="F4323" s="72" t="str">
        <f>HYPERLINK("http://nsgreg.nga.mil/genc/view?v=295839&amp;end_month=6&amp;end_day=30&amp;end_year=2019","Ḩimş")</f>
        <v>Ḩimş</v>
      </c>
      <c r="G4323" s="72" t="str">
        <f>HYPERLINK("http://api.nsgreg.nga.mil/geo-division/GENC/6/3-11/SY-HI","as:GENC:6:3-11:SY-HI")</f>
        <v>as:GENC:6:3-11:SY-HI</v>
      </c>
    </row>
    <row r="4324" spans="1:7" x14ac:dyDescent="0.25">
      <c r="A4324" s="112"/>
      <c r="B4324" s="21" t="s">
        <v>10267</v>
      </c>
      <c r="C4324" s="21" t="s">
        <v>10268</v>
      </c>
      <c r="D4324" s="21" t="s">
        <v>2255</v>
      </c>
      <c r="E4324" s="50" t="b">
        <v>1</v>
      </c>
      <c r="F4324" s="72" t="str">
        <f>HYPERLINK("http://nsgreg.nga.mil/genc/view?v=295842&amp;end_month=6&amp;end_day=30&amp;end_year=2019","Idlib")</f>
        <v>Idlib</v>
      </c>
      <c r="G4324" s="72" t="str">
        <f>HYPERLINK("http://api.nsgreg.nga.mil/geo-division/GENC/6/3-11/SY-ID","as:GENC:6:3-11:SY-ID")</f>
        <v>as:GENC:6:3-11:SY-ID</v>
      </c>
    </row>
    <row r="4325" spans="1:7" x14ac:dyDescent="0.25">
      <c r="A4325" s="112"/>
      <c r="B4325" s="21" t="s">
        <v>10269</v>
      </c>
      <c r="C4325" s="21" t="s">
        <v>10270</v>
      </c>
      <c r="D4325" s="21" t="s">
        <v>2255</v>
      </c>
      <c r="E4325" s="50" t="b">
        <v>1</v>
      </c>
      <c r="F4325" s="72" t="str">
        <f>HYPERLINK("http://nsgreg.nga.mil/genc/view?v=295846&amp;end_month=6&amp;end_day=30&amp;end_year=2019","Rīf Dimashq")</f>
        <v>Rīf Dimashq</v>
      </c>
      <c r="G4325" s="72" t="str">
        <f>HYPERLINK("http://api.nsgreg.nga.mil/geo-division/GENC/6/3-11/SY-RD","as:GENC:6:3-11:SY-RD")</f>
        <v>as:GENC:6:3-11:SY-RD</v>
      </c>
    </row>
    <row r="4326" spans="1:7" x14ac:dyDescent="0.25">
      <c r="A4326" s="113"/>
      <c r="B4326" s="47" t="s">
        <v>10271</v>
      </c>
      <c r="C4326" s="47" t="s">
        <v>10272</v>
      </c>
      <c r="D4326" s="47" t="s">
        <v>2255</v>
      </c>
      <c r="E4326" s="51" t="b">
        <v>1</v>
      </c>
      <c r="F4326" s="73" t="str">
        <f>HYPERLINK("http://nsgreg.nga.mil/genc/view?v=295848&amp;end_month=6&amp;end_day=30&amp;end_year=2019","Ţarţūs")</f>
        <v>Ţarţūs</v>
      </c>
      <c r="G4326" s="73" t="str">
        <f>HYPERLINK("http://api.nsgreg.nga.mil/geo-division/GENC/6/3-11/SY-TA","as:GENC:6:3-11:SY-TA")</f>
        <v>as:GENC:6:3-11:SY-TA</v>
      </c>
    </row>
    <row r="4327" spans="1:7" x14ac:dyDescent="0.25">
      <c r="A4327" s="111" t="str">
        <f>HYPERLINK("[#]Codes_for_GE_Names!A248:I248","TAIWAN")</f>
        <v>TAIWAN</v>
      </c>
      <c r="B4327" s="42" t="s">
        <v>10273</v>
      </c>
      <c r="C4327" s="42" t="s">
        <v>10274</v>
      </c>
      <c r="D4327" s="42" t="s">
        <v>1737</v>
      </c>
      <c r="E4327" s="49" t="b">
        <v>1</v>
      </c>
      <c r="F4327" s="74" t="str">
        <f>HYPERLINK("http://nsgreg.nga.mil/genc/view?v=296116&amp;end_month=6&amp;end_day=30&amp;end_year=2019","Changhua")</f>
        <v>Changhua</v>
      </c>
      <c r="G4327" s="74" t="str">
        <f>HYPERLINK("http://api.nsgreg.nga.mil/geo-division/GENC/6/3-11/TW-CHA","as:GENC:6:3-11:TW-CHA")</f>
        <v>as:GENC:6:3-11:TW-CHA</v>
      </c>
    </row>
    <row r="4328" spans="1:7" x14ac:dyDescent="0.25">
      <c r="A4328" s="112"/>
      <c r="B4328" s="21" t="s">
        <v>10275</v>
      </c>
      <c r="C4328" s="21" t="s">
        <v>10276</v>
      </c>
      <c r="D4328" s="21" t="s">
        <v>1996</v>
      </c>
      <c r="E4328" s="50" t="b">
        <v>1</v>
      </c>
      <c r="F4328" s="72" t="str">
        <f>HYPERLINK("http://nsgreg.nga.mil/genc/view?v=296117&amp;end_month=6&amp;end_day=30&amp;end_year=2019","Chiayi")</f>
        <v>Chiayi</v>
      </c>
      <c r="G4328" s="72" t="str">
        <f>HYPERLINK("http://api.nsgreg.nga.mil/geo-division/GENC/6/3-11/TW-CYI","as:GENC:6:3-11:TW-CYI")</f>
        <v>as:GENC:6:3-11:TW-CYI</v>
      </c>
    </row>
    <row r="4329" spans="1:7" x14ac:dyDescent="0.25">
      <c r="A4329" s="112"/>
      <c r="B4329" s="21" t="s">
        <v>10277</v>
      </c>
      <c r="C4329" s="21" t="s">
        <v>10276</v>
      </c>
      <c r="D4329" s="21" t="s">
        <v>1737</v>
      </c>
      <c r="E4329" s="50" t="b">
        <v>1</v>
      </c>
      <c r="F4329" s="72" t="str">
        <f>HYPERLINK("http://nsgreg.nga.mil/genc/view?v=296118&amp;end_month=6&amp;end_day=30&amp;end_year=2019","Chiayi")</f>
        <v>Chiayi</v>
      </c>
      <c r="G4329" s="72" t="str">
        <f>HYPERLINK("http://api.nsgreg.nga.mil/geo-division/GENC/6/3-11/TW-CYQ","as:GENC:6:3-11:TW-CYQ")</f>
        <v>as:GENC:6:3-11:TW-CYQ</v>
      </c>
    </row>
    <row r="4330" spans="1:7" x14ac:dyDescent="0.25">
      <c r="A4330" s="112"/>
      <c r="B4330" s="21" t="s">
        <v>10278</v>
      </c>
      <c r="C4330" s="21" t="s">
        <v>10279</v>
      </c>
      <c r="D4330" s="21" t="s">
        <v>1996</v>
      </c>
      <c r="E4330" s="50" t="b">
        <v>1</v>
      </c>
      <c r="F4330" s="72" t="str">
        <f>HYPERLINK("http://nsgreg.nga.mil/genc/view?v=296120&amp;end_month=6&amp;end_day=30&amp;end_year=2019","Hsinchu")</f>
        <v>Hsinchu</v>
      </c>
      <c r="G4330" s="72" t="str">
        <f>HYPERLINK("http://api.nsgreg.nga.mil/geo-division/GENC/6/3-11/TW-HSZ","as:GENC:6:3-11:TW-HSZ")</f>
        <v>as:GENC:6:3-11:TW-HSZ</v>
      </c>
    </row>
    <row r="4331" spans="1:7" x14ac:dyDescent="0.25">
      <c r="A4331" s="112"/>
      <c r="B4331" s="21" t="s">
        <v>10280</v>
      </c>
      <c r="C4331" s="21" t="s">
        <v>10279</v>
      </c>
      <c r="D4331" s="21" t="s">
        <v>1737</v>
      </c>
      <c r="E4331" s="50" t="b">
        <v>1</v>
      </c>
      <c r="F4331" s="72" t="str">
        <f>HYPERLINK("http://nsgreg.nga.mil/genc/view?v=296119&amp;end_month=6&amp;end_day=30&amp;end_year=2019","Hsinchu")</f>
        <v>Hsinchu</v>
      </c>
      <c r="G4331" s="72" t="str">
        <f>HYPERLINK("http://api.nsgreg.nga.mil/geo-division/GENC/6/3-11/TW-HSQ","as:GENC:6:3-11:TW-HSQ")</f>
        <v>as:GENC:6:3-11:TW-HSQ</v>
      </c>
    </row>
    <row r="4332" spans="1:7" x14ac:dyDescent="0.25">
      <c r="A4332" s="112"/>
      <c r="B4332" s="21" t="s">
        <v>10281</v>
      </c>
      <c r="C4332" s="21" t="s">
        <v>10282</v>
      </c>
      <c r="D4332" s="21" t="s">
        <v>1737</v>
      </c>
      <c r="E4332" s="50" t="b">
        <v>1</v>
      </c>
      <c r="F4332" s="72" t="str">
        <f>HYPERLINK("http://nsgreg.nga.mil/genc/view?v=296121&amp;end_month=6&amp;end_day=30&amp;end_year=2019","Hualien")</f>
        <v>Hualien</v>
      </c>
      <c r="G4332" s="72" t="str">
        <f>HYPERLINK("http://api.nsgreg.nga.mil/geo-division/GENC/6/3-11/TW-HUA","as:GENC:6:3-11:TW-HUA")</f>
        <v>as:GENC:6:3-11:TW-HUA</v>
      </c>
    </row>
    <row r="4333" spans="1:7" x14ac:dyDescent="0.25">
      <c r="A4333" s="112"/>
      <c r="B4333" s="21" t="s">
        <v>10283</v>
      </c>
      <c r="C4333" s="21" t="s">
        <v>10284</v>
      </c>
      <c r="D4333" s="21" t="s">
        <v>2581</v>
      </c>
      <c r="E4333" s="50" t="b">
        <v>1</v>
      </c>
      <c r="F4333" s="72" t="str">
        <f>HYPERLINK("http://nsgreg.nga.mil/genc/view?v=296124&amp;end_month=6&amp;end_day=30&amp;end_year=2019","Kaohsiung")</f>
        <v>Kaohsiung</v>
      </c>
      <c r="G4333" s="72" t="str">
        <f>HYPERLINK("http://api.nsgreg.nga.mil/geo-division/GENC/6/3-11/TW-KHH","as:GENC:6:3-11:TW-KHH")</f>
        <v>as:GENC:6:3-11:TW-KHH</v>
      </c>
    </row>
    <row r="4334" spans="1:7" x14ac:dyDescent="0.25">
      <c r="A4334" s="112"/>
      <c r="B4334" s="21" t="s">
        <v>10285</v>
      </c>
      <c r="C4334" s="21" t="s">
        <v>10286</v>
      </c>
      <c r="D4334" s="21" t="s">
        <v>1996</v>
      </c>
      <c r="E4334" s="50" t="b">
        <v>1</v>
      </c>
      <c r="F4334" s="72" t="str">
        <f>HYPERLINK("http://nsgreg.nga.mil/genc/view?v=296123&amp;end_month=6&amp;end_day=30&amp;end_year=2019","Keelung")</f>
        <v>Keelung</v>
      </c>
      <c r="G4334" s="72" t="str">
        <f>HYPERLINK("http://api.nsgreg.nga.mil/geo-division/GENC/6/3-11/TW-KEE","as:GENC:6:3-11:TW-KEE")</f>
        <v>as:GENC:6:3-11:TW-KEE</v>
      </c>
    </row>
    <row r="4335" spans="1:7" x14ac:dyDescent="0.25">
      <c r="A4335" s="112"/>
      <c r="B4335" s="21" t="s">
        <v>10287</v>
      </c>
      <c r="C4335" s="21" t="s">
        <v>10288</v>
      </c>
      <c r="D4335" s="21" t="s">
        <v>1737</v>
      </c>
      <c r="E4335" s="50" t="b">
        <v>1</v>
      </c>
      <c r="F4335" s="72" t="str">
        <f>HYPERLINK("http://nsgreg.nga.mil/genc/view?v=296125&amp;end_month=6&amp;end_day=30&amp;end_year=2019","Kinmen")</f>
        <v>Kinmen</v>
      </c>
      <c r="G4335" s="72" t="str">
        <f>HYPERLINK("http://api.nsgreg.nga.mil/geo-division/GENC/6/3-11/TW-KIN","as:GENC:6:3-11:TW-KIN")</f>
        <v>as:GENC:6:3-11:TW-KIN</v>
      </c>
    </row>
    <row r="4336" spans="1:7" x14ac:dyDescent="0.25">
      <c r="A4336" s="112"/>
      <c r="B4336" s="21" t="s">
        <v>10289</v>
      </c>
      <c r="C4336" s="21" t="s">
        <v>10290</v>
      </c>
      <c r="D4336" s="21" t="s">
        <v>1737</v>
      </c>
      <c r="E4336" s="50" t="b">
        <v>1</v>
      </c>
      <c r="F4336" s="72" t="str">
        <f>HYPERLINK("http://nsgreg.nga.mil/genc/view?v=296126&amp;end_month=6&amp;end_day=30&amp;end_year=2019","Lienchiang")</f>
        <v>Lienchiang</v>
      </c>
      <c r="G4336" s="72" t="str">
        <f>HYPERLINK("http://api.nsgreg.nga.mil/geo-division/GENC/6/3-11/TW-LIE","as:GENC:6:3-11:TW-LIE")</f>
        <v>as:GENC:6:3-11:TW-LIE</v>
      </c>
    </row>
    <row r="4337" spans="1:7" x14ac:dyDescent="0.25">
      <c r="A4337" s="112"/>
      <c r="B4337" s="21" t="s">
        <v>10291</v>
      </c>
      <c r="C4337" s="21" t="s">
        <v>10292</v>
      </c>
      <c r="D4337" s="21" t="s">
        <v>1737</v>
      </c>
      <c r="E4337" s="50" t="b">
        <v>1</v>
      </c>
      <c r="F4337" s="72" t="str">
        <f>HYPERLINK("http://nsgreg.nga.mil/genc/view?v=296127&amp;end_month=6&amp;end_day=30&amp;end_year=2019","Miaoli")</f>
        <v>Miaoli</v>
      </c>
      <c r="G4337" s="72" t="str">
        <f>HYPERLINK("http://api.nsgreg.nga.mil/geo-division/GENC/6/3-11/TW-MIA","as:GENC:6:3-11:TW-MIA")</f>
        <v>as:GENC:6:3-11:TW-MIA</v>
      </c>
    </row>
    <row r="4338" spans="1:7" x14ac:dyDescent="0.25">
      <c r="A4338" s="112"/>
      <c r="B4338" s="21" t="s">
        <v>10293</v>
      </c>
      <c r="C4338" s="21" t="s">
        <v>10294</v>
      </c>
      <c r="D4338" s="21" t="s">
        <v>1737</v>
      </c>
      <c r="E4338" s="50" t="b">
        <v>1</v>
      </c>
      <c r="F4338" s="72" t="str">
        <f>HYPERLINK("http://nsgreg.nga.mil/genc/view?v=296128&amp;end_month=6&amp;end_day=30&amp;end_year=2019","Nantou")</f>
        <v>Nantou</v>
      </c>
      <c r="G4338" s="72" t="str">
        <f>HYPERLINK("http://api.nsgreg.nga.mil/geo-division/GENC/6/3-11/TW-NAN","as:GENC:6:3-11:TW-NAN")</f>
        <v>as:GENC:6:3-11:TW-NAN</v>
      </c>
    </row>
    <row r="4339" spans="1:7" x14ac:dyDescent="0.25">
      <c r="A4339" s="112"/>
      <c r="B4339" s="21" t="s">
        <v>10295</v>
      </c>
      <c r="C4339" s="21" t="s">
        <v>10296</v>
      </c>
      <c r="D4339" s="21" t="s">
        <v>2581</v>
      </c>
      <c r="E4339" s="50" t="b">
        <v>1</v>
      </c>
      <c r="F4339" s="72" t="str">
        <f>HYPERLINK("http://nsgreg.nga.mil/genc/view?v=296129&amp;end_month=6&amp;end_day=30&amp;end_year=2019","New Taipei")</f>
        <v>New Taipei</v>
      </c>
      <c r="G4339" s="72" t="str">
        <f>HYPERLINK("http://api.nsgreg.nga.mil/geo-division/GENC/6/3-11/TW-NWT","as:GENC:6:3-11:TW-NWT")</f>
        <v>as:GENC:6:3-11:TW-NWT</v>
      </c>
    </row>
    <row r="4340" spans="1:7" x14ac:dyDescent="0.25">
      <c r="A4340" s="112"/>
      <c r="B4340" s="21" t="s">
        <v>10297</v>
      </c>
      <c r="C4340" s="21" t="s">
        <v>10298</v>
      </c>
      <c r="D4340" s="21" t="s">
        <v>1737</v>
      </c>
      <c r="E4340" s="50" t="b">
        <v>1</v>
      </c>
      <c r="F4340" s="72" t="str">
        <f>HYPERLINK("http://nsgreg.nga.mil/genc/view?v=296130&amp;end_month=6&amp;end_day=30&amp;end_year=2019","Penghu")</f>
        <v>Penghu</v>
      </c>
      <c r="G4340" s="72" t="str">
        <f>HYPERLINK("http://api.nsgreg.nga.mil/geo-division/GENC/6/3-11/TW-PEN","as:GENC:6:3-11:TW-PEN")</f>
        <v>as:GENC:6:3-11:TW-PEN</v>
      </c>
    </row>
    <row r="4341" spans="1:7" x14ac:dyDescent="0.25">
      <c r="A4341" s="112"/>
      <c r="B4341" s="21" t="s">
        <v>10299</v>
      </c>
      <c r="C4341" s="21" t="s">
        <v>10300</v>
      </c>
      <c r="D4341" s="21" t="s">
        <v>1737</v>
      </c>
      <c r="E4341" s="50" t="b">
        <v>1</v>
      </c>
      <c r="F4341" s="72" t="str">
        <f>HYPERLINK("http://nsgreg.nga.mil/genc/view?v=296131&amp;end_month=6&amp;end_day=30&amp;end_year=2019","Pingtung")</f>
        <v>Pingtung</v>
      </c>
      <c r="G4341" s="72" t="str">
        <f>HYPERLINK("http://api.nsgreg.nga.mil/geo-division/GENC/6/3-11/TW-PIF","as:GENC:6:3-11:TW-PIF")</f>
        <v>as:GENC:6:3-11:TW-PIF</v>
      </c>
    </row>
    <row r="4342" spans="1:7" x14ac:dyDescent="0.25">
      <c r="A4342" s="112"/>
      <c r="B4342" s="21" t="s">
        <v>10301</v>
      </c>
      <c r="C4342" s="21" t="s">
        <v>10302</v>
      </c>
      <c r="D4342" s="21" t="s">
        <v>2581</v>
      </c>
      <c r="E4342" s="50" t="b">
        <v>1</v>
      </c>
      <c r="F4342" s="72" t="str">
        <f>HYPERLINK("http://nsgreg.nga.mil/genc/view?v=296136&amp;end_month=6&amp;end_day=30&amp;end_year=2019","Taichung")</f>
        <v>Taichung</v>
      </c>
      <c r="G4342" s="72" t="str">
        <f>HYPERLINK("http://api.nsgreg.nga.mil/geo-division/GENC/6/3-11/TW-TXG","as:GENC:6:3-11:TW-TXG")</f>
        <v>as:GENC:6:3-11:TW-TXG</v>
      </c>
    </row>
    <row r="4343" spans="1:7" x14ac:dyDescent="0.25">
      <c r="A4343" s="112"/>
      <c r="B4343" s="21" t="s">
        <v>10303</v>
      </c>
      <c r="C4343" s="21" t="s">
        <v>10304</v>
      </c>
      <c r="D4343" s="21" t="s">
        <v>2581</v>
      </c>
      <c r="E4343" s="50" t="b">
        <v>1</v>
      </c>
      <c r="F4343" s="72" t="str">
        <f>HYPERLINK("http://nsgreg.nga.mil/genc/view?v=296133&amp;end_month=6&amp;end_day=30&amp;end_year=2019","Tainan")</f>
        <v>Tainan</v>
      </c>
      <c r="G4343" s="72" t="str">
        <f>HYPERLINK("http://api.nsgreg.nga.mil/geo-division/GENC/6/3-11/TW-TNN","as:GENC:6:3-11:TW-TNN")</f>
        <v>as:GENC:6:3-11:TW-TNN</v>
      </c>
    </row>
    <row r="4344" spans="1:7" x14ac:dyDescent="0.25">
      <c r="A4344" s="112"/>
      <c r="B4344" s="21" t="s">
        <v>10305</v>
      </c>
      <c r="C4344" s="21" t="s">
        <v>10306</v>
      </c>
      <c r="D4344" s="21" t="s">
        <v>2581</v>
      </c>
      <c r="E4344" s="50" t="b">
        <v>1</v>
      </c>
      <c r="F4344" s="72" t="str">
        <f>HYPERLINK("http://nsgreg.nga.mil/genc/view?v=296134&amp;end_month=6&amp;end_day=30&amp;end_year=2019","Taipei")</f>
        <v>Taipei</v>
      </c>
      <c r="G4344" s="72" t="str">
        <f>HYPERLINK("http://api.nsgreg.nga.mil/geo-division/GENC/6/3-11/TW-TPE","as:GENC:6:3-11:TW-TPE")</f>
        <v>as:GENC:6:3-11:TW-TPE</v>
      </c>
    </row>
    <row r="4345" spans="1:7" x14ac:dyDescent="0.25">
      <c r="A4345" s="112"/>
      <c r="B4345" s="21" t="s">
        <v>10307</v>
      </c>
      <c r="C4345" s="21" t="s">
        <v>10308</v>
      </c>
      <c r="D4345" s="21" t="s">
        <v>1737</v>
      </c>
      <c r="E4345" s="50" t="b">
        <v>1</v>
      </c>
      <c r="F4345" s="72" t="str">
        <f>HYPERLINK("http://nsgreg.nga.mil/genc/view?v=296135&amp;end_month=6&amp;end_day=30&amp;end_year=2019","Taitung")</f>
        <v>Taitung</v>
      </c>
      <c r="G4345" s="72" t="str">
        <f>HYPERLINK("http://api.nsgreg.nga.mil/geo-division/GENC/6/3-11/TW-TTT","as:GENC:6:3-11:TW-TTT")</f>
        <v>as:GENC:6:3-11:TW-TTT</v>
      </c>
    </row>
    <row r="4346" spans="1:7" x14ac:dyDescent="0.25">
      <c r="A4346" s="112"/>
      <c r="B4346" s="21" t="s">
        <v>10309</v>
      </c>
      <c r="C4346" s="21" t="s">
        <v>10310</v>
      </c>
      <c r="D4346" s="21" t="s">
        <v>2581</v>
      </c>
      <c r="E4346" s="50" t="b">
        <v>1</v>
      </c>
      <c r="F4346" s="72" t="str">
        <f>HYPERLINK("http://nsgreg.nga.mil/genc/view?v=296132&amp;end_month=6&amp;end_day=30&amp;end_year=2019","Taoyuan")</f>
        <v>Taoyuan</v>
      </c>
      <c r="G4346" s="72" t="str">
        <f>HYPERLINK("http://api.nsgreg.nga.mil/geo-division/GENC/6/3-11/TW-TAO","as:GENC:6:3-11:TW-TAO")</f>
        <v>as:GENC:6:3-11:TW-TAO</v>
      </c>
    </row>
    <row r="4347" spans="1:7" x14ac:dyDescent="0.25">
      <c r="A4347" s="112"/>
      <c r="B4347" s="21" t="s">
        <v>10311</v>
      </c>
      <c r="C4347" s="21" t="s">
        <v>10312</v>
      </c>
      <c r="D4347" s="21" t="s">
        <v>1737</v>
      </c>
      <c r="E4347" s="50" t="b">
        <v>1</v>
      </c>
      <c r="F4347" s="72" t="str">
        <f>HYPERLINK("http://nsgreg.nga.mil/genc/view?v=296122&amp;end_month=6&amp;end_day=30&amp;end_year=2019","Yilan")</f>
        <v>Yilan</v>
      </c>
      <c r="G4347" s="72" t="str">
        <f>HYPERLINK("http://api.nsgreg.nga.mil/geo-division/GENC/6/3-11/TW-ILA","as:GENC:6:3-11:TW-ILA")</f>
        <v>as:GENC:6:3-11:TW-ILA</v>
      </c>
    </row>
    <row r="4348" spans="1:7" x14ac:dyDescent="0.25">
      <c r="A4348" s="113"/>
      <c r="B4348" s="47" t="s">
        <v>10313</v>
      </c>
      <c r="C4348" s="47" t="s">
        <v>10314</v>
      </c>
      <c r="D4348" s="47" t="s">
        <v>1737</v>
      </c>
      <c r="E4348" s="51" t="b">
        <v>1</v>
      </c>
      <c r="F4348" s="73" t="str">
        <f>HYPERLINK("http://nsgreg.nga.mil/genc/view?v=296137&amp;end_month=6&amp;end_day=30&amp;end_year=2019","Yunlin")</f>
        <v>Yunlin</v>
      </c>
      <c r="G4348" s="73" t="str">
        <f>HYPERLINK("http://api.nsgreg.nga.mil/geo-division/GENC/6/3-11/TW-YUN","as:GENC:6:3-11:TW-YUN")</f>
        <v>as:GENC:6:3-11:TW-YUN</v>
      </c>
    </row>
    <row r="4349" spans="1:7" x14ac:dyDescent="0.25">
      <c r="A4349" s="111" t="str">
        <f>HYPERLINK("[#]Codes_for_GE_Names!A249:I249","TAJIKISTAN")</f>
        <v>TAJIKISTAN</v>
      </c>
      <c r="B4349" s="42" t="s">
        <v>10315</v>
      </c>
      <c r="C4349" s="42" t="s">
        <v>10316</v>
      </c>
      <c r="D4349" s="42" t="s">
        <v>10317</v>
      </c>
      <c r="E4349" s="49" t="b">
        <v>1</v>
      </c>
      <c r="F4349" s="74" t="str">
        <f>HYPERLINK("http://nsgreg.nga.mil/genc/view?v=295959&amp;end_month=6&amp;end_day=30&amp;end_year=2019","Dushanbe")</f>
        <v>Dushanbe</v>
      </c>
      <c r="G4349" s="74" t="str">
        <f>HYPERLINK("http://api.nsgreg.nga.mil/geo-division/GENC/6/3-11/TJ-DU","as:GENC:6:3-11:TJ-DU")</f>
        <v>as:GENC:6:3-11:TJ-DU</v>
      </c>
    </row>
    <row r="4350" spans="1:7" x14ac:dyDescent="0.25">
      <c r="A4350" s="112"/>
      <c r="B4350" s="21" t="s">
        <v>10318</v>
      </c>
      <c r="C4350" s="21" t="s">
        <v>10319</v>
      </c>
      <c r="D4350" s="21" t="s">
        <v>1668</v>
      </c>
      <c r="E4350" s="50" t="b">
        <v>1</v>
      </c>
      <c r="F4350" s="72" t="str">
        <f>HYPERLINK("http://nsgreg.nga.mil/genc/view?v=295961&amp;end_month=6&amp;end_day=30&amp;end_year=2019","Khatlon")</f>
        <v>Khatlon</v>
      </c>
      <c r="G4350" s="72" t="str">
        <f>HYPERLINK("http://api.nsgreg.nga.mil/geo-division/GENC/6/3-11/TJ-KT","as:GENC:6:3-11:TJ-KT")</f>
        <v>as:GENC:6:3-11:TJ-KT</v>
      </c>
    </row>
    <row r="4351" spans="1:7" x14ac:dyDescent="0.25">
      <c r="A4351" s="112"/>
      <c r="B4351" s="21" t="s">
        <v>10320</v>
      </c>
      <c r="C4351" s="21" t="s">
        <v>10321</v>
      </c>
      <c r="D4351" s="21" t="s">
        <v>5555</v>
      </c>
      <c r="E4351" s="50" t="b">
        <v>1</v>
      </c>
      <c r="F4351" s="72" t="str">
        <f>HYPERLINK("http://nsgreg.nga.mil/genc/view?v=295960&amp;end_month=6&amp;end_day=30&amp;end_year=2019","Kŭhistoni Badakhshon")</f>
        <v>Kŭhistoni Badakhshon</v>
      </c>
      <c r="G4351" s="72" t="str">
        <f>HYPERLINK("http://api.nsgreg.nga.mil/geo-division/GENC/6/3-11/TJ-GB","as:GENC:6:3-11:TJ-GB")</f>
        <v>as:GENC:6:3-11:TJ-GB</v>
      </c>
    </row>
    <row r="4352" spans="1:7" x14ac:dyDescent="0.25">
      <c r="A4352" s="112"/>
      <c r="B4352" s="21" t="s">
        <v>10322</v>
      </c>
      <c r="C4352" s="21" t="s">
        <v>10323</v>
      </c>
      <c r="D4352" s="21" t="s">
        <v>10324</v>
      </c>
      <c r="E4352" s="50" t="b">
        <v>1</v>
      </c>
      <c r="F4352" s="72" t="str">
        <f>HYPERLINK("http://nsgreg.nga.mil/genc/view?v=295962&amp;end_month=6&amp;end_day=30&amp;end_year=2019","Nohiyahoi Tobei Jumhurí")</f>
        <v>Nohiyahoi Tobei Jumhurí</v>
      </c>
      <c r="G4352" s="72" t="str">
        <f>HYPERLINK("http://api.nsgreg.nga.mil/geo-division/GENC/6/3-11/TJ-RA","as:GENC:6:3-11:TJ-RA")</f>
        <v>as:GENC:6:3-11:TJ-RA</v>
      </c>
    </row>
    <row r="4353" spans="1:7" x14ac:dyDescent="0.25">
      <c r="A4353" s="113"/>
      <c r="B4353" s="47" t="s">
        <v>10325</v>
      </c>
      <c r="C4353" s="47" t="s">
        <v>10326</v>
      </c>
      <c r="D4353" s="47" t="s">
        <v>1668</v>
      </c>
      <c r="E4353" s="51" t="b">
        <v>1</v>
      </c>
      <c r="F4353" s="73" t="str">
        <f>HYPERLINK("http://nsgreg.nga.mil/genc/view?v=295963&amp;end_month=6&amp;end_day=30&amp;end_year=2019","Sughd")</f>
        <v>Sughd</v>
      </c>
      <c r="G4353" s="73" t="str">
        <f>HYPERLINK("http://api.nsgreg.nga.mil/geo-division/GENC/6/3-11/TJ-SU","as:GENC:6:3-11:TJ-SU")</f>
        <v>as:GENC:6:3-11:TJ-SU</v>
      </c>
    </row>
    <row r="4354" spans="1:7" x14ac:dyDescent="0.25">
      <c r="A4354" s="111" t="str">
        <f>HYPERLINK("[#]Codes_for_GE_Names!A250:I250","TANZANIA")</f>
        <v>TANZANIA</v>
      </c>
      <c r="B4354" s="42" t="s">
        <v>10327</v>
      </c>
      <c r="C4354" s="42" t="s">
        <v>10328</v>
      </c>
      <c r="D4354" s="42" t="s">
        <v>1975</v>
      </c>
      <c r="E4354" s="49" t="b">
        <v>1</v>
      </c>
      <c r="F4354" s="74" t="str">
        <f>HYPERLINK("http://nsgreg.nga.mil/genc/view?v=296138&amp;end_month=6&amp;end_day=30&amp;end_year=2019","Arusha")</f>
        <v>Arusha</v>
      </c>
      <c r="G4354" s="74" t="str">
        <f>HYPERLINK("http://api.nsgreg.nga.mil/geo-division/GENC/6/3-11/TZ-01","as:GENC:6:3-11:TZ-01")</f>
        <v>as:GENC:6:3-11:TZ-01</v>
      </c>
    </row>
    <row r="4355" spans="1:7" x14ac:dyDescent="0.25">
      <c r="A4355" s="112"/>
      <c r="B4355" s="21" t="s">
        <v>10329</v>
      </c>
      <c r="C4355" s="21" t="s">
        <v>10330</v>
      </c>
      <c r="D4355" s="21" t="s">
        <v>1975</v>
      </c>
      <c r="E4355" s="50" t="b">
        <v>1</v>
      </c>
      <c r="F4355" s="72" t="str">
        <f>HYPERLINK("http://nsgreg.nga.mil/genc/view?v=296156&amp;end_month=6&amp;end_day=30&amp;end_year=2019","Coast")</f>
        <v>Coast</v>
      </c>
      <c r="G4355" s="72" t="str">
        <f>HYPERLINK("http://api.nsgreg.nga.mil/geo-division/GENC/6/3-11/TZ-19","as:GENC:6:3-11:TZ-19")</f>
        <v>as:GENC:6:3-11:TZ-19</v>
      </c>
    </row>
    <row r="4356" spans="1:7" x14ac:dyDescent="0.25">
      <c r="A4356" s="112"/>
      <c r="B4356" s="21" t="s">
        <v>10331</v>
      </c>
      <c r="C4356" s="21" t="s">
        <v>10332</v>
      </c>
      <c r="D4356" s="21" t="s">
        <v>1975</v>
      </c>
      <c r="E4356" s="50" t="b">
        <v>1</v>
      </c>
      <c r="F4356" s="72" t="str">
        <f>HYPERLINK("http://nsgreg.nga.mil/genc/view?v=296139&amp;end_month=6&amp;end_day=30&amp;end_year=2019","Dar es Salaam")</f>
        <v>Dar es Salaam</v>
      </c>
      <c r="G4356" s="72" t="str">
        <f>HYPERLINK("http://api.nsgreg.nga.mil/geo-division/GENC/6/3-11/TZ-02","as:GENC:6:3-11:TZ-02")</f>
        <v>as:GENC:6:3-11:TZ-02</v>
      </c>
    </row>
    <row r="4357" spans="1:7" x14ac:dyDescent="0.25">
      <c r="A4357" s="112"/>
      <c r="B4357" s="21" t="s">
        <v>10333</v>
      </c>
      <c r="C4357" s="21" t="s">
        <v>10334</v>
      </c>
      <c r="D4357" s="21" t="s">
        <v>1975</v>
      </c>
      <c r="E4357" s="50" t="b">
        <v>1</v>
      </c>
      <c r="F4357" s="72" t="str">
        <f>HYPERLINK("http://nsgreg.nga.mil/genc/view?v=296140&amp;end_month=6&amp;end_day=30&amp;end_year=2019","Dodoma")</f>
        <v>Dodoma</v>
      </c>
      <c r="G4357" s="72" t="str">
        <f>HYPERLINK("http://api.nsgreg.nga.mil/geo-division/GENC/6/3-11/TZ-03","as:GENC:6:3-11:TZ-03")</f>
        <v>as:GENC:6:3-11:TZ-03</v>
      </c>
    </row>
    <row r="4358" spans="1:7" x14ac:dyDescent="0.25">
      <c r="A4358" s="112"/>
      <c r="B4358" s="21" t="s">
        <v>10335</v>
      </c>
      <c r="C4358" s="21" t="s">
        <v>10336</v>
      </c>
      <c r="D4358" s="21" t="s">
        <v>1975</v>
      </c>
      <c r="E4358" s="50" t="b">
        <v>1</v>
      </c>
      <c r="F4358" s="72" t="str">
        <f>HYPERLINK("http://nsgreg.nga.mil/genc/view?v=296164&amp;end_month=6&amp;end_day=30&amp;end_year=2019","Geita")</f>
        <v>Geita</v>
      </c>
      <c r="G4358" s="72" t="str">
        <f>HYPERLINK("http://api.nsgreg.nga.mil/geo-division/GENC/6/3-11/TZ-27","as:GENC:6:3-11:TZ-27")</f>
        <v>as:GENC:6:3-11:TZ-27</v>
      </c>
    </row>
    <row r="4359" spans="1:7" x14ac:dyDescent="0.25">
      <c r="A4359" s="112"/>
      <c r="B4359" s="21" t="s">
        <v>10337</v>
      </c>
      <c r="C4359" s="21" t="s">
        <v>10338</v>
      </c>
      <c r="D4359" s="21" t="s">
        <v>1975</v>
      </c>
      <c r="E4359" s="50" t="b">
        <v>1</v>
      </c>
      <c r="F4359" s="72" t="str">
        <f>HYPERLINK("http://nsgreg.nga.mil/genc/view?v=296141&amp;end_month=6&amp;end_day=30&amp;end_year=2019","Iringa")</f>
        <v>Iringa</v>
      </c>
      <c r="G4359" s="72" t="str">
        <f>HYPERLINK("http://api.nsgreg.nga.mil/geo-division/GENC/6/3-11/TZ-04","as:GENC:6:3-11:TZ-04")</f>
        <v>as:GENC:6:3-11:TZ-04</v>
      </c>
    </row>
    <row r="4360" spans="1:7" x14ac:dyDescent="0.25">
      <c r="A4360" s="112"/>
      <c r="B4360" s="21" t="s">
        <v>10339</v>
      </c>
      <c r="C4360" s="21" t="s">
        <v>10340</v>
      </c>
      <c r="D4360" s="21" t="s">
        <v>1975</v>
      </c>
      <c r="E4360" s="50" t="b">
        <v>1</v>
      </c>
      <c r="F4360" s="72" t="str">
        <f>HYPERLINK("http://nsgreg.nga.mil/genc/view?v=296142&amp;end_month=6&amp;end_day=30&amp;end_year=2019","Kagera")</f>
        <v>Kagera</v>
      </c>
      <c r="G4360" s="72" t="str">
        <f>HYPERLINK("http://api.nsgreg.nga.mil/geo-division/GENC/6/3-11/TZ-05","as:GENC:6:3-11:TZ-05")</f>
        <v>as:GENC:6:3-11:TZ-05</v>
      </c>
    </row>
    <row r="4361" spans="1:7" x14ac:dyDescent="0.25">
      <c r="A4361" s="112"/>
      <c r="B4361" s="21" t="s">
        <v>10341</v>
      </c>
      <c r="C4361" s="21" t="s">
        <v>10342</v>
      </c>
      <c r="D4361" s="21" t="s">
        <v>1975</v>
      </c>
      <c r="E4361" s="50" t="b">
        <v>1</v>
      </c>
      <c r="F4361" s="72" t="str">
        <f>HYPERLINK("http://nsgreg.nga.mil/genc/view?v=296165&amp;end_month=6&amp;end_day=30&amp;end_year=2019","Katavi")</f>
        <v>Katavi</v>
      </c>
      <c r="G4361" s="72" t="str">
        <f>HYPERLINK("http://api.nsgreg.nga.mil/geo-division/GENC/6/3-11/TZ-28","as:GENC:6:3-11:TZ-28")</f>
        <v>as:GENC:6:3-11:TZ-28</v>
      </c>
    </row>
    <row r="4362" spans="1:7" x14ac:dyDescent="0.25">
      <c r="A4362" s="112"/>
      <c r="B4362" s="21" t="s">
        <v>10343</v>
      </c>
      <c r="C4362" s="21" t="s">
        <v>10344</v>
      </c>
      <c r="D4362" s="21" t="s">
        <v>1975</v>
      </c>
      <c r="E4362" s="50" t="b">
        <v>1</v>
      </c>
      <c r="F4362" s="72" t="str">
        <f>HYPERLINK("http://nsgreg.nga.mil/genc/view?v=296145&amp;end_month=6&amp;end_day=30&amp;end_year=2019","Kigoma")</f>
        <v>Kigoma</v>
      </c>
      <c r="G4362" s="72" t="str">
        <f>HYPERLINK("http://api.nsgreg.nga.mil/geo-division/GENC/6/3-11/TZ-08","as:GENC:6:3-11:TZ-08")</f>
        <v>as:GENC:6:3-11:TZ-08</v>
      </c>
    </row>
    <row r="4363" spans="1:7" x14ac:dyDescent="0.25">
      <c r="A4363" s="112"/>
      <c r="B4363" s="21" t="s">
        <v>10345</v>
      </c>
      <c r="C4363" s="21" t="s">
        <v>10346</v>
      </c>
      <c r="D4363" s="21" t="s">
        <v>1975</v>
      </c>
      <c r="E4363" s="50" t="b">
        <v>1</v>
      </c>
      <c r="F4363" s="72" t="str">
        <f>HYPERLINK("http://nsgreg.nga.mil/genc/view?v=296146&amp;end_month=6&amp;end_day=30&amp;end_year=2019","Kilimanjaro")</f>
        <v>Kilimanjaro</v>
      </c>
      <c r="G4363" s="72" t="str">
        <f>HYPERLINK("http://api.nsgreg.nga.mil/geo-division/GENC/6/3-11/TZ-09","as:GENC:6:3-11:TZ-09")</f>
        <v>as:GENC:6:3-11:TZ-09</v>
      </c>
    </row>
    <row r="4364" spans="1:7" x14ac:dyDescent="0.25">
      <c r="A4364" s="112"/>
      <c r="B4364" s="21" t="s">
        <v>10347</v>
      </c>
      <c r="C4364" s="21" t="s">
        <v>10348</v>
      </c>
      <c r="D4364" s="21" t="s">
        <v>1975</v>
      </c>
      <c r="E4364" s="50" t="b">
        <v>1</v>
      </c>
      <c r="F4364" s="72" t="str">
        <f>HYPERLINK("http://nsgreg.nga.mil/genc/view?v=296149&amp;end_month=6&amp;end_day=30&amp;end_year=2019","Lindi")</f>
        <v>Lindi</v>
      </c>
      <c r="G4364" s="72" t="str">
        <f>HYPERLINK("http://api.nsgreg.nga.mil/geo-division/GENC/6/3-11/TZ-12","as:GENC:6:3-11:TZ-12")</f>
        <v>as:GENC:6:3-11:TZ-12</v>
      </c>
    </row>
    <row r="4365" spans="1:7" x14ac:dyDescent="0.25">
      <c r="A4365" s="112"/>
      <c r="B4365" s="21" t="s">
        <v>10349</v>
      </c>
      <c r="C4365" s="21" t="s">
        <v>10350</v>
      </c>
      <c r="D4365" s="21" t="s">
        <v>1975</v>
      </c>
      <c r="E4365" s="50" t="b">
        <v>1</v>
      </c>
      <c r="F4365" s="72" t="str">
        <f>HYPERLINK("http://nsgreg.nga.mil/genc/view?v=296163&amp;end_month=6&amp;end_day=30&amp;end_year=2019","Manyara")</f>
        <v>Manyara</v>
      </c>
      <c r="G4365" s="72" t="str">
        <f>HYPERLINK("http://api.nsgreg.nga.mil/geo-division/GENC/6/3-11/TZ-26","as:GENC:6:3-11:TZ-26")</f>
        <v>as:GENC:6:3-11:TZ-26</v>
      </c>
    </row>
    <row r="4366" spans="1:7" x14ac:dyDescent="0.25">
      <c r="A4366" s="112"/>
      <c r="B4366" s="21" t="s">
        <v>10351</v>
      </c>
      <c r="C4366" s="21" t="s">
        <v>10352</v>
      </c>
      <c r="D4366" s="21" t="s">
        <v>1975</v>
      </c>
      <c r="E4366" s="50" t="b">
        <v>1</v>
      </c>
      <c r="F4366" s="72" t="str">
        <f>HYPERLINK("http://nsgreg.nga.mil/genc/view?v=296150&amp;end_month=6&amp;end_day=30&amp;end_year=2019","Mara")</f>
        <v>Mara</v>
      </c>
      <c r="G4366" s="72" t="str">
        <f>HYPERLINK("http://api.nsgreg.nga.mil/geo-division/GENC/6/3-11/TZ-13","as:GENC:6:3-11:TZ-13")</f>
        <v>as:GENC:6:3-11:TZ-13</v>
      </c>
    </row>
    <row r="4367" spans="1:7" x14ac:dyDescent="0.25">
      <c r="A4367" s="112"/>
      <c r="B4367" s="21" t="s">
        <v>10353</v>
      </c>
      <c r="C4367" s="21" t="s">
        <v>10354</v>
      </c>
      <c r="D4367" s="21" t="s">
        <v>1975</v>
      </c>
      <c r="E4367" s="50" t="b">
        <v>1</v>
      </c>
      <c r="F4367" s="72" t="str">
        <f>HYPERLINK("http://nsgreg.nga.mil/genc/view?v=296151&amp;end_month=6&amp;end_day=30&amp;end_year=2019","Mbeya")</f>
        <v>Mbeya</v>
      </c>
      <c r="G4367" s="72" t="str">
        <f>HYPERLINK("http://api.nsgreg.nga.mil/geo-division/GENC/6/3-11/TZ-14","as:GENC:6:3-11:TZ-14")</f>
        <v>as:GENC:6:3-11:TZ-14</v>
      </c>
    </row>
    <row r="4368" spans="1:7" x14ac:dyDescent="0.25">
      <c r="A4368" s="112"/>
      <c r="B4368" s="21" t="s">
        <v>10355</v>
      </c>
      <c r="C4368" s="21" t="s">
        <v>10356</v>
      </c>
      <c r="D4368" s="21" t="s">
        <v>1975</v>
      </c>
      <c r="E4368" s="50" t="b">
        <v>1</v>
      </c>
      <c r="F4368" s="72" t="str">
        <f>HYPERLINK("http://nsgreg.nga.mil/genc/view?v=296153&amp;end_month=6&amp;end_day=30&amp;end_year=2019","Morogoro")</f>
        <v>Morogoro</v>
      </c>
      <c r="G4368" s="72" t="str">
        <f>HYPERLINK("http://api.nsgreg.nga.mil/geo-division/GENC/6/3-11/TZ-16","as:GENC:6:3-11:TZ-16")</f>
        <v>as:GENC:6:3-11:TZ-16</v>
      </c>
    </row>
    <row r="4369" spans="1:7" x14ac:dyDescent="0.25">
      <c r="A4369" s="112"/>
      <c r="B4369" s="21" t="s">
        <v>10357</v>
      </c>
      <c r="C4369" s="21" t="s">
        <v>10358</v>
      </c>
      <c r="D4369" s="21" t="s">
        <v>1975</v>
      </c>
      <c r="E4369" s="50" t="b">
        <v>1</v>
      </c>
      <c r="F4369" s="72" t="str">
        <f>HYPERLINK("http://nsgreg.nga.mil/genc/view?v=296154&amp;end_month=6&amp;end_day=30&amp;end_year=2019","Mtwara")</f>
        <v>Mtwara</v>
      </c>
      <c r="G4369" s="72" t="str">
        <f>HYPERLINK("http://api.nsgreg.nga.mil/geo-division/GENC/6/3-11/TZ-17","as:GENC:6:3-11:TZ-17")</f>
        <v>as:GENC:6:3-11:TZ-17</v>
      </c>
    </row>
    <row r="4370" spans="1:7" x14ac:dyDescent="0.25">
      <c r="A4370" s="112"/>
      <c r="B4370" s="21" t="s">
        <v>10359</v>
      </c>
      <c r="C4370" s="21" t="s">
        <v>10360</v>
      </c>
      <c r="D4370" s="21" t="s">
        <v>1975</v>
      </c>
      <c r="E4370" s="50" t="b">
        <v>1</v>
      </c>
      <c r="F4370" s="72" t="str">
        <f>HYPERLINK("http://nsgreg.nga.mil/genc/view?v=296155&amp;end_month=6&amp;end_day=30&amp;end_year=2019","Mwanza")</f>
        <v>Mwanza</v>
      </c>
      <c r="G4370" s="72" t="str">
        <f>HYPERLINK("http://api.nsgreg.nga.mil/geo-division/GENC/6/3-11/TZ-18","as:GENC:6:3-11:TZ-18")</f>
        <v>as:GENC:6:3-11:TZ-18</v>
      </c>
    </row>
    <row r="4371" spans="1:7" x14ac:dyDescent="0.25">
      <c r="A4371" s="112"/>
      <c r="B4371" s="21" t="s">
        <v>10361</v>
      </c>
      <c r="C4371" s="21" t="s">
        <v>10362</v>
      </c>
      <c r="D4371" s="21" t="s">
        <v>1975</v>
      </c>
      <c r="E4371" s="50" t="b">
        <v>1</v>
      </c>
      <c r="F4371" s="72" t="str">
        <f>HYPERLINK("http://nsgreg.nga.mil/genc/view?v=296166&amp;end_month=6&amp;end_day=30&amp;end_year=2019","Njombe")</f>
        <v>Njombe</v>
      </c>
      <c r="G4371" s="72" t="str">
        <f>HYPERLINK("http://api.nsgreg.nga.mil/geo-division/GENC/6/3-11/TZ-29","as:GENC:6:3-11:TZ-29")</f>
        <v>as:GENC:6:3-11:TZ-29</v>
      </c>
    </row>
    <row r="4372" spans="1:7" x14ac:dyDescent="0.25">
      <c r="A4372" s="112"/>
      <c r="B4372" s="21" t="s">
        <v>10363</v>
      </c>
      <c r="C4372" s="21" t="s">
        <v>10364</v>
      </c>
      <c r="D4372" s="21" t="s">
        <v>1975</v>
      </c>
      <c r="E4372" s="50" t="b">
        <v>1</v>
      </c>
      <c r="F4372" s="72" t="str">
        <f>HYPERLINK("http://nsgreg.nga.mil/genc/view?v=296143&amp;end_month=6&amp;end_day=30&amp;end_year=2019","Pemba North")</f>
        <v>Pemba North</v>
      </c>
      <c r="G4372" s="72" t="str">
        <f>HYPERLINK("http://api.nsgreg.nga.mil/geo-division/GENC/6/3-11/TZ-06","as:GENC:6:3-11:TZ-06")</f>
        <v>as:GENC:6:3-11:TZ-06</v>
      </c>
    </row>
    <row r="4373" spans="1:7" x14ac:dyDescent="0.25">
      <c r="A4373" s="112"/>
      <c r="B4373" s="21" t="s">
        <v>10365</v>
      </c>
      <c r="C4373" s="21" t="s">
        <v>10366</v>
      </c>
      <c r="D4373" s="21" t="s">
        <v>1975</v>
      </c>
      <c r="E4373" s="50" t="b">
        <v>1</v>
      </c>
      <c r="F4373" s="72" t="str">
        <f>HYPERLINK("http://nsgreg.nga.mil/genc/view?v=296147&amp;end_month=6&amp;end_day=30&amp;end_year=2019","Pemba South")</f>
        <v>Pemba South</v>
      </c>
      <c r="G4373" s="72" t="str">
        <f>HYPERLINK("http://api.nsgreg.nga.mil/geo-division/GENC/6/3-11/TZ-10","as:GENC:6:3-11:TZ-10")</f>
        <v>as:GENC:6:3-11:TZ-10</v>
      </c>
    </row>
    <row r="4374" spans="1:7" x14ac:dyDescent="0.25">
      <c r="A4374" s="112"/>
      <c r="B4374" s="21" t="s">
        <v>10367</v>
      </c>
      <c r="C4374" s="21" t="s">
        <v>10368</v>
      </c>
      <c r="D4374" s="21" t="s">
        <v>1975</v>
      </c>
      <c r="E4374" s="50" t="b">
        <v>1</v>
      </c>
      <c r="F4374" s="72" t="str">
        <f>HYPERLINK("http://nsgreg.nga.mil/genc/view?v=296157&amp;end_month=6&amp;end_day=30&amp;end_year=2019","Rukwa")</f>
        <v>Rukwa</v>
      </c>
      <c r="G4374" s="72" t="str">
        <f>HYPERLINK("http://api.nsgreg.nga.mil/geo-division/GENC/6/3-11/TZ-20","as:GENC:6:3-11:TZ-20")</f>
        <v>as:GENC:6:3-11:TZ-20</v>
      </c>
    </row>
    <row r="4375" spans="1:7" x14ac:dyDescent="0.25">
      <c r="A4375" s="112"/>
      <c r="B4375" s="21" t="s">
        <v>10369</v>
      </c>
      <c r="C4375" s="21" t="s">
        <v>10370</v>
      </c>
      <c r="D4375" s="21" t="s">
        <v>1975</v>
      </c>
      <c r="E4375" s="50" t="b">
        <v>1</v>
      </c>
      <c r="F4375" s="72" t="str">
        <f>HYPERLINK("http://nsgreg.nga.mil/genc/view?v=296158&amp;end_month=6&amp;end_day=30&amp;end_year=2019","Ruvuma")</f>
        <v>Ruvuma</v>
      </c>
      <c r="G4375" s="72" t="str">
        <f>HYPERLINK("http://api.nsgreg.nga.mil/geo-division/GENC/6/3-11/TZ-21","as:GENC:6:3-11:TZ-21")</f>
        <v>as:GENC:6:3-11:TZ-21</v>
      </c>
    </row>
    <row r="4376" spans="1:7" x14ac:dyDescent="0.25">
      <c r="A4376" s="112"/>
      <c r="B4376" s="21" t="s">
        <v>10371</v>
      </c>
      <c r="C4376" s="21" t="s">
        <v>10372</v>
      </c>
      <c r="D4376" s="21" t="s">
        <v>1975</v>
      </c>
      <c r="E4376" s="50" t="b">
        <v>1</v>
      </c>
      <c r="F4376" s="72" t="str">
        <f>HYPERLINK("http://nsgreg.nga.mil/genc/view?v=296159&amp;end_month=6&amp;end_day=30&amp;end_year=2019","Shinyanga")</f>
        <v>Shinyanga</v>
      </c>
      <c r="G4376" s="72" t="str">
        <f>HYPERLINK("http://api.nsgreg.nga.mil/geo-division/GENC/6/3-11/TZ-22","as:GENC:6:3-11:TZ-22")</f>
        <v>as:GENC:6:3-11:TZ-22</v>
      </c>
    </row>
    <row r="4377" spans="1:7" x14ac:dyDescent="0.25">
      <c r="A4377" s="112"/>
      <c r="B4377" s="21" t="s">
        <v>10373</v>
      </c>
      <c r="C4377" s="21" t="s">
        <v>10374</v>
      </c>
      <c r="D4377" s="21" t="s">
        <v>1975</v>
      </c>
      <c r="E4377" s="50" t="b">
        <v>1</v>
      </c>
      <c r="F4377" s="72" t="str">
        <f>HYPERLINK("http://nsgreg.nga.mil/genc/view?v=296167&amp;end_month=6&amp;end_day=30&amp;end_year=2019","Simiyu")</f>
        <v>Simiyu</v>
      </c>
      <c r="G4377" s="72" t="str">
        <f>HYPERLINK("http://api.nsgreg.nga.mil/geo-division/GENC/6/3-11/TZ-30","as:GENC:6:3-11:TZ-30")</f>
        <v>as:GENC:6:3-11:TZ-30</v>
      </c>
    </row>
    <row r="4378" spans="1:7" x14ac:dyDescent="0.25">
      <c r="A4378" s="112"/>
      <c r="B4378" s="21" t="s">
        <v>10375</v>
      </c>
      <c r="C4378" s="21" t="s">
        <v>10376</v>
      </c>
      <c r="D4378" s="21" t="s">
        <v>1975</v>
      </c>
      <c r="E4378" s="50" t="b">
        <v>1</v>
      </c>
      <c r="F4378" s="72" t="str">
        <f>HYPERLINK("http://nsgreg.nga.mil/genc/view?v=296160&amp;end_month=6&amp;end_day=30&amp;end_year=2019","Singida")</f>
        <v>Singida</v>
      </c>
      <c r="G4378" s="72" t="str">
        <f>HYPERLINK("http://api.nsgreg.nga.mil/geo-division/GENC/6/3-11/TZ-23","as:GENC:6:3-11:TZ-23")</f>
        <v>as:GENC:6:3-11:TZ-23</v>
      </c>
    </row>
    <row r="4379" spans="1:7" x14ac:dyDescent="0.25">
      <c r="A4379" s="112"/>
      <c r="B4379" s="21" t="s">
        <v>10377</v>
      </c>
      <c r="C4379" s="21" t="s">
        <v>10378</v>
      </c>
      <c r="D4379" s="21" t="s">
        <v>1975</v>
      </c>
      <c r="E4379" s="50" t="b">
        <v>1</v>
      </c>
      <c r="F4379" s="72" t="str">
        <f>HYPERLINK("http://nsgreg.nga.mil/genc/view?v=296168&amp;end_month=6&amp;end_day=30&amp;end_year=2019","Songwe")</f>
        <v>Songwe</v>
      </c>
      <c r="G4379" s="72" t="str">
        <f>HYPERLINK("http://api.nsgreg.nga.mil/geo-division/GENC/6/3-11/TZ-31","as:GENC:6:3-11:TZ-31")</f>
        <v>as:GENC:6:3-11:TZ-31</v>
      </c>
    </row>
    <row r="4380" spans="1:7" x14ac:dyDescent="0.25">
      <c r="A4380" s="112"/>
      <c r="B4380" s="21" t="s">
        <v>10379</v>
      </c>
      <c r="C4380" s="21" t="s">
        <v>10380</v>
      </c>
      <c r="D4380" s="21" t="s">
        <v>1975</v>
      </c>
      <c r="E4380" s="50" t="b">
        <v>1</v>
      </c>
      <c r="F4380" s="72" t="str">
        <f>HYPERLINK("http://nsgreg.nga.mil/genc/view?v=296161&amp;end_month=6&amp;end_day=30&amp;end_year=2019","Tabora")</f>
        <v>Tabora</v>
      </c>
      <c r="G4380" s="72" t="str">
        <f>HYPERLINK("http://api.nsgreg.nga.mil/geo-division/GENC/6/3-11/TZ-24","as:GENC:6:3-11:TZ-24")</f>
        <v>as:GENC:6:3-11:TZ-24</v>
      </c>
    </row>
    <row r="4381" spans="1:7" x14ac:dyDescent="0.25">
      <c r="A4381" s="112"/>
      <c r="B4381" s="21" t="s">
        <v>10381</v>
      </c>
      <c r="C4381" s="21" t="s">
        <v>10382</v>
      </c>
      <c r="D4381" s="21" t="s">
        <v>1975</v>
      </c>
      <c r="E4381" s="50" t="b">
        <v>1</v>
      </c>
      <c r="F4381" s="72" t="str">
        <f>HYPERLINK("http://nsgreg.nga.mil/genc/view?v=296162&amp;end_month=6&amp;end_day=30&amp;end_year=2019","Tanga")</f>
        <v>Tanga</v>
      </c>
      <c r="G4381" s="72" t="str">
        <f>HYPERLINK("http://api.nsgreg.nga.mil/geo-division/GENC/6/3-11/TZ-25","as:GENC:6:3-11:TZ-25")</f>
        <v>as:GENC:6:3-11:TZ-25</v>
      </c>
    </row>
    <row r="4382" spans="1:7" x14ac:dyDescent="0.25">
      <c r="A4382" s="112"/>
      <c r="B4382" s="21" t="s">
        <v>10383</v>
      </c>
      <c r="C4382" s="21" t="s">
        <v>10384</v>
      </c>
      <c r="D4382" s="21" t="s">
        <v>1975</v>
      </c>
      <c r="E4382" s="50" t="b">
        <v>1</v>
      </c>
      <c r="F4382" s="72" t="str">
        <f>HYPERLINK("http://nsgreg.nga.mil/genc/view?v=296148&amp;end_month=6&amp;end_day=30&amp;end_year=2019","Zanzibar Central/South")</f>
        <v>Zanzibar Central/South</v>
      </c>
      <c r="G4382" s="72" t="str">
        <f>HYPERLINK("http://api.nsgreg.nga.mil/geo-division/GENC/6/3-11/TZ-11","as:GENC:6:3-11:TZ-11")</f>
        <v>as:GENC:6:3-11:TZ-11</v>
      </c>
    </row>
    <row r="4383" spans="1:7" x14ac:dyDescent="0.25">
      <c r="A4383" s="112"/>
      <c r="B4383" s="21" t="s">
        <v>10385</v>
      </c>
      <c r="C4383" s="21" t="s">
        <v>10386</v>
      </c>
      <c r="D4383" s="21" t="s">
        <v>1975</v>
      </c>
      <c r="E4383" s="50" t="b">
        <v>1</v>
      </c>
      <c r="F4383" s="72" t="str">
        <f>HYPERLINK("http://nsgreg.nga.mil/genc/view?v=296144&amp;end_month=6&amp;end_day=30&amp;end_year=2019","Zanzibar North")</f>
        <v>Zanzibar North</v>
      </c>
      <c r="G4383" s="72" t="str">
        <f>HYPERLINK("http://api.nsgreg.nga.mil/geo-division/GENC/6/3-11/TZ-07","as:GENC:6:3-11:TZ-07")</f>
        <v>as:GENC:6:3-11:TZ-07</v>
      </c>
    </row>
    <row r="4384" spans="1:7" x14ac:dyDescent="0.25">
      <c r="A4384" s="113"/>
      <c r="B4384" s="47" t="s">
        <v>10387</v>
      </c>
      <c r="C4384" s="47" t="s">
        <v>10388</v>
      </c>
      <c r="D4384" s="47" t="s">
        <v>1975</v>
      </c>
      <c r="E4384" s="51" t="b">
        <v>1</v>
      </c>
      <c r="F4384" s="73" t="str">
        <f>HYPERLINK("http://nsgreg.nga.mil/genc/view?v=296152&amp;end_month=6&amp;end_day=30&amp;end_year=2019","Zanzibar Urban/West")</f>
        <v>Zanzibar Urban/West</v>
      </c>
      <c r="G4384" s="73" t="str">
        <f>HYPERLINK("http://api.nsgreg.nga.mil/geo-division/GENC/6/3-11/TZ-15","as:GENC:6:3-11:TZ-15")</f>
        <v>as:GENC:6:3-11:TZ-15</v>
      </c>
    </row>
    <row r="4385" spans="1:7" x14ac:dyDescent="0.25">
      <c r="A4385" s="111" t="str">
        <f>HYPERLINK("[#]Codes_for_GE_Names!A251:I251","THAILAND")</f>
        <v>THAILAND</v>
      </c>
      <c r="B4385" s="42" t="s">
        <v>10389</v>
      </c>
      <c r="C4385" s="42" t="s">
        <v>10390</v>
      </c>
      <c r="D4385" s="42" t="s">
        <v>1668</v>
      </c>
      <c r="E4385" s="49" t="b">
        <v>1</v>
      </c>
      <c r="F4385" s="74" t="str">
        <f>HYPERLINK("http://nsgreg.nga.mil/genc/view?v=295906&amp;end_month=6&amp;end_day=30&amp;end_year=2019","Amnat Charoen")</f>
        <v>Amnat Charoen</v>
      </c>
      <c r="G4385" s="74" t="str">
        <f>HYPERLINK("http://api.nsgreg.nga.mil/geo-division/GENC/6/3-11/TH-37","as:GENC:6:3-11:TH-37")</f>
        <v>as:GENC:6:3-11:TH-37</v>
      </c>
    </row>
    <row r="4386" spans="1:7" x14ac:dyDescent="0.25">
      <c r="A4386" s="112"/>
      <c r="B4386" s="21" t="s">
        <v>10391</v>
      </c>
      <c r="C4386" s="21" t="s">
        <v>10392</v>
      </c>
      <c r="D4386" s="21" t="s">
        <v>1668</v>
      </c>
      <c r="E4386" s="50" t="b">
        <v>1</v>
      </c>
      <c r="F4386" s="72" t="str">
        <f>HYPERLINK("http://nsgreg.nga.mil/genc/view?v=295886&amp;end_month=6&amp;end_day=30&amp;end_year=2019","Ang Thong")</f>
        <v>Ang Thong</v>
      </c>
      <c r="G4386" s="72" t="str">
        <f>HYPERLINK("http://api.nsgreg.nga.mil/geo-division/GENC/6/3-11/TH-15","as:GENC:6:3-11:TH-15")</f>
        <v>as:GENC:6:3-11:TH-15</v>
      </c>
    </row>
    <row r="4387" spans="1:7" x14ac:dyDescent="0.25">
      <c r="A4387" s="112"/>
      <c r="B4387" s="21" t="s">
        <v>10393</v>
      </c>
      <c r="C4387" s="21" t="s">
        <v>10394</v>
      </c>
      <c r="D4387" s="21" t="s">
        <v>1668</v>
      </c>
      <c r="E4387" s="50" t="b">
        <v>1</v>
      </c>
      <c r="F4387" s="72" t="str">
        <f>HYPERLINK("http://nsgreg.nga.mil/genc/view?v=295907&amp;end_month=6&amp;end_day=30&amp;end_year=2019","Bueng Kan")</f>
        <v>Bueng Kan</v>
      </c>
      <c r="G4387" s="72" t="str">
        <f>HYPERLINK("http://api.nsgreg.nga.mil/geo-division/GENC/6/3-11/TH-38","as:GENC:6:3-11:TH-38")</f>
        <v>as:GENC:6:3-11:TH-38</v>
      </c>
    </row>
    <row r="4388" spans="1:7" x14ac:dyDescent="0.25">
      <c r="A4388" s="112"/>
      <c r="B4388" s="21" t="s">
        <v>10395</v>
      </c>
      <c r="C4388" s="21" t="s">
        <v>10396</v>
      </c>
      <c r="D4388" s="21" t="s">
        <v>1668</v>
      </c>
      <c r="E4388" s="50" t="b">
        <v>1</v>
      </c>
      <c r="F4388" s="72" t="str">
        <f>HYPERLINK("http://nsgreg.nga.mil/genc/view?v=295900&amp;end_month=6&amp;end_day=30&amp;end_year=2019","Buri Ram")</f>
        <v>Buri Ram</v>
      </c>
      <c r="G4388" s="72" t="str">
        <f>HYPERLINK("http://api.nsgreg.nga.mil/geo-division/GENC/6/3-11/TH-31","as:GENC:6:3-11:TH-31")</f>
        <v>as:GENC:6:3-11:TH-31</v>
      </c>
    </row>
    <row r="4389" spans="1:7" x14ac:dyDescent="0.25">
      <c r="A4389" s="112"/>
      <c r="B4389" s="21" t="s">
        <v>10397</v>
      </c>
      <c r="C4389" s="21" t="s">
        <v>10398</v>
      </c>
      <c r="D4389" s="21" t="s">
        <v>1668</v>
      </c>
      <c r="E4389" s="50" t="b">
        <v>1</v>
      </c>
      <c r="F4389" s="72" t="str">
        <f>HYPERLINK("http://nsgreg.nga.mil/genc/view?v=295895&amp;end_month=6&amp;end_day=30&amp;end_year=2019","Chachoengsao")</f>
        <v>Chachoengsao</v>
      </c>
      <c r="G4389" s="72" t="str">
        <f>HYPERLINK("http://api.nsgreg.nga.mil/geo-division/GENC/6/3-11/TH-24","as:GENC:6:3-11:TH-24")</f>
        <v>as:GENC:6:3-11:TH-24</v>
      </c>
    </row>
    <row r="4390" spans="1:7" x14ac:dyDescent="0.25">
      <c r="A4390" s="112"/>
      <c r="B4390" s="21" t="s">
        <v>10399</v>
      </c>
      <c r="C4390" s="21" t="s">
        <v>10400</v>
      </c>
      <c r="D4390" s="21" t="s">
        <v>1668</v>
      </c>
      <c r="E4390" s="50" t="b">
        <v>1</v>
      </c>
      <c r="F4390" s="72" t="str">
        <f>HYPERLINK("http://nsgreg.nga.mil/genc/view?v=295889&amp;end_month=6&amp;end_day=30&amp;end_year=2019","Chai Nat")</f>
        <v>Chai Nat</v>
      </c>
      <c r="G4390" s="72" t="str">
        <f>HYPERLINK("http://api.nsgreg.nga.mil/geo-division/GENC/6/3-11/TH-18","as:GENC:6:3-11:TH-18")</f>
        <v>as:GENC:6:3-11:TH-18</v>
      </c>
    </row>
    <row r="4391" spans="1:7" x14ac:dyDescent="0.25">
      <c r="A4391" s="112"/>
      <c r="B4391" s="21" t="s">
        <v>10401</v>
      </c>
      <c r="C4391" s="21" t="s">
        <v>10402</v>
      </c>
      <c r="D4391" s="21" t="s">
        <v>1668</v>
      </c>
      <c r="E4391" s="50" t="b">
        <v>1</v>
      </c>
      <c r="F4391" s="72" t="str">
        <f>HYPERLINK("http://nsgreg.nga.mil/genc/view?v=295905&amp;end_month=6&amp;end_day=30&amp;end_year=2019","Chaiyaphum")</f>
        <v>Chaiyaphum</v>
      </c>
      <c r="G4391" s="72" t="str">
        <f>HYPERLINK("http://api.nsgreg.nga.mil/geo-division/GENC/6/3-11/TH-36","as:GENC:6:3-11:TH-36")</f>
        <v>as:GENC:6:3-11:TH-36</v>
      </c>
    </row>
    <row r="4392" spans="1:7" x14ac:dyDescent="0.25">
      <c r="A4392" s="112"/>
      <c r="B4392" s="21" t="s">
        <v>10403</v>
      </c>
      <c r="C4392" s="21" t="s">
        <v>10404</v>
      </c>
      <c r="D4392" s="21" t="s">
        <v>1668</v>
      </c>
      <c r="E4392" s="50" t="b">
        <v>1</v>
      </c>
      <c r="F4392" s="72" t="str">
        <f>HYPERLINK("http://nsgreg.nga.mil/genc/view?v=295893&amp;end_month=6&amp;end_day=30&amp;end_year=2019","Chanthaburi")</f>
        <v>Chanthaburi</v>
      </c>
      <c r="G4392" s="72" t="str">
        <f>HYPERLINK("http://api.nsgreg.nga.mil/geo-division/GENC/6/3-11/TH-22","as:GENC:6:3-11:TH-22")</f>
        <v>as:GENC:6:3-11:TH-22</v>
      </c>
    </row>
    <row r="4393" spans="1:7" x14ac:dyDescent="0.25">
      <c r="A4393" s="112"/>
      <c r="B4393" s="21" t="s">
        <v>10405</v>
      </c>
      <c r="C4393" s="21" t="s">
        <v>10406</v>
      </c>
      <c r="D4393" s="21" t="s">
        <v>1668</v>
      </c>
      <c r="E4393" s="50" t="b">
        <v>1</v>
      </c>
      <c r="F4393" s="72" t="str">
        <f>HYPERLINK("http://nsgreg.nga.mil/genc/view?v=295919&amp;end_month=6&amp;end_day=30&amp;end_year=2019","Chiang Mai")</f>
        <v>Chiang Mai</v>
      </c>
      <c r="G4393" s="72" t="str">
        <f>HYPERLINK("http://api.nsgreg.nga.mil/geo-division/GENC/6/3-11/TH-50","as:GENC:6:3-11:TH-50")</f>
        <v>as:GENC:6:3-11:TH-50</v>
      </c>
    </row>
    <row r="4394" spans="1:7" x14ac:dyDescent="0.25">
      <c r="A4394" s="112"/>
      <c r="B4394" s="21" t="s">
        <v>10407</v>
      </c>
      <c r="C4394" s="21" t="s">
        <v>10408</v>
      </c>
      <c r="D4394" s="21" t="s">
        <v>1668</v>
      </c>
      <c r="E4394" s="50" t="b">
        <v>1</v>
      </c>
      <c r="F4394" s="72" t="str">
        <f>HYPERLINK("http://nsgreg.nga.mil/genc/view?v=295926&amp;end_month=6&amp;end_day=30&amp;end_year=2019","Chiang Rai")</f>
        <v>Chiang Rai</v>
      </c>
      <c r="G4394" s="72" t="str">
        <f>HYPERLINK("http://api.nsgreg.nga.mil/geo-division/GENC/6/3-11/TH-57","as:GENC:6:3-11:TH-57")</f>
        <v>as:GENC:6:3-11:TH-57</v>
      </c>
    </row>
    <row r="4395" spans="1:7" x14ac:dyDescent="0.25">
      <c r="A4395" s="112"/>
      <c r="B4395" s="21" t="s">
        <v>10409</v>
      </c>
      <c r="C4395" s="21" t="s">
        <v>10410</v>
      </c>
      <c r="D4395" s="21" t="s">
        <v>1668</v>
      </c>
      <c r="E4395" s="50" t="b">
        <v>1</v>
      </c>
      <c r="F4395" s="72" t="str">
        <f>HYPERLINK("http://nsgreg.nga.mil/genc/view?v=295891&amp;end_month=6&amp;end_day=30&amp;end_year=2019","Chon Buri")</f>
        <v>Chon Buri</v>
      </c>
      <c r="G4395" s="72" t="str">
        <f>HYPERLINK("http://api.nsgreg.nga.mil/geo-division/GENC/6/3-11/TH-20","as:GENC:6:3-11:TH-20")</f>
        <v>as:GENC:6:3-11:TH-20</v>
      </c>
    </row>
    <row r="4396" spans="1:7" x14ac:dyDescent="0.25">
      <c r="A4396" s="112"/>
      <c r="B4396" s="21" t="s">
        <v>10411</v>
      </c>
      <c r="C4396" s="21" t="s">
        <v>10412</v>
      </c>
      <c r="D4396" s="21" t="s">
        <v>1668</v>
      </c>
      <c r="E4396" s="50" t="b">
        <v>1</v>
      </c>
      <c r="F4396" s="72" t="str">
        <f>HYPERLINK("http://nsgreg.nga.mil/genc/view?v=295950&amp;end_month=6&amp;end_day=30&amp;end_year=2019","Chumphon")</f>
        <v>Chumphon</v>
      </c>
      <c r="G4396" s="72" t="str">
        <f>HYPERLINK("http://api.nsgreg.nga.mil/geo-division/GENC/6/3-11/TH-86","as:GENC:6:3-11:TH-86")</f>
        <v>as:GENC:6:3-11:TH-86</v>
      </c>
    </row>
    <row r="4397" spans="1:7" x14ac:dyDescent="0.25">
      <c r="A4397" s="112"/>
      <c r="B4397" s="21" t="s">
        <v>10413</v>
      </c>
      <c r="C4397" s="21" t="s">
        <v>10414</v>
      </c>
      <c r="D4397" s="21" t="s">
        <v>1668</v>
      </c>
      <c r="E4397" s="50" t="b">
        <v>1</v>
      </c>
      <c r="F4397" s="72" t="str">
        <f>HYPERLINK("http://nsgreg.nga.mil/genc/view?v=295915&amp;end_month=6&amp;end_day=30&amp;end_year=2019","Kalasin")</f>
        <v>Kalasin</v>
      </c>
      <c r="G4397" s="72" t="str">
        <f>HYPERLINK("http://api.nsgreg.nga.mil/geo-division/GENC/6/3-11/TH-46","as:GENC:6:3-11:TH-46")</f>
        <v>as:GENC:6:3-11:TH-46</v>
      </c>
    </row>
    <row r="4398" spans="1:7" x14ac:dyDescent="0.25">
      <c r="A4398" s="112"/>
      <c r="B4398" s="21" t="s">
        <v>10415</v>
      </c>
      <c r="C4398" s="21" t="s">
        <v>10416</v>
      </c>
      <c r="D4398" s="21" t="s">
        <v>1668</v>
      </c>
      <c r="E4398" s="50" t="b">
        <v>1</v>
      </c>
      <c r="F4398" s="72" t="str">
        <f>HYPERLINK("http://nsgreg.nga.mil/genc/view?v=295930&amp;end_month=6&amp;end_day=30&amp;end_year=2019","Kamphaeng Phet")</f>
        <v>Kamphaeng Phet</v>
      </c>
      <c r="G4398" s="72" t="str">
        <f>HYPERLINK("http://api.nsgreg.nga.mil/geo-division/GENC/6/3-11/TH-62","as:GENC:6:3-11:TH-62")</f>
        <v>as:GENC:6:3-11:TH-62</v>
      </c>
    </row>
    <row r="4399" spans="1:7" x14ac:dyDescent="0.25">
      <c r="A4399" s="112"/>
      <c r="B4399" s="21" t="s">
        <v>10417</v>
      </c>
      <c r="C4399" s="21" t="s">
        <v>10418</v>
      </c>
      <c r="D4399" s="21" t="s">
        <v>1668</v>
      </c>
      <c r="E4399" s="50" t="b">
        <v>1</v>
      </c>
      <c r="F4399" s="72" t="str">
        <f>HYPERLINK("http://nsgreg.nga.mil/genc/view?v=295937&amp;end_month=6&amp;end_day=30&amp;end_year=2019","Kanchanaburi")</f>
        <v>Kanchanaburi</v>
      </c>
      <c r="G4399" s="72" t="str">
        <f>HYPERLINK("http://api.nsgreg.nga.mil/geo-division/GENC/6/3-11/TH-71","as:GENC:6:3-11:TH-71")</f>
        <v>as:GENC:6:3-11:TH-71</v>
      </c>
    </row>
    <row r="4400" spans="1:7" x14ac:dyDescent="0.25">
      <c r="A4400" s="112"/>
      <c r="B4400" s="21" t="s">
        <v>10419</v>
      </c>
      <c r="C4400" s="21" t="s">
        <v>10420</v>
      </c>
      <c r="D4400" s="21" t="s">
        <v>1668</v>
      </c>
      <c r="E4400" s="50" t="b">
        <v>1</v>
      </c>
      <c r="F4400" s="72" t="str">
        <f>HYPERLINK("http://nsgreg.nga.mil/genc/view?v=295909&amp;end_month=6&amp;end_day=30&amp;end_year=2019","Khon Kaen")</f>
        <v>Khon Kaen</v>
      </c>
      <c r="G4400" s="72" t="str">
        <f>HYPERLINK("http://api.nsgreg.nga.mil/geo-division/GENC/6/3-11/TH-40","as:GENC:6:3-11:TH-40")</f>
        <v>as:GENC:6:3-11:TH-40</v>
      </c>
    </row>
    <row r="4401" spans="1:7" x14ac:dyDescent="0.25">
      <c r="A4401" s="112"/>
      <c r="B4401" s="21" t="s">
        <v>10421</v>
      </c>
      <c r="C4401" s="21" t="s">
        <v>10422</v>
      </c>
      <c r="D4401" s="21" t="s">
        <v>1668</v>
      </c>
      <c r="E4401" s="50" t="b">
        <v>1</v>
      </c>
      <c r="F4401" s="72" t="str">
        <f>HYPERLINK("http://nsgreg.nga.mil/genc/view?v=295945&amp;end_month=6&amp;end_day=30&amp;end_year=2019","Krabi")</f>
        <v>Krabi</v>
      </c>
      <c r="G4401" s="72" t="str">
        <f>HYPERLINK("http://api.nsgreg.nga.mil/geo-division/GENC/6/3-11/TH-81","as:GENC:6:3-11:TH-81")</f>
        <v>as:GENC:6:3-11:TH-81</v>
      </c>
    </row>
    <row r="4402" spans="1:7" x14ac:dyDescent="0.25">
      <c r="A4402" s="112"/>
      <c r="B4402" s="21" t="s">
        <v>10423</v>
      </c>
      <c r="C4402" s="21" t="s">
        <v>10424</v>
      </c>
      <c r="D4402" s="21" t="s">
        <v>10425</v>
      </c>
      <c r="E4402" s="50" t="b">
        <v>1</v>
      </c>
      <c r="F4402" s="72" t="str">
        <f>HYPERLINK("http://nsgreg.nga.mil/genc/view?v=295881&amp;end_month=6&amp;end_day=30&amp;end_year=2019","Krung Thep Maha Nakhon")</f>
        <v>Krung Thep Maha Nakhon</v>
      </c>
      <c r="G4402" s="72" t="str">
        <f>HYPERLINK("http://api.nsgreg.nga.mil/geo-division/GENC/6/3-11/TH-10","as:GENC:6:3-11:TH-10")</f>
        <v>as:GENC:6:3-11:TH-10</v>
      </c>
    </row>
    <row r="4403" spans="1:7" x14ac:dyDescent="0.25">
      <c r="A4403" s="112"/>
      <c r="B4403" s="21" t="s">
        <v>10426</v>
      </c>
      <c r="C4403" s="21" t="s">
        <v>10427</v>
      </c>
      <c r="D4403" s="21" t="s">
        <v>1668</v>
      </c>
      <c r="E4403" s="50" t="b">
        <v>1</v>
      </c>
      <c r="F4403" s="72" t="str">
        <f>HYPERLINK("http://nsgreg.nga.mil/genc/view?v=295921&amp;end_month=6&amp;end_day=30&amp;end_year=2019","Lampang")</f>
        <v>Lampang</v>
      </c>
      <c r="G4403" s="72" t="str">
        <f>HYPERLINK("http://api.nsgreg.nga.mil/geo-division/GENC/6/3-11/TH-52","as:GENC:6:3-11:TH-52")</f>
        <v>as:GENC:6:3-11:TH-52</v>
      </c>
    </row>
    <row r="4404" spans="1:7" x14ac:dyDescent="0.25">
      <c r="A4404" s="112"/>
      <c r="B4404" s="21" t="s">
        <v>10428</v>
      </c>
      <c r="C4404" s="21" t="s">
        <v>10429</v>
      </c>
      <c r="D4404" s="21" t="s">
        <v>1668</v>
      </c>
      <c r="E4404" s="50" t="b">
        <v>1</v>
      </c>
      <c r="F4404" s="72" t="str">
        <f>HYPERLINK("http://nsgreg.nga.mil/genc/view?v=295920&amp;end_month=6&amp;end_day=30&amp;end_year=2019","Lamphun")</f>
        <v>Lamphun</v>
      </c>
      <c r="G4404" s="72" t="str">
        <f>HYPERLINK("http://api.nsgreg.nga.mil/geo-division/GENC/6/3-11/TH-51","as:GENC:6:3-11:TH-51")</f>
        <v>as:GENC:6:3-11:TH-51</v>
      </c>
    </row>
    <row r="4405" spans="1:7" x14ac:dyDescent="0.25">
      <c r="A4405" s="112"/>
      <c r="B4405" s="21" t="s">
        <v>10430</v>
      </c>
      <c r="C4405" s="21" t="s">
        <v>10431</v>
      </c>
      <c r="D4405" s="21" t="s">
        <v>1668</v>
      </c>
      <c r="E4405" s="50" t="b">
        <v>1</v>
      </c>
      <c r="F4405" s="72" t="str">
        <f>HYPERLINK("http://nsgreg.nga.mil/genc/view?v=295911&amp;end_month=6&amp;end_day=30&amp;end_year=2019","Loei")</f>
        <v>Loei</v>
      </c>
      <c r="G4405" s="72" t="str">
        <f>HYPERLINK("http://api.nsgreg.nga.mil/geo-division/GENC/6/3-11/TH-42","as:GENC:6:3-11:TH-42")</f>
        <v>as:GENC:6:3-11:TH-42</v>
      </c>
    </row>
    <row r="4406" spans="1:7" x14ac:dyDescent="0.25">
      <c r="A4406" s="112"/>
      <c r="B4406" s="21" t="s">
        <v>10432</v>
      </c>
      <c r="C4406" s="21" t="s">
        <v>10433</v>
      </c>
      <c r="D4406" s="21" t="s">
        <v>1668</v>
      </c>
      <c r="E4406" s="50" t="b">
        <v>1</v>
      </c>
      <c r="F4406" s="72" t="str">
        <f>HYPERLINK("http://nsgreg.nga.mil/genc/view?v=295887&amp;end_month=6&amp;end_day=30&amp;end_year=2019","Lop Buri")</f>
        <v>Lop Buri</v>
      </c>
      <c r="G4406" s="72" t="str">
        <f>HYPERLINK("http://api.nsgreg.nga.mil/geo-division/GENC/6/3-11/TH-16","as:GENC:6:3-11:TH-16")</f>
        <v>as:GENC:6:3-11:TH-16</v>
      </c>
    </row>
    <row r="4407" spans="1:7" x14ac:dyDescent="0.25">
      <c r="A4407" s="112"/>
      <c r="B4407" s="21" t="s">
        <v>10434</v>
      </c>
      <c r="C4407" s="21" t="s">
        <v>10435</v>
      </c>
      <c r="D4407" s="21" t="s">
        <v>1668</v>
      </c>
      <c r="E4407" s="50" t="b">
        <v>1</v>
      </c>
      <c r="F4407" s="72" t="str">
        <f>HYPERLINK("http://nsgreg.nga.mil/genc/view?v=295927&amp;end_month=6&amp;end_day=30&amp;end_year=2019","Mae Hong Son")</f>
        <v>Mae Hong Son</v>
      </c>
      <c r="G4407" s="72" t="str">
        <f>HYPERLINK("http://api.nsgreg.nga.mil/geo-division/GENC/6/3-11/TH-58","as:GENC:6:3-11:TH-58")</f>
        <v>as:GENC:6:3-11:TH-58</v>
      </c>
    </row>
    <row r="4408" spans="1:7" x14ac:dyDescent="0.25">
      <c r="A4408" s="112"/>
      <c r="B4408" s="21" t="s">
        <v>10436</v>
      </c>
      <c r="C4408" s="21" t="s">
        <v>10437</v>
      </c>
      <c r="D4408" s="21" t="s">
        <v>1668</v>
      </c>
      <c r="E4408" s="50" t="b">
        <v>1</v>
      </c>
      <c r="F4408" s="72" t="str">
        <f>HYPERLINK("http://nsgreg.nga.mil/genc/view?v=295913&amp;end_month=6&amp;end_day=30&amp;end_year=2019","Maha Sarakham")</f>
        <v>Maha Sarakham</v>
      </c>
      <c r="G4408" s="72" t="str">
        <f>HYPERLINK("http://api.nsgreg.nga.mil/geo-division/GENC/6/3-11/TH-44","as:GENC:6:3-11:TH-44")</f>
        <v>as:GENC:6:3-11:TH-44</v>
      </c>
    </row>
    <row r="4409" spans="1:7" x14ac:dyDescent="0.25">
      <c r="A4409" s="112"/>
      <c r="B4409" s="21" t="s">
        <v>10438</v>
      </c>
      <c r="C4409" s="21" t="s">
        <v>10439</v>
      </c>
      <c r="D4409" s="21" t="s">
        <v>1668</v>
      </c>
      <c r="E4409" s="50" t="b">
        <v>1</v>
      </c>
      <c r="F4409" s="72" t="str">
        <f>HYPERLINK("http://nsgreg.nga.mil/genc/view?v=295918&amp;end_month=6&amp;end_day=30&amp;end_year=2019","Mukdahan")</f>
        <v>Mukdahan</v>
      </c>
      <c r="G4409" s="72" t="str">
        <f>HYPERLINK("http://api.nsgreg.nga.mil/geo-division/GENC/6/3-11/TH-49","as:GENC:6:3-11:TH-49")</f>
        <v>as:GENC:6:3-11:TH-49</v>
      </c>
    </row>
    <row r="4410" spans="1:7" x14ac:dyDescent="0.25">
      <c r="A4410" s="112"/>
      <c r="B4410" s="21" t="s">
        <v>10440</v>
      </c>
      <c r="C4410" s="21" t="s">
        <v>10441</v>
      </c>
      <c r="D4410" s="21" t="s">
        <v>1668</v>
      </c>
      <c r="E4410" s="50" t="b">
        <v>1</v>
      </c>
      <c r="F4410" s="72" t="str">
        <f>HYPERLINK("http://nsgreg.nga.mil/genc/view?v=295897&amp;end_month=6&amp;end_day=30&amp;end_year=2019","Nakhon Nayok")</f>
        <v>Nakhon Nayok</v>
      </c>
      <c r="G4410" s="72" t="str">
        <f>HYPERLINK("http://api.nsgreg.nga.mil/geo-division/GENC/6/3-11/TH-26","as:GENC:6:3-11:TH-26")</f>
        <v>as:GENC:6:3-11:TH-26</v>
      </c>
    </row>
    <row r="4411" spans="1:7" x14ac:dyDescent="0.25">
      <c r="A4411" s="112"/>
      <c r="B4411" s="21" t="s">
        <v>10442</v>
      </c>
      <c r="C4411" s="21" t="s">
        <v>10443</v>
      </c>
      <c r="D4411" s="21" t="s">
        <v>1668</v>
      </c>
      <c r="E4411" s="50" t="b">
        <v>1</v>
      </c>
      <c r="F4411" s="72" t="str">
        <f>HYPERLINK("http://nsgreg.nga.mil/genc/view?v=295939&amp;end_month=6&amp;end_day=30&amp;end_year=2019","Nakhon Pathom")</f>
        <v>Nakhon Pathom</v>
      </c>
      <c r="G4411" s="72" t="str">
        <f>HYPERLINK("http://api.nsgreg.nga.mil/geo-division/GENC/6/3-11/TH-73","as:GENC:6:3-11:TH-73")</f>
        <v>as:GENC:6:3-11:TH-73</v>
      </c>
    </row>
    <row r="4412" spans="1:7" x14ac:dyDescent="0.25">
      <c r="A4412" s="112"/>
      <c r="B4412" s="21" t="s">
        <v>10444</v>
      </c>
      <c r="C4412" s="21" t="s">
        <v>10445</v>
      </c>
      <c r="D4412" s="21" t="s">
        <v>1668</v>
      </c>
      <c r="E4412" s="50" t="b">
        <v>1</v>
      </c>
      <c r="F4412" s="72" t="str">
        <f>HYPERLINK("http://nsgreg.nga.mil/genc/view?v=295917&amp;end_month=6&amp;end_day=30&amp;end_year=2019","Nakhon Phanom")</f>
        <v>Nakhon Phanom</v>
      </c>
      <c r="G4412" s="72" t="str">
        <f>HYPERLINK("http://api.nsgreg.nga.mil/geo-division/GENC/6/3-11/TH-48","as:GENC:6:3-11:TH-48")</f>
        <v>as:GENC:6:3-11:TH-48</v>
      </c>
    </row>
    <row r="4413" spans="1:7" x14ac:dyDescent="0.25">
      <c r="A4413" s="112"/>
      <c r="B4413" s="21" t="s">
        <v>10446</v>
      </c>
      <c r="C4413" s="21" t="s">
        <v>10447</v>
      </c>
      <c r="D4413" s="21" t="s">
        <v>1668</v>
      </c>
      <c r="E4413" s="50" t="b">
        <v>1</v>
      </c>
      <c r="F4413" s="72" t="str">
        <f>HYPERLINK("http://nsgreg.nga.mil/genc/view?v=295899&amp;end_month=6&amp;end_day=30&amp;end_year=2019","Nakhon Ratchasima")</f>
        <v>Nakhon Ratchasima</v>
      </c>
      <c r="G4413" s="72" t="str">
        <f>HYPERLINK("http://api.nsgreg.nga.mil/geo-division/GENC/6/3-11/TH-30","as:GENC:6:3-11:TH-30")</f>
        <v>as:GENC:6:3-11:TH-30</v>
      </c>
    </row>
    <row r="4414" spans="1:7" x14ac:dyDescent="0.25">
      <c r="A4414" s="112"/>
      <c r="B4414" s="21" t="s">
        <v>10448</v>
      </c>
      <c r="C4414" s="21" t="s">
        <v>10449</v>
      </c>
      <c r="D4414" s="21" t="s">
        <v>1668</v>
      </c>
      <c r="E4414" s="50" t="b">
        <v>1</v>
      </c>
      <c r="F4414" s="72" t="str">
        <f>HYPERLINK("http://nsgreg.nga.mil/genc/view?v=295928&amp;end_month=6&amp;end_day=30&amp;end_year=2019","Nakhon Sawan")</f>
        <v>Nakhon Sawan</v>
      </c>
      <c r="G4414" s="72" t="str">
        <f>HYPERLINK("http://api.nsgreg.nga.mil/geo-division/GENC/6/3-11/TH-60","as:GENC:6:3-11:TH-60")</f>
        <v>as:GENC:6:3-11:TH-60</v>
      </c>
    </row>
    <row r="4415" spans="1:7" x14ac:dyDescent="0.25">
      <c r="A4415" s="112"/>
      <c r="B4415" s="21" t="s">
        <v>10450</v>
      </c>
      <c r="C4415" s="21" t="s">
        <v>10451</v>
      </c>
      <c r="D4415" s="21" t="s">
        <v>1668</v>
      </c>
      <c r="E4415" s="50" t="b">
        <v>1</v>
      </c>
      <c r="F4415" s="72" t="str">
        <f>HYPERLINK("http://nsgreg.nga.mil/genc/view?v=295944&amp;end_month=6&amp;end_day=30&amp;end_year=2019","Nakhon Si Thammarat")</f>
        <v>Nakhon Si Thammarat</v>
      </c>
      <c r="G4415" s="72" t="str">
        <f>HYPERLINK("http://api.nsgreg.nga.mil/geo-division/GENC/6/3-11/TH-80","as:GENC:6:3-11:TH-80")</f>
        <v>as:GENC:6:3-11:TH-80</v>
      </c>
    </row>
    <row r="4416" spans="1:7" x14ac:dyDescent="0.25">
      <c r="A4416" s="112"/>
      <c r="B4416" s="21" t="s">
        <v>10452</v>
      </c>
      <c r="C4416" s="21" t="s">
        <v>10453</v>
      </c>
      <c r="D4416" s="21" t="s">
        <v>1668</v>
      </c>
      <c r="E4416" s="50" t="b">
        <v>1</v>
      </c>
      <c r="F4416" s="72" t="str">
        <f>HYPERLINK("http://nsgreg.nga.mil/genc/view?v=295924&amp;end_month=6&amp;end_day=30&amp;end_year=2019","Nan")</f>
        <v>Nan</v>
      </c>
      <c r="G4416" s="72" t="str">
        <f>HYPERLINK("http://api.nsgreg.nga.mil/geo-division/GENC/6/3-11/TH-55","as:GENC:6:3-11:TH-55")</f>
        <v>as:GENC:6:3-11:TH-55</v>
      </c>
    </row>
    <row r="4417" spans="1:7" x14ac:dyDescent="0.25">
      <c r="A4417" s="112"/>
      <c r="B4417" s="21" t="s">
        <v>10454</v>
      </c>
      <c r="C4417" s="21" t="s">
        <v>10455</v>
      </c>
      <c r="D4417" s="21" t="s">
        <v>1668</v>
      </c>
      <c r="E4417" s="50" t="b">
        <v>1</v>
      </c>
      <c r="F4417" s="72" t="str">
        <f>HYPERLINK("http://nsgreg.nga.mil/genc/view?v=295957&amp;end_month=6&amp;end_day=30&amp;end_year=2019","Narathiwat")</f>
        <v>Narathiwat</v>
      </c>
      <c r="G4417" s="72" t="str">
        <f>HYPERLINK("http://api.nsgreg.nga.mil/geo-division/GENC/6/3-11/TH-96","as:GENC:6:3-11:TH-96")</f>
        <v>as:GENC:6:3-11:TH-96</v>
      </c>
    </row>
    <row r="4418" spans="1:7" x14ac:dyDescent="0.25">
      <c r="A4418" s="112"/>
      <c r="B4418" s="21" t="s">
        <v>10456</v>
      </c>
      <c r="C4418" s="21" t="s">
        <v>10457</v>
      </c>
      <c r="D4418" s="21" t="s">
        <v>1668</v>
      </c>
      <c r="E4418" s="50" t="b">
        <v>1</v>
      </c>
      <c r="F4418" s="72" t="str">
        <f>HYPERLINK("http://nsgreg.nga.mil/genc/view?v=295908&amp;end_month=6&amp;end_day=30&amp;end_year=2019","Nong Bua Lamphu")</f>
        <v>Nong Bua Lamphu</v>
      </c>
      <c r="G4418" s="72" t="str">
        <f>HYPERLINK("http://api.nsgreg.nga.mil/geo-division/GENC/6/3-11/TH-39","as:GENC:6:3-11:TH-39")</f>
        <v>as:GENC:6:3-11:TH-39</v>
      </c>
    </row>
    <row r="4419" spans="1:7" x14ac:dyDescent="0.25">
      <c r="A4419" s="112"/>
      <c r="B4419" s="21" t="s">
        <v>10458</v>
      </c>
      <c r="C4419" s="21" t="s">
        <v>10459</v>
      </c>
      <c r="D4419" s="21" t="s">
        <v>1668</v>
      </c>
      <c r="E4419" s="50" t="b">
        <v>1</v>
      </c>
      <c r="F4419" s="72" t="str">
        <f>HYPERLINK("http://nsgreg.nga.mil/genc/view?v=295912&amp;end_month=6&amp;end_day=30&amp;end_year=2019","Nong Khai")</f>
        <v>Nong Khai</v>
      </c>
      <c r="G4419" s="72" t="str">
        <f>HYPERLINK("http://api.nsgreg.nga.mil/geo-division/GENC/6/3-11/TH-43","as:GENC:6:3-11:TH-43")</f>
        <v>as:GENC:6:3-11:TH-43</v>
      </c>
    </row>
    <row r="4420" spans="1:7" x14ac:dyDescent="0.25">
      <c r="A4420" s="112"/>
      <c r="B4420" s="21" t="s">
        <v>10460</v>
      </c>
      <c r="C4420" s="21" t="s">
        <v>10461</v>
      </c>
      <c r="D4420" s="21" t="s">
        <v>1668</v>
      </c>
      <c r="E4420" s="50" t="b">
        <v>1</v>
      </c>
      <c r="F4420" s="72" t="str">
        <f>HYPERLINK("http://nsgreg.nga.mil/genc/view?v=295883&amp;end_month=6&amp;end_day=30&amp;end_year=2019","Nonthaburi")</f>
        <v>Nonthaburi</v>
      </c>
      <c r="G4420" s="72" t="str">
        <f>HYPERLINK("http://api.nsgreg.nga.mil/geo-division/GENC/6/3-11/TH-12","as:GENC:6:3-11:TH-12")</f>
        <v>as:GENC:6:3-11:TH-12</v>
      </c>
    </row>
    <row r="4421" spans="1:7" x14ac:dyDescent="0.25">
      <c r="A4421" s="112"/>
      <c r="B4421" s="21" t="s">
        <v>10462</v>
      </c>
      <c r="C4421" s="21" t="s">
        <v>10463</v>
      </c>
      <c r="D4421" s="21" t="s">
        <v>1668</v>
      </c>
      <c r="E4421" s="50" t="b">
        <v>1</v>
      </c>
      <c r="F4421" s="72" t="str">
        <f>HYPERLINK("http://nsgreg.nga.mil/genc/view?v=295884&amp;end_month=6&amp;end_day=30&amp;end_year=2019","Pathum Thani")</f>
        <v>Pathum Thani</v>
      </c>
      <c r="G4421" s="72" t="str">
        <f>HYPERLINK("http://api.nsgreg.nga.mil/geo-division/GENC/6/3-11/TH-13","as:GENC:6:3-11:TH-13")</f>
        <v>as:GENC:6:3-11:TH-13</v>
      </c>
    </row>
    <row r="4422" spans="1:7" x14ac:dyDescent="0.25">
      <c r="A4422" s="112"/>
      <c r="B4422" s="21" t="s">
        <v>10464</v>
      </c>
      <c r="C4422" s="21" t="s">
        <v>10465</v>
      </c>
      <c r="D4422" s="21" t="s">
        <v>1668</v>
      </c>
      <c r="E4422" s="50" t="b">
        <v>1</v>
      </c>
      <c r="F4422" s="72" t="str">
        <f>HYPERLINK("http://nsgreg.nga.mil/genc/view?v=295955&amp;end_month=6&amp;end_day=30&amp;end_year=2019","Pattani")</f>
        <v>Pattani</v>
      </c>
      <c r="G4422" s="72" t="str">
        <f>HYPERLINK("http://api.nsgreg.nga.mil/geo-division/GENC/6/3-11/TH-94","as:GENC:6:3-11:TH-94")</f>
        <v>as:GENC:6:3-11:TH-94</v>
      </c>
    </row>
    <row r="4423" spans="1:7" x14ac:dyDescent="0.25">
      <c r="A4423" s="112"/>
      <c r="B4423" s="21" t="s">
        <v>10466</v>
      </c>
      <c r="C4423" s="21" t="s">
        <v>10467</v>
      </c>
      <c r="D4423" s="21" t="s">
        <v>1668</v>
      </c>
      <c r="E4423" s="50" t="b">
        <v>1</v>
      </c>
      <c r="F4423" s="72" t="str">
        <f>HYPERLINK("http://nsgreg.nga.mil/genc/view?v=295946&amp;end_month=6&amp;end_day=30&amp;end_year=2019","Phangnga")</f>
        <v>Phangnga</v>
      </c>
      <c r="G4423" s="72" t="str">
        <f>HYPERLINK("http://api.nsgreg.nga.mil/geo-division/GENC/6/3-11/TH-82","as:GENC:6:3-11:TH-82")</f>
        <v>as:GENC:6:3-11:TH-82</v>
      </c>
    </row>
    <row r="4424" spans="1:7" x14ac:dyDescent="0.25">
      <c r="A4424" s="112"/>
      <c r="B4424" s="21" t="s">
        <v>10468</v>
      </c>
      <c r="C4424" s="21" t="s">
        <v>10469</v>
      </c>
      <c r="D4424" s="21" t="s">
        <v>1668</v>
      </c>
      <c r="E4424" s="50" t="b">
        <v>1</v>
      </c>
      <c r="F4424" s="72" t="str">
        <f>HYPERLINK("http://nsgreg.nga.mil/genc/view?v=295954&amp;end_month=6&amp;end_day=30&amp;end_year=2019","Phatthalung")</f>
        <v>Phatthalung</v>
      </c>
      <c r="G4424" s="72" t="str">
        <f>HYPERLINK("http://api.nsgreg.nga.mil/geo-division/GENC/6/3-11/TH-93","as:GENC:6:3-11:TH-93")</f>
        <v>as:GENC:6:3-11:TH-93</v>
      </c>
    </row>
    <row r="4425" spans="1:7" x14ac:dyDescent="0.25">
      <c r="A4425" s="112"/>
      <c r="B4425" s="21" t="s">
        <v>10470</v>
      </c>
      <c r="C4425" s="21" t="s">
        <v>10471</v>
      </c>
      <c r="D4425" s="21" t="s">
        <v>1668</v>
      </c>
      <c r="E4425" s="50" t="b">
        <v>1</v>
      </c>
      <c r="F4425" s="72" t="str">
        <f>HYPERLINK("http://nsgreg.nga.mil/genc/view?v=295925&amp;end_month=6&amp;end_day=30&amp;end_year=2019","Phayao")</f>
        <v>Phayao</v>
      </c>
      <c r="G4425" s="72" t="str">
        <f>HYPERLINK("http://api.nsgreg.nga.mil/geo-division/GENC/6/3-11/TH-56","as:GENC:6:3-11:TH-56")</f>
        <v>as:GENC:6:3-11:TH-56</v>
      </c>
    </row>
    <row r="4426" spans="1:7" x14ac:dyDescent="0.25">
      <c r="A4426" s="112"/>
      <c r="B4426" s="21" t="s">
        <v>10472</v>
      </c>
      <c r="C4426" s="21" t="s">
        <v>10473</v>
      </c>
      <c r="D4426" s="21" t="s">
        <v>1668</v>
      </c>
      <c r="E4426" s="50" t="b">
        <v>1</v>
      </c>
      <c r="F4426" s="72" t="str">
        <f>HYPERLINK("http://nsgreg.nga.mil/genc/view?v=295935&amp;end_month=6&amp;end_day=30&amp;end_year=2019","Phetchabun")</f>
        <v>Phetchabun</v>
      </c>
      <c r="G4426" s="72" t="str">
        <f>HYPERLINK("http://api.nsgreg.nga.mil/geo-division/GENC/6/3-11/TH-67","as:GENC:6:3-11:TH-67")</f>
        <v>as:GENC:6:3-11:TH-67</v>
      </c>
    </row>
    <row r="4427" spans="1:7" x14ac:dyDescent="0.25">
      <c r="A4427" s="112"/>
      <c r="B4427" s="21" t="s">
        <v>10474</v>
      </c>
      <c r="C4427" s="21" t="s">
        <v>10475</v>
      </c>
      <c r="D4427" s="21" t="s">
        <v>1668</v>
      </c>
      <c r="E4427" s="50" t="b">
        <v>1</v>
      </c>
      <c r="F4427" s="72" t="str">
        <f>HYPERLINK("http://nsgreg.nga.mil/genc/view?v=295942&amp;end_month=6&amp;end_day=30&amp;end_year=2019","Phetchaburi")</f>
        <v>Phetchaburi</v>
      </c>
      <c r="G4427" s="72" t="str">
        <f>HYPERLINK("http://api.nsgreg.nga.mil/geo-division/GENC/6/3-11/TH-76","as:GENC:6:3-11:TH-76")</f>
        <v>as:GENC:6:3-11:TH-76</v>
      </c>
    </row>
    <row r="4428" spans="1:7" x14ac:dyDescent="0.25">
      <c r="A4428" s="112"/>
      <c r="B4428" s="21" t="s">
        <v>10476</v>
      </c>
      <c r="C4428" s="21" t="s">
        <v>10477</v>
      </c>
      <c r="D4428" s="21" t="s">
        <v>1668</v>
      </c>
      <c r="E4428" s="50" t="b">
        <v>1</v>
      </c>
      <c r="F4428" s="72" t="str">
        <f>HYPERLINK("http://nsgreg.nga.mil/genc/view?v=295934&amp;end_month=6&amp;end_day=30&amp;end_year=2019","Phichit")</f>
        <v>Phichit</v>
      </c>
      <c r="G4428" s="72" t="str">
        <f>HYPERLINK("http://api.nsgreg.nga.mil/geo-division/GENC/6/3-11/TH-66","as:GENC:6:3-11:TH-66")</f>
        <v>as:GENC:6:3-11:TH-66</v>
      </c>
    </row>
    <row r="4429" spans="1:7" x14ac:dyDescent="0.25">
      <c r="A4429" s="112"/>
      <c r="B4429" s="21" t="s">
        <v>10478</v>
      </c>
      <c r="C4429" s="21" t="s">
        <v>10479</v>
      </c>
      <c r="D4429" s="21" t="s">
        <v>1668</v>
      </c>
      <c r="E4429" s="50" t="b">
        <v>1</v>
      </c>
      <c r="F4429" s="72" t="str">
        <f>HYPERLINK("http://nsgreg.nga.mil/genc/view?v=295933&amp;end_month=6&amp;end_day=30&amp;end_year=2019","Phitsanulok")</f>
        <v>Phitsanulok</v>
      </c>
      <c r="G4429" s="72" t="str">
        <f>HYPERLINK("http://api.nsgreg.nga.mil/geo-division/GENC/6/3-11/TH-65","as:GENC:6:3-11:TH-65")</f>
        <v>as:GENC:6:3-11:TH-65</v>
      </c>
    </row>
    <row r="4430" spans="1:7" x14ac:dyDescent="0.25">
      <c r="A4430" s="112"/>
      <c r="B4430" s="21" t="s">
        <v>10480</v>
      </c>
      <c r="C4430" s="21" t="s">
        <v>10481</v>
      </c>
      <c r="D4430" s="21" t="s">
        <v>1668</v>
      </c>
      <c r="E4430" s="50" t="b">
        <v>1</v>
      </c>
      <c r="F4430" s="72" t="str">
        <f>HYPERLINK("http://nsgreg.nga.mil/genc/view?v=295923&amp;end_month=6&amp;end_day=30&amp;end_year=2019","Phrae")</f>
        <v>Phrae</v>
      </c>
      <c r="G4430" s="72" t="str">
        <f>HYPERLINK("http://api.nsgreg.nga.mil/geo-division/GENC/6/3-11/TH-54","as:GENC:6:3-11:TH-54")</f>
        <v>as:GENC:6:3-11:TH-54</v>
      </c>
    </row>
    <row r="4431" spans="1:7" x14ac:dyDescent="0.25">
      <c r="A4431" s="112"/>
      <c r="B4431" s="21" t="s">
        <v>10482</v>
      </c>
      <c r="C4431" s="21" t="s">
        <v>10483</v>
      </c>
      <c r="D4431" s="21" t="s">
        <v>1668</v>
      </c>
      <c r="E4431" s="50" t="b">
        <v>1</v>
      </c>
      <c r="F4431" s="72" t="str">
        <f>HYPERLINK("http://nsgreg.nga.mil/genc/view?v=295885&amp;end_month=6&amp;end_day=30&amp;end_year=2019","Phra Nakhon Si Ayutthaya")</f>
        <v>Phra Nakhon Si Ayutthaya</v>
      </c>
      <c r="G4431" s="72" t="str">
        <f>HYPERLINK("http://api.nsgreg.nga.mil/geo-division/GENC/6/3-11/TH-14","as:GENC:6:3-11:TH-14")</f>
        <v>as:GENC:6:3-11:TH-14</v>
      </c>
    </row>
    <row r="4432" spans="1:7" x14ac:dyDescent="0.25">
      <c r="A4432" s="112"/>
      <c r="B4432" s="21" t="s">
        <v>10484</v>
      </c>
      <c r="C4432" s="21" t="s">
        <v>10485</v>
      </c>
      <c r="D4432" s="21" t="s">
        <v>1668</v>
      </c>
      <c r="E4432" s="50" t="b">
        <v>1</v>
      </c>
      <c r="F4432" s="72" t="str">
        <f>HYPERLINK("http://nsgreg.nga.mil/genc/view?v=295947&amp;end_month=6&amp;end_day=30&amp;end_year=2019","Phuket")</f>
        <v>Phuket</v>
      </c>
      <c r="G4432" s="72" t="str">
        <f>HYPERLINK("http://api.nsgreg.nga.mil/geo-division/GENC/6/3-11/TH-83","as:GENC:6:3-11:TH-83")</f>
        <v>as:GENC:6:3-11:TH-83</v>
      </c>
    </row>
    <row r="4433" spans="1:7" x14ac:dyDescent="0.25">
      <c r="A4433" s="112"/>
      <c r="B4433" s="21" t="s">
        <v>10486</v>
      </c>
      <c r="C4433" s="21" t="s">
        <v>10487</v>
      </c>
      <c r="D4433" s="21" t="s">
        <v>1668</v>
      </c>
      <c r="E4433" s="50" t="b">
        <v>1</v>
      </c>
      <c r="F4433" s="72" t="str">
        <f>HYPERLINK("http://nsgreg.nga.mil/genc/view?v=295896&amp;end_month=6&amp;end_day=30&amp;end_year=2019","Prachin Buri")</f>
        <v>Prachin Buri</v>
      </c>
      <c r="G4433" s="72" t="str">
        <f>HYPERLINK("http://api.nsgreg.nga.mil/geo-division/GENC/6/3-11/TH-25","as:GENC:6:3-11:TH-25")</f>
        <v>as:GENC:6:3-11:TH-25</v>
      </c>
    </row>
    <row r="4434" spans="1:7" x14ac:dyDescent="0.25">
      <c r="A4434" s="112"/>
      <c r="B4434" s="21" t="s">
        <v>10488</v>
      </c>
      <c r="C4434" s="21" t="s">
        <v>10489</v>
      </c>
      <c r="D4434" s="21" t="s">
        <v>1668</v>
      </c>
      <c r="E4434" s="50" t="b">
        <v>1</v>
      </c>
      <c r="F4434" s="72" t="str">
        <f>HYPERLINK("http://nsgreg.nga.mil/genc/view?v=295943&amp;end_month=6&amp;end_day=30&amp;end_year=2019","Prachuap Khiri Khan")</f>
        <v>Prachuap Khiri Khan</v>
      </c>
      <c r="G4434" s="72" t="str">
        <f>HYPERLINK("http://api.nsgreg.nga.mil/geo-division/GENC/6/3-11/TH-77","as:GENC:6:3-11:TH-77")</f>
        <v>as:GENC:6:3-11:TH-77</v>
      </c>
    </row>
    <row r="4435" spans="1:7" x14ac:dyDescent="0.25">
      <c r="A4435" s="112"/>
      <c r="B4435" s="21" t="s">
        <v>10490</v>
      </c>
      <c r="C4435" s="21" t="s">
        <v>10491</v>
      </c>
      <c r="D4435" s="21" t="s">
        <v>1668</v>
      </c>
      <c r="E4435" s="50" t="b">
        <v>1</v>
      </c>
      <c r="F4435" s="72" t="str">
        <f>HYPERLINK("http://nsgreg.nga.mil/genc/view?v=295949&amp;end_month=6&amp;end_day=30&amp;end_year=2019","Ranong")</f>
        <v>Ranong</v>
      </c>
      <c r="G4435" s="72" t="str">
        <f>HYPERLINK("http://api.nsgreg.nga.mil/geo-division/GENC/6/3-11/TH-85","as:GENC:6:3-11:TH-85")</f>
        <v>as:GENC:6:3-11:TH-85</v>
      </c>
    </row>
    <row r="4436" spans="1:7" x14ac:dyDescent="0.25">
      <c r="A4436" s="112"/>
      <c r="B4436" s="21" t="s">
        <v>10492</v>
      </c>
      <c r="C4436" s="21" t="s">
        <v>10493</v>
      </c>
      <c r="D4436" s="21" t="s">
        <v>1668</v>
      </c>
      <c r="E4436" s="50" t="b">
        <v>1</v>
      </c>
      <c r="F4436" s="72" t="str">
        <f>HYPERLINK("http://nsgreg.nga.mil/genc/view?v=295936&amp;end_month=6&amp;end_day=30&amp;end_year=2019","Ratchaburi")</f>
        <v>Ratchaburi</v>
      </c>
      <c r="G4436" s="72" t="str">
        <f>HYPERLINK("http://api.nsgreg.nga.mil/geo-division/GENC/6/3-11/TH-70","as:GENC:6:3-11:TH-70")</f>
        <v>as:GENC:6:3-11:TH-70</v>
      </c>
    </row>
    <row r="4437" spans="1:7" x14ac:dyDescent="0.25">
      <c r="A4437" s="112"/>
      <c r="B4437" s="21" t="s">
        <v>10494</v>
      </c>
      <c r="C4437" s="21" t="s">
        <v>10495</v>
      </c>
      <c r="D4437" s="21" t="s">
        <v>1668</v>
      </c>
      <c r="E4437" s="50" t="b">
        <v>1</v>
      </c>
      <c r="F4437" s="72" t="str">
        <f>HYPERLINK("http://nsgreg.nga.mil/genc/view?v=295892&amp;end_month=6&amp;end_day=30&amp;end_year=2019","Rayong")</f>
        <v>Rayong</v>
      </c>
      <c r="G4437" s="72" t="str">
        <f>HYPERLINK("http://api.nsgreg.nga.mil/geo-division/GENC/6/3-11/TH-21","as:GENC:6:3-11:TH-21")</f>
        <v>as:GENC:6:3-11:TH-21</v>
      </c>
    </row>
    <row r="4438" spans="1:7" x14ac:dyDescent="0.25">
      <c r="A4438" s="112"/>
      <c r="B4438" s="21" t="s">
        <v>10496</v>
      </c>
      <c r="C4438" s="21" t="s">
        <v>10497</v>
      </c>
      <c r="D4438" s="21" t="s">
        <v>1668</v>
      </c>
      <c r="E4438" s="50" t="b">
        <v>1</v>
      </c>
      <c r="F4438" s="72" t="str">
        <f>HYPERLINK("http://nsgreg.nga.mil/genc/view?v=295914&amp;end_month=6&amp;end_day=30&amp;end_year=2019","Roi Et")</f>
        <v>Roi Et</v>
      </c>
      <c r="G4438" s="72" t="str">
        <f>HYPERLINK("http://api.nsgreg.nga.mil/geo-division/GENC/6/3-11/TH-45","as:GENC:6:3-11:TH-45")</f>
        <v>as:GENC:6:3-11:TH-45</v>
      </c>
    </row>
    <row r="4439" spans="1:7" x14ac:dyDescent="0.25">
      <c r="A4439" s="112"/>
      <c r="B4439" s="21" t="s">
        <v>10498</v>
      </c>
      <c r="C4439" s="21" t="s">
        <v>10499</v>
      </c>
      <c r="D4439" s="21" t="s">
        <v>1668</v>
      </c>
      <c r="E4439" s="50" t="b">
        <v>1</v>
      </c>
      <c r="F4439" s="72" t="str">
        <f>HYPERLINK("http://nsgreg.nga.mil/genc/view?v=295898&amp;end_month=6&amp;end_day=30&amp;end_year=2019","Sa Kaeo")</f>
        <v>Sa Kaeo</v>
      </c>
      <c r="G4439" s="72" t="str">
        <f>HYPERLINK("http://api.nsgreg.nga.mil/geo-division/GENC/6/3-11/TH-27","as:GENC:6:3-11:TH-27")</f>
        <v>as:GENC:6:3-11:TH-27</v>
      </c>
    </row>
    <row r="4440" spans="1:7" x14ac:dyDescent="0.25">
      <c r="A4440" s="112"/>
      <c r="B4440" s="21" t="s">
        <v>10500</v>
      </c>
      <c r="C4440" s="21" t="s">
        <v>10501</v>
      </c>
      <c r="D4440" s="21" t="s">
        <v>1668</v>
      </c>
      <c r="E4440" s="50" t="b">
        <v>1</v>
      </c>
      <c r="F4440" s="72" t="str">
        <f>HYPERLINK("http://nsgreg.nga.mil/genc/view?v=295916&amp;end_month=6&amp;end_day=30&amp;end_year=2019","Sakon Nakhon")</f>
        <v>Sakon Nakhon</v>
      </c>
      <c r="G4440" s="72" t="str">
        <f>HYPERLINK("http://api.nsgreg.nga.mil/geo-division/GENC/6/3-11/TH-47","as:GENC:6:3-11:TH-47")</f>
        <v>as:GENC:6:3-11:TH-47</v>
      </c>
    </row>
    <row r="4441" spans="1:7" x14ac:dyDescent="0.25">
      <c r="A4441" s="112"/>
      <c r="B4441" s="21" t="s">
        <v>10502</v>
      </c>
      <c r="C4441" s="21" t="s">
        <v>10503</v>
      </c>
      <c r="D4441" s="21" t="s">
        <v>1668</v>
      </c>
      <c r="E4441" s="50" t="b">
        <v>1</v>
      </c>
      <c r="F4441" s="72" t="str">
        <f>HYPERLINK("http://nsgreg.nga.mil/genc/view?v=295882&amp;end_month=6&amp;end_day=30&amp;end_year=2019","Samut Prakan")</f>
        <v>Samut Prakan</v>
      </c>
      <c r="G4441" s="72" t="str">
        <f>HYPERLINK("http://api.nsgreg.nga.mil/geo-division/GENC/6/3-11/TH-11","as:GENC:6:3-11:TH-11")</f>
        <v>as:GENC:6:3-11:TH-11</v>
      </c>
    </row>
    <row r="4442" spans="1:7" x14ac:dyDescent="0.25">
      <c r="A4442" s="112"/>
      <c r="B4442" s="21" t="s">
        <v>10504</v>
      </c>
      <c r="C4442" s="21" t="s">
        <v>10505</v>
      </c>
      <c r="D4442" s="21" t="s">
        <v>1668</v>
      </c>
      <c r="E4442" s="50" t="b">
        <v>1</v>
      </c>
      <c r="F4442" s="72" t="str">
        <f>HYPERLINK("http://nsgreg.nga.mil/genc/view?v=295940&amp;end_month=6&amp;end_day=30&amp;end_year=2019","Samut Sakhon")</f>
        <v>Samut Sakhon</v>
      </c>
      <c r="G4442" s="72" t="str">
        <f>HYPERLINK("http://api.nsgreg.nga.mil/geo-division/GENC/6/3-11/TH-74","as:GENC:6:3-11:TH-74")</f>
        <v>as:GENC:6:3-11:TH-74</v>
      </c>
    </row>
    <row r="4443" spans="1:7" x14ac:dyDescent="0.25">
      <c r="A4443" s="112"/>
      <c r="B4443" s="21" t="s">
        <v>10506</v>
      </c>
      <c r="C4443" s="21" t="s">
        <v>10507</v>
      </c>
      <c r="D4443" s="21" t="s">
        <v>1668</v>
      </c>
      <c r="E4443" s="50" t="b">
        <v>1</v>
      </c>
      <c r="F4443" s="72" t="str">
        <f>HYPERLINK("http://nsgreg.nga.mil/genc/view?v=295941&amp;end_month=6&amp;end_day=30&amp;end_year=2019","Samut Songkhram")</f>
        <v>Samut Songkhram</v>
      </c>
      <c r="G4443" s="72" t="str">
        <f>HYPERLINK("http://api.nsgreg.nga.mil/geo-division/GENC/6/3-11/TH-75","as:GENC:6:3-11:TH-75")</f>
        <v>as:GENC:6:3-11:TH-75</v>
      </c>
    </row>
    <row r="4444" spans="1:7" x14ac:dyDescent="0.25">
      <c r="A4444" s="112"/>
      <c r="B4444" s="21" t="s">
        <v>10508</v>
      </c>
      <c r="C4444" s="21" t="s">
        <v>10509</v>
      </c>
      <c r="D4444" s="21" t="s">
        <v>1668</v>
      </c>
      <c r="E4444" s="50" t="b">
        <v>1</v>
      </c>
      <c r="F4444" s="72" t="str">
        <f>HYPERLINK("http://nsgreg.nga.mil/genc/view?v=295890&amp;end_month=6&amp;end_day=30&amp;end_year=2019","Saraburi")</f>
        <v>Saraburi</v>
      </c>
      <c r="G4444" s="72" t="str">
        <f>HYPERLINK("http://api.nsgreg.nga.mil/geo-division/GENC/6/3-11/TH-19","as:GENC:6:3-11:TH-19")</f>
        <v>as:GENC:6:3-11:TH-19</v>
      </c>
    </row>
    <row r="4445" spans="1:7" x14ac:dyDescent="0.25">
      <c r="A4445" s="112"/>
      <c r="B4445" s="21" t="s">
        <v>10510</v>
      </c>
      <c r="C4445" s="21" t="s">
        <v>10511</v>
      </c>
      <c r="D4445" s="21" t="s">
        <v>1668</v>
      </c>
      <c r="E4445" s="50" t="b">
        <v>1</v>
      </c>
      <c r="F4445" s="72" t="str">
        <f>HYPERLINK("http://nsgreg.nga.mil/genc/view?v=295952&amp;end_month=6&amp;end_day=30&amp;end_year=2019","Satun")</f>
        <v>Satun</v>
      </c>
      <c r="G4445" s="72" t="str">
        <f>HYPERLINK("http://api.nsgreg.nga.mil/geo-division/GENC/6/3-11/TH-91","as:GENC:6:3-11:TH-91")</f>
        <v>as:GENC:6:3-11:TH-91</v>
      </c>
    </row>
    <row r="4446" spans="1:7" x14ac:dyDescent="0.25">
      <c r="A4446" s="112"/>
      <c r="B4446" s="21" t="s">
        <v>10512</v>
      </c>
      <c r="C4446" s="21" t="s">
        <v>10513</v>
      </c>
      <c r="D4446" s="21" t="s">
        <v>1668</v>
      </c>
      <c r="E4446" s="50" t="b">
        <v>1</v>
      </c>
      <c r="F4446" s="72" t="str">
        <f>HYPERLINK("http://nsgreg.nga.mil/genc/view?v=295888&amp;end_month=6&amp;end_day=30&amp;end_year=2019","Sing Buri")</f>
        <v>Sing Buri</v>
      </c>
      <c r="G4446" s="72" t="str">
        <f>HYPERLINK("http://api.nsgreg.nga.mil/geo-division/GENC/6/3-11/TH-17","as:GENC:6:3-11:TH-17")</f>
        <v>as:GENC:6:3-11:TH-17</v>
      </c>
    </row>
    <row r="4447" spans="1:7" x14ac:dyDescent="0.25">
      <c r="A4447" s="112"/>
      <c r="B4447" s="21" t="s">
        <v>10514</v>
      </c>
      <c r="C4447" s="21" t="s">
        <v>10515</v>
      </c>
      <c r="D4447" s="21" t="s">
        <v>1668</v>
      </c>
      <c r="E4447" s="50" t="b">
        <v>1</v>
      </c>
      <c r="F4447" s="72" t="str">
        <f>HYPERLINK("http://nsgreg.nga.mil/genc/view?v=295902&amp;end_month=6&amp;end_day=30&amp;end_year=2019","Si Sa Ket")</f>
        <v>Si Sa Ket</v>
      </c>
      <c r="G4447" s="72" t="str">
        <f>HYPERLINK("http://api.nsgreg.nga.mil/geo-division/GENC/6/3-11/TH-33","as:GENC:6:3-11:TH-33")</f>
        <v>as:GENC:6:3-11:TH-33</v>
      </c>
    </row>
    <row r="4448" spans="1:7" x14ac:dyDescent="0.25">
      <c r="A4448" s="112"/>
      <c r="B4448" s="21" t="s">
        <v>10516</v>
      </c>
      <c r="C4448" s="21" t="s">
        <v>10517</v>
      </c>
      <c r="D4448" s="21" t="s">
        <v>1668</v>
      </c>
      <c r="E4448" s="50" t="b">
        <v>1</v>
      </c>
      <c r="F4448" s="72" t="str">
        <f>HYPERLINK("http://nsgreg.nga.mil/genc/view?v=295951&amp;end_month=6&amp;end_day=30&amp;end_year=2019","Songkhla")</f>
        <v>Songkhla</v>
      </c>
      <c r="G4448" s="72" t="str">
        <f>HYPERLINK("http://api.nsgreg.nga.mil/geo-division/GENC/6/3-11/TH-90","as:GENC:6:3-11:TH-90")</f>
        <v>as:GENC:6:3-11:TH-90</v>
      </c>
    </row>
    <row r="4449" spans="1:7" x14ac:dyDescent="0.25">
      <c r="A4449" s="112"/>
      <c r="B4449" s="21" t="s">
        <v>10518</v>
      </c>
      <c r="C4449" s="21" t="s">
        <v>10519</v>
      </c>
      <c r="D4449" s="21" t="s">
        <v>1668</v>
      </c>
      <c r="E4449" s="50" t="b">
        <v>1</v>
      </c>
      <c r="F4449" s="72" t="str">
        <f>HYPERLINK("http://nsgreg.nga.mil/genc/view?v=295932&amp;end_month=6&amp;end_day=30&amp;end_year=2019","Sukhothai")</f>
        <v>Sukhothai</v>
      </c>
      <c r="G4449" s="72" t="str">
        <f>HYPERLINK("http://api.nsgreg.nga.mil/geo-division/GENC/6/3-11/TH-64","as:GENC:6:3-11:TH-64")</f>
        <v>as:GENC:6:3-11:TH-64</v>
      </c>
    </row>
    <row r="4450" spans="1:7" x14ac:dyDescent="0.25">
      <c r="A4450" s="112"/>
      <c r="B4450" s="21" t="s">
        <v>10520</v>
      </c>
      <c r="C4450" s="21" t="s">
        <v>10521</v>
      </c>
      <c r="D4450" s="21" t="s">
        <v>1668</v>
      </c>
      <c r="E4450" s="50" t="b">
        <v>1</v>
      </c>
      <c r="F4450" s="72" t="str">
        <f>HYPERLINK("http://nsgreg.nga.mil/genc/view?v=295938&amp;end_month=6&amp;end_day=30&amp;end_year=2019","Suphan Buri")</f>
        <v>Suphan Buri</v>
      </c>
      <c r="G4450" s="72" t="str">
        <f>HYPERLINK("http://api.nsgreg.nga.mil/geo-division/GENC/6/3-11/TH-72","as:GENC:6:3-11:TH-72")</f>
        <v>as:GENC:6:3-11:TH-72</v>
      </c>
    </row>
    <row r="4451" spans="1:7" x14ac:dyDescent="0.25">
      <c r="A4451" s="112"/>
      <c r="B4451" s="21" t="s">
        <v>10522</v>
      </c>
      <c r="C4451" s="21" t="s">
        <v>10523</v>
      </c>
      <c r="D4451" s="21" t="s">
        <v>1668</v>
      </c>
      <c r="E4451" s="50" t="b">
        <v>1</v>
      </c>
      <c r="F4451" s="72" t="str">
        <f>HYPERLINK("http://nsgreg.nga.mil/genc/view?v=295948&amp;end_month=6&amp;end_day=30&amp;end_year=2019","Surat Thani")</f>
        <v>Surat Thani</v>
      </c>
      <c r="G4451" s="72" t="str">
        <f>HYPERLINK("http://api.nsgreg.nga.mil/geo-division/GENC/6/3-11/TH-84","as:GENC:6:3-11:TH-84")</f>
        <v>as:GENC:6:3-11:TH-84</v>
      </c>
    </row>
    <row r="4452" spans="1:7" x14ac:dyDescent="0.25">
      <c r="A4452" s="112"/>
      <c r="B4452" s="21" t="s">
        <v>10524</v>
      </c>
      <c r="C4452" s="21" t="s">
        <v>10525</v>
      </c>
      <c r="D4452" s="21" t="s">
        <v>1668</v>
      </c>
      <c r="E4452" s="50" t="b">
        <v>1</v>
      </c>
      <c r="F4452" s="72" t="str">
        <f>HYPERLINK("http://nsgreg.nga.mil/genc/view?v=295901&amp;end_month=6&amp;end_day=30&amp;end_year=2019","Surin")</f>
        <v>Surin</v>
      </c>
      <c r="G4452" s="72" t="str">
        <f>HYPERLINK("http://api.nsgreg.nga.mil/geo-division/GENC/6/3-11/TH-32","as:GENC:6:3-11:TH-32")</f>
        <v>as:GENC:6:3-11:TH-32</v>
      </c>
    </row>
    <row r="4453" spans="1:7" x14ac:dyDescent="0.25">
      <c r="A4453" s="112"/>
      <c r="B4453" s="21" t="s">
        <v>10526</v>
      </c>
      <c r="C4453" s="21" t="s">
        <v>10527</v>
      </c>
      <c r="D4453" s="21" t="s">
        <v>1668</v>
      </c>
      <c r="E4453" s="50" t="b">
        <v>1</v>
      </c>
      <c r="F4453" s="72" t="str">
        <f>HYPERLINK("http://nsgreg.nga.mil/genc/view?v=295931&amp;end_month=6&amp;end_day=30&amp;end_year=2019","Tak")</f>
        <v>Tak</v>
      </c>
      <c r="G4453" s="72" t="str">
        <f>HYPERLINK("http://api.nsgreg.nga.mil/geo-division/GENC/6/3-11/TH-63","as:GENC:6:3-11:TH-63")</f>
        <v>as:GENC:6:3-11:TH-63</v>
      </c>
    </row>
    <row r="4454" spans="1:7" x14ac:dyDescent="0.25">
      <c r="A4454" s="112"/>
      <c r="B4454" s="21" t="s">
        <v>10528</v>
      </c>
      <c r="C4454" s="21" t="s">
        <v>10529</v>
      </c>
      <c r="D4454" s="21" t="s">
        <v>1668</v>
      </c>
      <c r="E4454" s="50" t="b">
        <v>1</v>
      </c>
      <c r="F4454" s="72" t="str">
        <f>HYPERLINK("http://nsgreg.nga.mil/genc/view?v=295953&amp;end_month=6&amp;end_day=30&amp;end_year=2019","Trang")</f>
        <v>Trang</v>
      </c>
      <c r="G4454" s="72" t="str">
        <f>HYPERLINK("http://api.nsgreg.nga.mil/geo-division/GENC/6/3-11/TH-92","as:GENC:6:3-11:TH-92")</f>
        <v>as:GENC:6:3-11:TH-92</v>
      </c>
    </row>
    <row r="4455" spans="1:7" x14ac:dyDescent="0.25">
      <c r="A4455" s="112"/>
      <c r="B4455" s="21" t="s">
        <v>10530</v>
      </c>
      <c r="C4455" s="21" t="s">
        <v>10531</v>
      </c>
      <c r="D4455" s="21" t="s">
        <v>1668</v>
      </c>
      <c r="E4455" s="50" t="b">
        <v>1</v>
      </c>
      <c r="F4455" s="72" t="str">
        <f>HYPERLINK("http://nsgreg.nga.mil/genc/view?v=295894&amp;end_month=6&amp;end_day=30&amp;end_year=2019","Trat")</f>
        <v>Trat</v>
      </c>
      <c r="G4455" s="72" t="str">
        <f>HYPERLINK("http://api.nsgreg.nga.mil/geo-division/GENC/6/3-11/TH-23","as:GENC:6:3-11:TH-23")</f>
        <v>as:GENC:6:3-11:TH-23</v>
      </c>
    </row>
    <row r="4456" spans="1:7" x14ac:dyDescent="0.25">
      <c r="A4456" s="112"/>
      <c r="B4456" s="21" t="s">
        <v>10532</v>
      </c>
      <c r="C4456" s="21" t="s">
        <v>10533</v>
      </c>
      <c r="D4456" s="21" t="s">
        <v>1668</v>
      </c>
      <c r="E4456" s="50" t="b">
        <v>1</v>
      </c>
      <c r="F4456" s="72" t="str">
        <f>HYPERLINK("http://nsgreg.nga.mil/genc/view?v=295903&amp;end_month=6&amp;end_day=30&amp;end_year=2019","Ubon Ratchathani")</f>
        <v>Ubon Ratchathani</v>
      </c>
      <c r="G4456" s="72" t="str">
        <f>HYPERLINK("http://api.nsgreg.nga.mil/geo-division/GENC/6/3-11/TH-34","as:GENC:6:3-11:TH-34")</f>
        <v>as:GENC:6:3-11:TH-34</v>
      </c>
    </row>
    <row r="4457" spans="1:7" x14ac:dyDescent="0.25">
      <c r="A4457" s="112"/>
      <c r="B4457" s="21" t="s">
        <v>10534</v>
      </c>
      <c r="C4457" s="21" t="s">
        <v>10535</v>
      </c>
      <c r="D4457" s="21" t="s">
        <v>1668</v>
      </c>
      <c r="E4457" s="50" t="b">
        <v>1</v>
      </c>
      <c r="F4457" s="72" t="str">
        <f>HYPERLINK("http://nsgreg.nga.mil/genc/view?v=295910&amp;end_month=6&amp;end_day=30&amp;end_year=2019","Udon Thani")</f>
        <v>Udon Thani</v>
      </c>
      <c r="G4457" s="72" t="str">
        <f>HYPERLINK("http://api.nsgreg.nga.mil/geo-division/GENC/6/3-11/TH-41","as:GENC:6:3-11:TH-41")</f>
        <v>as:GENC:6:3-11:TH-41</v>
      </c>
    </row>
    <row r="4458" spans="1:7" x14ac:dyDescent="0.25">
      <c r="A4458" s="112"/>
      <c r="B4458" s="21" t="s">
        <v>10536</v>
      </c>
      <c r="C4458" s="21" t="s">
        <v>10537</v>
      </c>
      <c r="D4458" s="21" t="s">
        <v>1668</v>
      </c>
      <c r="E4458" s="50" t="b">
        <v>1</v>
      </c>
      <c r="F4458" s="72" t="str">
        <f>HYPERLINK("http://nsgreg.nga.mil/genc/view?v=295929&amp;end_month=6&amp;end_day=30&amp;end_year=2019","Uthai Thani")</f>
        <v>Uthai Thani</v>
      </c>
      <c r="G4458" s="72" t="str">
        <f>HYPERLINK("http://api.nsgreg.nga.mil/geo-division/GENC/6/3-11/TH-61","as:GENC:6:3-11:TH-61")</f>
        <v>as:GENC:6:3-11:TH-61</v>
      </c>
    </row>
    <row r="4459" spans="1:7" x14ac:dyDescent="0.25">
      <c r="A4459" s="112"/>
      <c r="B4459" s="21" t="s">
        <v>10538</v>
      </c>
      <c r="C4459" s="21" t="s">
        <v>10539</v>
      </c>
      <c r="D4459" s="21" t="s">
        <v>1668</v>
      </c>
      <c r="E4459" s="50" t="b">
        <v>1</v>
      </c>
      <c r="F4459" s="72" t="str">
        <f>HYPERLINK("http://nsgreg.nga.mil/genc/view?v=295922&amp;end_month=6&amp;end_day=30&amp;end_year=2019","Uttaradit")</f>
        <v>Uttaradit</v>
      </c>
      <c r="G4459" s="72" t="str">
        <f>HYPERLINK("http://api.nsgreg.nga.mil/geo-division/GENC/6/3-11/TH-53","as:GENC:6:3-11:TH-53")</f>
        <v>as:GENC:6:3-11:TH-53</v>
      </c>
    </row>
    <row r="4460" spans="1:7" x14ac:dyDescent="0.25">
      <c r="A4460" s="112"/>
      <c r="B4460" s="21" t="s">
        <v>10540</v>
      </c>
      <c r="C4460" s="21" t="s">
        <v>10541</v>
      </c>
      <c r="D4460" s="21" t="s">
        <v>1668</v>
      </c>
      <c r="E4460" s="50" t="b">
        <v>1</v>
      </c>
      <c r="F4460" s="72" t="str">
        <f>HYPERLINK("http://nsgreg.nga.mil/genc/view?v=295956&amp;end_month=6&amp;end_day=30&amp;end_year=2019","Yala")</f>
        <v>Yala</v>
      </c>
      <c r="G4460" s="72" t="str">
        <f>HYPERLINK("http://api.nsgreg.nga.mil/geo-division/GENC/6/3-11/TH-95","as:GENC:6:3-11:TH-95")</f>
        <v>as:GENC:6:3-11:TH-95</v>
      </c>
    </row>
    <row r="4461" spans="1:7" x14ac:dyDescent="0.25">
      <c r="A4461" s="113"/>
      <c r="B4461" s="47" t="s">
        <v>10542</v>
      </c>
      <c r="C4461" s="47" t="s">
        <v>10543</v>
      </c>
      <c r="D4461" s="47" t="s">
        <v>1668</v>
      </c>
      <c r="E4461" s="51" t="b">
        <v>1</v>
      </c>
      <c r="F4461" s="73" t="str">
        <f>HYPERLINK("http://nsgreg.nga.mil/genc/view?v=295904&amp;end_month=6&amp;end_day=30&amp;end_year=2019","Yasothon")</f>
        <v>Yasothon</v>
      </c>
      <c r="G4461" s="73" t="str">
        <f>HYPERLINK("http://api.nsgreg.nga.mil/geo-division/GENC/6/3-11/TH-35","as:GENC:6:3-11:TH-35")</f>
        <v>as:GENC:6:3-11:TH-35</v>
      </c>
    </row>
    <row r="4462" spans="1:7" x14ac:dyDescent="0.25">
      <c r="A4462" s="111" t="str">
        <f>HYPERLINK("[#]Codes_for_GE_Names!A252:I252","TIMOR-LESTE")</f>
        <v>TIMOR-LESTE</v>
      </c>
      <c r="B4462" s="42" t="s">
        <v>10544</v>
      </c>
      <c r="C4462" s="42" t="s">
        <v>10545</v>
      </c>
      <c r="D4462" s="42" t="s">
        <v>2505</v>
      </c>
      <c r="E4462" s="49" t="b">
        <v>1</v>
      </c>
      <c r="F4462" s="74" t="str">
        <f>HYPERLINK("http://nsgreg.nga.mil/genc/view?v=295964&amp;end_month=6&amp;end_day=30&amp;end_year=2019","Aileu")</f>
        <v>Aileu</v>
      </c>
      <c r="G4462" s="74" t="str">
        <f>HYPERLINK("http://api.nsgreg.nga.mil/geo-division/GENC/6/3-11/TL-AL","as:GENC:6:3-11:TL-AL")</f>
        <v>as:GENC:6:3-11:TL-AL</v>
      </c>
    </row>
    <row r="4463" spans="1:7" x14ac:dyDescent="0.25">
      <c r="A4463" s="112"/>
      <c r="B4463" s="21" t="s">
        <v>10546</v>
      </c>
      <c r="C4463" s="21" t="s">
        <v>10547</v>
      </c>
      <c r="D4463" s="21" t="s">
        <v>2505</v>
      </c>
      <c r="E4463" s="50" t="b">
        <v>1</v>
      </c>
      <c r="F4463" s="72" t="str">
        <f>HYPERLINK("http://nsgreg.nga.mil/genc/view?v=295965&amp;end_month=6&amp;end_day=30&amp;end_year=2019","Ainaro")</f>
        <v>Ainaro</v>
      </c>
      <c r="G4463" s="72" t="str">
        <f>HYPERLINK("http://api.nsgreg.nga.mil/geo-division/GENC/6/3-11/TL-AN","as:GENC:6:3-11:TL-AN")</f>
        <v>as:GENC:6:3-11:TL-AN</v>
      </c>
    </row>
    <row r="4464" spans="1:7" x14ac:dyDescent="0.25">
      <c r="A4464" s="112"/>
      <c r="B4464" s="21" t="s">
        <v>10548</v>
      </c>
      <c r="C4464" s="21" t="s">
        <v>10549</v>
      </c>
      <c r="D4464" s="21" t="s">
        <v>2505</v>
      </c>
      <c r="E4464" s="50" t="b">
        <v>1</v>
      </c>
      <c r="F4464" s="72" t="str">
        <f>HYPERLINK("http://nsgreg.nga.mil/genc/view?v=295966&amp;end_month=6&amp;end_day=30&amp;end_year=2019","Baucau")</f>
        <v>Baucau</v>
      </c>
      <c r="G4464" s="72" t="str">
        <f>HYPERLINK("http://api.nsgreg.nga.mil/geo-division/GENC/6/3-11/TL-BA","as:GENC:6:3-11:TL-BA")</f>
        <v>as:GENC:6:3-11:TL-BA</v>
      </c>
    </row>
    <row r="4465" spans="1:7" x14ac:dyDescent="0.25">
      <c r="A4465" s="112"/>
      <c r="B4465" s="21" t="s">
        <v>10550</v>
      </c>
      <c r="C4465" s="21" t="s">
        <v>10551</v>
      </c>
      <c r="D4465" s="21" t="s">
        <v>2505</v>
      </c>
      <c r="E4465" s="50" t="b">
        <v>1</v>
      </c>
      <c r="F4465" s="72" t="str">
        <f>HYPERLINK("http://nsgreg.nga.mil/genc/view?v=295967&amp;end_month=6&amp;end_day=30&amp;end_year=2019","Bobonaro")</f>
        <v>Bobonaro</v>
      </c>
      <c r="G4465" s="72" t="str">
        <f>HYPERLINK("http://api.nsgreg.nga.mil/geo-division/GENC/6/3-11/TL-BO","as:GENC:6:3-11:TL-BO")</f>
        <v>as:GENC:6:3-11:TL-BO</v>
      </c>
    </row>
    <row r="4466" spans="1:7" x14ac:dyDescent="0.25">
      <c r="A4466" s="112"/>
      <c r="B4466" s="21" t="s">
        <v>10552</v>
      </c>
      <c r="C4466" s="21" t="s">
        <v>10553</v>
      </c>
      <c r="D4466" s="21" t="s">
        <v>2505</v>
      </c>
      <c r="E4466" s="50" t="b">
        <v>1</v>
      </c>
      <c r="F4466" s="72" t="str">
        <f>HYPERLINK("http://nsgreg.nga.mil/genc/view?v=295969&amp;end_month=6&amp;end_day=30&amp;end_year=2019","Díli")</f>
        <v>Díli</v>
      </c>
      <c r="G4466" s="72" t="str">
        <f>HYPERLINK("http://api.nsgreg.nga.mil/geo-division/GENC/6/3-11/TL-DI","as:GENC:6:3-11:TL-DI")</f>
        <v>as:GENC:6:3-11:TL-DI</v>
      </c>
    </row>
    <row r="4467" spans="1:7" x14ac:dyDescent="0.25">
      <c r="A4467" s="112"/>
      <c r="B4467" s="21" t="s">
        <v>10554</v>
      </c>
      <c r="C4467" s="21" t="s">
        <v>10555</v>
      </c>
      <c r="D4467" s="21" t="s">
        <v>2505</v>
      </c>
      <c r="E4467" s="50" t="b">
        <v>1</v>
      </c>
      <c r="F4467" s="72" t="str">
        <f>HYPERLINK("http://nsgreg.nga.mil/genc/view?v=295970&amp;end_month=6&amp;end_day=30&amp;end_year=2019","Ermera")</f>
        <v>Ermera</v>
      </c>
      <c r="G4467" s="72" t="str">
        <f>HYPERLINK("http://api.nsgreg.nga.mil/geo-division/GENC/6/3-11/TL-ER","as:GENC:6:3-11:TL-ER")</f>
        <v>as:GENC:6:3-11:TL-ER</v>
      </c>
    </row>
    <row r="4468" spans="1:7" x14ac:dyDescent="0.25">
      <c r="A4468" s="112"/>
      <c r="B4468" s="21" t="s">
        <v>10556</v>
      </c>
      <c r="C4468" s="21" t="s">
        <v>10557</v>
      </c>
      <c r="D4468" s="21" t="s">
        <v>2505</v>
      </c>
      <c r="E4468" s="50" t="b">
        <v>1</v>
      </c>
      <c r="F4468" s="72" t="str">
        <f>HYPERLINK("http://nsgreg.nga.mil/genc/view?v=295968&amp;end_month=6&amp;end_day=30&amp;end_year=2019","Kovalima")</f>
        <v>Kovalima</v>
      </c>
      <c r="G4468" s="72" t="str">
        <f>HYPERLINK("http://api.nsgreg.nga.mil/geo-division/GENC/6/3-11/TL-CO","as:GENC:6:3-11:TL-CO")</f>
        <v>as:GENC:6:3-11:TL-CO</v>
      </c>
    </row>
    <row r="4469" spans="1:7" x14ac:dyDescent="0.25">
      <c r="A4469" s="112"/>
      <c r="B4469" s="21" t="s">
        <v>10558</v>
      </c>
      <c r="C4469" s="21" t="s">
        <v>10559</v>
      </c>
      <c r="D4469" s="21" t="s">
        <v>2505</v>
      </c>
      <c r="E4469" s="50" t="b">
        <v>1</v>
      </c>
      <c r="F4469" s="72" t="str">
        <f>HYPERLINK("http://nsgreg.nga.mil/genc/view?v=295971&amp;end_month=6&amp;end_day=30&amp;end_year=2019","Lautém")</f>
        <v>Lautém</v>
      </c>
      <c r="G4469" s="72" t="str">
        <f>HYPERLINK("http://api.nsgreg.nga.mil/geo-division/GENC/6/3-11/TL-LA","as:GENC:6:3-11:TL-LA")</f>
        <v>as:GENC:6:3-11:TL-LA</v>
      </c>
    </row>
    <row r="4470" spans="1:7" x14ac:dyDescent="0.25">
      <c r="A4470" s="112"/>
      <c r="B4470" s="21" t="s">
        <v>10560</v>
      </c>
      <c r="C4470" s="21" t="s">
        <v>10561</v>
      </c>
      <c r="D4470" s="21" t="s">
        <v>2505</v>
      </c>
      <c r="E4470" s="50" t="b">
        <v>1</v>
      </c>
      <c r="F4470" s="72" t="str">
        <f>HYPERLINK("http://nsgreg.nga.mil/genc/view?v=295972&amp;end_month=6&amp;end_day=30&amp;end_year=2019","Likisá")</f>
        <v>Likisá</v>
      </c>
      <c r="G4470" s="72" t="str">
        <f>HYPERLINK("http://api.nsgreg.nga.mil/geo-division/GENC/6/3-11/TL-LI","as:GENC:6:3-11:TL-LI")</f>
        <v>as:GENC:6:3-11:TL-LI</v>
      </c>
    </row>
    <row r="4471" spans="1:7" x14ac:dyDescent="0.25">
      <c r="A4471" s="112"/>
      <c r="B4471" s="21" t="s">
        <v>10562</v>
      </c>
      <c r="C4471" s="21" t="s">
        <v>10563</v>
      </c>
      <c r="D4471" s="21" t="s">
        <v>2505</v>
      </c>
      <c r="E4471" s="50" t="b">
        <v>1</v>
      </c>
      <c r="F4471" s="72" t="str">
        <f>HYPERLINK("http://nsgreg.nga.mil/genc/view?v=295974&amp;end_month=6&amp;end_day=30&amp;end_year=2019","Manatuto")</f>
        <v>Manatuto</v>
      </c>
      <c r="G4471" s="72" t="str">
        <f>HYPERLINK("http://api.nsgreg.nga.mil/geo-division/GENC/6/3-11/TL-MT","as:GENC:6:3-11:TL-MT")</f>
        <v>as:GENC:6:3-11:TL-MT</v>
      </c>
    </row>
    <row r="4472" spans="1:7" x14ac:dyDescent="0.25">
      <c r="A4472" s="112"/>
      <c r="B4472" s="21" t="s">
        <v>10564</v>
      </c>
      <c r="C4472" s="21" t="s">
        <v>10565</v>
      </c>
      <c r="D4472" s="21" t="s">
        <v>2505</v>
      </c>
      <c r="E4472" s="50" t="b">
        <v>1</v>
      </c>
      <c r="F4472" s="72" t="str">
        <f>HYPERLINK("http://nsgreg.nga.mil/genc/view?v=295973&amp;end_month=6&amp;end_day=30&amp;end_year=2019","Manufahi")</f>
        <v>Manufahi</v>
      </c>
      <c r="G4472" s="72" t="str">
        <f>HYPERLINK("http://api.nsgreg.nga.mil/geo-division/GENC/6/3-11/TL-MF","as:GENC:6:3-11:TL-MF")</f>
        <v>as:GENC:6:3-11:TL-MF</v>
      </c>
    </row>
    <row r="4473" spans="1:7" x14ac:dyDescent="0.25">
      <c r="A4473" s="112"/>
      <c r="B4473" s="21" t="s">
        <v>10566</v>
      </c>
      <c r="C4473" s="21" t="s">
        <v>10567</v>
      </c>
      <c r="D4473" s="21" t="s">
        <v>10568</v>
      </c>
      <c r="E4473" s="50" t="b">
        <v>1</v>
      </c>
      <c r="F4473" s="72" t="str">
        <f>HYPERLINK("http://nsgreg.nga.mil/genc/view?v=295975&amp;end_month=6&amp;end_day=30&amp;end_year=2019","Oé-Cusse Ambeno")</f>
        <v>Oé-Cusse Ambeno</v>
      </c>
      <c r="G4473" s="72" t="str">
        <f>HYPERLINK("http://api.nsgreg.nga.mil/geo-division/GENC/6/3-11/TL-OE","as:GENC:6:3-11:TL-OE")</f>
        <v>as:GENC:6:3-11:TL-OE</v>
      </c>
    </row>
    <row r="4474" spans="1:7" x14ac:dyDescent="0.25">
      <c r="A4474" s="113"/>
      <c r="B4474" s="47" t="s">
        <v>10569</v>
      </c>
      <c r="C4474" s="47" t="s">
        <v>10570</v>
      </c>
      <c r="D4474" s="47" t="s">
        <v>2505</v>
      </c>
      <c r="E4474" s="51" t="b">
        <v>1</v>
      </c>
      <c r="F4474" s="73" t="str">
        <f>HYPERLINK("http://nsgreg.nga.mil/genc/view?v=295976&amp;end_month=6&amp;end_day=30&amp;end_year=2019","Viqueque")</f>
        <v>Viqueque</v>
      </c>
      <c r="G4474" s="73" t="str">
        <f>HYPERLINK("http://api.nsgreg.nga.mil/geo-division/GENC/6/3-11/TL-VI","as:GENC:6:3-11:TL-VI")</f>
        <v>as:GENC:6:3-11:TL-VI</v>
      </c>
    </row>
    <row r="4475" spans="1:7" x14ac:dyDescent="0.25">
      <c r="A4475" s="111" t="str">
        <f>HYPERLINK("[#]Codes_for_GE_Names!A253:I253","TOGO")</f>
        <v>TOGO</v>
      </c>
      <c r="B4475" s="42" t="s">
        <v>10571</v>
      </c>
      <c r="C4475" s="42" t="s">
        <v>10572</v>
      </c>
      <c r="D4475" s="42" t="s">
        <v>1975</v>
      </c>
      <c r="E4475" s="49" t="b">
        <v>1</v>
      </c>
      <c r="F4475" s="74" t="str">
        <f>HYPERLINK("http://nsgreg.nga.mil/genc/view?v=295876&amp;end_month=6&amp;end_day=30&amp;end_year=2019","Centrale")</f>
        <v>Centrale</v>
      </c>
      <c r="G4475" s="74" t="str">
        <f>HYPERLINK("http://api.nsgreg.nga.mil/geo-division/GENC/6/3-11/TG-C","as:GENC:6:3-11:TG-C")</f>
        <v>as:GENC:6:3-11:TG-C</v>
      </c>
    </row>
    <row r="4476" spans="1:7" x14ac:dyDescent="0.25">
      <c r="A4476" s="112"/>
      <c r="B4476" s="21" t="s">
        <v>10573</v>
      </c>
      <c r="C4476" s="21" t="s">
        <v>10574</v>
      </c>
      <c r="D4476" s="21" t="s">
        <v>1975</v>
      </c>
      <c r="E4476" s="50" t="b">
        <v>1</v>
      </c>
      <c r="F4476" s="72" t="str">
        <f>HYPERLINK("http://nsgreg.nga.mil/genc/view?v=295877&amp;end_month=6&amp;end_day=30&amp;end_year=2019","Kara")</f>
        <v>Kara</v>
      </c>
      <c r="G4476" s="72" t="str">
        <f>HYPERLINK("http://api.nsgreg.nga.mil/geo-division/GENC/6/3-11/TG-K","as:GENC:6:3-11:TG-K")</f>
        <v>as:GENC:6:3-11:TG-K</v>
      </c>
    </row>
    <row r="4477" spans="1:7" x14ac:dyDescent="0.25">
      <c r="A4477" s="112"/>
      <c r="B4477" s="21" t="s">
        <v>10575</v>
      </c>
      <c r="C4477" s="21" t="s">
        <v>10576</v>
      </c>
      <c r="D4477" s="21" t="s">
        <v>1975</v>
      </c>
      <c r="E4477" s="50" t="b">
        <v>1</v>
      </c>
      <c r="F4477" s="72" t="str">
        <f>HYPERLINK("http://nsgreg.nga.mil/genc/view?v=295878&amp;end_month=6&amp;end_day=30&amp;end_year=2019","Maritime")</f>
        <v>Maritime</v>
      </c>
      <c r="G4477" s="72" t="str">
        <f>HYPERLINK("http://api.nsgreg.nga.mil/geo-division/GENC/6/3-11/TG-M","as:GENC:6:3-11:TG-M")</f>
        <v>as:GENC:6:3-11:TG-M</v>
      </c>
    </row>
    <row r="4478" spans="1:7" x14ac:dyDescent="0.25">
      <c r="A4478" s="112"/>
      <c r="B4478" s="21" t="s">
        <v>10577</v>
      </c>
      <c r="C4478" s="21" t="s">
        <v>3337</v>
      </c>
      <c r="D4478" s="21" t="s">
        <v>1975</v>
      </c>
      <c r="E4478" s="50" t="b">
        <v>1</v>
      </c>
      <c r="F4478" s="72" t="str">
        <f>HYPERLINK("http://nsgreg.nga.mil/genc/view?v=295879&amp;end_month=6&amp;end_day=30&amp;end_year=2019","Plateaux")</f>
        <v>Plateaux</v>
      </c>
      <c r="G4478" s="72" t="str">
        <f>HYPERLINK("http://api.nsgreg.nga.mil/geo-division/GENC/6/3-11/TG-P","as:GENC:6:3-11:TG-P")</f>
        <v>as:GENC:6:3-11:TG-P</v>
      </c>
    </row>
    <row r="4479" spans="1:7" x14ac:dyDescent="0.25">
      <c r="A4479" s="113"/>
      <c r="B4479" s="47" t="s">
        <v>10578</v>
      </c>
      <c r="C4479" s="47" t="s">
        <v>3430</v>
      </c>
      <c r="D4479" s="47" t="s">
        <v>1975</v>
      </c>
      <c r="E4479" s="51" t="b">
        <v>1</v>
      </c>
      <c r="F4479" s="73" t="str">
        <f>HYPERLINK("http://nsgreg.nga.mil/genc/view?v=295880&amp;end_month=6&amp;end_day=30&amp;end_year=2019","Savanes")</f>
        <v>Savanes</v>
      </c>
      <c r="G4479" s="73" t="str">
        <f>HYPERLINK("http://api.nsgreg.nga.mil/geo-division/GENC/6/3-11/TG-S","as:GENC:6:3-11:TG-S")</f>
        <v>as:GENC:6:3-11:TG-S</v>
      </c>
    </row>
    <row r="4480" spans="1:7" x14ac:dyDescent="0.25">
      <c r="A4480" s="111" t="str">
        <f>HYPERLINK("[#]Codes_for_GE_Names!A255:I255","TONGA")</f>
        <v>TONGA</v>
      </c>
      <c r="B4480" s="42" t="s">
        <v>10579</v>
      </c>
      <c r="C4480" s="42" t="s">
        <v>10580</v>
      </c>
      <c r="D4480" s="42" t="s">
        <v>2264</v>
      </c>
      <c r="E4480" s="49" t="b">
        <v>1</v>
      </c>
      <c r="F4480" s="74" t="str">
        <f>HYPERLINK("http://nsgreg.nga.mil/genc/view?v=296007&amp;end_month=6&amp;end_day=30&amp;end_year=2019","‘Eua")</f>
        <v>‘Eua</v>
      </c>
      <c r="G4480" s="74" t="str">
        <f>HYPERLINK("http://api.nsgreg.nga.mil/geo-division/GENC/6/3-11/TO-01","as:GENC:6:3-11:TO-01")</f>
        <v>as:GENC:6:3-11:TO-01</v>
      </c>
    </row>
    <row r="4481" spans="1:7" x14ac:dyDescent="0.25">
      <c r="A4481" s="112"/>
      <c r="B4481" s="21" t="s">
        <v>10581</v>
      </c>
      <c r="C4481" s="21" t="s">
        <v>10582</v>
      </c>
      <c r="D4481" s="21" t="s">
        <v>2264</v>
      </c>
      <c r="E4481" s="50" t="b">
        <v>1</v>
      </c>
      <c r="F4481" s="72" t="str">
        <f>HYPERLINK("http://nsgreg.nga.mil/genc/view?v=296008&amp;end_month=6&amp;end_day=30&amp;end_year=2019","Ha‘apai")</f>
        <v>Ha‘apai</v>
      </c>
      <c r="G4481" s="72" t="str">
        <f>HYPERLINK("http://api.nsgreg.nga.mil/geo-division/GENC/6/3-11/TO-02","as:GENC:6:3-11:TO-02")</f>
        <v>as:GENC:6:3-11:TO-02</v>
      </c>
    </row>
    <row r="4482" spans="1:7" x14ac:dyDescent="0.25">
      <c r="A4482" s="112"/>
      <c r="B4482" s="21" t="s">
        <v>10583</v>
      </c>
      <c r="C4482" s="21" t="s">
        <v>10584</v>
      </c>
      <c r="D4482" s="21" t="s">
        <v>2264</v>
      </c>
      <c r="E4482" s="50" t="b">
        <v>1</v>
      </c>
      <c r="F4482" s="72" t="str">
        <f>HYPERLINK("http://nsgreg.nga.mil/genc/view?v=296009&amp;end_month=6&amp;end_day=30&amp;end_year=2019","Ongo Niua")</f>
        <v>Ongo Niua</v>
      </c>
      <c r="G4482" s="72" t="str">
        <f>HYPERLINK("http://api.nsgreg.nga.mil/geo-division/GENC/6/3-11/TO-03","as:GENC:6:3-11:TO-03")</f>
        <v>as:GENC:6:3-11:TO-03</v>
      </c>
    </row>
    <row r="4483" spans="1:7" x14ac:dyDescent="0.25">
      <c r="A4483" s="112"/>
      <c r="B4483" s="21" t="s">
        <v>10585</v>
      </c>
      <c r="C4483" s="21" t="s">
        <v>10586</v>
      </c>
      <c r="D4483" s="21" t="s">
        <v>2264</v>
      </c>
      <c r="E4483" s="50" t="b">
        <v>1</v>
      </c>
      <c r="F4483" s="72" t="str">
        <f>HYPERLINK("http://nsgreg.nga.mil/genc/view?v=296010&amp;end_month=6&amp;end_day=30&amp;end_year=2019","Tongatapu")</f>
        <v>Tongatapu</v>
      </c>
      <c r="G4483" s="72" t="str">
        <f>HYPERLINK("http://api.nsgreg.nga.mil/geo-division/GENC/6/3-11/TO-04","as:GENC:6:3-11:TO-04")</f>
        <v>as:GENC:6:3-11:TO-04</v>
      </c>
    </row>
    <row r="4484" spans="1:7" x14ac:dyDescent="0.25">
      <c r="A4484" s="113"/>
      <c r="B4484" s="47" t="s">
        <v>10587</v>
      </c>
      <c r="C4484" s="47" t="s">
        <v>10588</v>
      </c>
      <c r="D4484" s="47" t="s">
        <v>2264</v>
      </c>
      <c r="E4484" s="51" t="b">
        <v>1</v>
      </c>
      <c r="F4484" s="73" t="str">
        <f>HYPERLINK("http://nsgreg.nga.mil/genc/view?v=296011&amp;end_month=6&amp;end_day=30&amp;end_year=2019","Vava‘u")</f>
        <v>Vava‘u</v>
      </c>
      <c r="G4484" s="73" t="str">
        <f>HYPERLINK("http://api.nsgreg.nga.mil/geo-division/GENC/6/3-11/TO-05","as:GENC:6:3-11:TO-05")</f>
        <v>as:GENC:6:3-11:TO-05</v>
      </c>
    </row>
    <row r="4485" spans="1:7" x14ac:dyDescent="0.25">
      <c r="A4485" s="111" t="str">
        <f>HYPERLINK("[#]Codes_for_GE_Names!A256:I256","TRINIDAD AND TOBAGO")</f>
        <v>TRINIDAD AND TOBAGO</v>
      </c>
      <c r="B4485" s="42" t="s">
        <v>10589</v>
      </c>
      <c r="C4485" s="42" t="s">
        <v>10590</v>
      </c>
      <c r="D4485" s="42" t="s">
        <v>2505</v>
      </c>
      <c r="E4485" s="49" t="b">
        <v>1</v>
      </c>
      <c r="F4485" s="74" t="str">
        <f>HYPERLINK("http://nsgreg.nga.mil/genc/view?v=296093&amp;end_month=6&amp;end_day=30&amp;end_year=2019","Arima")</f>
        <v>Arima</v>
      </c>
      <c r="G4485" s="74" t="str">
        <f>HYPERLINK("http://api.nsgreg.nga.mil/geo-division/GENC/6/3-11/TT-ARI","as:GENC:6:3-11:TT-ARI")</f>
        <v>as:GENC:6:3-11:TT-ARI</v>
      </c>
    </row>
    <row r="4486" spans="1:7" x14ac:dyDescent="0.25">
      <c r="A4486" s="112"/>
      <c r="B4486" s="21" t="s">
        <v>10591</v>
      </c>
      <c r="C4486" s="21" t="s">
        <v>10592</v>
      </c>
      <c r="D4486" s="21" t="s">
        <v>2505</v>
      </c>
      <c r="E4486" s="50" t="b">
        <v>1</v>
      </c>
      <c r="F4486" s="72" t="str">
        <f>HYPERLINK("http://nsgreg.nga.mil/genc/view?v=296094&amp;end_month=6&amp;end_day=30&amp;end_year=2019","Chaguanas")</f>
        <v>Chaguanas</v>
      </c>
      <c r="G4486" s="72" t="str">
        <f>HYPERLINK("http://api.nsgreg.nga.mil/geo-division/GENC/6/3-11/TT-CHA","as:GENC:6:3-11:TT-CHA")</f>
        <v>as:GENC:6:3-11:TT-CHA</v>
      </c>
    </row>
    <row r="4487" spans="1:7" x14ac:dyDescent="0.25">
      <c r="A4487" s="112"/>
      <c r="B4487" s="21" t="s">
        <v>10593</v>
      </c>
      <c r="C4487" s="21" t="s">
        <v>10594</v>
      </c>
      <c r="D4487" s="21" t="s">
        <v>1975</v>
      </c>
      <c r="E4487" s="50" t="b">
        <v>1</v>
      </c>
      <c r="F4487" s="72" t="str">
        <f>HYPERLINK("http://nsgreg.nga.mil/genc/view?v=296095&amp;end_month=6&amp;end_day=30&amp;end_year=2019","Couva/Tabaquite/Talparo")</f>
        <v>Couva/Tabaquite/Talparo</v>
      </c>
      <c r="G4487" s="72" t="str">
        <f>HYPERLINK("http://api.nsgreg.nga.mil/geo-division/GENC/6/3-11/TT-CTT","as:GENC:6:3-11:TT-CTT")</f>
        <v>as:GENC:6:3-11:TT-CTT</v>
      </c>
    </row>
    <row r="4488" spans="1:7" x14ac:dyDescent="0.25">
      <c r="A4488" s="112"/>
      <c r="B4488" s="21" t="s">
        <v>10595</v>
      </c>
      <c r="C4488" s="21" t="s">
        <v>10596</v>
      </c>
      <c r="D4488" s="21" t="s">
        <v>1975</v>
      </c>
      <c r="E4488" s="50" t="b">
        <v>1</v>
      </c>
      <c r="F4488" s="72" t="str">
        <f>HYPERLINK("http://nsgreg.nga.mil/genc/view?v=296096&amp;end_month=6&amp;end_day=30&amp;end_year=2019","Diego Martin")</f>
        <v>Diego Martin</v>
      </c>
      <c r="G4488" s="72" t="str">
        <f>HYPERLINK("http://api.nsgreg.nga.mil/geo-division/GENC/6/3-11/TT-DMN","as:GENC:6:3-11:TT-DMN")</f>
        <v>as:GENC:6:3-11:TT-DMN</v>
      </c>
    </row>
    <row r="4489" spans="1:7" x14ac:dyDescent="0.25">
      <c r="A4489" s="112"/>
      <c r="B4489" s="21" t="s">
        <v>10597</v>
      </c>
      <c r="C4489" s="21" t="s">
        <v>10598</v>
      </c>
      <c r="D4489" s="21" t="s">
        <v>1975</v>
      </c>
      <c r="E4489" s="50" t="b">
        <v>1</v>
      </c>
      <c r="F4489" s="72" t="str">
        <f>HYPERLINK("http://nsgreg.nga.mil/genc/view?v=296097&amp;end_month=6&amp;end_day=30&amp;end_year=2019","Mayaro/Rio Claro")</f>
        <v>Mayaro/Rio Claro</v>
      </c>
      <c r="G4489" s="72" t="str">
        <f>HYPERLINK("http://api.nsgreg.nga.mil/geo-division/GENC/6/3-11/TT-MRC","as:GENC:6:3-11:TT-MRC")</f>
        <v>as:GENC:6:3-11:TT-MRC</v>
      </c>
    </row>
    <row r="4490" spans="1:7" x14ac:dyDescent="0.25">
      <c r="A4490" s="112"/>
      <c r="B4490" s="21" t="s">
        <v>10599</v>
      </c>
      <c r="C4490" s="21" t="s">
        <v>10600</v>
      </c>
      <c r="D4490" s="21" t="s">
        <v>1975</v>
      </c>
      <c r="E4490" s="50" t="b">
        <v>1</v>
      </c>
      <c r="F4490" s="72" t="str">
        <f>HYPERLINK("http://nsgreg.nga.mil/genc/view?v=296098&amp;end_month=6&amp;end_day=30&amp;end_year=2019","Penal/Debe")</f>
        <v>Penal/Debe</v>
      </c>
      <c r="G4490" s="72" t="str">
        <f>HYPERLINK("http://api.nsgreg.nga.mil/geo-division/GENC/6/3-11/TT-PED","as:GENC:6:3-11:TT-PED")</f>
        <v>as:GENC:6:3-11:TT-PED</v>
      </c>
    </row>
    <row r="4491" spans="1:7" x14ac:dyDescent="0.25">
      <c r="A4491" s="112"/>
      <c r="B4491" s="21" t="s">
        <v>10601</v>
      </c>
      <c r="C4491" s="21" t="s">
        <v>10602</v>
      </c>
      <c r="D4491" s="21" t="s">
        <v>2505</v>
      </c>
      <c r="E4491" s="50" t="b">
        <v>1</v>
      </c>
      <c r="F4491" s="72" t="str">
        <f>HYPERLINK("http://nsgreg.nga.mil/genc/view?v=296101&amp;end_month=6&amp;end_day=30&amp;end_year=2019","Point Fortin")</f>
        <v>Point Fortin</v>
      </c>
      <c r="G4491" s="72" t="str">
        <f>HYPERLINK("http://api.nsgreg.nga.mil/geo-division/GENC/6/3-11/TT-PTF","as:GENC:6:3-11:TT-PTF")</f>
        <v>as:GENC:6:3-11:TT-PTF</v>
      </c>
    </row>
    <row r="4492" spans="1:7" x14ac:dyDescent="0.25">
      <c r="A4492" s="112"/>
      <c r="B4492" s="21" t="s">
        <v>10603</v>
      </c>
      <c r="C4492" s="21" t="s">
        <v>10604</v>
      </c>
      <c r="D4492" s="21" t="s">
        <v>2505</v>
      </c>
      <c r="E4492" s="50" t="b">
        <v>1</v>
      </c>
      <c r="F4492" s="72" t="str">
        <f>HYPERLINK("http://nsgreg.nga.mil/genc/view?v=296099&amp;end_month=6&amp;end_day=30&amp;end_year=2019","Port of Spain")</f>
        <v>Port of Spain</v>
      </c>
      <c r="G4492" s="72" t="str">
        <f>HYPERLINK("http://api.nsgreg.nga.mil/geo-division/GENC/6/3-11/TT-POS","as:GENC:6:3-11:TT-POS")</f>
        <v>as:GENC:6:3-11:TT-POS</v>
      </c>
    </row>
    <row r="4493" spans="1:7" x14ac:dyDescent="0.25">
      <c r="A4493" s="112"/>
      <c r="B4493" s="21" t="s">
        <v>10605</v>
      </c>
      <c r="C4493" s="21" t="s">
        <v>10606</v>
      </c>
      <c r="D4493" s="21" t="s">
        <v>1975</v>
      </c>
      <c r="E4493" s="50" t="b">
        <v>1</v>
      </c>
      <c r="F4493" s="72" t="str">
        <f>HYPERLINK("http://nsgreg.nga.mil/genc/view?v=296100&amp;end_month=6&amp;end_day=30&amp;end_year=2019","Princes Town")</f>
        <v>Princes Town</v>
      </c>
      <c r="G4493" s="72" t="str">
        <f>HYPERLINK("http://api.nsgreg.nga.mil/geo-division/GENC/6/3-11/TT-PRT","as:GENC:6:3-11:TT-PRT")</f>
        <v>as:GENC:6:3-11:TT-PRT</v>
      </c>
    </row>
    <row r="4494" spans="1:7" x14ac:dyDescent="0.25">
      <c r="A4494" s="112"/>
      <c r="B4494" s="21" t="s">
        <v>10607</v>
      </c>
      <c r="C4494" s="21" t="s">
        <v>10608</v>
      </c>
      <c r="D4494" s="21" t="s">
        <v>2505</v>
      </c>
      <c r="E4494" s="50" t="b">
        <v>1</v>
      </c>
      <c r="F4494" s="72" t="str">
        <f>HYPERLINK("http://nsgreg.nga.mil/genc/view?v=296102&amp;end_month=6&amp;end_day=30&amp;end_year=2019","San Fernando")</f>
        <v>San Fernando</v>
      </c>
      <c r="G4494" s="72" t="str">
        <f>HYPERLINK("http://api.nsgreg.nga.mil/geo-division/GENC/6/3-11/TT-SFO","as:GENC:6:3-11:TT-SFO")</f>
        <v>as:GENC:6:3-11:TT-SFO</v>
      </c>
    </row>
    <row r="4495" spans="1:7" x14ac:dyDescent="0.25">
      <c r="A4495" s="112"/>
      <c r="B4495" s="21" t="s">
        <v>10609</v>
      </c>
      <c r="C4495" s="21" t="s">
        <v>10610</v>
      </c>
      <c r="D4495" s="21" t="s">
        <v>1975</v>
      </c>
      <c r="E4495" s="50" t="b">
        <v>1</v>
      </c>
      <c r="F4495" s="72" t="str">
        <f>HYPERLINK("http://nsgreg.nga.mil/genc/view?v=296103&amp;end_month=6&amp;end_day=30&amp;end_year=2019","Sangre Grande")</f>
        <v>Sangre Grande</v>
      </c>
      <c r="G4495" s="72" t="str">
        <f>HYPERLINK("http://api.nsgreg.nga.mil/geo-division/GENC/6/3-11/TT-SGE","as:GENC:6:3-11:TT-SGE")</f>
        <v>as:GENC:6:3-11:TT-SGE</v>
      </c>
    </row>
    <row r="4496" spans="1:7" x14ac:dyDescent="0.25">
      <c r="A4496" s="112"/>
      <c r="B4496" s="21" t="s">
        <v>10611</v>
      </c>
      <c r="C4496" s="21" t="s">
        <v>10612</v>
      </c>
      <c r="D4496" s="21" t="s">
        <v>1975</v>
      </c>
      <c r="E4496" s="50" t="b">
        <v>1</v>
      </c>
      <c r="F4496" s="72" t="str">
        <f>HYPERLINK("http://nsgreg.nga.mil/genc/view?v=296105&amp;end_month=6&amp;end_day=30&amp;end_year=2019","San Juan/Laventille")</f>
        <v>San Juan/Laventille</v>
      </c>
      <c r="G4496" s="72" t="str">
        <f>HYPERLINK("http://api.nsgreg.nga.mil/geo-division/GENC/6/3-11/TT-SJL","as:GENC:6:3-11:TT-SJL")</f>
        <v>as:GENC:6:3-11:TT-SJL</v>
      </c>
    </row>
    <row r="4497" spans="1:7" x14ac:dyDescent="0.25">
      <c r="A4497" s="112"/>
      <c r="B4497" s="21" t="s">
        <v>10613</v>
      </c>
      <c r="C4497" s="21" t="s">
        <v>10614</v>
      </c>
      <c r="D4497" s="21" t="s">
        <v>1975</v>
      </c>
      <c r="E4497" s="50" t="b">
        <v>1</v>
      </c>
      <c r="F4497" s="72" t="str">
        <f>HYPERLINK("http://nsgreg.nga.mil/genc/view?v=296104&amp;end_month=6&amp;end_day=30&amp;end_year=2019","Siparia")</f>
        <v>Siparia</v>
      </c>
      <c r="G4497" s="72" t="str">
        <f>HYPERLINK("http://api.nsgreg.nga.mil/geo-division/GENC/6/3-11/TT-SIP","as:GENC:6:3-11:TT-SIP")</f>
        <v>as:GENC:6:3-11:TT-SIP</v>
      </c>
    </row>
    <row r="4498" spans="1:7" x14ac:dyDescent="0.25">
      <c r="A4498" s="112"/>
      <c r="B4498" s="21" t="s">
        <v>10615</v>
      </c>
      <c r="C4498" s="21" t="s">
        <v>10616</v>
      </c>
      <c r="D4498" s="21" t="s">
        <v>10617</v>
      </c>
      <c r="E4498" s="50" t="b">
        <v>1</v>
      </c>
      <c r="F4498" s="72" t="str">
        <f>HYPERLINK("http://nsgreg.nga.mil/genc/view?v=296106&amp;end_month=6&amp;end_day=30&amp;end_year=2019","Tobago")</f>
        <v>Tobago</v>
      </c>
      <c r="G4498" s="72" t="str">
        <f>HYPERLINK("http://api.nsgreg.nga.mil/geo-division/GENC/6/3-11/TT-TOB","as:GENC:6:3-11:TT-TOB")</f>
        <v>as:GENC:6:3-11:TT-TOB</v>
      </c>
    </row>
    <row r="4499" spans="1:7" x14ac:dyDescent="0.25">
      <c r="A4499" s="113"/>
      <c r="B4499" s="47" t="s">
        <v>10618</v>
      </c>
      <c r="C4499" s="47" t="s">
        <v>10619</v>
      </c>
      <c r="D4499" s="47" t="s">
        <v>1975</v>
      </c>
      <c r="E4499" s="51" t="b">
        <v>1</v>
      </c>
      <c r="F4499" s="73" t="str">
        <f>HYPERLINK("http://nsgreg.nga.mil/genc/view?v=296107&amp;end_month=6&amp;end_day=30&amp;end_year=2019","Tunapuna/Piarco")</f>
        <v>Tunapuna/Piarco</v>
      </c>
      <c r="G4499" s="73" t="str">
        <f>HYPERLINK("http://api.nsgreg.nga.mil/geo-division/GENC/6/3-11/TT-TUP","as:GENC:6:3-11:TT-TUP")</f>
        <v>as:GENC:6:3-11:TT-TUP</v>
      </c>
    </row>
    <row r="4500" spans="1:7" x14ac:dyDescent="0.25">
      <c r="A4500" s="111" t="str">
        <f>HYPERLINK("[#]Codes_for_GE_Names!A258:I258","TUNISIA")</f>
        <v>TUNISIA</v>
      </c>
      <c r="B4500" s="42" t="s">
        <v>10620</v>
      </c>
      <c r="C4500" s="42" t="s">
        <v>10621</v>
      </c>
      <c r="D4500" s="42" t="s">
        <v>2255</v>
      </c>
      <c r="E4500" s="49" t="b">
        <v>1</v>
      </c>
      <c r="F4500" s="74" t="str">
        <f>HYPERLINK("http://nsgreg.nga.mil/genc/view?v=295990&amp;end_month=6&amp;end_day=30&amp;end_year=2019","Béja")</f>
        <v>Béja</v>
      </c>
      <c r="G4500" s="74" t="str">
        <f>HYPERLINK("http://api.nsgreg.nga.mil/geo-division/GENC/6/3-11/TN-31","as:GENC:6:3-11:TN-31")</f>
        <v>as:GENC:6:3-11:TN-31</v>
      </c>
    </row>
    <row r="4501" spans="1:7" x14ac:dyDescent="0.25">
      <c r="A4501" s="112"/>
      <c r="B4501" s="21" t="s">
        <v>10622</v>
      </c>
      <c r="C4501" s="21" t="s">
        <v>10623</v>
      </c>
      <c r="D4501" s="21" t="s">
        <v>2255</v>
      </c>
      <c r="E4501" s="50" t="b">
        <v>1</v>
      </c>
      <c r="F4501" s="72" t="str">
        <f>HYPERLINK("http://nsgreg.nga.mil/genc/view?v=295985&amp;end_month=6&amp;end_day=30&amp;end_year=2019","Ben Arous")</f>
        <v>Ben Arous</v>
      </c>
      <c r="G4501" s="72" t="str">
        <f>HYPERLINK("http://api.nsgreg.nga.mil/geo-division/GENC/6/3-11/TN-13","as:GENC:6:3-11:TN-13")</f>
        <v>as:GENC:6:3-11:TN-13</v>
      </c>
    </row>
    <row r="4502" spans="1:7" x14ac:dyDescent="0.25">
      <c r="A4502" s="112"/>
      <c r="B4502" s="21" t="s">
        <v>10624</v>
      </c>
      <c r="C4502" s="21" t="s">
        <v>10625</v>
      </c>
      <c r="D4502" s="21" t="s">
        <v>2255</v>
      </c>
      <c r="E4502" s="50" t="b">
        <v>1</v>
      </c>
      <c r="F4502" s="72" t="str">
        <f>HYPERLINK("http://nsgreg.nga.mil/genc/view?v=295989&amp;end_month=6&amp;end_day=30&amp;end_year=2019","Bizerte")</f>
        <v>Bizerte</v>
      </c>
      <c r="G4502" s="72" t="str">
        <f>HYPERLINK("http://api.nsgreg.nga.mil/geo-division/GENC/6/3-11/TN-23","as:GENC:6:3-11:TN-23")</f>
        <v>as:GENC:6:3-11:TN-23</v>
      </c>
    </row>
    <row r="4503" spans="1:7" x14ac:dyDescent="0.25">
      <c r="A4503" s="112"/>
      <c r="B4503" s="21" t="s">
        <v>10626</v>
      </c>
      <c r="C4503" s="21" t="s">
        <v>10627</v>
      </c>
      <c r="D4503" s="21" t="s">
        <v>2255</v>
      </c>
      <c r="E4503" s="50" t="b">
        <v>1</v>
      </c>
      <c r="F4503" s="72" t="str">
        <f>HYPERLINK("http://nsgreg.nga.mil/genc/view?v=296004&amp;end_month=6&amp;end_day=30&amp;end_year=2019","Gabès")</f>
        <v>Gabès</v>
      </c>
      <c r="G4503" s="72" t="str">
        <f>HYPERLINK("http://api.nsgreg.nga.mil/geo-division/GENC/6/3-11/TN-81","as:GENC:6:3-11:TN-81")</f>
        <v>as:GENC:6:3-11:TN-81</v>
      </c>
    </row>
    <row r="4504" spans="1:7" x14ac:dyDescent="0.25">
      <c r="A4504" s="112"/>
      <c r="B4504" s="21" t="s">
        <v>10628</v>
      </c>
      <c r="C4504" s="21" t="s">
        <v>10629</v>
      </c>
      <c r="D4504" s="21" t="s">
        <v>2255</v>
      </c>
      <c r="E4504" s="50" t="b">
        <v>1</v>
      </c>
      <c r="F4504" s="72" t="str">
        <f>HYPERLINK("http://nsgreg.nga.mil/genc/view?v=296001&amp;end_month=6&amp;end_day=30&amp;end_year=2019","Gafsa")</f>
        <v>Gafsa</v>
      </c>
      <c r="G4504" s="72" t="str">
        <f>HYPERLINK("http://api.nsgreg.nga.mil/geo-division/GENC/6/3-11/TN-71","as:GENC:6:3-11:TN-71")</f>
        <v>as:GENC:6:3-11:TN-71</v>
      </c>
    </row>
    <row r="4505" spans="1:7" x14ac:dyDescent="0.25">
      <c r="A4505" s="112"/>
      <c r="B4505" s="21" t="s">
        <v>10630</v>
      </c>
      <c r="C4505" s="21" t="s">
        <v>10631</v>
      </c>
      <c r="D4505" s="21" t="s">
        <v>2255</v>
      </c>
      <c r="E4505" s="50" t="b">
        <v>1</v>
      </c>
      <c r="F4505" s="72" t="str">
        <f>HYPERLINK("http://nsgreg.nga.mil/genc/view?v=295991&amp;end_month=6&amp;end_day=30&amp;end_year=2019","Jendouba")</f>
        <v>Jendouba</v>
      </c>
      <c r="G4505" s="72" t="str">
        <f>HYPERLINK("http://api.nsgreg.nga.mil/geo-division/GENC/6/3-11/TN-32","as:GENC:6:3-11:TN-32")</f>
        <v>as:GENC:6:3-11:TN-32</v>
      </c>
    </row>
    <row r="4506" spans="1:7" x14ac:dyDescent="0.25">
      <c r="A4506" s="112"/>
      <c r="B4506" s="21" t="s">
        <v>10632</v>
      </c>
      <c r="C4506" s="21" t="s">
        <v>10633</v>
      </c>
      <c r="D4506" s="21" t="s">
        <v>2255</v>
      </c>
      <c r="E4506" s="50" t="b">
        <v>1</v>
      </c>
      <c r="F4506" s="72" t="str">
        <f>HYPERLINK("http://nsgreg.nga.mil/genc/view?v=295994&amp;end_month=6&amp;end_day=30&amp;end_year=2019","Kairouan")</f>
        <v>Kairouan</v>
      </c>
      <c r="G4506" s="72" t="str">
        <f>HYPERLINK("http://api.nsgreg.nga.mil/geo-division/GENC/6/3-11/TN-41","as:GENC:6:3-11:TN-41")</f>
        <v>as:GENC:6:3-11:TN-41</v>
      </c>
    </row>
    <row r="4507" spans="1:7" x14ac:dyDescent="0.25">
      <c r="A4507" s="112"/>
      <c r="B4507" s="21" t="s">
        <v>10634</v>
      </c>
      <c r="C4507" s="21" t="s">
        <v>10635</v>
      </c>
      <c r="D4507" s="21" t="s">
        <v>2255</v>
      </c>
      <c r="E4507" s="50" t="b">
        <v>1</v>
      </c>
      <c r="F4507" s="72" t="str">
        <f>HYPERLINK("http://nsgreg.nga.mil/genc/view?v=295995&amp;end_month=6&amp;end_day=30&amp;end_year=2019","Kasserine")</f>
        <v>Kasserine</v>
      </c>
      <c r="G4507" s="72" t="str">
        <f>HYPERLINK("http://api.nsgreg.nga.mil/geo-division/GENC/6/3-11/TN-42","as:GENC:6:3-11:TN-42")</f>
        <v>as:GENC:6:3-11:TN-42</v>
      </c>
    </row>
    <row r="4508" spans="1:7" x14ac:dyDescent="0.25">
      <c r="A4508" s="112"/>
      <c r="B4508" s="21" t="s">
        <v>10636</v>
      </c>
      <c r="C4508" s="21" t="s">
        <v>10637</v>
      </c>
      <c r="D4508" s="21" t="s">
        <v>2255</v>
      </c>
      <c r="E4508" s="50" t="b">
        <v>1</v>
      </c>
      <c r="F4508" s="72" t="str">
        <f>HYPERLINK("http://nsgreg.nga.mil/genc/view?v=296003&amp;end_month=6&amp;end_day=30&amp;end_year=2019","Kébili")</f>
        <v>Kébili</v>
      </c>
      <c r="G4508" s="72" t="str">
        <f>HYPERLINK("http://api.nsgreg.nga.mil/geo-division/GENC/6/3-11/TN-73","as:GENC:6:3-11:TN-73")</f>
        <v>as:GENC:6:3-11:TN-73</v>
      </c>
    </row>
    <row r="4509" spans="1:7" x14ac:dyDescent="0.25">
      <c r="A4509" s="112"/>
      <c r="B4509" s="21" t="s">
        <v>10638</v>
      </c>
      <c r="C4509" s="21" t="s">
        <v>10639</v>
      </c>
      <c r="D4509" s="21" t="s">
        <v>2255</v>
      </c>
      <c r="E4509" s="50" t="b">
        <v>1</v>
      </c>
      <c r="F4509" s="72" t="str">
        <f>HYPERLINK("http://nsgreg.nga.mil/genc/view?v=295992&amp;end_month=6&amp;end_day=30&amp;end_year=2019","Kef")</f>
        <v>Kef</v>
      </c>
      <c r="G4509" s="72" t="str">
        <f>HYPERLINK("http://api.nsgreg.nga.mil/geo-division/GENC/6/3-11/TN-33","as:GENC:6:3-11:TN-33")</f>
        <v>as:GENC:6:3-11:TN-33</v>
      </c>
    </row>
    <row r="4510" spans="1:7" x14ac:dyDescent="0.25">
      <c r="A4510" s="112"/>
      <c r="B4510" s="21" t="s">
        <v>10640</v>
      </c>
      <c r="C4510" s="21" t="s">
        <v>10641</v>
      </c>
      <c r="D4510" s="21" t="s">
        <v>2255</v>
      </c>
      <c r="E4510" s="50" t="b">
        <v>1</v>
      </c>
      <c r="F4510" s="72" t="str">
        <f>HYPERLINK("http://nsgreg.nga.mil/genc/view?v=295984&amp;end_month=6&amp;end_day=30&amp;end_year=2019","L’Ariana")</f>
        <v>L’Ariana</v>
      </c>
      <c r="G4510" s="72" t="str">
        <f>HYPERLINK("http://api.nsgreg.nga.mil/geo-division/GENC/6/3-11/TN-12","as:GENC:6:3-11:TN-12")</f>
        <v>as:GENC:6:3-11:TN-12</v>
      </c>
    </row>
    <row r="4511" spans="1:7" x14ac:dyDescent="0.25">
      <c r="A4511" s="112"/>
      <c r="B4511" s="21" t="s">
        <v>10642</v>
      </c>
      <c r="C4511" s="21" t="s">
        <v>10643</v>
      </c>
      <c r="D4511" s="21" t="s">
        <v>2255</v>
      </c>
      <c r="E4511" s="50" t="b">
        <v>1</v>
      </c>
      <c r="F4511" s="72" t="str">
        <f>HYPERLINK("http://nsgreg.nga.mil/genc/view?v=295999&amp;end_month=6&amp;end_day=30&amp;end_year=2019","Mahdia")</f>
        <v>Mahdia</v>
      </c>
      <c r="G4511" s="72" t="str">
        <f>HYPERLINK("http://api.nsgreg.nga.mil/geo-division/GENC/6/3-11/TN-53","as:GENC:6:3-11:TN-53")</f>
        <v>as:GENC:6:3-11:TN-53</v>
      </c>
    </row>
    <row r="4512" spans="1:7" x14ac:dyDescent="0.25">
      <c r="A4512" s="112"/>
      <c r="B4512" s="21" t="s">
        <v>10644</v>
      </c>
      <c r="C4512" s="21" t="s">
        <v>10645</v>
      </c>
      <c r="D4512" s="21" t="s">
        <v>2255</v>
      </c>
      <c r="E4512" s="50" t="b">
        <v>1</v>
      </c>
      <c r="F4512" s="72" t="str">
        <f>HYPERLINK("http://nsgreg.nga.mil/genc/view?v=295986&amp;end_month=6&amp;end_day=30&amp;end_year=2019","Manouba")</f>
        <v>Manouba</v>
      </c>
      <c r="G4512" s="72" t="str">
        <f>HYPERLINK("http://api.nsgreg.nga.mil/geo-division/GENC/6/3-11/TN-14","as:GENC:6:3-11:TN-14")</f>
        <v>as:GENC:6:3-11:TN-14</v>
      </c>
    </row>
    <row r="4513" spans="1:7" x14ac:dyDescent="0.25">
      <c r="A4513" s="112"/>
      <c r="B4513" s="21" t="s">
        <v>10646</v>
      </c>
      <c r="C4513" s="21" t="s">
        <v>10647</v>
      </c>
      <c r="D4513" s="21" t="s">
        <v>2255</v>
      </c>
      <c r="E4513" s="50" t="b">
        <v>1</v>
      </c>
      <c r="F4513" s="72" t="str">
        <f>HYPERLINK("http://nsgreg.nga.mil/genc/view?v=296005&amp;end_month=6&amp;end_day=30&amp;end_year=2019","Médenine")</f>
        <v>Médenine</v>
      </c>
      <c r="G4513" s="72" t="str">
        <f>HYPERLINK("http://api.nsgreg.nga.mil/geo-division/GENC/6/3-11/TN-82","as:GENC:6:3-11:TN-82")</f>
        <v>as:GENC:6:3-11:TN-82</v>
      </c>
    </row>
    <row r="4514" spans="1:7" x14ac:dyDescent="0.25">
      <c r="A4514" s="112"/>
      <c r="B4514" s="21" t="s">
        <v>10648</v>
      </c>
      <c r="C4514" s="21" t="s">
        <v>10649</v>
      </c>
      <c r="D4514" s="21" t="s">
        <v>2255</v>
      </c>
      <c r="E4514" s="50" t="b">
        <v>1</v>
      </c>
      <c r="F4514" s="72" t="str">
        <f>HYPERLINK("http://nsgreg.nga.mil/genc/view?v=295998&amp;end_month=6&amp;end_day=30&amp;end_year=2019","Monastir")</f>
        <v>Monastir</v>
      </c>
      <c r="G4514" s="72" t="str">
        <f>HYPERLINK("http://api.nsgreg.nga.mil/geo-division/GENC/6/3-11/TN-52","as:GENC:6:3-11:TN-52")</f>
        <v>as:GENC:6:3-11:TN-52</v>
      </c>
    </row>
    <row r="4515" spans="1:7" x14ac:dyDescent="0.25">
      <c r="A4515" s="112"/>
      <c r="B4515" s="21" t="s">
        <v>10650</v>
      </c>
      <c r="C4515" s="21" t="s">
        <v>10651</v>
      </c>
      <c r="D4515" s="21" t="s">
        <v>2255</v>
      </c>
      <c r="E4515" s="50" t="b">
        <v>1</v>
      </c>
      <c r="F4515" s="72" t="str">
        <f>HYPERLINK("http://nsgreg.nga.mil/genc/view?v=295987&amp;end_month=6&amp;end_day=30&amp;end_year=2019","Nabeul")</f>
        <v>Nabeul</v>
      </c>
      <c r="G4515" s="72" t="str">
        <f>HYPERLINK("http://api.nsgreg.nga.mil/geo-division/GENC/6/3-11/TN-21","as:GENC:6:3-11:TN-21")</f>
        <v>as:GENC:6:3-11:TN-21</v>
      </c>
    </row>
    <row r="4516" spans="1:7" x14ac:dyDescent="0.25">
      <c r="A4516" s="112"/>
      <c r="B4516" s="21" t="s">
        <v>10652</v>
      </c>
      <c r="C4516" s="21" t="s">
        <v>10653</v>
      </c>
      <c r="D4516" s="21" t="s">
        <v>2255</v>
      </c>
      <c r="E4516" s="50" t="b">
        <v>1</v>
      </c>
      <c r="F4516" s="72" t="str">
        <f>HYPERLINK("http://nsgreg.nga.mil/genc/view?v=296000&amp;end_month=6&amp;end_day=30&amp;end_year=2019","Sfax")</f>
        <v>Sfax</v>
      </c>
      <c r="G4516" s="72" t="str">
        <f>HYPERLINK("http://api.nsgreg.nga.mil/geo-division/GENC/6/3-11/TN-61","as:GENC:6:3-11:TN-61")</f>
        <v>as:GENC:6:3-11:TN-61</v>
      </c>
    </row>
    <row r="4517" spans="1:7" x14ac:dyDescent="0.25">
      <c r="A4517" s="112"/>
      <c r="B4517" s="21" t="s">
        <v>10654</v>
      </c>
      <c r="C4517" s="21" t="s">
        <v>10655</v>
      </c>
      <c r="D4517" s="21" t="s">
        <v>2255</v>
      </c>
      <c r="E4517" s="50" t="b">
        <v>1</v>
      </c>
      <c r="F4517" s="72" t="str">
        <f>HYPERLINK("http://nsgreg.nga.mil/genc/view?v=295996&amp;end_month=6&amp;end_day=30&amp;end_year=2019","Sidi Bouzid")</f>
        <v>Sidi Bouzid</v>
      </c>
      <c r="G4517" s="72" t="str">
        <f>HYPERLINK("http://api.nsgreg.nga.mil/geo-division/GENC/6/3-11/TN-43","as:GENC:6:3-11:TN-43")</f>
        <v>as:GENC:6:3-11:TN-43</v>
      </c>
    </row>
    <row r="4518" spans="1:7" x14ac:dyDescent="0.25">
      <c r="A4518" s="112"/>
      <c r="B4518" s="21" t="s">
        <v>10656</v>
      </c>
      <c r="C4518" s="21" t="s">
        <v>10657</v>
      </c>
      <c r="D4518" s="21" t="s">
        <v>2255</v>
      </c>
      <c r="E4518" s="50" t="b">
        <v>1</v>
      </c>
      <c r="F4518" s="72" t="str">
        <f>HYPERLINK("http://nsgreg.nga.mil/genc/view?v=295993&amp;end_month=6&amp;end_day=30&amp;end_year=2019","Siliana")</f>
        <v>Siliana</v>
      </c>
      <c r="G4518" s="72" t="str">
        <f>HYPERLINK("http://api.nsgreg.nga.mil/geo-division/GENC/6/3-11/TN-34","as:GENC:6:3-11:TN-34")</f>
        <v>as:GENC:6:3-11:TN-34</v>
      </c>
    </row>
    <row r="4519" spans="1:7" x14ac:dyDescent="0.25">
      <c r="A4519" s="112"/>
      <c r="B4519" s="21" t="s">
        <v>10658</v>
      </c>
      <c r="C4519" s="21" t="s">
        <v>10659</v>
      </c>
      <c r="D4519" s="21" t="s">
        <v>2255</v>
      </c>
      <c r="E4519" s="50" t="b">
        <v>1</v>
      </c>
      <c r="F4519" s="72" t="str">
        <f>HYPERLINK("http://nsgreg.nga.mil/genc/view?v=295997&amp;end_month=6&amp;end_day=30&amp;end_year=2019","Sousse")</f>
        <v>Sousse</v>
      </c>
      <c r="G4519" s="72" t="str">
        <f>HYPERLINK("http://api.nsgreg.nga.mil/geo-division/GENC/6/3-11/TN-51","as:GENC:6:3-11:TN-51")</f>
        <v>as:GENC:6:3-11:TN-51</v>
      </c>
    </row>
    <row r="4520" spans="1:7" x14ac:dyDescent="0.25">
      <c r="A4520" s="112"/>
      <c r="B4520" s="21" t="s">
        <v>10660</v>
      </c>
      <c r="C4520" s="21" t="s">
        <v>10661</v>
      </c>
      <c r="D4520" s="21" t="s">
        <v>2255</v>
      </c>
      <c r="E4520" s="50" t="b">
        <v>1</v>
      </c>
      <c r="F4520" s="72" t="str">
        <f>HYPERLINK("http://nsgreg.nga.mil/genc/view?v=296006&amp;end_month=6&amp;end_day=30&amp;end_year=2019","Tataouine")</f>
        <v>Tataouine</v>
      </c>
      <c r="G4520" s="72" t="str">
        <f>HYPERLINK("http://api.nsgreg.nga.mil/geo-division/GENC/6/3-11/TN-83","as:GENC:6:3-11:TN-83")</f>
        <v>as:GENC:6:3-11:TN-83</v>
      </c>
    </row>
    <row r="4521" spans="1:7" x14ac:dyDescent="0.25">
      <c r="A4521" s="112"/>
      <c r="B4521" s="21" t="s">
        <v>10662</v>
      </c>
      <c r="C4521" s="21" t="s">
        <v>10663</v>
      </c>
      <c r="D4521" s="21" t="s">
        <v>2255</v>
      </c>
      <c r="E4521" s="50" t="b">
        <v>1</v>
      </c>
      <c r="F4521" s="72" t="str">
        <f>HYPERLINK("http://nsgreg.nga.mil/genc/view?v=296002&amp;end_month=6&amp;end_day=30&amp;end_year=2019","Tozeur")</f>
        <v>Tozeur</v>
      </c>
      <c r="G4521" s="72" t="str">
        <f>HYPERLINK("http://api.nsgreg.nga.mil/geo-division/GENC/6/3-11/TN-72","as:GENC:6:3-11:TN-72")</f>
        <v>as:GENC:6:3-11:TN-72</v>
      </c>
    </row>
    <row r="4522" spans="1:7" x14ac:dyDescent="0.25">
      <c r="A4522" s="112"/>
      <c r="B4522" s="21" t="s">
        <v>10664</v>
      </c>
      <c r="C4522" s="21" t="s">
        <v>10665</v>
      </c>
      <c r="D4522" s="21" t="s">
        <v>2255</v>
      </c>
      <c r="E4522" s="50" t="b">
        <v>1</v>
      </c>
      <c r="F4522" s="72" t="str">
        <f>HYPERLINK("http://nsgreg.nga.mil/genc/view?v=295983&amp;end_month=6&amp;end_day=30&amp;end_year=2019","Tunis")</f>
        <v>Tunis</v>
      </c>
      <c r="G4522" s="72" t="str">
        <f>HYPERLINK("http://api.nsgreg.nga.mil/geo-division/GENC/6/3-11/TN-11","as:GENC:6:3-11:TN-11")</f>
        <v>as:GENC:6:3-11:TN-11</v>
      </c>
    </row>
    <row r="4523" spans="1:7" x14ac:dyDescent="0.25">
      <c r="A4523" s="113"/>
      <c r="B4523" s="47" t="s">
        <v>10666</v>
      </c>
      <c r="C4523" s="47" t="s">
        <v>10667</v>
      </c>
      <c r="D4523" s="47" t="s">
        <v>2255</v>
      </c>
      <c r="E4523" s="51" t="b">
        <v>1</v>
      </c>
      <c r="F4523" s="73" t="str">
        <f>HYPERLINK("http://nsgreg.nga.mil/genc/view?v=295988&amp;end_month=6&amp;end_day=30&amp;end_year=2019","Zaghouan")</f>
        <v>Zaghouan</v>
      </c>
      <c r="G4523" s="73" t="str">
        <f>HYPERLINK("http://api.nsgreg.nga.mil/geo-division/GENC/6/3-11/TN-22","as:GENC:6:3-11:TN-22")</f>
        <v>as:GENC:6:3-11:TN-22</v>
      </c>
    </row>
    <row r="4524" spans="1:7" x14ac:dyDescent="0.25">
      <c r="A4524" s="111" t="str">
        <f>HYPERLINK("[#]Codes_for_GE_Names!A259:I259","TURKEY")</f>
        <v>TURKEY</v>
      </c>
      <c r="B4524" s="42" t="s">
        <v>10668</v>
      </c>
      <c r="C4524" s="42" t="s">
        <v>10669</v>
      </c>
      <c r="D4524" s="42" t="s">
        <v>1668</v>
      </c>
      <c r="E4524" s="49" t="b">
        <v>1</v>
      </c>
      <c r="F4524" s="74" t="str">
        <f>HYPERLINK("http://nsgreg.nga.mil/genc/view?v=296012&amp;end_month=6&amp;end_day=30&amp;end_year=2019","Adana")</f>
        <v>Adana</v>
      </c>
      <c r="G4524" s="74" t="str">
        <f>HYPERLINK("http://api.nsgreg.nga.mil/geo-division/GENC/6/3-11/TR-01","as:GENC:6:3-11:TR-01")</f>
        <v>as:GENC:6:3-11:TR-01</v>
      </c>
    </row>
    <row r="4525" spans="1:7" x14ac:dyDescent="0.25">
      <c r="A4525" s="112"/>
      <c r="B4525" s="21" t="s">
        <v>10670</v>
      </c>
      <c r="C4525" s="21" t="s">
        <v>10671</v>
      </c>
      <c r="D4525" s="21" t="s">
        <v>1668</v>
      </c>
      <c r="E4525" s="50" t="b">
        <v>1</v>
      </c>
      <c r="F4525" s="72" t="str">
        <f>HYPERLINK("http://nsgreg.nga.mil/genc/view?v=296013&amp;end_month=6&amp;end_day=30&amp;end_year=2019","Adıyaman")</f>
        <v>Adıyaman</v>
      </c>
      <c r="G4525" s="72" t="str">
        <f>HYPERLINK("http://api.nsgreg.nga.mil/geo-division/GENC/6/3-11/TR-02","as:GENC:6:3-11:TR-02")</f>
        <v>as:GENC:6:3-11:TR-02</v>
      </c>
    </row>
    <row r="4526" spans="1:7" x14ac:dyDescent="0.25">
      <c r="A4526" s="112"/>
      <c r="B4526" s="21" t="s">
        <v>10672</v>
      </c>
      <c r="C4526" s="21" t="s">
        <v>10673</v>
      </c>
      <c r="D4526" s="21" t="s">
        <v>1668</v>
      </c>
      <c r="E4526" s="50" t="b">
        <v>1</v>
      </c>
      <c r="F4526" s="72" t="str">
        <f>HYPERLINK("http://nsgreg.nga.mil/genc/view?v=296014&amp;end_month=6&amp;end_day=30&amp;end_year=2019","Afyonkarahisar")</f>
        <v>Afyonkarahisar</v>
      </c>
      <c r="G4526" s="72" t="str">
        <f>HYPERLINK("http://api.nsgreg.nga.mil/geo-division/GENC/6/3-11/TR-03","as:GENC:6:3-11:TR-03")</f>
        <v>as:GENC:6:3-11:TR-03</v>
      </c>
    </row>
    <row r="4527" spans="1:7" x14ac:dyDescent="0.25">
      <c r="A4527" s="112"/>
      <c r="B4527" s="21" t="s">
        <v>10674</v>
      </c>
      <c r="C4527" s="21" t="s">
        <v>10675</v>
      </c>
      <c r="D4527" s="21" t="s">
        <v>1668</v>
      </c>
      <c r="E4527" s="50" t="b">
        <v>1</v>
      </c>
      <c r="F4527" s="72" t="str">
        <f>HYPERLINK("http://nsgreg.nga.mil/genc/view?v=296015&amp;end_month=6&amp;end_day=30&amp;end_year=2019","Ağrı")</f>
        <v>Ağrı</v>
      </c>
      <c r="G4527" s="72" t="str">
        <f>HYPERLINK("http://api.nsgreg.nga.mil/geo-division/GENC/6/3-11/TR-04","as:GENC:6:3-11:TR-04")</f>
        <v>as:GENC:6:3-11:TR-04</v>
      </c>
    </row>
    <row r="4528" spans="1:7" x14ac:dyDescent="0.25">
      <c r="A4528" s="112"/>
      <c r="B4528" s="21" t="s">
        <v>10676</v>
      </c>
      <c r="C4528" s="21" t="s">
        <v>10677</v>
      </c>
      <c r="D4528" s="21" t="s">
        <v>1668</v>
      </c>
      <c r="E4528" s="50" t="b">
        <v>1</v>
      </c>
      <c r="F4528" s="72" t="str">
        <f>HYPERLINK("http://nsgreg.nga.mil/genc/view?v=296079&amp;end_month=6&amp;end_day=30&amp;end_year=2019","Aksaray")</f>
        <v>Aksaray</v>
      </c>
      <c r="G4528" s="72" t="str">
        <f>HYPERLINK("http://api.nsgreg.nga.mil/geo-division/GENC/6/3-11/TR-68","as:GENC:6:3-11:TR-68")</f>
        <v>as:GENC:6:3-11:TR-68</v>
      </c>
    </row>
    <row r="4529" spans="1:7" x14ac:dyDescent="0.25">
      <c r="A4529" s="112"/>
      <c r="B4529" s="21" t="s">
        <v>10678</v>
      </c>
      <c r="C4529" s="21" t="s">
        <v>10679</v>
      </c>
      <c r="D4529" s="21" t="s">
        <v>1668</v>
      </c>
      <c r="E4529" s="50" t="b">
        <v>1</v>
      </c>
      <c r="F4529" s="72" t="str">
        <f>HYPERLINK("http://nsgreg.nga.mil/genc/view?v=296016&amp;end_month=6&amp;end_day=30&amp;end_year=2019","Amasya")</f>
        <v>Amasya</v>
      </c>
      <c r="G4529" s="72" t="str">
        <f>HYPERLINK("http://api.nsgreg.nga.mil/geo-division/GENC/6/3-11/TR-05","as:GENC:6:3-11:TR-05")</f>
        <v>as:GENC:6:3-11:TR-05</v>
      </c>
    </row>
    <row r="4530" spans="1:7" x14ac:dyDescent="0.25">
      <c r="A4530" s="112"/>
      <c r="B4530" s="21" t="s">
        <v>10680</v>
      </c>
      <c r="C4530" s="21" t="s">
        <v>10681</v>
      </c>
      <c r="D4530" s="21" t="s">
        <v>1668</v>
      </c>
      <c r="E4530" s="50" t="b">
        <v>1</v>
      </c>
      <c r="F4530" s="72" t="str">
        <f>HYPERLINK("http://nsgreg.nga.mil/genc/view?v=296017&amp;end_month=6&amp;end_day=30&amp;end_year=2019","Ankara")</f>
        <v>Ankara</v>
      </c>
      <c r="G4530" s="72" t="str">
        <f>HYPERLINK("http://api.nsgreg.nga.mil/geo-division/GENC/6/3-11/TR-06","as:GENC:6:3-11:TR-06")</f>
        <v>as:GENC:6:3-11:TR-06</v>
      </c>
    </row>
    <row r="4531" spans="1:7" x14ac:dyDescent="0.25">
      <c r="A4531" s="112"/>
      <c r="B4531" s="21" t="s">
        <v>10682</v>
      </c>
      <c r="C4531" s="21" t="s">
        <v>10683</v>
      </c>
      <c r="D4531" s="21" t="s">
        <v>1668</v>
      </c>
      <c r="E4531" s="50" t="b">
        <v>1</v>
      </c>
      <c r="F4531" s="72" t="str">
        <f>HYPERLINK("http://nsgreg.nga.mil/genc/view?v=296018&amp;end_month=6&amp;end_day=30&amp;end_year=2019","Antalya")</f>
        <v>Antalya</v>
      </c>
      <c r="G4531" s="72" t="str">
        <f>HYPERLINK("http://api.nsgreg.nga.mil/geo-division/GENC/6/3-11/TR-07","as:GENC:6:3-11:TR-07")</f>
        <v>as:GENC:6:3-11:TR-07</v>
      </c>
    </row>
    <row r="4532" spans="1:7" x14ac:dyDescent="0.25">
      <c r="A4532" s="112"/>
      <c r="B4532" s="21" t="s">
        <v>10684</v>
      </c>
      <c r="C4532" s="21" t="s">
        <v>10685</v>
      </c>
      <c r="D4532" s="21" t="s">
        <v>1668</v>
      </c>
      <c r="E4532" s="50" t="b">
        <v>1</v>
      </c>
      <c r="F4532" s="72" t="str">
        <f>HYPERLINK("http://nsgreg.nga.mil/genc/view?v=296086&amp;end_month=6&amp;end_day=30&amp;end_year=2019","Ardahan")</f>
        <v>Ardahan</v>
      </c>
      <c r="G4532" s="72" t="str">
        <f>HYPERLINK("http://api.nsgreg.nga.mil/geo-division/GENC/6/3-11/TR-75","as:GENC:6:3-11:TR-75")</f>
        <v>as:GENC:6:3-11:TR-75</v>
      </c>
    </row>
    <row r="4533" spans="1:7" x14ac:dyDescent="0.25">
      <c r="A4533" s="112"/>
      <c r="B4533" s="21" t="s">
        <v>10686</v>
      </c>
      <c r="C4533" s="21" t="s">
        <v>10687</v>
      </c>
      <c r="D4533" s="21" t="s">
        <v>1668</v>
      </c>
      <c r="E4533" s="50" t="b">
        <v>1</v>
      </c>
      <c r="F4533" s="72" t="str">
        <f>HYPERLINK("http://nsgreg.nga.mil/genc/view?v=296019&amp;end_month=6&amp;end_day=30&amp;end_year=2019","Artvin")</f>
        <v>Artvin</v>
      </c>
      <c r="G4533" s="72" t="str">
        <f>HYPERLINK("http://api.nsgreg.nga.mil/geo-division/GENC/6/3-11/TR-08","as:GENC:6:3-11:TR-08")</f>
        <v>as:GENC:6:3-11:TR-08</v>
      </c>
    </row>
    <row r="4534" spans="1:7" x14ac:dyDescent="0.25">
      <c r="A4534" s="112"/>
      <c r="B4534" s="21" t="s">
        <v>10688</v>
      </c>
      <c r="C4534" s="21" t="s">
        <v>10689</v>
      </c>
      <c r="D4534" s="21" t="s">
        <v>1668</v>
      </c>
      <c r="E4534" s="50" t="b">
        <v>1</v>
      </c>
      <c r="F4534" s="72" t="str">
        <f>HYPERLINK("http://nsgreg.nga.mil/genc/view?v=296020&amp;end_month=6&amp;end_day=30&amp;end_year=2019","Aydın")</f>
        <v>Aydın</v>
      </c>
      <c r="G4534" s="72" t="str">
        <f>HYPERLINK("http://api.nsgreg.nga.mil/geo-division/GENC/6/3-11/TR-09","as:GENC:6:3-11:TR-09")</f>
        <v>as:GENC:6:3-11:TR-09</v>
      </c>
    </row>
    <row r="4535" spans="1:7" x14ac:dyDescent="0.25">
      <c r="A4535" s="112"/>
      <c r="B4535" s="21" t="s">
        <v>10690</v>
      </c>
      <c r="C4535" s="21" t="s">
        <v>10691</v>
      </c>
      <c r="D4535" s="21" t="s">
        <v>1668</v>
      </c>
      <c r="E4535" s="50" t="b">
        <v>1</v>
      </c>
      <c r="F4535" s="72" t="str">
        <f>HYPERLINK("http://nsgreg.nga.mil/genc/view?v=296021&amp;end_month=6&amp;end_day=30&amp;end_year=2019","Balıkesir")</f>
        <v>Balıkesir</v>
      </c>
      <c r="G4535" s="72" t="str">
        <f>HYPERLINK("http://api.nsgreg.nga.mil/geo-division/GENC/6/3-11/TR-10","as:GENC:6:3-11:TR-10")</f>
        <v>as:GENC:6:3-11:TR-10</v>
      </c>
    </row>
    <row r="4536" spans="1:7" x14ac:dyDescent="0.25">
      <c r="A4536" s="112"/>
      <c r="B4536" s="21" t="s">
        <v>10692</v>
      </c>
      <c r="C4536" s="21" t="s">
        <v>10693</v>
      </c>
      <c r="D4536" s="21" t="s">
        <v>1668</v>
      </c>
      <c r="E4536" s="50" t="b">
        <v>1</v>
      </c>
      <c r="F4536" s="72" t="str">
        <f>HYPERLINK("http://nsgreg.nga.mil/genc/view?v=296085&amp;end_month=6&amp;end_day=30&amp;end_year=2019","Bartın")</f>
        <v>Bartın</v>
      </c>
      <c r="G4536" s="72" t="str">
        <f>HYPERLINK("http://api.nsgreg.nga.mil/geo-division/GENC/6/3-11/TR-74","as:GENC:6:3-11:TR-74")</f>
        <v>as:GENC:6:3-11:TR-74</v>
      </c>
    </row>
    <row r="4537" spans="1:7" x14ac:dyDescent="0.25">
      <c r="A4537" s="112"/>
      <c r="B4537" s="21" t="s">
        <v>10694</v>
      </c>
      <c r="C4537" s="21" t="s">
        <v>10695</v>
      </c>
      <c r="D4537" s="21" t="s">
        <v>1668</v>
      </c>
      <c r="E4537" s="50" t="b">
        <v>1</v>
      </c>
      <c r="F4537" s="72" t="str">
        <f>HYPERLINK("http://nsgreg.nga.mil/genc/view?v=296083&amp;end_month=6&amp;end_day=30&amp;end_year=2019","Batman")</f>
        <v>Batman</v>
      </c>
      <c r="G4537" s="72" t="str">
        <f>HYPERLINK("http://api.nsgreg.nga.mil/geo-division/GENC/6/3-11/TR-72","as:GENC:6:3-11:TR-72")</f>
        <v>as:GENC:6:3-11:TR-72</v>
      </c>
    </row>
    <row r="4538" spans="1:7" x14ac:dyDescent="0.25">
      <c r="A4538" s="112"/>
      <c r="B4538" s="21" t="s">
        <v>10696</v>
      </c>
      <c r="C4538" s="21" t="s">
        <v>10697</v>
      </c>
      <c r="D4538" s="21" t="s">
        <v>1668</v>
      </c>
      <c r="E4538" s="50" t="b">
        <v>1</v>
      </c>
      <c r="F4538" s="72" t="str">
        <f>HYPERLINK("http://nsgreg.nga.mil/genc/view?v=296080&amp;end_month=6&amp;end_day=30&amp;end_year=2019","Bayburt")</f>
        <v>Bayburt</v>
      </c>
      <c r="G4538" s="72" t="str">
        <f>HYPERLINK("http://api.nsgreg.nga.mil/geo-division/GENC/6/3-11/TR-69","as:GENC:6:3-11:TR-69")</f>
        <v>as:GENC:6:3-11:TR-69</v>
      </c>
    </row>
    <row r="4539" spans="1:7" x14ac:dyDescent="0.25">
      <c r="A4539" s="112"/>
      <c r="B4539" s="21" t="s">
        <v>10698</v>
      </c>
      <c r="C4539" s="21" t="s">
        <v>10699</v>
      </c>
      <c r="D4539" s="21" t="s">
        <v>1668</v>
      </c>
      <c r="E4539" s="50" t="b">
        <v>1</v>
      </c>
      <c r="F4539" s="72" t="str">
        <f>HYPERLINK("http://nsgreg.nga.mil/genc/view?v=296022&amp;end_month=6&amp;end_day=30&amp;end_year=2019","Bilecik")</f>
        <v>Bilecik</v>
      </c>
      <c r="G4539" s="72" t="str">
        <f>HYPERLINK("http://api.nsgreg.nga.mil/geo-division/GENC/6/3-11/TR-11","as:GENC:6:3-11:TR-11")</f>
        <v>as:GENC:6:3-11:TR-11</v>
      </c>
    </row>
    <row r="4540" spans="1:7" x14ac:dyDescent="0.25">
      <c r="A4540" s="112"/>
      <c r="B4540" s="21" t="s">
        <v>10700</v>
      </c>
      <c r="C4540" s="21" t="s">
        <v>10701</v>
      </c>
      <c r="D4540" s="21" t="s">
        <v>1668</v>
      </c>
      <c r="E4540" s="50" t="b">
        <v>1</v>
      </c>
      <c r="F4540" s="72" t="str">
        <f>HYPERLINK("http://nsgreg.nga.mil/genc/view?v=296023&amp;end_month=6&amp;end_day=30&amp;end_year=2019","Bingöl")</f>
        <v>Bingöl</v>
      </c>
      <c r="G4540" s="72" t="str">
        <f>HYPERLINK("http://api.nsgreg.nga.mil/geo-division/GENC/6/3-11/TR-12","as:GENC:6:3-11:TR-12")</f>
        <v>as:GENC:6:3-11:TR-12</v>
      </c>
    </row>
    <row r="4541" spans="1:7" x14ac:dyDescent="0.25">
      <c r="A4541" s="112"/>
      <c r="B4541" s="21" t="s">
        <v>10702</v>
      </c>
      <c r="C4541" s="21" t="s">
        <v>10703</v>
      </c>
      <c r="D4541" s="21" t="s">
        <v>1668</v>
      </c>
      <c r="E4541" s="50" t="b">
        <v>1</v>
      </c>
      <c r="F4541" s="72" t="str">
        <f>HYPERLINK("http://nsgreg.nga.mil/genc/view?v=296024&amp;end_month=6&amp;end_day=30&amp;end_year=2019","Bitlis")</f>
        <v>Bitlis</v>
      </c>
      <c r="G4541" s="72" t="str">
        <f>HYPERLINK("http://api.nsgreg.nga.mil/geo-division/GENC/6/3-11/TR-13","as:GENC:6:3-11:TR-13")</f>
        <v>as:GENC:6:3-11:TR-13</v>
      </c>
    </row>
    <row r="4542" spans="1:7" x14ac:dyDescent="0.25">
      <c r="A4542" s="112"/>
      <c r="B4542" s="21" t="s">
        <v>10704</v>
      </c>
      <c r="C4542" s="21" t="s">
        <v>10705</v>
      </c>
      <c r="D4542" s="21" t="s">
        <v>1668</v>
      </c>
      <c r="E4542" s="50" t="b">
        <v>1</v>
      </c>
      <c r="F4542" s="72" t="str">
        <f>HYPERLINK("http://nsgreg.nga.mil/genc/view?v=296025&amp;end_month=6&amp;end_day=30&amp;end_year=2019","Bolu")</f>
        <v>Bolu</v>
      </c>
      <c r="G4542" s="72" t="str">
        <f>HYPERLINK("http://api.nsgreg.nga.mil/geo-division/GENC/6/3-11/TR-14","as:GENC:6:3-11:TR-14")</f>
        <v>as:GENC:6:3-11:TR-14</v>
      </c>
    </row>
    <row r="4543" spans="1:7" x14ac:dyDescent="0.25">
      <c r="A4543" s="112"/>
      <c r="B4543" s="21" t="s">
        <v>10706</v>
      </c>
      <c r="C4543" s="21" t="s">
        <v>10707</v>
      </c>
      <c r="D4543" s="21" t="s">
        <v>1668</v>
      </c>
      <c r="E4543" s="50" t="b">
        <v>1</v>
      </c>
      <c r="F4543" s="72" t="str">
        <f>HYPERLINK("http://nsgreg.nga.mil/genc/view?v=296026&amp;end_month=6&amp;end_day=30&amp;end_year=2019","Burdur")</f>
        <v>Burdur</v>
      </c>
      <c r="G4543" s="72" t="str">
        <f>HYPERLINK("http://api.nsgreg.nga.mil/geo-division/GENC/6/3-11/TR-15","as:GENC:6:3-11:TR-15")</f>
        <v>as:GENC:6:3-11:TR-15</v>
      </c>
    </row>
    <row r="4544" spans="1:7" x14ac:dyDescent="0.25">
      <c r="A4544" s="112"/>
      <c r="B4544" s="21" t="s">
        <v>10708</v>
      </c>
      <c r="C4544" s="21" t="s">
        <v>10709</v>
      </c>
      <c r="D4544" s="21" t="s">
        <v>1668</v>
      </c>
      <c r="E4544" s="50" t="b">
        <v>1</v>
      </c>
      <c r="F4544" s="72" t="str">
        <f>HYPERLINK("http://nsgreg.nga.mil/genc/view?v=296027&amp;end_month=6&amp;end_day=30&amp;end_year=2019","Bursa")</f>
        <v>Bursa</v>
      </c>
      <c r="G4544" s="72" t="str">
        <f>HYPERLINK("http://api.nsgreg.nga.mil/geo-division/GENC/6/3-11/TR-16","as:GENC:6:3-11:TR-16")</f>
        <v>as:GENC:6:3-11:TR-16</v>
      </c>
    </row>
    <row r="4545" spans="1:7" x14ac:dyDescent="0.25">
      <c r="A4545" s="112"/>
      <c r="B4545" s="21" t="s">
        <v>10710</v>
      </c>
      <c r="C4545" s="21" t="s">
        <v>10711</v>
      </c>
      <c r="D4545" s="21" t="s">
        <v>1668</v>
      </c>
      <c r="E4545" s="50" t="b">
        <v>1</v>
      </c>
      <c r="F4545" s="72" t="str">
        <f>HYPERLINK("http://nsgreg.nga.mil/genc/view?v=296028&amp;end_month=6&amp;end_day=30&amp;end_year=2019","Çanakkale")</f>
        <v>Çanakkale</v>
      </c>
      <c r="G4545" s="72" t="str">
        <f>HYPERLINK("http://api.nsgreg.nga.mil/geo-division/GENC/6/3-11/TR-17","as:GENC:6:3-11:TR-17")</f>
        <v>as:GENC:6:3-11:TR-17</v>
      </c>
    </row>
    <row r="4546" spans="1:7" x14ac:dyDescent="0.25">
      <c r="A4546" s="112"/>
      <c r="B4546" s="21" t="s">
        <v>10712</v>
      </c>
      <c r="C4546" s="21" t="s">
        <v>10713</v>
      </c>
      <c r="D4546" s="21" t="s">
        <v>1668</v>
      </c>
      <c r="E4546" s="50" t="b">
        <v>1</v>
      </c>
      <c r="F4546" s="72" t="str">
        <f>HYPERLINK("http://nsgreg.nga.mil/genc/view?v=296029&amp;end_month=6&amp;end_day=30&amp;end_year=2019","Çankırı")</f>
        <v>Çankırı</v>
      </c>
      <c r="G4546" s="72" t="str">
        <f>HYPERLINK("http://api.nsgreg.nga.mil/geo-division/GENC/6/3-11/TR-18","as:GENC:6:3-11:TR-18")</f>
        <v>as:GENC:6:3-11:TR-18</v>
      </c>
    </row>
    <row r="4547" spans="1:7" x14ac:dyDescent="0.25">
      <c r="A4547" s="112"/>
      <c r="B4547" s="21" t="s">
        <v>10714</v>
      </c>
      <c r="C4547" s="21" t="s">
        <v>10715</v>
      </c>
      <c r="D4547" s="21" t="s">
        <v>1668</v>
      </c>
      <c r="E4547" s="50" t="b">
        <v>1</v>
      </c>
      <c r="F4547" s="72" t="str">
        <f>HYPERLINK("http://nsgreg.nga.mil/genc/view?v=296030&amp;end_month=6&amp;end_day=30&amp;end_year=2019","Çorum")</f>
        <v>Çorum</v>
      </c>
      <c r="G4547" s="72" t="str">
        <f>HYPERLINK("http://api.nsgreg.nga.mil/geo-division/GENC/6/3-11/TR-19","as:GENC:6:3-11:TR-19")</f>
        <v>as:GENC:6:3-11:TR-19</v>
      </c>
    </row>
    <row r="4548" spans="1:7" x14ac:dyDescent="0.25">
      <c r="A4548" s="112"/>
      <c r="B4548" s="21" t="s">
        <v>10716</v>
      </c>
      <c r="C4548" s="21" t="s">
        <v>10717</v>
      </c>
      <c r="D4548" s="21" t="s">
        <v>1668</v>
      </c>
      <c r="E4548" s="50" t="b">
        <v>1</v>
      </c>
      <c r="F4548" s="72" t="str">
        <f>HYPERLINK("http://nsgreg.nga.mil/genc/view?v=296031&amp;end_month=6&amp;end_day=30&amp;end_year=2019","Denizli")</f>
        <v>Denizli</v>
      </c>
      <c r="G4548" s="72" t="str">
        <f>HYPERLINK("http://api.nsgreg.nga.mil/geo-division/GENC/6/3-11/TR-20","as:GENC:6:3-11:TR-20")</f>
        <v>as:GENC:6:3-11:TR-20</v>
      </c>
    </row>
    <row r="4549" spans="1:7" x14ac:dyDescent="0.25">
      <c r="A4549" s="112"/>
      <c r="B4549" s="21" t="s">
        <v>10718</v>
      </c>
      <c r="C4549" s="21" t="s">
        <v>10719</v>
      </c>
      <c r="D4549" s="21" t="s">
        <v>1668</v>
      </c>
      <c r="E4549" s="50" t="b">
        <v>1</v>
      </c>
      <c r="F4549" s="72" t="str">
        <f>HYPERLINK("http://nsgreg.nga.mil/genc/view?v=296032&amp;end_month=6&amp;end_day=30&amp;end_year=2019","Diyarbakır")</f>
        <v>Diyarbakır</v>
      </c>
      <c r="G4549" s="72" t="str">
        <f>HYPERLINK("http://api.nsgreg.nga.mil/geo-division/GENC/6/3-11/TR-21","as:GENC:6:3-11:TR-21")</f>
        <v>as:GENC:6:3-11:TR-21</v>
      </c>
    </row>
    <row r="4550" spans="1:7" x14ac:dyDescent="0.25">
      <c r="A4550" s="112"/>
      <c r="B4550" s="21" t="s">
        <v>10720</v>
      </c>
      <c r="C4550" s="21" t="s">
        <v>10721</v>
      </c>
      <c r="D4550" s="21" t="s">
        <v>1668</v>
      </c>
      <c r="E4550" s="50" t="b">
        <v>1</v>
      </c>
      <c r="F4550" s="72" t="str">
        <f>HYPERLINK("http://nsgreg.nga.mil/genc/view?v=296092&amp;end_month=6&amp;end_day=30&amp;end_year=2019","Düzce")</f>
        <v>Düzce</v>
      </c>
      <c r="G4550" s="72" t="str">
        <f>HYPERLINK("http://api.nsgreg.nga.mil/geo-division/GENC/6/3-11/TR-81","as:GENC:6:3-11:TR-81")</f>
        <v>as:GENC:6:3-11:TR-81</v>
      </c>
    </row>
    <row r="4551" spans="1:7" x14ac:dyDescent="0.25">
      <c r="A4551" s="112"/>
      <c r="B4551" s="21" t="s">
        <v>10722</v>
      </c>
      <c r="C4551" s="21" t="s">
        <v>10723</v>
      </c>
      <c r="D4551" s="21" t="s">
        <v>1668</v>
      </c>
      <c r="E4551" s="50" t="b">
        <v>1</v>
      </c>
      <c r="F4551" s="72" t="str">
        <f>HYPERLINK("http://nsgreg.nga.mil/genc/view?v=296033&amp;end_month=6&amp;end_day=30&amp;end_year=2019","Edirne")</f>
        <v>Edirne</v>
      </c>
      <c r="G4551" s="72" t="str">
        <f>HYPERLINK("http://api.nsgreg.nga.mil/geo-division/GENC/6/3-11/TR-22","as:GENC:6:3-11:TR-22")</f>
        <v>as:GENC:6:3-11:TR-22</v>
      </c>
    </row>
    <row r="4552" spans="1:7" x14ac:dyDescent="0.25">
      <c r="A4552" s="112"/>
      <c r="B4552" s="21" t="s">
        <v>10724</v>
      </c>
      <c r="C4552" s="21" t="s">
        <v>10725</v>
      </c>
      <c r="D4552" s="21" t="s">
        <v>1668</v>
      </c>
      <c r="E4552" s="50" t="b">
        <v>1</v>
      </c>
      <c r="F4552" s="72" t="str">
        <f>HYPERLINK("http://nsgreg.nga.mil/genc/view?v=296034&amp;end_month=6&amp;end_day=30&amp;end_year=2019","Elazığ")</f>
        <v>Elazığ</v>
      </c>
      <c r="G4552" s="72" t="str">
        <f>HYPERLINK("http://api.nsgreg.nga.mil/geo-division/GENC/6/3-11/TR-23","as:GENC:6:3-11:TR-23")</f>
        <v>as:GENC:6:3-11:TR-23</v>
      </c>
    </row>
    <row r="4553" spans="1:7" x14ac:dyDescent="0.25">
      <c r="A4553" s="112"/>
      <c r="B4553" s="21" t="s">
        <v>10726</v>
      </c>
      <c r="C4553" s="21" t="s">
        <v>10727</v>
      </c>
      <c r="D4553" s="21" t="s">
        <v>1668</v>
      </c>
      <c r="E4553" s="50" t="b">
        <v>1</v>
      </c>
      <c r="F4553" s="72" t="str">
        <f>HYPERLINK("http://nsgreg.nga.mil/genc/view?v=296035&amp;end_month=6&amp;end_day=30&amp;end_year=2019","Erzincan")</f>
        <v>Erzincan</v>
      </c>
      <c r="G4553" s="72" t="str">
        <f>HYPERLINK("http://api.nsgreg.nga.mil/geo-division/GENC/6/3-11/TR-24","as:GENC:6:3-11:TR-24")</f>
        <v>as:GENC:6:3-11:TR-24</v>
      </c>
    </row>
    <row r="4554" spans="1:7" x14ac:dyDescent="0.25">
      <c r="A4554" s="112"/>
      <c r="B4554" s="21" t="s">
        <v>10728</v>
      </c>
      <c r="C4554" s="21" t="s">
        <v>10729</v>
      </c>
      <c r="D4554" s="21" t="s">
        <v>1668</v>
      </c>
      <c r="E4554" s="50" t="b">
        <v>1</v>
      </c>
      <c r="F4554" s="72" t="str">
        <f>HYPERLINK("http://nsgreg.nga.mil/genc/view?v=296036&amp;end_month=6&amp;end_day=30&amp;end_year=2019","Erzurum")</f>
        <v>Erzurum</v>
      </c>
      <c r="G4554" s="72" t="str">
        <f>HYPERLINK("http://api.nsgreg.nga.mil/geo-division/GENC/6/3-11/TR-25","as:GENC:6:3-11:TR-25")</f>
        <v>as:GENC:6:3-11:TR-25</v>
      </c>
    </row>
    <row r="4555" spans="1:7" x14ac:dyDescent="0.25">
      <c r="A4555" s="112"/>
      <c r="B4555" s="21" t="s">
        <v>10730</v>
      </c>
      <c r="C4555" s="21" t="s">
        <v>10731</v>
      </c>
      <c r="D4555" s="21" t="s">
        <v>1668</v>
      </c>
      <c r="E4555" s="50" t="b">
        <v>1</v>
      </c>
      <c r="F4555" s="72" t="str">
        <f>HYPERLINK("http://nsgreg.nga.mil/genc/view?v=296037&amp;end_month=6&amp;end_day=30&amp;end_year=2019","Eskişehir")</f>
        <v>Eskişehir</v>
      </c>
      <c r="G4555" s="72" t="str">
        <f>HYPERLINK("http://api.nsgreg.nga.mil/geo-division/GENC/6/3-11/TR-26","as:GENC:6:3-11:TR-26")</f>
        <v>as:GENC:6:3-11:TR-26</v>
      </c>
    </row>
    <row r="4556" spans="1:7" x14ac:dyDescent="0.25">
      <c r="A4556" s="112"/>
      <c r="B4556" s="21" t="s">
        <v>10732</v>
      </c>
      <c r="C4556" s="21" t="s">
        <v>10733</v>
      </c>
      <c r="D4556" s="21" t="s">
        <v>1668</v>
      </c>
      <c r="E4556" s="50" t="b">
        <v>1</v>
      </c>
      <c r="F4556" s="72" t="str">
        <f>HYPERLINK("http://nsgreg.nga.mil/genc/view?v=296038&amp;end_month=6&amp;end_day=30&amp;end_year=2019","Gaziantep")</f>
        <v>Gaziantep</v>
      </c>
      <c r="G4556" s="72" t="str">
        <f>HYPERLINK("http://api.nsgreg.nga.mil/geo-division/GENC/6/3-11/TR-27","as:GENC:6:3-11:TR-27")</f>
        <v>as:GENC:6:3-11:TR-27</v>
      </c>
    </row>
    <row r="4557" spans="1:7" x14ac:dyDescent="0.25">
      <c r="A4557" s="112"/>
      <c r="B4557" s="21" t="s">
        <v>10734</v>
      </c>
      <c r="C4557" s="21" t="s">
        <v>10735</v>
      </c>
      <c r="D4557" s="21" t="s">
        <v>1668</v>
      </c>
      <c r="E4557" s="50" t="b">
        <v>1</v>
      </c>
      <c r="F4557" s="72" t="str">
        <f>HYPERLINK("http://nsgreg.nga.mil/genc/view?v=296039&amp;end_month=6&amp;end_day=30&amp;end_year=2019","Giresun")</f>
        <v>Giresun</v>
      </c>
      <c r="G4557" s="72" t="str">
        <f>HYPERLINK("http://api.nsgreg.nga.mil/geo-division/GENC/6/3-11/TR-28","as:GENC:6:3-11:TR-28")</f>
        <v>as:GENC:6:3-11:TR-28</v>
      </c>
    </row>
    <row r="4558" spans="1:7" x14ac:dyDescent="0.25">
      <c r="A4558" s="112"/>
      <c r="B4558" s="21" t="s">
        <v>10736</v>
      </c>
      <c r="C4558" s="21" t="s">
        <v>10737</v>
      </c>
      <c r="D4558" s="21" t="s">
        <v>1668</v>
      </c>
      <c r="E4558" s="50" t="b">
        <v>1</v>
      </c>
      <c r="F4558" s="72" t="str">
        <f>HYPERLINK("http://nsgreg.nga.mil/genc/view?v=296040&amp;end_month=6&amp;end_day=30&amp;end_year=2019","Gümüşhane")</f>
        <v>Gümüşhane</v>
      </c>
      <c r="G4558" s="72" t="str">
        <f>HYPERLINK("http://api.nsgreg.nga.mil/geo-division/GENC/6/3-11/TR-29","as:GENC:6:3-11:TR-29")</f>
        <v>as:GENC:6:3-11:TR-29</v>
      </c>
    </row>
    <row r="4559" spans="1:7" x14ac:dyDescent="0.25">
      <c r="A4559" s="112"/>
      <c r="B4559" s="21" t="s">
        <v>10738</v>
      </c>
      <c r="C4559" s="21" t="s">
        <v>10739</v>
      </c>
      <c r="D4559" s="21" t="s">
        <v>1668</v>
      </c>
      <c r="E4559" s="50" t="b">
        <v>1</v>
      </c>
      <c r="F4559" s="72" t="str">
        <f>HYPERLINK("http://nsgreg.nga.mil/genc/view?v=296041&amp;end_month=6&amp;end_day=30&amp;end_year=2019","Hakkâri")</f>
        <v>Hakkâri</v>
      </c>
      <c r="G4559" s="72" t="str">
        <f>HYPERLINK("http://api.nsgreg.nga.mil/geo-division/GENC/6/3-11/TR-30","as:GENC:6:3-11:TR-30")</f>
        <v>as:GENC:6:3-11:TR-30</v>
      </c>
    </row>
    <row r="4560" spans="1:7" x14ac:dyDescent="0.25">
      <c r="A4560" s="112"/>
      <c r="B4560" s="21" t="s">
        <v>10740</v>
      </c>
      <c r="C4560" s="21" t="s">
        <v>10741</v>
      </c>
      <c r="D4560" s="21" t="s">
        <v>1668</v>
      </c>
      <c r="E4560" s="50" t="b">
        <v>1</v>
      </c>
      <c r="F4560" s="72" t="str">
        <f>HYPERLINK("http://nsgreg.nga.mil/genc/view?v=296042&amp;end_month=6&amp;end_day=30&amp;end_year=2019","Hatay")</f>
        <v>Hatay</v>
      </c>
      <c r="G4560" s="72" t="str">
        <f>HYPERLINK("http://api.nsgreg.nga.mil/geo-division/GENC/6/3-11/TR-31","as:GENC:6:3-11:TR-31")</f>
        <v>as:GENC:6:3-11:TR-31</v>
      </c>
    </row>
    <row r="4561" spans="1:7" x14ac:dyDescent="0.25">
      <c r="A4561" s="112"/>
      <c r="B4561" s="21" t="s">
        <v>10742</v>
      </c>
      <c r="C4561" s="21" t="s">
        <v>10743</v>
      </c>
      <c r="D4561" s="21" t="s">
        <v>1668</v>
      </c>
      <c r="E4561" s="50" t="b">
        <v>1</v>
      </c>
      <c r="F4561" s="72" t="str">
        <f>HYPERLINK("http://nsgreg.nga.mil/genc/view?v=296087&amp;end_month=6&amp;end_day=30&amp;end_year=2019","Iğdır")</f>
        <v>Iğdır</v>
      </c>
      <c r="G4561" s="72" t="str">
        <f>HYPERLINK("http://api.nsgreg.nga.mil/geo-division/GENC/6/3-11/TR-76","as:GENC:6:3-11:TR-76")</f>
        <v>as:GENC:6:3-11:TR-76</v>
      </c>
    </row>
    <row r="4562" spans="1:7" x14ac:dyDescent="0.25">
      <c r="A4562" s="112"/>
      <c r="B4562" s="21" t="s">
        <v>10744</v>
      </c>
      <c r="C4562" s="21" t="s">
        <v>10745</v>
      </c>
      <c r="D4562" s="21" t="s">
        <v>1668</v>
      </c>
      <c r="E4562" s="50" t="b">
        <v>1</v>
      </c>
      <c r="F4562" s="72" t="str">
        <f>HYPERLINK("http://nsgreg.nga.mil/genc/view?v=296043&amp;end_month=6&amp;end_day=30&amp;end_year=2019","Isparta")</f>
        <v>Isparta</v>
      </c>
      <c r="G4562" s="72" t="str">
        <f>HYPERLINK("http://api.nsgreg.nga.mil/geo-division/GENC/6/3-11/TR-32","as:GENC:6:3-11:TR-32")</f>
        <v>as:GENC:6:3-11:TR-32</v>
      </c>
    </row>
    <row r="4563" spans="1:7" x14ac:dyDescent="0.25">
      <c r="A4563" s="112"/>
      <c r="B4563" s="21" t="s">
        <v>10746</v>
      </c>
      <c r="C4563" s="21" t="s">
        <v>10747</v>
      </c>
      <c r="D4563" s="21" t="s">
        <v>1668</v>
      </c>
      <c r="E4563" s="50" t="b">
        <v>1</v>
      </c>
      <c r="F4563" s="72" t="str">
        <f>HYPERLINK("http://nsgreg.nga.mil/genc/view?v=296045&amp;end_month=6&amp;end_day=30&amp;end_year=2019","İstanbul")</f>
        <v>İstanbul</v>
      </c>
      <c r="G4563" s="72" t="str">
        <f>HYPERLINK("http://api.nsgreg.nga.mil/geo-division/GENC/6/3-11/TR-34","as:GENC:6:3-11:TR-34")</f>
        <v>as:GENC:6:3-11:TR-34</v>
      </c>
    </row>
    <row r="4564" spans="1:7" x14ac:dyDescent="0.25">
      <c r="A4564" s="112"/>
      <c r="B4564" s="21" t="s">
        <v>10748</v>
      </c>
      <c r="C4564" s="21" t="s">
        <v>10749</v>
      </c>
      <c r="D4564" s="21" t="s">
        <v>1668</v>
      </c>
      <c r="E4564" s="50" t="b">
        <v>1</v>
      </c>
      <c r="F4564" s="72" t="str">
        <f>HYPERLINK("http://nsgreg.nga.mil/genc/view?v=296046&amp;end_month=6&amp;end_day=30&amp;end_year=2019","İzmir")</f>
        <v>İzmir</v>
      </c>
      <c r="G4564" s="72" t="str">
        <f>HYPERLINK("http://api.nsgreg.nga.mil/geo-division/GENC/6/3-11/TR-35","as:GENC:6:3-11:TR-35")</f>
        <v>as:GENC:6:3-11:TR-35</v>
      </c>
    </row>
    <row r="4565" spans="1:7" x14ac:dyDescent="0.25">
      <c r="A4565" s="112"/>
      <c r="B4565" s="21" t="s">
        <v>10750</v>
      </c>
      <c r="C4565" s="21" t="s">
        <v>10751</v>
      </c>
      <c r="D4565" s="21" t="s">
        <v>1668</v>
      </c>
      <c r="E4565" s="50" t="b">
        <v>1</v>
      </c>
      <c r="F4565" s="72" t="str">
        <f>HYPERLINK("http://nsgreg.nga.mil/genc/view?v=296057&amp;end_month=6&amp;end_day=30&amp;end_year=2019","Kahramanmaraş")</f>
        <v>Kahramanmaraş</v>
      </c>
      <c r="G4565" s="72" t="str">
        <f>HYPERLINK("http://api.nsgreg.nga.mil/geo-division/GENC/6/3-11/TR-46","as:GENC:6:3-11:TR-46")</f>
        <v>as:GENC:6:3-11:TR-46</v>
      </c>
    </row>
    <row r="4566" spans="1:7" x14ac:dyDescent="0.25">
      <c r="A4566" s="112"/>
      <c r="B4566" s="21" t="s">
        <v>10752</v>
      </c>
      <c r="C4566" s="21" t="s">
        <v>10753</v>
      </c>
      <c r="D4566" s="21" t="s">
        <v>1668</v>
      </c>
      <c r="E4566" s="50" t="b">
        <v>1</v>
      </c>
      <c r="F4566" s="72" t="str">
        <f>HYPERLINK("http://nsgreg.nga.mil/genc/view?v=296089&amp;end_month=6&amp;end_day=30&amp;end_year=2019","Karabük")</f>
        <v>Karabük</v>
      </c>
      <c r="G4566" s="72" t="str">
        <f>HYPERLINK("http://api.nsgreg.nga.mil/geo-division/GENC/6/3-11/TR-78","as:GENC:6:3-11:TR-78")</f>
        <v>as:GENC:6:3-11:TR-78</v>
      </c>
    </row>
    <row r="4567" spans="1:7" x14ac:dyDescent="0.25">
      <c r="A4567" s="112"/>
      <c r="B4567" s="21" t="s">
        <v>10754</v>
      </c>
      <c r="C4567" s="21" t="s">
        <v>10755</v>
      </c>
      <c r="D4567" s="21" t="s">
        <v>1668</v>
      </c>
      <c r="E4567" s="50" t="b">
        <v>1</v>
      </c>
      <c r="F4567" s="72" t="str">
        <f>HYPERLINK("http://nsgreg.nga.mil/genc/view?v=296081&amp;end_month=6&amp;end_day=30&amp;end_year=2019","Karaman")</f>
        <v>Karaman</v>
      </c>
      <c r="G4567" s="72" t="str">
        <f>HYPERLINK("http://api.nsgreg.nga.mil/geo-division/GENC/6/3-11/TR-70","as:GENC:6:3-11:TR-70")</f>
        <v>as:GENC:6:3-11:TR-70</v>
      </c>
    </row>
    <row r="4568" spans="1:7" x14ac:dyDescent="0.25">
      <c r="A4568" s="112"/>
      <c r="B4568" s="21" t="s">
        <v>10756</v>
      </c>
      <c r="C4568" s="21" t="s">
        <v>10757</v>
      </c>
      <c r="D4568" s="21" t="s">
        <v>1668</v>
      </c>
      <c r="E4568" s="50" t="b">
        <v>1</v>
      </c>
      <c r="F4568" s="72" t="str">
        <f>HYPERLINK("http://nsgreg.nga.mil/genc/view?v=296047&amp;end_month=6&amp;end_day=30&amp;end_year=2019","Kars")</f>
        <v>Kars</v>
      </c>
      <c r="G4568" s="72" t="str">
        <f>HYPERLINK("http://api.nsgreg.nga.mil/geo-division/GENC/6/3-11/TR-36","as:GENC:6:3-11:TR-36")</f>
        <v>as:GENC:6:3-11:TR-36</v>
      </c>
    </row>
    <row r="4569" spans="1:7" x14ac:dyDescent="0.25">
      <c r="A4569" s="112"/>
      <c r="B4569" s="21" t="s">
        <v>10758</v>
      </c>
      <c r="C4569" s="21" t="s">
        <v>10759</v>
      </c>
      <c r="D4569" s="21" t="s">
        <v>1668</v>
      </c>
      <c r="E4569" s="50" t="b">
        <v>1</v>
      </c>
      <c r="F4569" s="72" t="str">
        <f>HYPERLINK("http://nsgreg.nga.mil/genc/view?v=296048&amp;end_month=6&amp;end_day=30&amp;end_year=2019","Kastamonu")</f>
        <v>Kastamonu</v>
      </c>
      <c r="G4569" s="72" t="str">
        <f>HYPERLINK("http://api.nsgreg.nga.mil/geo-division/GENC/6/3-11/TR-37","as:GENC:6:3-11:TR-37")</f>
        <v>as:GENC:6:3-11:TR-37</v>
      </c>
    </row>
    <row r="4570" spans="1:7" x14ac:dyDescent="0.25">
      <c r="A4570" s="112"/>
      <c r="B4570" s="21" t="s">
        <v>10760</v>
      </c>
      <c r="C4570" s="21" t="s">
        <v>10761</v>
      </c>
      <c r="D4570" s="21" t="s">
        <v>1668</v>
      </c>
      <c r="E4570" s="50" t="b">
        <v>1</v>
      </c>
      <c r="F4570" s="72" t="str">
        <f>HYPERLINK("http://nsgreg.nga.mil/genc/view?v=296049&amp;end_month=6&amp;end_day=30&amp;end_year=2019","Kayseri")</f>
        <v>Kayseri</v>
      </c>
      <c r="G4570" s="72" t="str">
        <f>HYPERLINK("http://api.nsgreg.nga.mil/geo-division/GENC/6/3-11/TR-38","as:GENC:6:3-11:TR-38")</f>
        <v>as:GENC:6:3-11:TR-38</v>
      </c>
    </row>
    <row r="4571" spans="1:7" x14ac:dyDescent="0.25">
      <c r="A4571" s="112"/>
      <c r="B4571" s="21" t="s">
        <v>10762</v>
      </c>
      <c r="C4571" s="21" t="s">
        <v>10763</v>
      </c>
      <c r="D4571" s="21" t="s">
        <v>1668</v>
      </c>
      <c r="E4571" s="50" t="b">
        <v>1</v>
      </c>
      <c r="F4571" s="72" t="str">
        <f>HYPERLINK("http://nsgreg.nga.mil/genc/view?v=296090&amp;end_month=6&amp;end_day=30&amp;end_year=2019","Kilis")</f>
        <v>Kilis</v>
      </c>
      <c r="G4571" s="72" t="str">
        <f>HYPERLINK("http://api.nsgreg.nga.mil/geo-division/GENC/6/3-11/TR-79","as:GENC:6:3-11:TR-79")</f>
        <v>as:GENC:6:3-11:TR-79</v>
      </c>
    </row>
    <row r="4572" spans="1:7" x14ac:dyDescent="0.25">
      <c r="A4572" s="112"/>
      <c r="B4572" s="21" t="s">
        <v>10764</v>
      </c>
      <c r="C4572" s="21" t="s">
        <v>10765</v>
      </c>
      <c r="D4572" s="21" t="s">
        <v>1668</v>
      </c>
      <c r="E4572" s="50" t="b">
        <v>1</v>
      </c>
      <c r="F4572" s="72" t="str">
        <f>HYPERLINK("http://nsgreg.nga.mil/genc/view?v=296082&amp;end_month=6&amp;end_day=30&amp;end_year=2019","Kırıkkale")</f>
        <v>Kırıkkale</v>
      </c>
      <c r="G4572" s="72" t="str">
        <f>HYPERLINK("http://api.nsgreg.nga.mil/geo-division/GENC/6/3-11/TR-71","as:GENC:6:3-11:TR-71")</f>
        <v>as:GENC:6:3-11:TR-71</v>
      </c>
    </row>
    <row r="4573" spans="1:7" x14ac:dyDescent="0.25">
      <c r="A4573" s="112"/>
      <c r="B4573" s="21" t="s">
        <v>10766</v>
      </c>
      <c r="C4573" s="21" t="s">
        <v>10767</v>
      </c>
      <c r="D4573" s="21" t="s">
        <v>1668</v>
      </c>
      <c r="E4573" s="50" t="b">
        <v>1</v>
      </c>
      <c r="F4573" s="72" t="str">
        <f>HYPERLINK("http://nsgreg.nga.mil/genc/view?v=296050&amp;end_month=6&amp;end_day=30&amp;end_year=2019","Kırklareli")</f>
        <v>Kırklareli</v>
      </c>
      <c r="G4573" s="72" t="str">
        <f>HYPERLINK("http://api.nsgreg.nga.mil/geo-division/GENC/6/3-11/TR-39","as:GENC:6:3-11:TR-39")</f>
        <v>as:GENC:6:3-11:TR-39</v>
      </c>
    </row>
    <row r="4574" spans="1:7" x14ac:dyDescent="0.25">
      <c r="A4574" s="112"/>
      <c r="B4574" s="21" t="s">
        <v>10768</v>
      </c>
      <c r="C4574" s="21" t="s">
        <v>10769</v>
      </c>
      <c r="D4574" s="21" t="s">
        <v>1668</v>
      </c>
      <c r="E4574" s="50" t="b">
        <v>1</v>
      </c>
      <c r="F4574" s="72" t="str">
        <f>HYPERLINK("http://nsgreg.nga.mil/genc/view?v=296051&amp;end_month=6&amp;end_day=30&amp;end_year=2019","Kırşehir")</f>
        <v>Kırşehir</v>
      </c>
      <c r="G4574" s="72" t="str">
        <f>HYPERLINK("http://api.nsgreg.nga.mil/geo-division/GENC/6/3-11/TR-40","as:GENC:6:3-11:TR-40")</f>
        <v>as:GENC:6:3-11:TR-40</v>
      </c>
    </row>
    <row r="4575" spans="1:7" x14ac:dyDescent="0.25">
      <c r="A4575" s="112"/>
      <c r="B4575" s="21" t="s">
        <v>10770</v>
      </c>
      <c r="C4575" s="21" t="s">
        <v>10771</v>
      </c>
      <c r="D4575" s="21" t="s">
        <v>1668</v>
      </c>
      <c r="E4575" s="50" t="b">
        <v>1</v>
      </c>
      <c r="F4575" s="72" t="str">
        <f>HYPERLINK("http://nsgreg.nga.mil/genc/view?v=296052&amp;end_month=6&amp;end_day=30&amp;end_year=2019","Kocaeli")</f>
        <v>Kocaeli</v>
      </c>
      <c r="G4575" s="72" t="str">
        <f>HYPERLINK("http://api.nsgreg.nga.mil/geo-division/GENC/6/3-11/TR-41","as:GENC:6:3-11:TR-41")</f>
        <v>as:GENC:6:3-11:TR-41</v>
      </c>
    </row>
    <row r="4576" spans="1:7" x14ac:dyDescent="0.25">
      <c r="A4576" s="112"/>
      <c r="B4576" s="21" t="s">
        <v>10772</v>
      </c>
      <c r="C4576" s="21" t="s">
        <v>10773</v>
      </c>
      <c r="D4576" s="21" t="s">
        <v>1668</v>
      </c>
      <c r="E4576" s="50" t="b">
        <v>1</v>
      </c>
      <c r="F4576" s="72" t="str">
        <f>HYPERLINK("http://nsgreg.nga.mil/genc/view?v=296053&amp;end_month=6&amp;end_day=30&amp;end_year=2019","Konya")</f>
        <v>Konya</v>
      </c>
      <c r="G4576" s="72" t="str">
        <f>HYPERLINK("http://api.nsgreg.nga.mil/geo-division/GENC/6/3-11/TR-42","as:GENC:6:3-11:TR-42")</f>
        <v>as:GENC:6:3-11:TR-42</v>
      </c>
    </row>
    <row r="4577" spans="1:7" x14ac:dyDescent="0.25">
      <c r="A4577" s="112"/>
      <c r="B4577" s="21" t="s">
        <v>10774</v>
      </c>
      <c r="C4577" s="21" t="s">
        <v>10775</v>
      </c>
      <c r="D4577" s="21" t="s">
        <v>1668</v>
      </c>
      <c r="E4577" s="50" t="b">
        <v>1</v>
      </c>
      <c r="F4577" s="72" t="str">
        <f>HYPERLINK("http://nsgreg.nga.mil/genc/view?v=296054&amp;end_month=6&amp;end_day=30&amp;end_year=2019","Kütahya")</f>
        <v>Kütahya</v>
      </c>
      <c r="G4577" s="72" t="str">
        <f>HYPERLINK("http://api.nsgreg.nga.mil/geo-division/GENC/6/3-11/TR-43","as:GENC:6:3-11:TR-43")</f>
        <v>as:GENC:6:3-11:TR-43</v>
      </c>
    </row>
    <row r="4578" spans="1:7" x14ac:dyDescent="0.25">
      <c r="A4578" s="112"/>
      <c r="B4578" s="21" t="s">
        <v>10776</v>
      </c>
      <c r="C4578" s="21" t="s">
        <v>10777</v>
      </c>
      <c r="D4578" s="21" t="s">
        <v>1668</v>
      </c>
      <c r="E4578" s="50" t="b">
        <v>1</v>
      </c>
      <c r="F4578" s="72" t="str">
        <f>HYPERLINK("http://nsgreg.nga.mil/genc/view?v=296055&amp;end_month=6&amp;end_day=30&amp;end_year=2019","Malatya")</f>
        <v>Malatya</v>
      </c>
      <c r="G4578" s="72" t="str">
        <f>HYPERLINK("http://api.nsgreg.nga.mil/geo-division/GENC/6/3-11/TR-44","as:GENC:6:3-11:TR-44")</f>
        <v>as:GENC:6:3-11:TR-44</v>
      </c>
    </row>
    <row r="4579" spans="1:7" x14ac:dyDescent="0.25">
      <c r="A4579" s="112"/>
      <c r="B4579" s="21" t="s">
        <v>10778</v>
      </c>
      <c r="C4579" s="21" t="s">
        <v>10779</v>
      </c>
      <c r="D4579" s="21" t="s">
        <v>1668</v>
      </c>
      <c r="E4579" s="50" t="b">
        <v>1</v>
      </c>
      <c r="F4579" s="72" t="str">
        <f>HYPERLINK("http://nsgreg.nga.mil/genc/view?v=296056&amp;end_month=6&amp;end_day=30&amp;end_year=2019","Manisa")</f>
        <v>Manisa</v>
      </c>
      <c r="G4579" s="72" t="str">
        <f>HYPERLINK("http://api.nsgreg.nga.mil/geo-division/GENC/6/3-11/TR-45","as:GENC:6:3-11:TR-45")</f>
        <v>as:GENC:6:3-11:TR-45</v>
      </c>
    </row>
    <row r="4580" spans="1:7" x14ac:dyDescent="0.25">
      <c r="A4580" s="112"/>
      <c r="B4580" s="21" t="s">
        <v>10780</v>
      </c>
      <c r="C4580" s="21" t="s">
        <v>10781</v>
      </c>
      <c r="D4580" s="21" t="s">
        <v>1668</v>
      </c>
      <c r="E4580" s="50" t="b">
        <v>1</v>
      </c>
      <c r="F4580" s="72" t="str">
        <f>HYPERLINK("http://nsgreg.nga.mil/genc/view?v=296058&amp;end_month=6&amp;end_day=30&amp;end_year=2019","Mardin")</f>
        <v>Mardin</v>
      </c>
      <c r="G4580" s="72" t="str">
        <f>HYPERLINK("http://api.nsgreg.nga.mil/geo-division/GENC/6/3-11/TR-47","as:GENC:6:3-11:TR-47")</f>
        <v>as:GENC:6:3-11:TR-47</v>
      </c>
    </row>
    <row r="4581" spans="1:7" x14ac:dyDescent="0.25">
      <c r="A4581" s="112"/>
      <c r="B4581" s="21" t="s">
        <v>10782</v>
      </c>
      <c r="C4581" s="21" t="s">
        <v>10783</v>
      </c>
      <c r="D4581" s="21" t="s">
        <v>1668</v>
      </c>
      <c r="E4581" s="50" t="b">
        <v>1</v>
      </c>
      <c r="F4581" s="72" t="str">
        <f>HYPERLINK("http://nsgreg.nga.mil/genc/view?v=296044&amp;end_month=6&amp;end_day=30&amp;end_year=2019","Mersin")</f>
        <v>Mersin</v>
      </c>
      <c r="G4581" s="72" t="str">
        <f>HYPERLINK("http://api.nsgreg.nga.mil/geo-division/GENC/6/3-11/TR-33","as:GENC:6:3-11:TR-33")</f>
        <v>as:GENC:6:3-11:TR-33</v>
      </c>
    </row>
    <row r="4582" spans="1:7" x14ac:dyDescent="0.25">
      <c r="A4582" s="112"/>
      <c r="B4582" s="21" t="s">
        <v>10784</v>
      </c>
      <c r="C4582" s="21" t="s">
        <v>10785</v>
      </c>
      <c r="D4582" s="21" t="s">
        <v>1668</v>
      </c>
      <c r="E4582" s="50" t="b">
        <v>1</v>
      </c>
      <c r="F4582" s="72" t="str">
        <f>HYPERLINK("http://nsgreg.nga.mil/genc/view?v=296059&amp;end_month=6&amp;end_day=30&amp;end_year=2019","Muğla")</f>
        <v>Muğla</v>
      </c>
      <c r="G4582" s="72" t="str">
        <f>HYPERLINK("http://api.nsgreg.nga.mil/geo-division/GENC/6/3-11/TR-48","as:GENC:6:3-11:TR-48")</f>
        <v>as:GENC:6:3-11:TR-48</v>
      </c>
    </row>
    <row r="4583" spans="1:7" x14ac:dyDescent="0.25">
      <c r="A4583" s="112"/>
      <c r="B4583" s="21" t="s">
        <v>10786</v>
      </c>
      <c r="C4583" s="21" t="s">
        <v>10787</v>
      </c>
      <c r="D4583" s="21" t="s">
        <v>1668</v>
      </c>
      <c r="E4583" s="50" t="b">
        <v>1</v>
      </c>
      <c r="F4583" s="72" t="str">
        <f>HYPERLINK("http://nsgreg.nga.mil/genc/view?v=296060&amp;end_month=6&amp;end_day=30&amp;end_year=2019","Muş")</f>
        <v>Muş</v>
      </c>
      <c r="G4583" s="72" t="str">
        <f>HYPERLINK("http://api.nsgreg.nga.mil/geo-division/GENC/6/3-11/TR-49","as:GENC:6:3-11:TR-49")</f>
        <v>as:GENC:6:3-11:TR-49</v>
      </c>
    </row>
    <row r="4584" spans="1:7" x14ac:dyDescent="0.25">
      <c r="A4584" s="112"/>
      <c r="B4584" s="21" t="s">
        <v>10788</v>
      </c>
      <c r="C4584" s="21" t="s">
        <v>10789</v>
      </c>
      <c r="D4584" s="21" t="s">
        <v>1668</v>
      </c>
      <c r="E4584" s="50" t="b">
        <v>1</v>
      </c>
      <c r="F4584" s="72" t="str">
        <f>HYPERLINK("http://nsgreg.nga.mil/genc/view?v=296061&amp;end_month=6&amp;end_day=30&amp;end_year=2019","Nevşehir")</f>
        <v>Nevşehir</v>
      </c>
      <c r="G4584" s="72" t="str">
        <f>HYPERLINK("http://api.nsgreg.nga.mil/geo-division/GENC/6/3-11/TR-50","as:GENC:6:3-11:TR-50")</f>
        <v>as:GENC:6:3-11:TR-50</v>
      </c>
    </row>
    <row r="4585" spans="1:7" x14ac:dyDescent="0.25">
      <c r="A4585" s="112"/>
      <c r="B4585" s="21" t="s">
        <v>10790</v>
      </c>
      <c r="C4585" s="21" t="s">
        <v>10791</v>
      </c>
      <c r="D4585" s="21" t="s">
        <v>1668</v>
      </c>
      <c r="E4585" s="50" t="b">
        <v>1</v>
      </c>
      <c r="F4585" s="72" t="str">
        <f>HYPERLINK("http://nsgreg.nga.mil/genc/view?v=296062&amp;end_month=6&amp;end_day=30&amp;end_year=2019","Niğde")</f>
        <v>Niğde</v>
      </c>
      <c r="G4585" s="72" t="str">
        <f>HYPERLINK("http://api.nsgreg.nga.mil/geo-division/GENC/6/3-11/TR-51","as:GENC:6:3-11:TR-51")</f>
        <v>as:GENC:6:3-11:TR-51</v>
      </c>
    </row>
    <row r="4586" spans="1:7" x14ac:dyDescent="0.25">
      <c r="A4586" s="112"/>
      <c r="B4586" s="21" t="s">
        <v>10792</v>
      </c>
      <c r="C4586" s="21" t="s">
        <v>10793</v>
      </c>
      <c r="D4586" s="21" t="s">
        <v>1668</v>
      </c>
      <c r="E4586" s="50" t="b">
        <v>1</v>
      </c>
      <c r="F4586" s="72" t="str">
        <f>HYPERLINK("http://nsgreg.nga.mil/genc/view?v=296063&amp;end_month=6&amp;end_day=30&amp;end_year=2019","Ordu")</f>
        <v>Ordu</v>
      </c>
      <c r="G4586" s="72" t="str">
        <f>HYPERLINK("http://api.nsgreg.nga.mil/geo-division/GENC/6/3-11/TR-52","as:GENC:6:3-11:TR-52")</f>
        <v>as:GENC:6:3-11:TR-52</v>
      </c>
    </row>
    <row r="4587" spans="1:7" x14ac:dyDescent="0.25">
      <c r="A4587" s="112"/>
      <c r="B4587" s="21" t="s">
        <v>10794</v>
      </c>
      <c r="C4587" s="21" t="s">
        <v>10795</v>
      </c>
      <c r="D4587" s="21" t="s">
        <v>1668</v>
      </c>
      <c r="E4587" s="50" t="b">
        <v>1</v>
      </c>
      <c r="F4587" s="72" t="str">
        <f>HYPERLINK("http://nsgreg.nga.mil/genc/view?v=296091&amp;end_month=6&amp;end_day=30&amp;end_year=2019","Osmaniye")</f>
        <v>Osmaniye</v>
      </c>
      <c r="G4587" s="72" t="str">
        <f>HYPERLINK("http://api.nsgreg.nga.mil/geo-division/GENC/6/3-11/TR-80","as:GENC:6:3-11:TR-80")</f>
        <v>as:GENC:6:3-11:TR-80</v>
      </c>
    </row>
    <row r="4588" spans="1:7" x14ac:dyDescent="0.25">
      <c r="A4588" s="112"/>
      <c r="B4588" s="21" t="s">
        <v>10796</v>
      </c>
      <c r="C4588" s="21" t="s">
        <v>10797</v>
      </c>
      <c r="D4588" s="21" t="s">
        <v>1668</v>
      </c>
      <c r="E4588" s="50" t="b">
        <v>1</v>
      </c>
      <c r="F4588" s="72" t="str">
        <f>HYPERLINK("http://nsgreg.nga.mil/genc/view?v=296064&amp;end_month=6&amp;end_day=30&amp;end_year=2019","Rize")</f>
        <v>Rize</v>
      </c>
      <c r="G4588" s="72" t="str">
        <f>HYPERLINK("http://api.nsgreg.nga.mil/geo-division/GENC/6/3-11/TR-53","as:GENC:6:3-11:TR-53")</f>
        <v>as:GENC:6:3-11:TR-53</v>
      </c>
    </row>
    <row r="4589" spans="1:7" x14ac:dyDescent="0.25">
      <c r="A4589" s="112"/>
      <c r="B4589" s="21" t="s">
        <v>10798</v>
      </c>
      <c r="C4589" s="21" t="s">
        <v>10799</v>
      </c>
      <c r="D4589" s="21" t="s">
        <v>1668</v>
      </c>
      <c r="E4589" s="50" t="b">
        <v>1</v>
      </c>
      <c r="F4589" s="72" t="str">
        <f>HYPERLINK("http://nsgreg.nga.mil/genc/view?v=296065&amp;end_month=6&amp;end_day=30&amp;end_year=2019","Sakarya")</f>
        <v>Sakarya</v>
      </c>
      <c r="G4589" s="72" t="str">
        <f>HYPERLINK("http://api.nsgreg.nga.mil/geo-division/GENC/6/3-11/TR-54","as:GENC:6:3-11:TR-54")</f>
        <v>as:GENC:6:3-11:TR-54</v>
      </c>
    </row>
    <row r="4590" spans="1:7" x14ac:dyDescent="0.25">
      <c r="A4590" s="112"/>
      <c r="B4590" s="21" t="s">
        <v>10800</v>
      </c>
      <c r="C4590" s="21" t="s">
        <v>10801</v>
      </c>
      <c r="D4590" s="21" t="s">
        <v>1668</v>
      </c>
      <c r="E4590" s="50" t="b">
        <v>1</v>
      </c>
      <c r="F4590" s="72" t="str">
        <f>HYPERLINK("http://nsgreg.nga.mil/genc/view?v=296066&amp;end_month=6&amp;end_day=30&amp;end_year=2019","Samsun")</f>
        <v>Samsun</v>
      </c>
      <c r="G4590" s="72" t="str">
        <f>HYPERLINK("http://api.nsgreg.nga.mil/geo-division/GENC/6/3-11/TR-55","as:GENC:6:3-11:TR-55")</f>
        <v>as:GENC:6:3-11:TR-55</v>
      </c>
    </row>
    <row r="4591" spans="1:7" x14ac:dyDescent="0.25">
      <c r="A4591" s="112"/>
      <c r="B4591" s="21" t="s">
        <v>10802</v>
      </c>
      <c r="C4591" s="21" t="s">
        <v>10803</v>
      </c>
      <c r="D4591" s="21" t="s">
        <v>1668</v>
      </c>
      <c r="E4591" s="50" t="b">
        <v>1</v>
      </c>
      <c r="F4591" s="72" t="str">
        <f>HYPERLINK("http://nsgreg.nga.mil/genc/view?v=296074&amp;end_month=6&amp;end_day=30&amp;end_year=2019","Şanlıurfa")</f>
        <v>Şanlıurfa</v>
      </c>
      <c r="G4591" s="72" t="str">
        <f>HYPERLINK("http://api.nsgreg.nga.mil/geo-division/GENC/6/3-11/TR-63","as:GENC:6:3-11:TR-63")</f>
        <v>as:GENC:6:3-11:TR-63</v>
      </c>
    </row>
    <row r="4592" spans="1:7" x14ac:dyDescent="0.25">
      <c r="A4592" s="112"/>
      <c r="B4592" s="21" t="s">
        <v>10804</v>
      </c>
      <c r="C4592" s="21" t="s">
        <v>10805</v>
      </c>
      <c r="D4592" s="21" t="s">
        <v>1668</v>
      </c>
      <c r="E4592" s="50" t="b">
        <v>1</v>
      </c>
      <c r="F4592" s="72" t="str">
        <f>HYPERLINK("http://nsgreg.nga.mil/genc/view?v=296067&amp;end_month=6&amp;end_day=30&amp;end_year=2019","Siirt")</f>
        <v>Siirt</v>
      </c>
      <c r="G4592" s="72" t="str">
        <f>HYPERLINK("http://api.nsgreg.nga.mil/geo-division/GENC/6/3-11/TR-56","as:GENC:6:3-11:TR-56")</f>
        <v>as:GENC:6:3-11:TR-56</v>
      </c>
    </row>
    <row r="4593" spans="1:7" x14ac:dyDescent="0.25">
      <c r="A4593" s="112"/>
      <c r="B4593" s="21" t="s">
        <v>10806</v>
      </c>
      <c r="C4593" s="21" t="s">
        <v>10807</v>
      </c>
      <c r="D4593" s="21" t="s">
        <v>1668</v>
      </c>
      <c r="E4593" s="50" t="b">
        <v>1</v>
      </c>
      <c r="F4593" s="72" t="str">
        <f>HYPERLINK("http://nsgreg.nga.mil/genc/view?v=296068&amp;end_month=6&amp;end_day=30&amp;end_year=2019","Sinop")</f>
        <v>Sinop</v>
      </c>
      <c r="G4593" s="72" t="str">
        <f>HYPERLINK("http://api.nsgreg.nga.mil/geo-division/GENC/6/3-11/TR-57","as:GENC:6:3-11:TR-57")</f>
        <v>as:GENC:6:3-11:TR-57</v>
      </c>
    </row>
    <row r="4594" spans="1:7" x14ac:dyDescent="0.25">
      <c r="A4594" s="112"/>
      <c r="B4594" s="21" t="s">
        <v>10808</v>
      </c>
      <c r="C4594" s="21" t="s">
        <v>10809</v>
      </c>
      <c r="D4594" s="21" t="s">
        <v>1668</v>
      </c>
      <c r="E4594" s="50" t="b">
        <v>1</v>
      </c>
      <c r="F4594" s="72" t="str">
        <f>HYPERLINK("http://nsgreg.nga.mil/genc/view?v=296084&amp;end_month=6&amp;end_day=30&amp;end_year=2019","Şırnak")</f>
        <v>Şırnak</v>
      </c>
      <c r="G4594" s="72" t="str">
        <f>HYPERLINK("http://api.nsgreg.nga.mil/geo-division/GENC/6/3-11/TR-73","as:GENC:6:3-11:TR-73")</f>
        <v>as:GENC:6:3-11:TR-73</v>
      </c>
    </row>
    <row r="4595" spans="1:7" x14ac:dyDescent="0.25">
      <c r="A4595" s="112"/>
      <c r="B4595" s="21" t="s">
        <v>10810</v>
      </c>
      <c r="C4595" s="21" t="s">
        <v>10811</v>
      </c>
      <c r="D4595" s="21" t="s">
        <v>1668</v>
      </c>
      <c r="E4595" s="50" t="b">
        <v>1</v>
      </c>
      <c r="F4595" s="72" t="str">
        <f>HYPERLINK("http://nsgreg.nga.mil/genc/view?v=296069&amp;end_month=6&amp;end_day=30&amp;end_year=2019","Sivas")</f>
        <v>Sivas</v>
      </c>
      <c r="G4595" s="72" t="str">
        <f>HYPERLINK("http://api.nsgreg.nga.mil/geo-division/GENC/6/3-11/TR-58","as:GENC:6:3-11:TR-58")</f>
        <v>as:GENC:6:3-11:TR-58</v>
      </c>
    </row>
    <row r="4596" spans="1:7" x14ac:dyDescent="0.25">
      <c r="A4596" s="112"/>
      <c r="B4596" s="21" t="s">
        <v>10812</v>
      </c>
      <c r="C4596" s="21" t="s">
        <v>10813</v>
      </c>
      <c r="D4596" s="21" t="s">
        <v>1668</v>
      </c>
      <c r="E4596" s="50" t="b">
        <v>1</v>
      </c>
      <c r="F4596" s="72" t="str">
        <f>HYPERLINK("http://nsgreg.nga.mil/genc/view?v=296070&amp;end_month=6&amp;end_day=30&amp;end_year=2019","Tekirdağ")</f>
        <v>Tekirdağ</v>
      </c>
      <c r="G4596" s="72" t="str">
        <f>HYPERLINK("http://api.nsgreg.nga.mil/geo-division/GENC/6/3-11/TR-59","as:GENC:6:3-11:TR-59")</f>
        <v>as:GENC:6:3-11:TR-59</v>
      </c>
    </row>
    <row r="4597" spans="1:7" x14ac:dyDescent="0.25">
      <c r="A4597" s="112"/>
      <c r="B4597" s="21" t="s">
        <v>10814</v>
      </c>
      <c r="C4597" s="21" t="s">
        <v>10815</v>
      </c>
      <c r="D4597" s="21" t="s">
        <v>1668</v>
      </c>
      <c r="E4597" s="50" t="b">
        <v>1</v>
      </c>
      <c r="F4597" s="72" t="str">
        <f>HYPERLINK("http://nsgreg.nga.mil/genc/view?v=296071&amp;end_month=6&amp;end_day=30&amp;end_year=2019","Tokat")</f>
        <v>Tokat</v>
      </c>
      <c r="G4597" s="72" t="str">
        <f>HYPERLINK("http://api.nsgreg.nga.mil/geo-division/GENC/6/3-11/TR-60","as:GENC:6:3-11:TR-60")</f>
        <v>as:GENC:6:3-11:TR-60</v>
      </c>
    </row>
    <row r="4598" spans="1:7" x14ac:dyDescent="0.25">
      <c r="A4598" s="112"/>
      <c r="B4598" s="21" t="s">
        <v>10816</v>
      </c>
      <c r="C4598" s="21" t="s">
        <v>10817</v>
      </c>
      <c r="D4598" s="21" t="s">
        <v>1668</v>
      </c>
      <c r="E4598" s="50" t="b">
        <v>1</v>
      </c>
      <c r="F4598" s="72" t="str">
        <f>HYPERLINK("http://nsgreg.nga.mil/genc/view?v=296072&amp;end_month=6&amp;end_day=30&amp;end_year=2019","Trabzon")</f>
        <v>Trabzon</v>
      </c>
      <c r="G4598" s="72" t="str">
        <f>HYPERLINK("http://api.nsgreg.nga.mil/geo-division/GENC/6/3-11/TR-61","as:GENC:6:3-11:TR-61")</f>
        <v>as:GENC:6:3-11:TR-61</v>
      </c>
    </row>
    <row r="4599" spans="1:7" x14ac:dyDescent="0.25">
      <c r="A4599" s="112"/>
      <c r="B4599" s="21" t="s">
        <v>10818</v>
      </c>
      <c r="C4599" s="21" t="s">
        <v>10819</v>
      </c>
      <c r="D4599" s="21" t="s">
        <v>1668</v>
      </c>
      <c r="E4599" s="50" t="b">
        <v>1</v>
      </c>
      <c r="F4599" s="72" t="str">
        <f>HYPERLINK("http://nsgreg.nga.mil/genc/view?v=296073&amp;end_month=6&amp;end_day=30&amp;end_year=2019","Tunceli")</f>
        <v>Tunceli</v>
      </c>
      <c r="G4599" s="72" t="str">
        <f>HYPERLINK("http://api.nsgreg.nga.mil/geo-division/GENC/6/3-11/TR-62","as:GENC:6:3-11:TR-62")</f>
        <v>as:GENC:6:3-11:TR-62</v>
      </c>
    </row>
    <row r="4600" spans="1:7" x14ac:dyDescent="0.25">
      <c r="A4600" s="112"/>
      <c r="B4600" s="21" t="s">
        <v>10820</v>
      </c>
      <c r="C4600" s="21" t="s">
        <v>10821</v>
      </c>
      <c r="D4600" s="21" t="s">
        <v>1668</v>
      </c>
      <c r="E4600" s="50" t="b">
        <v>1</v>
      </c>
      <c r="F4600" s="72" t="str">
        <f>HYPERLINK("http://nsgreg.nga.mil/genc/view?v=296075&amp;end_month=6&amp;end_day=30&amp;end_year=2019","Uşak")</f>
        <v>Uşak</v>
      </c>
      <c r="G4600" s="72" t="str">
        <f>HYPERLINK("http://api.nsgreg.nga.mil/geo-division/GENC/6/3-11/TR-64","as:GENC:6:3-11:TR-64")</f>
        <v>as:GENC:6:3-11:TR-64</v>
      </c>
    </row>
    <row r="4601" spans="1:7" x14ac:dyDescent="0.25">
      <c r="A4601" s="112"/>
      <c r="B4601" s="21" t="s">
        <v>10822</v>
      </c>
      <c r="C4601" s="21" t="s">
        <v>10823</v>
      </c>
      <c r="D4601" s="21" t="s">
        <v>1668</v>
      </c>
      <c r="E4601" s="50" t="b">
        <v>1</v>
      </c>
      <c r="F4601" s="72" t="str">
        <f>HYPERLINK("http://nsgreg.nga.mil/genc/view?v=296076&amp;end_month=6&amp;end_day=30&amp;end_year=2019","Van")</f>
        <v>Van</v>
      </c>
      <c r="G4601" s="72" t="str">
        <f>HYPERLINK("http://api.nsgreg.nga.mil/geo-division/GENC/6/3-11/TR-65","as:GENC:6:3-11:TR-65")</f>
        <v>as:GENC:6:3-11:TR-65</v>
      </c>
    </row>
    <row r="4602" spans="1:7" x14ac:dyDescent="0.25">
      <c r="A4602" s="112"/>
      <c r="B4602" s="21" t="s">
        <v>10824</v>
      </c>
      <c r="C4602" s="21" t="s">
        <v>10825</v>
      </c>
      <c r="D4602" s="21" t="s">
        <v>1668</v>
      </c>
      <c r="E4602" s="50" t="b">
        <v>1</v>
      </c>
      <c r="F4602" s="72" t="str">
        <f>HYPERLINK("http://nsgreg.nga.mil/genc/view?v=296088&amp;end_month=6&amp;end_day=30&amp;end_year=2019","Yalova")</f>
        <v>Yalova</v>
      </c>
      <c r="G4602" s="72" t="str">
        <f>HYPERLINK("http://api.nsgreg.nga.mil/geo-division/GENC/6/3-11/TR-77","as:GENC:6:3-11:TR-77")</f>
        <v>as:GENC:6:3-11:TR-77</v>
      </c>
    </row>
    <row r="4603" spans="1:7" x14ac:dyDescent="0.25">
      <c r="A4603" s="112"/>
      <c r="B4603" s="21" t="s">
        <v>10826</v>
      </c>
      <c r="C4603" s="21" t="s">
        <v>10827</v>
      </c>
      <c r="D4603" s="21" t="s">
        <v>1668</v>
      </c>
      <c r="E4603" s="50" t="b">
        <v>1</v>
      </c>
      <c r="F4603" s="72" t="str">
        <f>HYPERLINK("http://nsgreg.nga.mil/genc/view?v=296077&amp;end_month=6&amp;end_day=30&amp;end_year=2019","Yozgat")</f>
        <v>Yozgat</v>
      </c>
      <c r="G4603" s="72" t="str">
        <f>HYPERLINK("http://api.nsgreg.nga.mil/geo-division/GENC/6/3-11/TR-66","as:GENC:6:3-11:TR-66")</f>
        <v>as:GENC:6:3-11:TR-66</v>
      </c>
    </row>
    <row r="4604" spans="1:7" x14ac:dyDescent="0.25">
      <c r="A4604" s="113"/>
      <c r="B4604" s="47" t="s">
        <v>10828</v>
      </c>
      <c r="C4604" s="47" t="s">
        <v>10829</v>
      </c>
      <c r="D4604" s="47" t="s">
        <v>1668</v>
      </c>
      <c r="E4604" s="51" t="b">
        <v>1</v>
      </c>
      <c r="F4604" s="73" t="str">
        <f>HYPERLINK("http://nsgreg.nga.mil/genc/view?v=296078&amp;end_month=6&amp;end_day=30&amp;end_year=2019","Zonguldak")</f>
        <v>Zonguldak</v>
      </c>
      <c r="G4604" s="73" t="str">
        <f>HYPERLINK("http://api.nsgreg.nga.mil/geo-division/GENC/6/3-11/TR-67","as:GENC:6:3-11:TR-67")</f>
        <v>as:GENC:6:3-11:TR-67</v>
      </c>
    </row>
    <row r="4605" spans="1:7" x14ac:dyDescent="0.25">
      <c r="A4605" s="111" t="str">
        <f>HYPERLINK("[#]Codes_for_GE_Names!A260:I260","TURKMENISTAN")</f>
        <v>TURKMENISTAN</v>
      </c>
      <c r="B4605" s="42" t="s">
        <v>10830</v>
      </c>
      <c r="C4605" s="42" t="s">
        <v>10831</v>
      </c>
      <c r="D4605" s="42" t="s">
        <v>1668</v>
      </c>
      <c r="E4605" s="49" t="b">
        <v>1</v>
      </c>
      <c r="F4605" s="74" t="str">
        <f>HYPERLINK("http://nsgreg.nga.mil/genc/view?v=295977&amp;end_month=6&amp;end_day=30&amp;end_year=2019","Ahal")</f>
        <v>Ahal</v>
      </c>
      <c r="G4605" s="74" t="str">
        <f>HYPERLINK("http://api.nsgreg.nga.mil/geo-division/GENC/6/3-11/TM-A","as:GENC:6:3-11:TM-A")</f>
        <v>as:GENC:6:3-11:TM-A</v>
      </c>
    </row>
    <row r="4606" spans="1:7" x14ac:dyDescent="0.25">
      <c r="A4606" s="112"/>
      <c r="B4606" s="21" t="s">
        <v>10832</v>
      </c>
      <c r="C4606" s="21" t="s">
        <v>10833</v>
      </c>
      <c r="D4606" s="21" t="s">
        <v>1996</v>
      </c>
      <c r="E4606" s="50" t="b">
        <v>1</v>
      </c>
      <c r="F4606" s="72" t="str">
        <f>HYPERLINK("http://nsgreg.nga.mil/genc/view?v=295982&amp;end_month=6&amp;end_day=30&amp;end_year=2019","Aşgabat")</f>
        <v>Aşgabat</v>
      </c>
      <c r="G4606" s="72" t="str">
        <f>HYPERLINK("http://api.nsgreg.nga.mil/geo-division/GENC/6/3-11/TM-S","as:GENC:6:3-11:TM-S")</f>
        <v>as:GENC:6:3-11:TM-S</v>
      </c>
    </row>
    <row r="4607" spans="1:7" x14ac:dyDescent="0.25">
      <c r="A4607" s="112"/>
      <c r="B4607" s="21" t="s">
        <v>10834</v>
      </c>
      <c r="C4607" s="21" t="s">
        <v>10835</v>
      </c>
      <c r="D4607" s="21" t="s">
        <v>1668</v>
      </c>
      <c r="E4607" s="50" t="b">
        <v>1</v>
      </c>
      <c r="F4607" s="72" t="str">
        <f>HYPERLINK("http://nsgreg.nga.mil/genc/view?v=295978&amp;end_month=6&amp;end_day=30&amp;end_year=2019","Balkan")</f>
        <v>Balkan</v>
      </c>
      <c r="G4607" s="72" t="str">
        <f>HYPERLINK("http://api.nsgreg.nga.mil/geo-division/GENC/6/3-11/TM-B","as:GENC:6:3-11:TM-B")</f>
        <v>as:GENC:6:3-11:TM-B</v>
      </c>
    </row>
    <row r="4608" spans="1:7" x14ac:dyDescent="0.25">
      <c r="A4608" s="112"/>
      <c r="B4608" s="21" t="s">
        <v>10836</v>
      </c>
      <c r="C4608" s="21" t="s">
        <v>10837</v>
      </c>
      <c r="D4608" s="21" t="s">
        <v>1668</v>
      </c>
      <c r="E4608" s="50" t="b">
        <v>1</v>
      </c>
      <c r="F4608" s="72" t="str">
        <f>HYPERLINK("http://nsgreg.nga.mil/genc/view?v=295979&amp;end_month=6&amp;end_day=30&amp;end_year=2019","Daşoguz")</f>
        <v>Daşoguz</v>
      </c>
      <c r="G4608" s="72" t="str">
        <f>HYPERLINK("http://api.nsgreg.nga.mil/geo-division/GENC/6/3-11/TM-D","as:GENC:6:3-11:TM-D")</f>
        <v>as:GENC:6:3-11:TM-D</v>
      </c>
    </row>
    <row r="4609" spans="1:7" x14ac:dyDescent="0.25">
      <c r="A4609" s="112"/>
      <c r="B4609" s="21" t="s">
        <v>10838</v>
      </c>
      <c r="C4609" s="21" t="s">
        <v>10839</v>
      </c>
      <c r="D4609" s="21" t="s">
        <v>1668</v>
      </c>
      <c r="E4609" s="50" t="b">
        <v>1</v>
      </c>
      <c r="F4609" s="72" t="str">
        <f>HYPERLINK("http://nsgreg.nga.mil/genc/view?v=295980&amp;end_month=6&amp;end_day=30&amp;end_year=2019","Lebap")</f>
        <v>Lebap</v>
      </c>
      <c r="G4609" s="72" t="str">
        <f>HYPERLINK("http://api.nsgreg.nga.mil/geo-division/GENC/6/3-11/TM-L","as:GENC:6:3-11:TM-L")</f>
        <v>as:GENC:6:3-11:TM-L</v>
      </c>
    </row>
    <row r="4610" spans="1:7" x14ac:dyDescent="0.25">
      <c r="A4610" s="113"/>
      <c r="B4610" s="47" t="s">
        <v>10840</v>
      </c>
      <c r="C4610" s="47" t="s">
        <v>10841</v>
      </c>
      <c r="D4610" s="47" t="s">
        <v>1668</v>
      </c>
      <c r="E4610" s="51" t="b">
        <v>1</v>
      </c>
      <c r="F4610" s="73" t="str">
        <f>HYPERLINK("http://nsgreg.nga.mil/genc/view?v=295981&amp;end_month=6&amp;end_day=30&amp;end_year=2019","Mary")</f>
        <v>Mary</v>
      </c>
      <c r="G4610" s="73" t="str">
        <f>HYPERLINK("http://api.nsgreg.nga.mil/geo-division/GENC/6/3-11/TM-M","as:GENC:6:3-11:TM-M")</f>
        <v>as:GENC:6:3-11:TM-M</v>
      </c>
    </row>
    <row r="4611" spans="1:7" x14ac:dyDescent="0.25">
      <c r="A4611" s="111" t="str">
        <f>HYPERLINK("[#]Codes_for_GE_Names!A262:I262","TUVALU")</f>
        <v>TUVALU</v>
      </c>
      <c r="B4611" s="42" t="s">
        <v>10842</v>
      </c>
      <c r="C4611" s="42" t="s">
        <v>10843</v>
      </c>
      <c r="D4611" s="42" t="s">
        <v>10844</v>
      </c>
      <c r="E4611" s="49" t="b">
        <v>1</v>
      </c>
      <c r="F4611" s="74" t="str">
        <f>HYPERLINK("http://nsgreg.nga.mil/genc/view?v=296108&amp;end_month=6&amp;end_day=30&amp;end_year=2019","Funafuti")</f>
        <v>Funafuti</v>
      </c>
      <c r="G4611" s="74" t="str">
        <f>HYPERLINK("http://api.nsgreg.nga.mil/geo-division/GENC/6/3-11/TV-FUN","as:GENC:6:3-11:TV-FUN")</f>
        <v>as:GENC:6:3-11:TV-FUN</v>
      </c>
    </row>
    <row r="4612" spans="1:7" x14ac:dyDescent="0.25">
      <c r="A4612" s="112"/>
      <c r="B4612" s="21" t="s">
        <v>10845</v>
      </c>
      <c r="C4612" s="21" t="s">
        <v>10846</v>
      </c>
      <c r="D4612" s="21" t="s">
        <v>10847</v>
      </c>
      <c r="E4612" s="50" t="b">
        <v>1</v>
      </c>
      <c r="F4612" s="72" t="str">
        <f>HYPERLINK("http://nsgreg.nga.mil/genc/view?v=296113&amp;end_month=6&amp;end_day=30&amp;end_year=2019","Nanumaga")</f>
        <v>Nanumaga</v>
      </c>
      <c r="G4612" s="72" t="str">
        <f>HYPERLINK("http://api.nsgreg.nga.mil/geo-division/GENC/6/3-11/TV-NMG","as:GENC:6:3-11:TV-NMG")</f>
        <v>as:GENC:6:3-11:TV-NMG</v>
      </c>
    </row>
    <row r="4613" spans="1:7" x14ac:dyDescent="0.25">
      <c r="A4613" s="112"/>
      <c r="B4613" s="21" t="s">
        <v>10848</v>
      </c>
      <c r="C4613" s="21" t="s">
        <v>10849</v>
      </c>
      <c r="D4613" s="21" t="s">
        <v>10847</v>
      </c>
      <c r="E4613" s="50" t="b">
        <v>1</v>
      </c>
      <c r="F4613" s="72" t="str">
        <f>HYPERLINK("http://nsgreg.nga.mil/genc/view?v=296112&amp;end_month=6&amp;end_day=30&amp;end_year=2019","Nanumea")</f>
        <v>Nanumea</v>
      </c>
      <c r="G4613" s="72" t="str">
        <f>HYPERLINK("http://api.nsgreg.nga.mil/geo-division/GENC/6/3-11/TV-NMA","as:GENC:6:3-11:TV-NMA")</f>
        <v>as:GENC:6:3-11:TV-NMA</v>
      </c>
    </row>
    <row r="4614" spans="1:7" x14ac:dyDescent="0.25">
      <c r="A4614" s="112"/>
      <c r="B4614" s="21" t="s">
        <v>10850</v>
      </c>
      <c r="C4614" s="21" t="s">
        <v>10851</v>
      </c>
      <c r="D4614" s="21" t="s">
        <v>10847</v>
      </c>
      <c r="E4614" s="50" t="b">
        <v>1</v>
      </c>
      <c r="F4614" s="72" t="str">
        <f>HYPERLINK("http://nsgreg.nga.mil/genc/view?v=296109&amp;end_month=6&amp;end_day=30&amp;end_year=2019","Niutao")</f>
        <v>Niutao</v>
      </c>
      <c r="G4614" s="72" t="str">
        <f>HYPERLINK("http://api.nsgreg.nga.mil/geo-division/GENC/6/3-11/TV-NIT","as:GENC:6:3-11:TV-NIT")</f>
        <v>as:GENC:6:3-11:TV-NIT</v>
      </c>
    </row>
    <row r="4615" spans="1:7" x14ac:dyDescent="0.25">
      <c r="A4615" s="112"/>
      <c r="B4615" s="21" t="s">
        <v>10852</v>
      </c>
      <c r="C4615" s="21" t="s">
        <v>10853</v>
      </c>
      <c r="D4615" s="21" t="s">
        <v>10847</v>
      </c>
      <c r="E4615" s="50" t="b">
        <v>1</v>
      </c>
      <c r="F4615" s="72" t="str">
        <f>HYPERLINK("http://nsgreg.nga.mil/genc/view?v=296114&amp;end_month=6&amp;end_day=30&amp;end_year=2019","Nui")</f>
        <v>Nui</v>
      </c>
      <c r="G4615" s="72" t="str">
        <f>HYPERLINK("http://api.nsgreg.nga.mil/geo-division/GENC/6/3-11/TV-NUI","as:GENC:6:3-11:TV-NUI")</f>
        <v>as:GENC:6:3-11:TV-NUI</v>
      </c>
    </row>
    <row r="4616" spans="1:7" x14ac:dyDescent="0.25">
      <c r="A4616" s="112"/>
      <c r="B4616" s="21" t="s">
        <v>10854</v>
      </c>
      <c r="C4616" s="21" t="s">
        <v>10855</v>
      </c>
      <c r="D4616" s="21" t="s">
        <v>10847</v>
      </c>
      <c r="E4616" s="50" t="b">
        <v>1</v>
      </c>
      <c r="F4616" s="72" t="str">
        <f>HYPERLINK("http://nsgreg.nga.mil/genc/view?v=296110&amp;end_month=6&amp;end_day=30&amp;end_year=2019","Nukufetau")</f>
        <v>Nukufetau</v>
      </c>
      <c r="G4616" s="72" t="str">
        <f>HYPERLINK("http://api.nsgreg.nga.mil/geo-division/GENC/6/3-11/TV-NKF","as:GENC:6:3-11:TV-NKF")</f>
        <v>as:GENC:6:3-11:TV-NKF</v>
      </c>
    </row>
    <row r="4617" spans="1:7" x14ac:dyDescent="0.25">
      <c r="A4617" s="112"/>
      <c r="B4617" s="21" t="s">
        <v>10856</v>
      </c>
      <c r="C4617" s="21" t="s">
        <v>10857</v>
      </c>
      <c r="D4617" s="21" t="s">
        <v>10847</v>
      </c>
      <c r="E4617" s="50" t="b">
        <v>1</v>
      </c>
      <c r="F4617" s="72" t="str">
        <f>HYPERLINK("http://nsgreg.nga.mil/genc/view?v=296111&amp;end_month=6&amp;end_day=30&amp;end_year=2019","Nukulaelae")</f>
        <v>Nukulaelae</v>
      </c>
      <c r="G4617" s="72" t="str">
        <f>HYPERLINK("http://api.nsgreg.nga.mil/geo-division/GENC/6/3-11/TV-NKL","as:GENC:6:3-11:TV-NKL")</f>
        <v>as:GENC:6:3-11:TV-NKL</v>
      </c>
    </row>
    <row r="4618" spans="1:7" x14ac:dyDescent="0.25">
      <c r="A4618" s="113"/>
      <c r="B4618" s="47" t="s">
        <v>10858</v>
      </c>
      <c r="C4618" s="47" t="s">
        <v>10859</v>
      </c>
      <c r="D4618" s="47" t="s">
        <v>10847</v>
      </c>
      <c r="E4618" s="51" t="b">
        <v>1</v>
      </c>
      <c r="F4618" s="73" t="str">
        <f>HYPERLINK("http://nsgreg.nga.mil/genc/view?v=296115&amp;end_month=6&amp;end_day=30&amp;end_year=2019","Vaitupu")</f>
        <v>Vaitupu</v>
      </c>
      <c r="G4618" s="73" t="str">
        <f>HYPERLINK("http://api.nsgreg.nga.mil/geo-division/GENC/6/3-11/TV-VAI","as:GENC:6:3-11:TV-VAI")</f>
        <v>as:GENC:6:3-11:TV-VAI</v>
      </c>
    </row>
    <row r="4619" spans="1:7" x14ac:dyDescent="0.25">
      <c r="A4619" s="111" t="str">
        <f>HYPERLINK("[#]Codes_for_GE_Names!A263:I263","UGANDA")</f>
        <v>UGANDA</v>
      </c>
      <c r="B4619" s="42" t="s">
        <v>10860</v>
      </c>
      <c r="C4619" s="42" t="s">
        <v>2595</v>
      </c>
      <c r="D4619" s="80" t="s">
        <v>2931</v>
      </c>
      <c r="E4619" s="81" t="b">
        <v>0</v>
      </c>
      <c r="F4619" s="74" t="str">
        <f>HYPERLINK("http://nsgreg.nga.mil/genc/view?v=296318&amp;end_month=6&amp;end_day=30&amp;end_year=2019","Central")</f>
        <v>Central</v>
      </c>
      <c r="G4619" s="74" t="str">
        <f>HYPERLINK("http://api.nsgreg.nga.mil/geo-division/GENC/6/3-11/UG-C","as:GENC:6:3-11:UG-C")</f>
        <v>as:GENC:6:3-11:UG-C</v>
      </c>
    </row>
    <row r="4620" spans="1:7" x14ac:dyDescent="0.25">
      <c r="A4620" s="112"/>
      <c r="B4620" s="21" t="s">
        <v>10861</v>
      </c>
      <c r="C4620" s="21" t="s">
        <v>10862</v>
      </c>
      <c r="D4620" s="21" t="s">
        <v>2035</v>
      </c>
      <c r="E4620" s="50" t="b">
        <v>1</v>
      </c>
      <c r="F4620" s="72" t="str">
        <f>HYPERLINK("http://nsgreg.nga.mil/genc/view?v=296212&amp;end_month=6&amp;end_day=30&amp;end_year=2019","Buikwe")</f>
        <v>Buikwe</v>
      </c>
      <c r="G4620" s="72" t="str">
        <f>HYPERLINK("http://api.nsgreg.nga.mil/geo-division/GENC/6/3-11/UG-117","as:GENC:6:3-11:UG-117")</f>
        <v>as:GENC:6:3-11:UG-117</v>
      </c>
    </row>
    <row r="4621" spans="1:7" x14ac:dyDescent="0.25">
      <c r="A4621" s="112"/>
      <c r="B4621" s="21" t="s">
        <v>10863</v>
      </c>
      <c r="C4621" s="21" t="s">
        <v>10864</v>
      </c>
      <c r="D4621" s="21" t="s">
        <v>2035</v>
      </c>
      <c r="E4621" s="50" t="b">
        <v>1</v>
      </c>
      <c r="F4621" s="72" t="str">
        <f>HYPERLINK("http://nsgreg.nga.mil/genc/view?v=296213&amp;end_month=6&amp;end_day=30&amp;end_year=2019","Bukomansimbi")</f>
        <v>Bukomansimbi</v>
      </c>
      <c r="G4621" s="72" t="str">
        <f>HYPERLINK("http://api.nsgreg.nga.mil/geo-division/GENC/6/3-11/UG-118","as:GENC:6:3-11:UG-118")</f>
        <v>as:GENC:6:3-11:UG-118</v>
      </c>
    </row>
    <row r="4622" spans="1:7" x14ac:dyDescent="0.25">
      <c r="A4622" s="112"/>
      <c r="B4622" s="21" t="s">
        <v>10865</v>
      </c>
      <c r="C4622" s="21" t="s">
        <v>10866</v>
      </c>
      <c r="D4622" s="21" t="s">
        <v>2035</v>
      </c>
      <c r="E4622" s="50" t="b">
        <v>1</v>
      </c>
      <c r="F4622" s="72" t="str">
        <f>HYPERLINK("http://nsgreg.nga.mil/genc/view?v=296214&amp;end_month=6&amp;end_day=30&amp;end_year=2019","Butambala")</f>
        <v>Butambala</v>
      </c>
      <c r="G4622" s="72" t="str">
        <f>HYPERLINK("http://api.nsgreg.nga.mil/geo-division/GENC/6/3-11/UG-119","as:GENC:6:3-11:UG-119")</f>
        <v>as:GENC:6:3-11:UG-119</v>
      </c>
    </row>
    <row r="4623" spans="1:7" x14ac:dyDescent="0.25">
      <c r="A4623" s="112"/>
      <c r="B4623" s="21" t="s">
        <v>10867</v>
      </c>
      <c r="C4623" s="21" t="s">
        <v>10868</v>
      </c>
      <c r="D4623" s="21" t="s">
        <v>2035</v>
      </c>
      <c r="E4623" s="50" t="b">
        <v>1</v>
      </c>
      <c r="F4623" s="72" t="str">
        <f>HYPERLINK("http://nsgreg.nga.mil/genc/view?v=296215&amp;end_month=6&amp;end_day=30&amp;end_year=2019","Buvuma")</f>
        <v>Buvuma</v>
      </c>
      <c r="G4623" s="72" t="str">
        <f>HYPERLINK("http://api.nsgreg.nga.mil/geo-division/GENC/6/3-11/UG-120","as:GENC:6:3-11:UG-120")</f>
        <v>as:GENC:6:3-11:UG-120</v>
      </c>
    </row>
    <row r="4624" spans="1:7" x14ac:dyDescent="0.25">
      <c r="A4624" s="112"/>
      <c r="B4624" s="21" t="s">
        <v>10869</v>
      </c>
      <c r="C4624" s="21" t="s">
        <v>10870</v>
      </c>
      <c r="D4624" s="21" t="s">
        <v>2035</v>
      </c>
      <c r="E4624" s="50" t="b">
        <v>1</v>
      </c>
      <c r="F4624" s="72" t="str">
        <f>HYPERLINK("http://nsgreg.nga.mil/genc/view?v=296216&amp;end_month=6&amp;end_day=30&amp;end_year=2019","Gomba")</f>
        <v>Gomba</v>
      </c>
      <c r="G4624" s="72" t="str">
        <f>HYPERLINK("http://api.nsgreg.nga.mil/geo-division/GENC/6/3-11/UG-121","as:GENC:6:3-11:UG-121")</f>
        <v>as:GENC:6:3-11:UG-121</v>
      </c>
    </row>
    <row r="4625" spans="1:7" x14ac:dyDescent="0.25">
      <c r="A4625" s="112"/>
      <c r="B4625" s="21" t="s">
        <v>10871</v>
      </c>
      <c r="C4625" s="21" t="s">
        <v>10872</v>
      </c>
      <c r="D4625" s="21" t="s">
        <v>2035</v>
      </c>
      <c r="E4625" s="50" t="b">
        <v>1</v>
      </c>
      <c r="F4625" s="72" t="str">
        <f>HYPERLINK("http://nsgreg.nga.mil/genc/view?v=296196&amp;end_month=6&amp;end_day=30&amp;end_year=2019","Kalangala")</f>
        <v>Kalangala</v>
      </c>
      <c r="G4625" s="72" t="str">
        <f>HYPERLINK("http://api.nsgreg.nga.mil/geo-division/GENC/6/3-11/UG-101","as:GENC:6:3-11:UG-101")</f>
        <v>as:GENC:6:3-11:UG-101</v>
      </c>
    </row>
    <row r="4626" spans="1:7" x14ac:dyDescent="0.25">
      <c r="A4626" s="112"/>
      <c r="B4626" s="21" t="s">
        <v>10873</v>
      </c>
      <c r="C4626" s="21" t="s">
        <v>10874</v>
      </c>
      <c r="D4626" s="21" t="s">
        <v>2035</v>
      </c>
      <c r="E4626" s="50" t="b">
        <v>1</v>
      </c>
      <c r="F4626" s="72" t="str">
        <f>HYPERLINK("http://nsgreg.nga.mil/genc/view?v=296217&amp;end_month=6&amp;end_day=30&amp;end_year=2019","Kalungu")</f>
        <v>Kalungu</v>
      </c>
      <c r="G4626" s="72" t="str">
        <f>HYPERLINK("http://api.nsgreg.nga.mil/geo-division/GENC/6/3-11/UG-122","as:GENC:6:3-11:UG-122")</f>
        <v>as:GENC:6:3-11:UG-122</v>
      </c>
    </row>
    <row r="4627" spans="1:7" x14ac:dyDescent="0.25">
      <c r="A4627" s="112"/>
      <c r="B4627" s="21" t="s">
        <v>10875</v>
      </c>
      <c r="C4627" s="21" t="s">
        <v>10876</v>
      </c>
      <c r="D4627" s="21" t="s">
        <v>1996</v>
      </c>
      <c r="E4627" s="50" t="b">
        <v>1</v>
      </c>
      <c r="F4627" s="72" t="str">
        <f>HYPERLINK("http://nsgreg.nga.mil/genc/view?v=296197&amp;end_month=6&amp;end_day=30&amp;end_year=2019","Kampala")</f>
        <v>Kampala</v>
      </c>
      <c r="G4627" s="72" t="str">
        <f>HYPERLINK("http://api.nsgreg.nga.mil/geo-division/GENC/6/3-11/UG-102","as:GENC:6:3-11:UG-102")</f>
        <v>as:GENC:6:3-11:UG-102</v>
      </c>
    </row>
    <row r="4628" spans="1:7" x14ac:dyDescent="0.25">
      <c r="A4628" s="112"/>
      <c r="B4628" s="21" t="s">
        <v>10877</v>
      </c>
      <c r="C4628" s="21" t="s">
        <v>10878</v>
      </c>
      <c r="D4628" s="21" t="s">
        <v>2035</v>
      </c>
      <c r="E4628" s="50" t="b">
        <v>1</v>
      </c>
      <c r="F4628" s="72" t="str">
        <f>HYPERLINK("http://nsgreg.nga.mil/genc/view?v=296207&amp;end_month=6&amp;end_day=30&amp;end_year=2019","Kayunga")</f>
        <v>Kayunga</v>
      </c>
      <c r="G4628" s="72" t="str">
        <f>HYPERLINK("http://api.nsgreg.nga.mil/geo-division/GENC/6/3-11/UG-112","as:GENC:6:3-11:UG-112")</f>
        <v>as:GENC:6:3-11:UG-112</v>
      </c>
    </row>
    <row r="4629" spans="1:7" x14ac:dyDescent="0.25">
      <c r="A4629" s="112"/>
      <c r="B4629" s="21" t="s">
        <v>10879</v>
      </c>
      <c r="C4629" s="21" t="s">
        <v>10880</v>
      </c>
      <c r="D4629" s="21" t="s">
        <v>2035</v>
      </c>
      <c r="E4629" s="50" t="b">
        <v>1</v>
      </c>
      <c r="F4629" s="72" t="str">
        <f>HYPERLINK("http://nsgreg.nga.mil/genc/view?v=296198&amp;end_month=6&amp;end_day=30&amp;end_year=2019","Kiboga")</f>
        <v>Kiboga</v>
      </c>
      <c r="G4629" s="72" t="str">
        <f>HYPERLINK("http://api.nsgreg.nga.mil/geo-division/GENC/6/3-11/UG-103","as:GENC:6:3-11:UG-103")</f>
        <v>as:GENC:6:3-11:UG-103</v>
      </c>
    </row>
    <row r="4630" spans="1:7" x14ac:dyDescent="0.25">
      <c r="A4630" s="112"/>
      <c r="B4630" s="21" t="s">
        <v>10881</v>
      </c>
      <c r="C4630" s="21" t="s">
        <v>10882</v>
      </c>
      <c r="D4630" s="21" t="s">
        <v>2035</v>
      </c>
      <c r="E4630" s="50" t="b">
        <v>1</v>
      </c>
      <c r="F4630" s="72" t="str">
        <f>HYPERLINK("http://nsgreg.nga.mil/genc/view?v=296218&amp;end_month=6&amp;end_day=30&amp;end_year=2019","Kyankwanzi")</f>
        <v>Kyankwanzi</v>
      </c>
      <c r="G4630" s="72" t="str">
        <f>HYPERLINK("http://api.nsgreg.nga.mil/geo-division/GENC/6/3-11/UG-123","as:GENC:6:3-11:UG-123")</f>
        <v>as:GENC:6:3-11:UG-123</v>
      </c>
    </row>
    <row r="4631" spans="1:7" x14ac:dyDescent="0.25">
      <c r="A4631" s="112"/>
      <c r="B4631" s="21" t="s">
        <v>10883</v>
      </c>
      <c r="C4631" s="21" t="s">
        <v>10884</v>
      </c>
      <c r="D4631" s="21" t="s">
        <v>2035</v>
      </c>
      <c r="E4631" s="50" t="b">
        <v>1</v>
      </c>
      <c r="F4631" s="72" t="str">
        <f>HYPERLINK("http://nsgreg.nga.mil/genc/view?v=296220&amp;end_month=6&amp;end_day=30&amp;end_year=2019","Kyotera")</f>
        <v>Kyotera</v>
      </c>
      <c r="G4631" s="72" t="str">
        <f>HYPERLINK("http://api.nsgreg.nga.mil/geo-division/GENC/6/3-11/UG-125","as:GENC:6:3-11:UG-125")</f>
        <v>as:GENC:6:3-11:UG-125</v>
      </c>
    </row>
    <row r="4632" spans="1:7" x14ac:dyDescent="0.25">
      <c r="A4632" s="112"/>
      <c r="B4632" s="21" t="s">
        <v>10885</v>
      </c>
      <c r="C4632" s="21" t="s">
        <v>10886</v>
      </c>
      <c r="D4632" s="21" t="s">
        <v>2035</v>
      </c>
      <c r="E4632" s="50" t="b">
        <v>1</v>
      </c>
      <c r="F4632" s="72" t="str">
        <f>HYPERLINK("http://nsgreg.nga.mil/genc/view?v=296199&amp;end_month=6&amp;end_day=30&amp;end_year=2019","Luwero")</f>
        <v>Luwero</v>
      </c>
      <c r="G4632" s="72" t="str">
        <f>HYPERLINK("http://api.nsgreg.nga.mil/geo-division/GENC/6/3-11/UG-104","as:GENC:6:3-11:UG-104")</f>
        <v>as:GENC:6:3-11:UG-104</v>
      </c>
    </row>
    <row r="4633" spans="1:7" x14ac:dyDescent="0.25">
      <c r="A4633" s="112"/>
      <c r="B4633" s="21" t="s">
        <v>10887</v>
      </c>
      <c r="C4633" s="21" t="s">
        <v>10888</v>
      </c>
      <c r="D4633" s="21" t="s">
        <v>2035</v>
      </c>
      <c r="E4633" s="50" t="b">
        <v>1</v>
      </c>
      <c r="F4633" s="72" t="str">
        <f>HYPERLINK("http://nsgreg.nga.mil/genc/view?v=296219&amp;end_month=6&amp;end_day=30&amp;end_year=2019","Lwengo")</f>
        <v>Lwengo</v>
      </c>
      <c r="G4633" s="72" t="str">
        <f>HYPERLINK("http://api.nsgreg.nga.mil/geo-division/GENC/6/3-11/UG-124","as:GENC:6:3-11:UG-124")</f>
        <v>as:GENC:6:3-11:UG-124</v>
      </c>
    </row>
    <row r="4634" spans="1:7" x14ac:dyDescent="0.25">
      <c r="A4634" s="112"/>
      <c r="B4634" s="21" t="s">
        <v>10889</v>
      </c>
      <c r="C4634" s="21" t="s">
        <v>10890</v>
      </c>
      <c r="D4634" s="21" t="s">
        <v>2035</v>
      </c>
      <c r="E4634" s="50" t="b">
        <v>1</v>
      </c>
      <c r="F4634" s="72" t="str">
        <f>HYPERLINK("http://nsgreg.nga.mil/genc/view?v=296209&amp;end_month=6&amp;end_day=30&amp;end_year=2019","Lyantonde")</f>
        <v>Lyantonde</v>
      </c>
      <c r="G4634" s="72" t="str">
        <f>HYPERLINK("http://api.nsgreg.nga.mil/geo-division/GENC/6/3-11/UG-114","as:GENC:6:3-11:UG-114")</f>
        <v>as:GENC:6:3-11:UG-114</v>
      </c>
    </row>
    <row r="4635" spans="1:7" x14ac:dyDescent="0.25">
      <c r="A4635" s="112"/>
      <c r="B4635" s="21" t="s">
        <v>10891</v>
      </c>
      <c r="C4635" s="21" t="s">
        <v>10892</v>
      </c>
      <c r="D4635" s="21" t="s">
        <v>2035</v>
      </c>
      <c r="E4635" s="50" t="b">
        <v>1</v>
      </c>
      <c r="F4635" s="72" t="str">
        <f>HYPERLINK("http://nsgreg.nga.mil/genc/view?v=296200&amp;end_month=6&amp;end_day=30&amp;end_year=2019","Masaka")</f>
        <v>Masaka</v>
      </c>
      <c r="G4635" s="72" t="str">
        <f>HYPERLINK("http://api.nsgreg.nga.mil/geo-division/GENC/6/3-11/UG-105","as:GENC:6:3-11:UG-105")</f>
        <v>as:GENC:6:3-11:UG-105</v>
      </c>
    </row>
    <row r="4636" spans="1:7" x14ac:dyDescent="0.25">
      <c r="A4636" s="112"/>
      <c r="B4636" s="21" t="s">
        <v>10893</v>
      </c>
      <c r="C4636" s="21" t="s">
        <v>10894</v>
      </c>
      <c r="D4636" s="21" t="s">
        <v>2035</v>
      </c>
      <c r="E4636" s="50" t="b">
        <v>1</v>
      </c>
      <c r="F4636" s="72" t="str">
        <f>HYPERLINK("http://nsgreg.nga.mil/genc/view?v=296210&amp;end_month=6&amp;end_day=30&amp;end_year=2019","Mityana")</f>
        <v>Mityana</v>
      </c>
      <c r="G4636" s="72" t="str">
        <f>HYPERLINK("http://api.nsgreg.nga.mil/geo-division/GENC/6/3-11/UG-115","as:GENC:6:3-11:UG-115")</f>
        <v>as:GENC:6:3-11:UG-115</v>
      </c>
    </row>
    <row r="4637" spans="1:7" x14ac:dyDescent="0.25">
      <c r="A4637" s="112"/>
      <c r="B4637" s="21" t="s">
        <v>10895</v>
      </c>
      <c r="C4637" s="21" t="s">
        <v>10896</v>
      </c>
      <c r="D4637" s="21" t="s">
        <v>2035</v>
      </c>
      <c r="E4637" s="50" t="b">
        <v>1</v>
      </c>
      <c r="F4637" s="72" t="str">
        <f>HYPERLINK("http://nsgreg.nga.mil/genc/view?v=296201&amp;end_month=6&amp;end_day=30&amp;end_year=2019","Mpigi")</f>
        <v>Mpigi</v>
      </c>
      <c r="G4637" s="72" t="str">
        <f>HYPERLINK("http://api.nsgreg.nga.mil/geo-division/GENC/6/3-11/UG-106","as:GENC:6:3-11:UG-106")</f>
        <v>as:GENC:6:3-11:UG-106</v>
      </c>
    </row>
    <row r="4638" spans="1:7" x14ac:dyDescent="0.25">
      <c r="A4638" s="112"/>
      <c r="B4638" s="21" t="s">
        <v>10897</v>
      </c>
      <c r="C4638" s="21" t="s">
        <v>10898</v>
      </c>
      <c r="D4638" s="21" t="s">
        <v>2035</v>
      </c>
      <c r="E4638" s="50" t="b">
        <v>1</v>
      </c>
      <c r="F4638" s="72" t="str">
        <f>HYPERLINK("http://nsgreg.nga.mil/genc/view?v=296202&amp;end_month=6&amp;end_day=30&amp;end_year=2019","Mubende")</f>
        <v>Mubende</v>
      </c>
      <c r="G4638" s="72" t="str">
        <f>HYPERLINK("http://api.nsgreg.nga.mil/geo-division/GENC/6/3-11/UG-107","as:GENC:6:3-11:UG-107")</f>
        <v>as:GENC:6:3-11:UG-107</v>
      </c>
    </row>
    <row r="4639" spans="1:7" x14ac:dyDescent="0.25">
      <c r="A4639" s="112"/>
      <c r="B4639" s="21" t="s">
        <v>10899</v>
      </c>
      <c r="C4639" s="21" t="s">
        <v>10900</v>
      </c>
      <c r="D4639" s="21" t="s">
        <v>2035</v>
      </c>
      <c r="E4639" s="50" t="b">
        <v>1</v>
      </c>
      <c r="F4639" s="72" t="str">
        <f>HYPERLINK("http://nsgreg.nga.mil/genc/view?v=296203&amp;end_month=6&amp;end_day=30&amp;end_year=2019","Mukono")</f>
        <v>Mukono</v>
      </c>
      <c r="G4639" s="72" t="str">
        <f>HYPERLINK("http://api.nsgreg.nga.mil/geo-division/GENC/6/3-11/UG-108","as:GENC:6:3-11:UG-108")</f>
        <v>as:GENC:6:3-11:UG-108</v>
      </c>
    </row>
    <row r="4640" spans="1:7" x14ac:dyDescent="0.25">
      <c r="A4640" s="112"/>
      <c r="B4640" s="21" t="s">
        <v>10901</v>
      </c>
      <c r="C4640" s="21" t="s">
        <v>10902</v>
      </c>
      <c r="D4640" s="21" t="s">
        <v>2035</v>
      </c>
      <c r="E4640" s="50" t="b">
        <v>1</v>
      </c>
      <c r="F4640" s="72" t="str">
        <f>HYPERLINK("http://nsgreg.nga.mil/genc/view?v=296211&amp;end_month=6&amp;end_day=30&amp;end_year=2019","Nakaseke")</f>
        <v>Nakaseke</v>
      </c>
      <c r="G4640" s="72" t="str">
        <f>HYPERLINK("http://api.nsgreg.nga.mil/geo-division/GENC/6/3-11/UG-116","as:GENC:6:3-11:UG-116")</f>
        <v>as:GENC:6:3-11:UG-116</v>
      </c>
    </row>
    <row r="4641" spans="1:7" x14ac:dyDescent="0.25">
      <c r="A4641" s="112"/>
      <c r="B4641" s="21" t="s">
        <v>10903</v>
      </c>
      <c r="C4641" s="21" t="s">
        <v>10904</v>
      </c>
      <c r="D4641" s="21" t="s">
        <v>2035</v>
      </c>
      <c r="E4641" s="50" t="b">
        <v>1</v>
      </c>
      <c r="F4641" s="72" t="str">
        <f>HYPERLINK("http://nsgreg.nga.mil/genc/view?v=296204&amp;end_month=6&amp;end_day=30&amp;end_year=2019","Nakasongola")</f>
        <v>Nakasongola</v>
      </c>
      <c r="G4641" s="72" t="str">
        <f>HYPERLINK("http://api.nsgreg.nga.mil/geo-division/GENC/6/3-11/UG-109","as:GENC:6:3-11:UG-109")</f>
        <v>as:GENC:6:3-11:UG-109</v>
      </c>
    </row>
    <row r="4642" spans="1:7" x14ac:dyDescent="0.25">
      <c r="A4642" s="112"/>
      <c r="B4642" s="21" t="s">
        <v>10905</v>
      </c>
      <c r="C4642" s="21" t="s">
        <v>10906</v>
      </c>
      <c r="D4642" s="21" t="s">
        <v>2035</v>
      </c>
      <c r="E4642" s="50" t="b">
        <v>1</v>
      </c>
      <c r="F4642" s="72" t="str">
        <f>HYPERLINK("http://nsgreg.nga.mil/genc/view?v=296205&amp;end_month=6&amp;end_day=30&amp;end_year=2019","Rakai")</f>
        <v>Rakai</v>
      </c>
      <c r="G4642" s="72" t="str">
        <f>HYPERLINK("http://api.nsgreg.nga.mil/geo-division/GENC/6/3-11/UG-110","as:GENC:6:3-11:UG-110")</f>
        <v>as:GENC:6:3-11:UG-110</v>
      </c>
    </row>
    <row r="4643" spans="1:7" x14ac:dyDescent="0.25">
      <c r="A4643" s="112"/>
      <c r="B4643" s="21" t="s">
        <v>10907</v>
      </c>
      <c r="C4643" s="21" t="s">
        <v>10908</v>
      </c>
      <c r="D4643" s="21" t="s">
        <v>2035</v>
      </c>
      <c r="E4643" s="50" t="b">
        <v>1</v>
      </c>
      <c r="F4643" s="72" t="str">
        <f>HYPERLINK("http://nsgreg.nga.mil/genc/view?v=296206&amp;end_month=6&amp;end_day=30&amp;end_year=2019","Sembabule")</f>
        <v>Sembabule</v>
      </c>
      <c r="G4643" s="72" t="str">
        <f>HYPERLINK("http://api.nsgreg.nga.mil/geo-division/GENC/6/3-11/UG-111","as:GENC:6:3-11:UG-111")</f>
        <v>as:GENC:6:3-11:UG-111</v>
      </c>
    </row>
    <row r="4644" spans="1:7" x14ac:dyDescent="0.25">
      <c r="A4644" s="112"/>
      <c r="B4644" s="21" t="s">
        <v>10909</v>
      </c>
      <c r="C4644" s="21" t="s">
        <v>10910</v>
      </c>
      <c r="D4644" s="21" t="s">
        <v>2035</v>
      </c>
      <c r="E4644" s="50" t="b">
        <v>1</v>
      </c>
      <c r="F4644" s="72" t="str">
        <f>HYPERLINK("http://nsgreg.nga.mil/genc/view?v=296208&amp;end_month=6&amp;end_day=30&amp;end_year=2019","Wakiso")</f>
        <v>Wakiso</v>
      </c>
      <c r="G4644" s="72" t="str">
        <f>HYPERLINK("http://api.nsgreg.nga.mil/geo-division/GENC/6/3-11/UG-113","as:GENC:6:3-11:UG-113")</f>
        <v>as:GENC:6:3-11:UG-113</v>
      </c>
    </row>
    <row r="4645" spans="1:7" x14ac:dyDescent="0.25">
      <c r="A4645" s="112"/>
      <c r="B4645" s="21" t="s">
        <v>10911</v>
      </c>
      <c r="C4645" s="21" t="s">
        <v>4113</v>
      </c>
      <c r="D4645" s="76" t="s">
        <v>2931</v>
      </c>
      <c r="E4645" s="77" t="b">
        <v>0</v>
      </c>
      <c r="F4645" s="72" t="str">
        <f>HYPERLINK("http://nsgreg.nga.mil/genc/view?v=296319&amp;end_month=6&amp;end_day=30&amp;end_year=2019","Eastern")</f>
        <v>Eastern</v>
      </c>
      <c r="G4645" s="72" t="str">
        <f>HYPERLINK("http://api.nsgreg.nga.mil/geo-division/GENC/6/3-11/UG-E","as:GENC:6:3-11:UG-E")</f>
        <v>as:GENC:6:3-11:UG-E</v>
      </c>
    </row>
    <row r="4646" spans="1:7" x14ac:dyDescent="0.25">
      <c r="A4646" s="112"/>
      <c r="B4646" s="21" t="s">
        <v>10912</v>
      </c>
      <c r="C4646" s="21" t="s">
        <v>10913</v>
      </c>
      <c r="D4646" s="21" t="s">
        <v>2035</v>
      </c>
      <c r="E4646" s="50" t="b">
        <v>1</v>
      </c>
      <c r="F4646" s="72" t="str">
        <f>HYPERLINK("http://nsgreg.nga.mil/genc/view?v=296236&amp;end_month=6&amp;end_day=30&amp;end_year=2019","Amuria")</f>
        <v>Amuria</v>
      </c>
      <c r="G4646" s="72" t="str">
        <f>HYPERLINK("http://api.nsgreg.nga.mil/geo-division/GENC/6/3-11/UG-216","as:GENC:6:3-11:UG-216")</f>
        <v>as:GENC:6:3-11:UG-216</v>
      </c>
    </row>
    <row r="4647" spans="1:7" x14ac:dyDescent="0.25">
      <c r="A4647" s="112"/>
      <c r="B4647" s="21" t="s">
        <v>10914</v>
      </c>
      <c r="C4647" s="21" t="s">
        <v>10915</v>
      </c>
      <c r="D4647" s="21" t="s">
        <v>2035</v>
      </c>
      <c r="E4647" s="50" t="b">
        <v>1</v>
      </c>
      <c r="F4647" s="72" t="str">
        <f>HYPERLINK("http://nsgreg.nga.mil/genc/view?v=296237&amp;end_month=6&amp;end_day=30&amp;end_year=2019","Budaka")</f>
        <v>Budaka</v>
      </c>
      <c r="G4647" s="72" t="str">
        <f>HYPERLINK("http://api.nsgreg.nga.mil/geo-division/GENC/6/3-11/UG-217","as:GENC:6:3-11:UG-217")</f>
        <v>as:GENC:6:3-11:UG-217</v>
      </c>
    </row>
    <row r="4648" spans="1:7" x14ac:dyDescent="0.25">
      <c r="A4648" s="112"/>
      <c r="B4648" s="21" t="s">
        <v>10916</v>
      </c>
      <c r="C4648" s="21" t="s">
        <v>10917</v>
      </c>
      <c r="D4648" s="21" t="s">
        <v>2035</v>
      </c>
      <c r="E4648" s="50" t="b">
        <v>1</v>
      </c>
      <c r="F4648" s="72" t="str">
        <f>HYPERLINK("http://nsgreg.nga.mil/genc/view?v=296238&amp;end_month=6&amp;end_day=30&amp;end_year=2019","Bududa")</f>
        <v>Bududa</v>
      </c>
      <c r="G4648" s="72" t="str">
        <f>HYPERLINK("http://api.nsgreg.nga.mil/geo-division/GENC/6/3-11/UG-218","as:GENC:6:3-11:UG-218")</f>
        <v>as:GENC:6:3-11:UG-218</v>
      </c>
    </row>
    <row r="4649" spans="1:7" x14ac:dyDescent="0.25">
      <c r="A4649" s="112"/>
      <c r="B4649" s="21" t="s">
        <v>10918</v>
      </c>
      <c r="C4649" s="21" t="s">
        <v>10919</v>
      </c>
      <c r="D4649" s="21" t="s">
        <v>2035</v>
      </c>
      <c r="E4649" s="50" t="b">
        <v>1</v>
      </c>
      <c r="F4649" s="72" t="str">
        <f>HYPERLINK("http://nsgreg.nga.mil/genc/view?v=296221&amp;end_month=6&amp;end_day=30&amp;end_year=2019","Bugiri")</f>
        <v>Bugiri</v>
      </c>
      <c r="G4649" s="72" t="str">
        <f>HYPERLINK("http://api.nsgreg.nga.mil/geo-division/GENC/6/3-11/UG-201","as:GENC:6:3-11:UG-201")</f>
        <v>as:GENC:6:3-11:UG-201</v>
      </c>
    </row>
    <row r="4650" spans="1:7" x14ac:dyDescent="0.25">
      <c r="A4650" s="112"/>
      <c r="B4650" s="21" t="s">
        <v>10920</v>
      </c>
      <c r="C4650" s="21" t="s">
        <v>10921</v>
      </c>
      <c r="D4650" s="21" t="s">
        <v>2035</v>
      </c>
      <c r="E4650" s="50" t="b">
        <v>1</v>
      </c>
      <c r="F4650" s="72" t="str">
        <f>HYPERLINK("http://nsgreg.nga.mil/genc/view?v=296239&amp;end_month=6&amp;end_day=30&amp;end_year=2019","Bukedea")</f>
        <v>Bukedea</v>
      </c>
      <c r="G4650" s="72" t="str">
        <f>HYPERLINK("http://api.nsgreg.nga.mil/geo-division/GENC/6/3-11/UG-219","as:GENC:6:3-11:UG-219")</f>
        <v>as:GENC:6:3-11:UG-219</v>
      </c>
    </row>
    <row r="4651" spans="1:7" x14ac:dyDescent="0.25">
      <c r="A4651" s="112"/>
      <c r="B4651" s="21" t="s">
        <v>10922</v>
      </c>
      <c r="C4651" s="21" t="s">
        <v>10923</v>
      </c>
      <c r="D4651" s="21" t="s">
        <v>2035</v>
      </c>
      <c r="E4651" s="50" t="b">
        <v>1</v>
      </c>
      <c r="F4651" s="72" t="str">
        <f>HYPERLINK("http://nsgreg.nga.mil/genc/view?v=296240&amp;end_month=6&amp;end_day=30&amp;end_year=2019","Bukwa")</f>
        <v>Bukwa</v>
      </c>
      <c r="G4651" s="72" t="str">
        <f>HYPERLINK("http://api.nsgreg.nga.mil/geo-division/GENC/6/3-11/UG-220","as:GENC:6:3-11:UG-220")</f>
        <v>as:GENC:6:3-11:UG-220</v>
      </c>
    </row>
    <row r="4652" spans="1:7" x14ac:dyDescent="0.25">
      <c r="A4652" s="112"/>
      <c r="B4652" s="21" t="s">
        <v>10924</v>
      </c>
      <c r="C4652" s="21" t="s">
        <v>10925</v>
      </c>
      <c r="D4652" s="21" t="s">
        <v>2035</v>
      </c>
      <c r="E4652" s="50" t="b">
        <v>1</v>
      </c>
      <c r="F4652" s="72" t="str">
        <f>HYPERLINK("http://nsgreg.nga.mil/genc/view?v=296245&amp;end_month=6&amp;end_day=30&amp;end_year=2019","Bulambuli")</f>
        <v>Bulambuli</v>
      </c>
      <c r="G4652" s="72" t="str">
        <f>HYPERLINK("http://api.nsgreg.nga.mil/geo-division/GENC/6/3-11/UG-225","as:GENC:6:3-11:UG-225")</f>
        <v>as:GENC:6:3-11:UG-225</v>
      </c>
    </row>
    <row r="4653" spans="1:7" x14ac:dyDescent="0.25">
      <c r="A4653" s="112"/>
      <c r="B4653" s="21" t="s">
        <v>10926</v>
      </c>
      <c r="C4653" s="21" t="s">
        <v>10927</v>
      </c>
      <c r="D4653" s="21" t="s">
        <v>2035</v>
      </c>
      <c r="E4653" s="50" t="b">
        <v>1</v>
      </c>
      <c r="F4653" s="72" t="str">
        <f>HYPERLINK("http://nsgreg.nga.mil/genc/view?v=296222&amp;end_month=6&amp;end_day=30&amp;end_year=2019","Busia")</f>
        <v>Busia</v>
      </c>
      <c r="G4653" s="72" t="str">
        <f>HYPERLINK("http://api.nsgreg.nga.mil/geo-division/GENC/6/3-11/UG-202","as:GENC:6:3-11:UG-202")</f>
        <v>as:GENC:6:3-11:UG-202</v>
      </c>
    </row>
    <row r="4654" spans="1:7" x14ac:dyDescent="0.25">
      <c r="A4654" s="112"/>
      <c r="B4654" s="21" t="s">
        <v>10928</v>
      </c>
      <c r="C4654" s="21" t="s">
        <v>10929</v>
      </c>
      <c r="D4654" s="21" t="s">
        <v>2035</v>
      </c>
      <c r="E4654" s="50" t="b">
        <v>1</v>
      </c>
      <c r="F4654" s="72" t="str">
        <f>HYPERLINK("http://nsgreg.nga.mil/genc/view?v=296241&amp;end_month=6&amp;end_day=30&amp;end_year=2019","Butaleja")</f>
        <v>Butaleja</v>
      </c>
      <c r="G4654" s="72" t="str">
        <f>HYPERLINK("http://api.nsgreg.nga.mil/geo-division/GENC/6/3-11/UG-221","as:GENC:6:3-11:UG-221")</f>
        <v>as:GENC:6:3-11:UG-221</v>
      </c>
    </row>
    <row r="4655" spans="1:7" x14ac:dyDescent="0.25">
      <c r="A4655" s="112"/>
      <c r="B4655" s="21" t="s">
        <v>10930</v>
      </c>
      <c r="C4655" s="21" t="s">
        <v>10931</v>
      </c>
      <c r="D4655" s="21" t="s">
        <v>2035</v>
      </c>
      <c r="E4655" s="50" t="b">
        <v>1</v>
      </c>
      <c r="F4655" s="72" t="str">
        <f>HYPERLINK("http://nsgreg.nga.mil/genc/view?v=296253&amp;end_month=6&amp;end_day=30&amp;end_year=2019","Butebo")</f>
        <v>Butebo</v>
      </c>
      <c r="G4655" s="72" t="str">
        <f>HYPERLINK("http://api.nsgreg.nga.mil/geo-division/GENC/6/3-11/UG-233","as:GENC:6:3-11:UG-233")</f>
        <v>as:GENC:6:3-11:UG-233</v>
      </c>
    </row>
    <row r="4656" spans="1:7" x14ac:dyDescent="0.25">
      <c r="A4656" s="112"/>
      <c r="B4656" s="21" t="s">
        <v>10932</v>
      </c>
      <c r="C4656" s="21" t="s">
        <v>10933</v>
      </c>
      <c r="D4656" s="21" t="s">
        <v>2035</v>
      </c>
      <c r="E4656" s="50" t="b">
        <v>1</v>
      </c>
      <c r="F4656" s="72" t="str">
        <f>HYPERLINK("http://nsgreg.nga.mil/genc/view?v=296246&amp;end_month=6&amp;end_day=30&amp;end_year=2019","Buyende")</f>
        <v>Buyende</v>
      </c>
      <c r="G4656" s="72" t="str">
        <f>HYPERLINK("http://api.nsgreg.nga.mil/geo-division/GENC/6/3-11/UG-226","as:GENC:6:3-11:UG-226")</f>
        <v>as:GENC:6:3-11:UG-226</v>
      </c>
    </row>
    <row r="4657" spans="1:7" x14ac:dyDescent="0.25">
      <c r="A4657" s="112"/>
      <c r="B4657" s="21" t="s">
        <v>10934</v>
      </c>
      <c r="C4657" s="21" t="s">
        <v>10935</v>
      </c>
      <c r="D4657" s="21" t="s">
        <v>2035</v>
      </c>
      <c r="E4657" s="50" t="b">
        <v>1</v>
      </c>
      <c r="F4657" s="72" t="str">
        <f>HYPERLINK("http://nsgreg.nga.mil/genc/view?v=296223&amp;end_month=6&amp;end_day=30&amp;end_year=2019","Iganga")</f>
        <v>Iganga</v>
      </c>
      <c r="G4657" s="72" t="str">
        <f>HYPERLINK("http://api.nsgreg.nga.mil/geo-division/GENC/6/3-11/UG-203","as:GENC:6:3-11:UG-203")</f>
        <v>as:GENC:6:3-11:UG-203</v>
      </c>
    </row>
    <row r="4658" spans="1:7" x14ac:dyDescent="0.25">
      <c r="A4658" s="112"/>
      <c r="B4658" s="21" t="s">
        <v>10936</v>
      </c>
      <c r="C4658" s="21" t="s">
        <v>10937</v>
      </c>
      <c r="D4658" s="21" t="s">
        <v>2035</v>
      </c>
      <c r="E4658" s="50" t="b">
        <v>1</v>
      </c>
      <c r="F4658" s="72" t="str">
        <f>HYPERLINK("http://nsgreg.nga.mil/genc/view?v=296224&amp;end_month=6&amp;end_day=30&amp;end_year=2019","Jinja")</f>
        <v>Jinja</v>
      </c>
      <c r="G4658" s="72" t="str">
        <f>HYPERLINK("http://api.nsgreg.nga.mil/geo-division/GENC/6/3-11/UG-204","as:GENC:6:3-11:UG-204")</f>
        <v>as:GENC:6:3-11:UG-204</v>
      </c>
    </row>
    <row r="4659" spans="1:7" x14ac:dyDescent="0.25">
      <c r="A4659" s="112"/>
      <c r="B4659" s="21" t="s">
        <v>10938</v>
      </c>
      <c r="C4659" s="21" t="s">
        <v>10939</v>
      </c>
      <c r="D4659" s="21" t="s">
        <v>2035</v>
      </c>
      <c r="E4659" s="50" t="b">
        <v>1</v>
      </c>
      <c r="F4659" s="72" t="str">
        <f>HYPERLINK("http://nsgreg.nga.mil/genc/view?v=296233&amp;end_month=6&amp;end_day=30&amp;end_year=2019","Kaberamaido")</f>
        <v>Kaberamaido</v>
      </c>
      <c r="G4659" s="72" t="str">
        <f>HYPERLINK("http://api.nsgreg.nga.mil/geo-division/GENC/6/3-11/UG-213","as:GENC:6:3-11:UG-213")</f>
        <v>as:GENC:6:3-11:UG-213</v>
      </c>
    </row>
    <row r="4660" spans="1:7" x14ac:dyDescent="0.25">
      <c r="A4660" s="112"/>
      <c r="B4660" s="21" t="s">
        <v>10940</v>
      </c>
      <c r="C4660" s="21" t="s">
        <v>10941</v>
      </c>
      <c r="D4660" s="21" t="s">
        <v>2035</v>
      </c>
      <c r="E4660" s="50" t="b">
        <v>1</v>
      </c>
      <c r="F4660" s="72" t="str">
        <f>HYPERLINK("http://nsgreg.nga.mil/genc/view?v=296242&amp;end_month=6&amp;end_day=30&amp;end_year=2019","Kaliro")</f>
        <v>Kaliro</v>
      </c>
      <c r="G4660" s="72" t="str">
        <f>HYPERLINK("http://api.nsgreg.nga.mil/geo-division/GENC/6/3-11/UG-222","as:GENC:6:3-11:UG-222")</f>
        <v>as:GENC:6:3-11:UG-222</v>
      </c>
    </row>
    <row r="4661" spans="1:7" x14ac:dyDescent="0.25">
      <c r="A4661" s="112"/>
      <c r="B4661" s="21" t="s">
        <v>10942</v>
      </c>
      <c r="C4661" s="21" t="s">
        <v>10943</v>
      </c>
      <c r="D4661" s="21" t="s">
        <v>2035</v>
      </c>
      <c r="E4661" s="50" t="b">
        <v>1</v>
      </c>
      <c r="F4661" s="72" t="str">
        <f>HYPERLINK("http://nsgreg.nga.mil/genc/view?v=296225&amp;end_month=6&amp;end_day=30&amp;end_year=2019","Kamuli")</f>
        <v>Kamuli</v>
      </c>
      <c r="G4661" s="72" t="str">
        <f>HYPERLINK("http://api.nsgreg.nga.mil/geo-division/GENC/6/3-11/UG-205","as:GENC:6:3-11:UG-205")</f>
        <v>as:GENC:6:3-11:UG-205</v>
      </c>
    </row>
    <row r="4662" spans="1:7" x14ac:dyDescent="0.25">
      <c r="A4662" s="112"/>
      <c r="B4662" s="21" t="s">
        <v>10944</v>
      </c>
      <c r="C4662" s="21" t="s">
        <v>10945</v>
      </c>
      <c r="D4662" s="21" t="s">
        <v>2035</v>
      </c>
      <c r="E4662" s="50" t="b">
        <v>1</v>
      </c>
      <c r="F4662" s="72" t="str">
        <f>HYPERLINK("http://nsgreg.nga.mil/genc/view?v=296226&amp;end_month=6&amp;end_day=30&amp;end_year=2019","Kapchorwa")</f>
        <v>Kapchorwa</v>
      </c>
      <c r="G4662" s="72" t="str">
        <f>HYPERLINK("http://api.nsgreg.nga.mil/geo-division/GENC/6/3-11/UG-206","as:GENC:6:3-11:UG-206")</f>
        <v>as:GENC:6:3-11:UG-206</v>
      </c>
    </row>
    <row r="4663" spans="1:7" x14ac:dyDescent="0.25">
      <c r="A4663" s="112"/>
      <c r="B4663" s="21" t="s">
        <v>10946</v>
      </c>
      <c r="C4663" s="21" t="s">
        <v>10947</v>
      </c>
      <c r="D4663" s="21" t="s">
        <v>2035</v>
      </c>
      <c r="E4663" s="50" t="b">
        <v>1</v>
      </c>
      <c r="F4663" s="72" t="str">
        <f>HYPERLINK("http://nsgreg.nga.mil/genc/view?v=296227&amp;end_month=6&amp;end_day=30&amp;end_year=2019","Katakwi")</f>
        <v>Katakwi</v>
      </c>
      <c r="G4663" s="72" t="str">
        <f>HYPERLINK("http://api.nsgreg.nga.mil/geo-division/GENC/6/3-11/UG-207","as:GENC:6:3-11:UG-207")</f>
        <v>as:GENC:6:3-11:UG-207</v>
      </c>
    </row>
    <row r="4664" spans="1:7" x14ac:dyDescent="0.25">
      <c r="A4664" s="112"/>
      <c r="B4664" s="21" t="s">
        <v>10948</v>
      </c>
      <c r="C4664" s="21" t="s">
        <v>10949</v>
      </c>
      <c r="D4664" s="21" t="s">
        <v>2035</v>
      </c>
      <c r="E4664" s="50" t="b">
        <v>1</v>
      </c>
      <c r="F4664" s="72" t="str">
        <f>HYPERLINK("http://nsgreg.nga.mil/genc/view?v=296247&amp;end_month=6&amp;end_day=30&amp;end_year=2019","Kibuku")</f>
        <v>Kibuku</v>
      </c>
      <c r="G4664" s="72" t="str">
        <f>HYPERLINK("http://api.nsgreg.nga.mil/geo-division/GENC/6/3-11/UG-227","as:GENC:6:3-11:UG-227")</f>
        <v>as:GENC:6:3-11:UG-227</v>
      </c>
    </row>
    <row r="4665" spans="1:7" x14ac:dyDescent="0.25">
      <c r="A4665" s="112"/>
      <c r="B4665" s="21" t="s">
        <v>10950</v>
      </c>
      <c r="C4665" s="21" t="s">
        <v>10951</v>
      </c>
      <c r="D4665" s="21" t="s">
        <v>2035</v>
      </c>
      <c r="E4665" s="50" t="b">
        <v>1</v>
      </c>
      <c r="F4665" s="72" t="str">
        <f>HYPERLINK("http://nsgreg.nga.mil/genc/view?v=296228&amp;end_month=6&amp;end_day=30&amp;end_year=2019","Kumi")</f>
        <v>Kumi</v>
      </c>
      <c r="G4665" s="72" t="str">
        <f>HYPERLINK("http://api.nsgreg.nga.mil/geo-division/GENC/6/3-11/UG-208","as:GENC:6:3-11:UG-208")</f>
        <v>as:GENC:6:3-11:UG-208</v>
      </c>
    </row>
    <row r="4666" spans="1:7" x14ac:dyDescent="0.25">
      <c r="A4666" s="112"/>
      <c r="B4666" s="21" t="s">
        <v>10952</v>
      </c>
      <c r="C4666" s="21" t="s">
        <v>10953</v>
      </c>
      <c r="D4666" s="21" t="s">
        <v>2035</v>
      </c>
      <c r="E4666" s="50" t="b">
        <v>1</v>
      </c>
      <c r="F4666" s="72" t="str">
        <f>HYPERLINK("http://nsgreg.nga.mil/genc/view?v=296248&amp;end_month=6&amp;end_day=30&amp;end_year=2019","Kween")</f>
        <v>Kween</v>
      </c>
      <c r="G4666" s="72" t="str">
        <f>HYPERLINK("http://api.nsgreg.nga.mil/geo-division/GENC/6/3-11/UG-228","as:GENC:6:3-11:UG-228")</f>
        <v>as:GENC:6:3-11:UG-228</v>
      </c>
    </row>
    <row r="4667" spans="1:7" x14ac:dyDescent="0.25">
      <c r="A4667" s="112"/>
      <c r="B4667" s="21" t="s">
        <v>10954</v>
      </c>
      <c r="C4667" s="21" t="s">
        <v>10955</v>
      </c>
      <c r="D4667" s="21" t="s">
        <v>2035</v>
      </c>
      <c r="E4667" s="50" t="b">
        <v>1</v>
      </c>
      <c r="F4667" s="72" t="str">
        <f>HYPERLINK("http://nsgreg.nga.mil/genc/view?v=296249&amp;end_month=6&amp;end_day=30&amp;end_year=2019","Luuka")</f>
        <v>Luuka</v>
      </c>
      <c r="G4667" s="72" t="str">
        <f>HYPERLINK("http://api.nsgreg.nga.mil/geo-division/GENC/6/3-11/UG-229","as:GENC:6:3-11:UG-229")</f>
        <v>as:GENC:6:3-11:UG-229</v>
      </c>
    </row>
    <row r="4668" spans="1:7" x14ac:dyDescent="0.25">
      <c r="A4668" s="112"/>
      <c r="B4668" s="21" t="s">
        <v>10956</v>
      </c>
      <c r="C4668" s="21" t="s">
        <v>10957</v>
      </c>
      <c r="D4668" s="21" t="s">
        <v>2035</v>
      </c>
      <c r="E4668" s="50" t="b">
        <v>1</v>
      </c>
      <c r="F4668" s="72" t="str">
        <f>HYPERLINK("http://nsgreg.nga.mil/genc/view?v=296243&amp;end_month=6&amp;end_day=30&amp;end_year=2019","Manafwa")</f>
        <v>Manafwa</v>
      </c>
      <c r="G4668" s="72" t="str">
        <f>HYPERLINK("http://api.nsgreg.nga.mil/geo-division/GENC/6/3-11/UG-223","as:GENC:6:3-11:UG-223")</f>
        <v>as:GENC:6:3-11:UG-223</v>
      </c>
    </row>
    <row r="4669" spans="1:7" x14ac:dyDescent="0.25">
      <c r="A4669" s="112"/>
      <c r="B4669" s="21" t="s">
        <v>10958</v>
      </c>
      <c r="C4669" s="21" t="s">
        <v>10959</v>
      </c>
      <c r="D4669" s="21" t="s">
        <v>2035</v>
      </c>
      <c r="E4669" s="50" t="b">
        <v>1</v>
      </c>
      <c r="F4669" s="72" t="str">
        <f>HYPERLINK("http://nsgreg.nga.mil/genc/view?v=296234&amp;end_month=6&amp;end_day=30&amp;end_year=2019","Mayuge")</f>
        <v>Mayuge</v>
      </c>
      <c r="G4669" s="72" t="str">
        <f>HYPERLINK("http://api.nsgreg.nga.mil/geo-division/GENC/6/3-11/UG-214","as:GENC:6:3-11:UG-214")</f>
        <v>as:GENC:6:3-11:UG-214</v>
      </c>
    </row>
    <row r="4670" spans="1:7" x14ac:dyDescent="0.25">
      <c r="A4670" s="112"/>
      <c r="B4670" s="21" t="s">
        <v>10960</v>
      </c>
      <c r="C4670" s="21" t="s">
        <v>10961</v>
      </c>
      <c r="D4670" s="21" t="s">
        <v>2035</v>
      </c>
      <c r="E4670" s="50" t="b">
        <v>1</v>
      </c>
      <c r="F4670" s="72" t="str">
        <f>HYPERLINK("http://nsgreg.nga.mil/genc/view?v=296229&amp;end_month=6&amp;end_day=30&amp;end_year=2019","Mbale")</f>
        <v>Mbale</v>
      </c>
      <c r="G4670" s="72" t="str">
        <f>HYPERLINK("http://api.nsgreg.nga.mil/geo-division/GENC/6/3-11/UG-209","as:GENC:6:3-11:UG-209")</f>
        <v>as:GENC:6:3-11:UG-209</v>
      </c>
    </row>
    <row r="4671" spans="1:7" x14ac:dyDescent="0.25">
      <c r="A4671" s="112"/>
      <c r="B4671" s="21" t="s">
        <v>10962</v>
      </c>
      <c r="C4671" s="21" t="s">
        <v>10963</v>
      </c>
      <c r="D4671" s="21" t="s">
        <v>2035</v>
      </c>
      <c r="E4671" s="50" t="b">
        <v>1</v>
      </c>
      <c r="F4671" s="72" t="str">
        <f>HYPERLINK("http://nsgreg.nga.mil/genc/view?v=296250&amp;end_month=6&amp;end_day=30&amp;end_year=2019","Namayingo")</f>
        <v>Namayingo</v>
      </c>
      <c r="G4671" s="72" t="str">
        <f>HYPERLINK("http://api.nsgreg.nga.mil/geo-division/GENC/6/3-11/UG-230","as:GENC:6:3-11:UG-230")</f>
        <v>as:GENC:6:3-11:UG-230</v>
      </c>
    </row>
    <row r="4672" spans="1:7" x14ac:dyDescent="0.25">
      <c r="A4672" s="112"/>
      <c r="B4672" s="21" t="s">
        <v>10964</v>
      </c>
      <c r="C4672" s="21" t="s">
        <v>10965</v>
      </c>
      <c r="D4672" s="21" t="s">
        <v>2035</v>
      </c>
      <c r="E4672" s="50" t="b">
        <v>1</v>
      </c>
      <c r="F4672" s="72" t="str">
        <f>HYPERLINK("http://nsgreg.nga.mil/genc/view?v=296254&amp;end_month=6&amp;end_day=30&amp;end_year=2019","Namisindwa")</f>
        <v>Namisindwa</v>
      </c>
      <c r="G4672" s="72" t="str">
        <f>HYPERLINK("http://api.nsgreg.nga.mil/geo-division/GENC/6/3-11/UG-234","as:GENC:6:3-11:UG-234")</f>
        <v>as:GENC:6:3-11:UG-234</v>
      </c>
    </row>
    <row r="4673" spans="1:7" x14ac:dyDescent="0.25">
      <c r="A4673" s="112"/>
      <c r="B4673" s="21" t="s">
        <v>10966</v>
      </c>
      <c r="C4673" s="21" t="s">
        <v>10967</v>
      </c>
      <c r="D4673" s="21" t="s">
        <v>2035</v>
      </c>
      <c r="E4673" s="50" t="b">
        <v>1</v>
      </c>
      <c r="F4673" s="72" t="str">
        <f>HYPERLINK("http://nsgreg.nga.mil/genc/view?v=296244&amp;end_month=6&amp;end_day=30&amp;end_year=2019","Namutumba")</f>
        <v>Namutumba</v>
      </c>
      <c r="G4673" s="72" t="str">
        <f>HYPERLINK("http://api.nsgreg.nga.mil/geo-division/GENC/6/3-11/UG-224","as:GENC:6:3-11:UG-224")</f>
        <v>as:GENC:6:3-11:UG-224</v>
      </c>
    </row>
    <row r="4674" spans="1:7" x14ac:dyDescent="0.25">
      <c r="A4674" s="112"/>
      <c r="B4674" s="21" t="s">
        <v>10968</v>
      </c>
      <c r="C4674" s="21" t="s">
        <v>10969</v>
      </c>
      <c r="D4674" s="21" t="s">
        <v>2035</v>
      </c>
      <c r="E4674" s="50" t="b">
        <v>1</v>
      </c>
      <c r="F4674" s="72" t="str">
        <f>HYPERLINK("http://nsgreg.nga.mil/genc/view?v=296251&amp;end_month=6&amp;end_day=30&amp;end_year=2019","Ngora")</f>
        <v>Ngora</v>
      </c>
      <c r="G4674" s="72" t="str">
        <f>HYPERLINK("http://api.nsgreg.nga.mil/geo-division/GENC/6/3-11/UG-231","as:GENC:6:3-11:UG-231")</f>
        <v>as:GENC:6:3-11:UG-231</v>
      </c>
    </row>
    <row r="4675" spans="1:7" x14ac:dyDescent="0.25">
      <c r="A4675" s="112"/>
      <c r="B4675" s="21" t="s">
        <v>10970</v>
      </c>
      <c r="C4675" s="21" t="s">
        <v>10971</v>
      </c>
      <c r="D4675" s="21" t="s">
        <v>2035</v>
      </c>
      <c r="E4675" s="50" t="b">
        <v>1</v>
      </c>
      <c r="F4675" s="72" t="str">
        <f>HYPERLINK("http://nsgreg.nga.mil/genc/view?v=296230&amp;end_month=6&amp;end_day=30&amp;end_year=2019","Pallisa")</f>
        <v>Pallisa</v>
      </c>
      <c r="G4675" s="72" t="str">
        <f>HYPERLINK("http://api.nsgreg.nga.mil/geo-division/GENC/6/3-11/UG-210","as:GENC:6:3-11:UG-210")</f>
        <v>as:GENC:6:3-11:UG-210</v>
      </c>
    </row>
    <row r="4676" spans="1:7" x14ac:dyDescent="0.25">
      <c r="A4676" s="112"/>
      <c r="B4676" s="21" t="s">
        <v>10972</v>
      </c>
      <c r="C4676" s="21" t="s">
        <v>10973</v>
      </c>
      <c r="D4676" s="21" t="s">
        <v>2035</v>
      </c>
      <c r="E4676" s="50" t="b">
        <v>1</v>
      </c>
      <c r="F4676" s="72" t="str">
        <f>HYPERLINK("http://nsgreg.nga.mil/genc/view?v=296252&amp;end_month=6&amp;end_day=30&amp;end_year=2019","Serere")</f>
        <v>Serere</v>
      </c>
      <c r="G4676" s="72" t="str">
        <f>HYPERLINK("http://api.nsgreg.nga.mil/geo-division/GENC/6/3-11/UG-232","as:GENC:6:3-11:UG-232")</f>
        <v>as:GENC:6:3-11:UG-232</v>
      </c>
    </row>
    <row r="4677" spans="1:7" x14ac:dyDescent="0.25">
      <c r="A4677" s="112"/>
      <c r="B4677" s="21" t="s">
        <v>10974</v>
      </c>
      <c r="C4677" s="21" t="s">
        <v>10975</v>
      </c>
      <c r="D4677" s="21" t="s">
        <v>2035</v>
      </c>
      <c r="E4677" s="50" t="b">
        <v>1</v>
      </c>
      <c r="F4677" s="72" t="str">
        <f>HYPERLINK("http://nsgreg.nga.mil/genc/view?v=296235&amp;end_month=6&amp;end_day=30&amp;end_year=2019","Sironko")</f>
        <v>Sironko</v>
      </c>
      <c r="G4677" s="72" t="str">
        <f>HYPERLINK("http://api.nsgreg.nga.mil/geo-division/GENC/6/3-11/UG-215","as:GENC:6:3-11:UG-215")</f>
        <v>as:GENC:6:3-11:UG-215</v>
      </c>
    </row>
    <row r="4678" spans="1:7" x14ac:dyDescent="0.25">
      <c r="A4678" s="112"/>
      <c r="B4678" s="21" t="s">
        <v>10976</v>
      </c>
      <c r="C4678" s="21" t="s">
        <v>10977</v>
      </c>
      <c r="D4678" s="21" t="s">
        <v>2035</v>
      </c>
      <c r="E4678" s="50" t="b">
        <v>1</v>
      </c>
      <c r="F4678" s="72" t="str">
        <f>HYPERLINK("http://nsgreg.nga.mil/genc/view?v=296231&amp;end_month=6&amp;end_day=30&amp;end_year=2019","Soroti")</f>
        <v>Soroti</v>
      </c>
      <c r="G4678" s="72" t="str">
        <f>HYPERLINK("http://api.nsgreg.nga.mil/geo-division/GENC/6/3-11/UG-211","as:GENC:6:3-11:UG-211")</f>
        <v>as:GENC:6:3-11:UG-211</v>
      </c>
    </row>
    <row r="4679" spans="1:7" x14ac:dyDescent="0.25">
      <c r="A4679" s="112"/>
      <c r="B4679" s="21" t="s">
        <v>10978</v>
      </c>
      <c r="C4679" s="21" t="s">
        <v>10979</v>
      </c>
      <c r="D4679" s="21" t="s">
        <v>2035</v>
      </c>
      <c r="E4679" s="50" t="b">
        <v>1</v>
      </c>
      <c r="F4679" s="72" t="str">
        <f>HYPERLINK("http://nsgreg.nga.mil/genc/view?v=296232&amp;end_month=6&amp;end_day=30&amp;end_year=2019","Tororo")</f>
        <v>Tororo</v>
      </c>
      <c r="G4679" s="72" t="str">
        <f>HYPERLINK("http://api.nsgreg.nga.mil/geo-division/GENC/6/3-11/UG-212","as:GENC:6:3-11:UG-212")</f>
        <v>as:GENC:6:3-11:UG-212</v>
      </c>
    </row>
    <row r="4680" spans="1:7" x14ac:dyDescent="0.25">
      <c r="A4680" s="112"/>
      <c r="B4680" s="21" t="s">
        <v>10980</v>
      </c>
      <c r="C4680" s="21" t="s">
        <v>4121</v>
      </c>
      <c r="D4680" s="76" t="s">
        <v>2931</v>
      </c>
      <c r="E4680" s="77" t="b">
        <v>0</v>
      </c>
      <c r="F4680" s="72" t="str">
        <f>HYPERLINK("http://nsgreg.nga.mil/genc/view?v=296320&amp;end_month=6&amp;end_day=30&amp;end_year=2019","Northern")</f>
        <v>Northern</v>
      </c>
      <c r="G4680" s="72" t="str">
        <f>HYPERLINK("http://api.nsgreg.nga.mil/geo-division/GENC/6/3-11/UG-N","as:GENC:6:3-11:UG-N")</f>
        <v>as:GENC:6:3-11:UG-N</v>
      </c>
    </row>
    <row r="4681" spans="1:7" x14ac:dyDescent="0.25">
      <c r="A4681" s="112"/>
      <c r="B4681" s="21" t="s">
        <v>10981</v>
      </c>
      <c r="C4681" s="21" t="s">
        <v>10982</v>
      </c>
      <c r="D4681" s="21" t="s">
        <v>2035</v>
      </c>
      <c r="E4681" s="50" t="b">
        <v>1</v>
      </c>
      <c r="F4681" s="72" t="str">
        <f>HYPERLINK("http://nsgreg.nga.mil/genc/view?v=296268&amp;end_month=6&amp;end_day=30&amp;end_year=2019","Abim")</f>
        <v>Abim</v>
      </c>
      <c r="G4681" s="72" t="str">
        <f>HYPERLINK("http://api.nsgreg.nga.mil/geo-division/GENC/6/3-11/UG-314","as:GENC:6:3-11:UG-314")</f>
        <v>as:GENC:6:3-11:UG-314</v>
      </c>
    </row>
    <row r="4682" spans="1:7" x14ac:dyDescent="0.25">
      <c r="A4682" s="112"/>
      <c r="B4682" s="21" t="s">
        <v>10983</v>
      </c>
      <c r="C4682" s="21" t="s">
        <v>10984</v>
      </c>
      <c r="D4682" s="21" t="s">
        <v>2035</v>
      </c>
      <c r="E4682" s="50" t="b">
        <v>1</v>
      </c>
      <c r="F4682" s="72" t="str">
        <f>HYPERLINK("http://nsgreg.nga.mil/genc/view?v=296255&amp;end_month=6&amp;end_day=30&amp;end_year=2019","Adjumani")</f>
        <v>Adjumani</v>
      </c>
      <c r="G4682" s="72" t="str">
        <f>HYPERLINK("http://api.nsgreg.nga.mil/geo-division/GENC/6/3-11/UG-301","as:GENC:6:3-11:UG-301")</f>
        <v>as:GENC:6:3-11:UG-301</v>
      </c>
    </row>
    <row r="4683" spans="1:7" x14ac:dyDescent="0.25">
      <c r="A4683" s="112"/>
      <c r="B4683" s="21" t="s">
        <v>10985</v>
      </c>
      <c r="C4683" s="21" t="s">
        <v>10986</v>
      </c>
      <c r="D4683" s="21" t="s">
        <v>2035</v>
      </c>
      <c r="E4683" s="50" t="b">
        <v>1</v>
      </c>
      <c r="F4683" s="72" t="str">
        <f>HYPERLINK("http://nsgreg.nga.mil/genc/view?v=296276&amp;end_month=6&amp;end_day=30&amp;end_year=2019","Agago")</f>
        <v>Agago</v>
      </c>
      <c r="G4683" s="72" t="str">
        <f>HYPERLINK("http://api.nsgreg.nga.mil/geo-division/GENC/6/3-11/UG-322","as:GENC:6:3-11:UG-322")</f>
        <v>as:GENC:6:3-11:UG-322</v>
      </c>
    </row>
    <row r="4684" spans="1:7" x14ac:dyDescent="0.25">
      <c r="A4684" s="112"/>
      <c r="B4684" s="21" t="s">
        <v>10987</v>
      </c>
      <c r="C4684" s="21" t="s">
        <v>10988</v>
      </c>
      <c r="D4684" s="21" t="s">
        <v>2035</v>
      </c>
      <c r="E4684" s="50" t="b">
        <v>1</v>
      </c>
      <c r="F4684" s="72" t="str">
        <f>HYPERLINK("http://nsgreg.nga.mil/genc/view?v=296277&amp;end_month=6&amp;end_day=30&amp;end_year=2019","Alebtong")</f>
        <v>Alebtong</v>
      </c>
      <c r="G4684" s="72" t="str">
        <f>HYPERLINK("http://api.nsgreg.nga.mil/geo-division/GENC/6/3-11/UG-323","as:GENC:6:3-11:UG-323")</f>
        <v>as:GENC:6:3-11:UG-323</v>
      </c>
    </row>
    <row r="4685" spans="1:7" x14ac:dyDescent="0.25">
      <c r="A4685" s="112"/>
      <c r="B4685" s="21" t="s">
        <v>10989</v>
      </c>
      <c r="C4685" s="21" t="s">
        <v>10990</v>
      </c>
      <c r="D4685" s="21" t="s">
        <v>2035</v>
      </c>
      <c r="E4685" s="50" t="b">
        <v>1</v>
      </c>
      <c r="F4685" s="72" t="str">
        <f>HYPERLINK("http://nsgreg.nga.mil/genc/view?v=296269&amp;end_month=6&amp;end_day=30&amp;end_year=2019","Amolatar")</f>
        <v>Amolatar</v>
      </c>
      <c r="G4685" s="72" t="str">
        <f>HYPERLINK("http://api.nsgreg.nga.mil/geo-division/GENC/6/3-11/UG-315","as:GENC:6:3-11:UG-315")</f>
        <v>as:GENC:6:3-11:UG-315</v>
      </c>
    </row>
    <row r="4686" spans="1:7" x14ac:dyDescent="0.25">
      <c r="A4686" s="112"/>
      <c r="B4686" s="21" t="s">
        <v>10991</v>
      </c>
      <c r="C4686" s="21" t="s">
        <v>10992</v>
      </c>
      <c r="D4686" s="21" t="s">
        <v>2035</v>
      </c>
      <c r="E4686" s="50" t="b">
        <v>1</v>
      </c>
      <c r="F4686" s="72" t="str">
        <f>HYPERLINK("http://nsgreg.nga.mil/genc/view?v=296278&amp;end_month=6&amp;end_day=30&amp;end_year=2019","Amudat")</f>
        <v>Amudat</v>
      </c>
      <c r="G4686" s="72" t="str">
        <f>HYPERLINK("http://api.nsgreg.nga.mil/geo-division/GENC/6/3-11/UG-324","as:GENC:6:3-11:UG-324")</f>
        <v>as:GENC:6:3-11:UG-324</v>
      </c>
    </row>
    <row r="4687" spans="1:7" x14ac:dyDescent="0.25">
      <c r="A4687" s="112"/>
      <c r="B4687" s="21" t="s">
        <v>10993</v>
      </c>
      <c r="C4687" s="21" t="s">
        <v>10994</v>
      </c>
      <c r="D4687" s="21" t="s">
        <v>2035</v>
      </c>
      <c r="E4687" s="50" t="b">
        <v>1</v>
      </c>
      <c r="F4687" s="72" t="str">
        <f>HYPERLINK("http://nsgreg.nga.mil/genc/view?v=296270&amp;end_month=6&amp;end_day=30&amp;end_year=2019","Amuru")</f>
        <v>Amuru</v>
      </c>
      <c r="G4687" s="72" t="str">
        <f>HYPERLINK("http://api.nsgreg.nga.mil/geo-division/GENC/6/3-11/UG-316","as:GENC:6:3-11:UG-316")</f>
        <v>as:GENC:6:3-11:UG-316</v>
      </c>
    </row>
    <row r="4688" spans="1:7" x14ac:dyDescent="0.25">
      <c r="A4688" s="112"/>
      <c r="B4688" s="21" t="s">
        <v>10995</v>
      </c>
      <c r="C4688" s="21" t="s">
        <v>10996</v>
      </c>
      <c r="D4688" s="21" t="s">
        <v>2035</v>
      </c>
      <c r="E4688" s="50" t="b">
        <v>1</v>
      </c>
      <c r="F4688" s="72" t="str">
        <f>HYPERLINK("http://nsgreg.nga.mil/genc/view?v=296256&amp;end_month=6&amp;end_day=30&amp;end_year=2019","Apac")</f>
        <v>Apac</v>
      </c>
      <c r="G4688" s="72" t="str">
        <f>HYPERLINK("http://api.nsgreg.nga.mil/geo-division/GENC/6/3-11/UG-302","as:GENC:6:3-11:UG-302")</f>
        <v>as:GENC:6:3-11:UG-302</v>
      </c>
    </row>
    <row r="4689" spans="1:7" x14ac:dyDescent="0.25">
      <c r="A4689" s="112"/>
      <c r="B4689" s="21" t="s">
        <v>10997</v>
      </c>
      <c r="C4689" s="21" t="s">
        <v>10998</v>
      </c>
      <c r="D4689" s="21" t="s">
        <v>2035</v>
      </c>
      <c r="E4689" s="50" t="b">
        <v>1</v>
      </c>
      <c r="F4689" s="72" t="str">
        <f>HYPERLINK("http://nsgreg.nga.mil/genc/view?v=296257&amp;end_month=6&amp;end_day=30&amp;end_year=2019","Arua")</f>
        <v>Arua</v>
      </c>
      <c r="G4689" s="72" t="str">
        <f>HYPERLINK("http://api.nsgreg.nga.mil/geo-division/GENC/6/3-11/UG-303","as:GENC:6:3-11:UG-303")</f>
        <v>as:GENC:6:3-11:UG-303</v>
      </c>
    </row>
    <row r="4690" spans="1:7" x14ac:dyDescent="0.25">
      <c r="A4690" s="112"/>
      <c r="B4690" s="21" t="s">
        <v>10999</v>
      </c>
      <c r="C4690" s="21" t="s">
        <v>11000</v>
      </c>
      <c r="D4690" s="21" t="s">
        <v>2035</v>
      </c>
      <c r="E4690" s="50" t="b">
        <v>1</v>
      </c>
      <c r="F4690" s="72" t="str">
        <f>HYPERLINK("http://nsgreg.nga.mil/genc/view?v=296271&amp;end_month=6&amp;end_day=30&amp;end_year=2019","Dokolo")</f>
        <v>Dokolo</v>
      </c>
      <c r="G4690" s="72" t="str">
        <f>HYPERLINK("http://api.nsgreg.nga.mil/geo-division/GENC/6/3-11/UG-317","as:GENC:6:3-11:UG-317")</f>
        <v>as:GENC:6:3-11:UG-317</v>
      </c>
    </row>
    <row r="4691" spans="1:7" x14ac:dyDescent="0.25">
      <c r="A4691" s="112"/>
      <c r="B4691" s="21" t="s">
        <v>11001</v>
      </c>
      <c r="C4691" s="21" t="s">
        <v>11002</v>
      </c>
      <c r="D4691" s="21" t="s">
        <v>2035</v>
      </c>
      <c r="E4691" s="50" t="b">
        <v>1</v>
      </c>
      <c r="F4691" s="72" t="str">
        <f>HYPERLINK("http://nsgreg.nga.mil/genc/view?v=296258&amp;end_month=6&amp;end_day=30&amp;end_year=2019","Gulu")</f>
        <v>Gulu</v>
      </c>
      <c r="G4691" s="72" t="str">
        <f>HYPERLINK("http://api.nsgreg.nga.mil/geo-division/GENC/6/3-11/UG-304","as:GENC:6:3-11:UG-304")</f>
        <v>as:GENC:6:3-11:UG-304</v>
      </c>
    </row>
    <row r="4692" spans="1:7" x14ac:dyDescent="0.25">
      <c r="A4692" s="112"/>
      <c r="B4692" s="21" t="s">
        <v>11003</v>
      </c>
      <c r="C4692" s="21" t="s">
        <v>11004</v>
      </c>
      <c r="D4692" s="21" t="s">
        <v>2035</v>
      </c>
      <c r="E4692" s="50" t="b">
        <v>1</v>
      </c>
      <c r="F4692" s="72" t="str">
        <f>HYPERLINK("http://nsgreg.nga.mil/genc/view?v=296272&amp;end_month=6&amp;end_day=30&amp;end_year=2019","Kaabong")</f>
        <v>Kaabong</v>
      </c>
      <c r="G4692" s="72" t="str">
        <f>HYPERLINK("http://api.nsgreg.nga.mil/geo-division/GENC/6/3-11/UG-318","as:GENC:6:3-11:UG-318")</f>
        <v>as:GENC:6:3-11:UG-318</v>
      </c>
    </row>
    <row r="4693" spans="1:7" x14ac:dyDescent="0.25">
      <c r="A4693" s="112"/>
      <c r="B4693" s="21" t="s">
        <v>11005</v>
      </c>
      <c r="C4693" s="21" t="s">
        <v>11006</v>
      </c>
      <c r="D4693" s="21" t="s">
        <v>2035</v>
      </c>
      <c r="E4693" s="50" t="b">
        <v>1</v>
      </c>
      <c r="F4693" s="72" t="str">
        <f>HYPERLINK("http://nsgreg.nga.mil/genc/view?v=296259&amp;end_month=6&amp;end_day=30&amp;end_year=2019","Kitgum")</f>
        <v>Kitgum</v>
      </c>
      <c r="G4693" s="72" t="str">
        <f>HYPERLINK("http://api.nsgreg.nga.mil/geo-division/GENC/6/3-11/UG-305","as:GENC:6:3-11:UG-305")</f>
        <v>as:GENC:6:3-11:UG-305</v>
      </c>
    </row>
    <row r="4694" spans="1:7" x14ac:dyDescent="0.25">
      <c r="A4694" s="112"/>
      <c r="B4694" s="21" t="s">
        <v>11007</v>
      </c>
      <c r="C4694" s="21" t="s">
        <v>11008</v>
      </c>
      <c r="D4694" s="21" t="s">
        <v>2035</v>
      </c>
      <c r="E4694" s="50" t="b">
        <v>1</v>
      </c>
      <c r="F4694" s="72" t="str">
        <f>HYPERLINK("http://nsgreg.nga.mil/genc/view?v=296273&amp;end_month=6&amp;end_day=30&amp;end_year=2019","Koboko")</f>
        <v>Koboko</v>
      </c>
      <c r="G4694" s="72" t="str">
        <f>HYPERLINK("http://api.nsgreg.nga.mil/geo-division/GENC/6/3-11/UG-319","as:GENC:6:3-11:UG-319")</f>
        <v>as:GENC:6:3-11:UG-319</v>
      </c>
    </row>
    <row r="4695" spans="1:7" x14ac:dyDescent="0.25">
      <c r="A4695" s="112"/>
      <c r="B4695" s="21" t="s">
        <v>11009</v>
      </c>
      <c r="C4695" s="21" t="s">
        <v>11010</v>
      </c>
      <c r="D4695" s="21" t="s">
        <v>2035</v>
      </c>
      <c r="E4695" s="50" t="b">
        <v>1</v>
      </c>
      <c r="F4695" s="72" t="str">
        <f>HYPERLINK("http://nsgreg.nga.mil/genc/view?v=296279&amp;end_month=6&amp;end_day=30&amp;end_year=2019","Kole")</f>
        <v>Kole</v>
      </c>
      <c r="G4695" s="72" t="str">
        <f>HYPERLINK("http://api.nsgreg.nga.mil/geo-division/GENC/6/3-11/UG-325","as:GENC:6:3-11:UG-325")</f>
        <v>as:GENC:6:3-11:UG-325</v>
      </c>
    </row>
    <row r="4696" spans="1:7" x14ac:dyDescent="0.25">
      <c r="A4696" s="112"/>
      <c r="B4696" s="21" t="s">
        <v>11011</v>
      </c>
      <c r="C4696" s="21" t="s">
        <v>11012</v>
      </c>
      <c r="D4696" s="21" t="s">
        <v>2035</v>
      </c>
      <c r="E4696" s="50" t="b">
        <v>1</v>
      </c>
      <c r="F4696" s="72" t="str">
        <f>HYPERLINK("http://nsgreg.nga.mil/genc/view?v=296260&amp;end_month=6&amp;end_day=30&amp;end_year=2019","Kotido")</f>
        <v>Kotido</v>
      </c>
      <c r="G4696" s="72" t="str">
        <f>HYPERLINK("http://api.nsgreg.nga.mil/geo-division/GENC/6/3-11/UG-306","as:GENC:6:3-11:UG-306")</f>
        <v>as:GENC:6:3-11:UG-306</v>
      </c>
    </row>
    <row r="4697" spans="1:7" x14ac:dyDescent="0.25">
      <c r="A4697" s="112"/>
      <c r="B4697" s="21" t="s">
        <v>11013</v>
      </c>
      <c r="C4697" s="21" t="s">
        <v>11014</v>
      </c>
      <c r="D4697" s="21" t="s">
        <v>2035</v>
      </c>
      <c r="E4697" s="50" t="b">
        <v>1</v>
      </c>
      <c r="F4697" s="72" t="str">
        <f>HYPERLINK("http://nsgreg.nga.mil/genc/view?v=296280&amp;end_month=6&amp;end_day=30&amp;end_year=2019","Lamwo")</f>
        <v>Lamwo</v>
      </c>
      <c r="G4697" s="72" t="str">
        <f>HYPERLINK("http://api.nsgreg.nga.mil/geo-division/GENC/6/3-11/UG-326","as:GENC:6:3-11:UG-326")</f>
        <v>as:GENC:6:3-11:UG-326</v>
      </c>
    </row>
    <row r="4698" spans="1:7" x14ac:dyDescent="0.25">
      <c r="A4698" s="112"/>
      <c r="B4698" s="21" t="s">
        <v>11015</v>
      </c>
      <c r="C4698" s="21" t="s">
        <v>11016</v>
      </c>
      <c r="D4698" s="21" t="s">
        <v>2035</v>
      </c>
      <c r="E4698" s="50" t="b">
        <v>1</v>
      </c>
      <c r="F4698" s="72" t="str">
        <f>HYPERLINK("http://nsgreg.nga.mil/genc/view?v=296261&amp;end_month=6&amp;end_day=30&amp;end_year=2019","Lira")</f>
        <v>Lira</v>
      </c>
      <c r="G4698" s="72" t="str">
        <f>HYPERLINK("http://api.nsgreg.nga.mil/geo-division/GENC/6/3-11/UG-307","as:GENC:6:3-11:UG-307")</f>
        <v>as:GENC:6:3-11:UG-307</v>
      </c>
    </row>
    <row r="4699" spans="1:7" x14ac:dyDescent="0.25">
      <c r="A4699" s="112"/>
      <c r="B4699" s="21" t="s">
        <v>11017</v>
      </c>
      <c r="C4699" s="21" t="s">
        <v>11018</v>
      </c>
      <c r="D4699" s="21" t="s">
        <v>2035</v>
      </c>
      <c r="E4699" s="50" t="b">
        <v>1</v>
      </c>
      <c r="F4699" s="72" t="str">
        <f>HYPERLINK("http://nsgreg.nga.mil/genc/view?v=296274&amp;end_month=6&amp;end_day=30&amp;end_year=2019","Maracha")</f>
        <v>Maracha</v>
      </c>
      <c r="G4699" s="72" t="str">
        <f>HYPERLINK("http://api.nsgreg.nga.mil/geo-division/GENC/6/3-11/UG-320","as:GENC:6:3-11:UG-320")</f>
        <v>as:GENC:6:3-11:UG-320</v>
      </c>
    </row>
    <row r="4700" spans="1:7" x14ac:dyDescent="0.25">
      <c r="A4700" s="112"/>
      <c r="B4700" s="21" t="s">
        <v>11019</v>
      </c>
      <c r="C4700" s="21" t="s">
        <v>11020</v>
      </c>
      <c r="D4700" s="21" t="s">
        <v>2035</v>
      </c>
      <c r="E4700" s="50" t="b">
        <v>1</v>
      </c>
      <c r="F4700" s="72" t="str">
        <f>HYPERLINK("http://nsgreg.nga.mil/genc/view?v=296262&amp;end_month=6&amp;end_day=30&amp;end_year=2019","Moroto")</f>
        <v>Moroto</v>
      </c>
      <c r="G4700" s="72" t="str">
        <f>HYPERLINK("http://api.nsgreg.nga.mil/geo-division/GENC/6/3-11/UG-308","as:GENC:6:3-11:UG-308")</f>
        <v>as:GENC:6:3-11:UG-308</v>
      </c>
    </row>
    <row r="4701" spans="1:7" x14ac:dyDescent="0.25">
      <c r="A4701" s="112"/>
      <c r="B4701" s="21" t="s">
        <v>11021</v>
      </c>
      <c r="C4701" s="21" t="s">
        <v>11022</v>
      </c>
      <c r="D4701" s="21" t="s">
        <v>2035</v>
      </c>
      <c r="E4701" s="50" t="b">
        <v>1</v>
      </c>
      <c r="F4701" s="72" t="str">
        <f>HYPERLINK("http://nsgreg.nga.mil/genc/view?v=296263&amp;end_month=6&amp;end_day=30&amp;end_year=2019","Moyo")</f>
        <v>Moyo</v>
      </c>
      <c r="G4701" s="72" t="str">
        <f>HYPERLINK("http://api.nsgreg.nga.mil/geo-division/GENC/6/3-11/UG-309","as:GENC:6:3-11:UG-309")</f>
        <v>as:GENC:6:3-11:UG-309</v>
      </c>
    </row>
    <row r="4702" spans="1:7" x14ac:dyDescent="0.25">
      <c r="A4702" s="112"/>
      <c r="B4702" s="21" t="s">
        <v>11023</v>
      </c>
      <c r="C4702" s="21" t="s">
        <v>11024</v>
      </c>
      <c r="D4702" s="21" t="s">
        <v>2035</v>
      </c>
      <c r="E4702" s="50" t="b">
        <v>1</v>
      </c>
      <c r="F4702" s="72" t="str">
        <f>HYPERLINK("http://nsgreg.nga.mil/genc/view?v=296265&amp;end_month=6&amp;end_day=30&amp;end_year=2019","Nakapiripirit")</f>
        <v>Nakapiripirit</v>
      </c>
      <c r="G4702" s="72" t="str">
        <f>HYPERLINK("http://api.nsgreg.nga.mil/geo-division/GENC/6/3-11/UG-311","as:GENC:6:3-11:UG-311")</f>
        <v>as:GENC:6:3-11:UG-311</v>
      </c>
    </row>
    <row r="4703" spans="1:7" x14ac:dyDescent="0.25">
      <c r="A4703" s="112"/>
      <c r="B4703" s="21" t="s">
        <v>11025</v>
      </c>
      <c r="C4703" s="21" t="s">
        <v>11026</v>
      </c>
      <c r="D4703" s="21" t="s">
        <v>2035</v>
      </c>
      <c r="E4703" s="50" t="b">
        <v>1</v>
      </c>
      <c r="F4703" s="72" t="str">
        <f>HYPERLINK("http://nsgreg.nga.mil/genc/view?v=296281&amp;end_month=6&amp;end_day=30&amp;end_year=2019","Napak")</f>
        <v>Napak</v>
      </c>
      <c r="G4703" s="72" t="str">
        <f>HYPERLINK("http://api.nsgreg.nga.mil/geo-division/GENC/6/3-11/UG-327","as:GENC:6:3-11:UG-327")</f>
        <v>as:GENC:6:3-11:UG-327</v>
      </c>
    </row>
    <row r="4704" spans="1:7" x14ac:dyDescent="0.25">
      <c r="A4704" s="112"/>
      <c r="B4704" s="21" t="s">
        <v>11027</v>
      </c>
      <c r="C4704" s="21" t="s">
        <v>11028</v>
      </c>
      <c r="D4704" s="21" t="s">
        <v>2035</v>
      </c>
      <c r="E4704" s="50" t="b">
        <v>1</v>
      </c>
      <c r="F4704" s="72" t="str">
        <f>HYPERLINK("http://nsgreg.nga.mil/genc/view?v=296264&amp;end_month=6&amp;end_day=30&amp;end_year=2019","Nebbi")</f>
        <v>Nebbi</v>
      </c>
      <c r="G4704" s="72" t="str">
        <f>HYPERLINK("http://api.nsgreg.nga.mil/geo-division/GENC/6/3-11/UG-310","as:GENC:6:3-11:UG-310")</f>
        <v>as:GENC:6:3-11:UG-310</v>
      </c>
    </row>
    <row r="4705" spans="1:7" x14ac:dyDescent="0.25">
      <c r="A4705" s="112"/>
      <c r="B4705" s="21" t="s">
        <v>11029</v>
      </c>
      <c r="C4705" s="21" t="s">
        <v>11030</v>
      </c>
      <c r="D4705" s="21" t="s">
        <v>2035</v>
      </c>
      <c r="E4705" s="50" t="b">
        <v>1</v>
      </c>
      <c r="F4705" s="72" t="str">
        <f>HYPERLINK("http://nsgreg.nga.mil/genc/view?v=296282&amp;end_month=6&amp;end_day=30&amp;end_year=2019","Nwoya")</f>
        <v>Nwoya</v>
      </c>
      <c r="G4705" s="72" t="str">
        <f>HYPERLINK("http://api.nsgreg.nga.mil/geo-division/GENC/6/3-11/UG-328","as:GENC:6:3-11:UG-328")</f>
        <v>as:GENC:6:3-11:UG-328</v>
      </c>
    </row>
    <row r="4706" spans="1:7" x14ac:dyDescent="0.25">
      <c r="A4706" s="112"/>
      <c r="B4706" s="21" t="s">
        <v>11031</v>
      </c>
      <c r="C4706" s="21" t="s">
        <v>11032</v>
      </c>
      <c r="D4706" s="21" t="s">
        <v>2035</v>
      </c>
      <c r="E4706" s="50" t="b">
        <v>1</v>
      </c>
      <c r="F4706" s="72" t="str">
        <f>HYPERLINK("http://nsgreg.nga.mil/genc/view?v=296285&amp;end_month=6&amp;end_day=30&amp;end_year=2019","Omoro")</f>
        <v>Omoro</v>
      </c>
      <c r="G4706" s="72" t="str">
        <f>HYPERLINK("http://api.nsgreg.nga.mil/geo-division/GENC/6/3-11/UG-331","as:GENC:6:3-11:UG-331")</f>
        <v>as:GENC:6:3-11:UG-331</v>
      </c>
    </row>
    <row r="4707" spans="1:7" x14ac:dyDescent="0.25">
      <c r="A4707" s="112"/>
      <c r="B4707" s="21" t="s">
        <v>11033</v>
      </c>
      <c r="C4707" s="21" t="s">
        <v>11034</v>
      </c>
      <c r="D4707" s="21" t="s">
        <v>2035</v>
      </c>
      <c r="E4707" s="50" t="b">
        <v>1</v>
      </c>
      <c r="F4707" s="72" t="str">
        <f>HYPERLINK("http://nsgreg.nga.mil/genc/view?v=296283&amp;end_month=6&amp;end_day=30&amp;end_year=2019","Otuke")</f>
        <v>Otuke</v>
      </c>
      <c r="G4707" s="72" t="str">
        <f>HYPERLINK("http://api.nsgreg.nga.mil/geo-division/GENC/6/3-11/UG-329","as:GENC:6:3-11:UG-329")</f>
        <v>as:GENC:6:3-11:UG-329</v>
      </c>
    </row>
    <row r="4708" spans="1:7" x14ac:dyDescent="0.25">
      <c r="A4708" s="112"/>
      <c r="B4708" s="21" t="s">
        <v>11035</v>
      </c>
      <c r="C4708" s="21" t="s">
        <v>11036</v>
      </c>
      <c r="D4708" s="21" t="s">
        <v>2035</v>
      </c>
      <c r="E4708" s="50" t="b">
        <v>1</v>
      </c>
      <c r="F4708" s="72" t="str">
        <f>HYPERLINK("http://nsgreg.nga.mil/genc/view?v=296275&amp;end_month=6&amp;end_day=30&amp;end_year=2019","Oyam")</f>
        <v>Oyam</v>
      </c>
      <c r="G4708" s="72" t="str">
        <f>HYPERLINK("http://api.nsgreg.nga.mil/geo-division/GENC/6/3-11/UG-321","as:GENC:6:3-11:UG-321")</f>
        <v>as:GENC:6:3-11:UG-321</v>
      </c>
    </row>
    <row r="4709" spans="1:7" x14ac:dyDescent="0.25">
      <c r="A4709" s="112"/>
      <c r="B4709" s="21" t="s">
        <v>11037</v>
      </c>
      <c r="C4709" s="21" t="s">
        <v>11038</v>
      </c>
      <c r="D4709" s="21" t="s">
        <v>2035</v>
      </c>
      <c r="E4709" s="50" t="b">
        <v>1</v>
      </c>
      <c r="F4709" s="72" t="str">
        <f>HYPERLINK("http://nsgreg.nga.mil/genc/view?v=296266&amp;end_month=6&amp;end_day=30&amp;end_year=2019","Pader")</f>
        <v>Pader</v>
      </c>
      <c r="G4709" s="72" t="str">
        <f>HYPERLINK("http://api.nsgreg.nga.mil/geo-division/GENC/6/3-11/UG-312","as:GENC:6:3-11:UG-312")</f>
        <v>as:GENC:6:3-11:UG-312</v>
      </c>
    </row>
    <row r="4710" spans="1:7" x14ac:dyDescent="0.25">
      <c r="A4710" s="112"/>
      <c r="B4710" s="21" t="s">
        <v>11039</v>
      </c>
      <c r="C4710" s="21" t="s">
        <v>11040</v>
      </c>
      <c r="D4710" s="21" t="s">
        <v>2035</v>
      </c>
      <c r="E4710" s="50" t="b">
        <v>1</v>
      </c>
      <c r="F4710" s="72" t="str">
        <f>HYPERLINK("http://nsgreg.nga.mil/genc/view?v=296286&amp;end_month=6&amp;end_day=30&amp;end_year=2019","Pakwach")</f>
        <v>Pakwach</v>
      </c>
      <c r="G4710" s="72" t="str">
        <f>HYPERLINK("http://api.nsgreg.nga.mil/geo-division/GENC/6/3-11/UG-332","as:GENC:6:3-11:UG-332")</f>
        <v>as:GENC:6:3-11:UG-332</v>
      </c>
    </row>
    <row r="4711" spans="1:7" x14ac:dyDescent="0.25">
      <c r="A4711" s="112"/>
      <c r="B4711" s="21" t="s">
        <v>11041</v>
      </c>
      <c r="C4711" s="21" t="s">
        <v>11042</v>
      </c>
      <c r="D4711" s="21" t="s">
        <v>2035</v>
      </c>
      <c r="E4711" s="50" t="b">
        <v>1</v>
      </c>
      <c r="F4711" s="72" t="str">
        <f>HYPERLINK("http://nsgreg.nga.mil/genc/view?v=296267&amp;end_month=6&amp;end_day=30&amp;end_year=2019","Yumbe")</f>
        <v>Yumbe</v>
      </c>
      <c r="G4711" s="72" t="str">
        <f>HYPERLINK("http://api.nsgreg.nga.mil/geo-division/GENC/6/3-11/UG-313","as:GENC:6:3-11:UG-313")</f>
        <v>as:GENC:6:3-11:UG-313</v>
      </c>
    </row>
    <row r="4712" spans="1:7" x14ac:dyDescent="0.25">
      <c r="A4712" s="112"/>
      <c r="B4712" s="21" t="s">
        <v>11043</v>
      </c>
      <c r="C4712" s="21" t="s">
        <v>11044</v>
      </c>
      <c r="D4712" s="21" t="s">
        <v>2035</v>
      </c>
      <c r="E4712" s="50" t="b">
        <v>1</v>
      </c>
      <c r="F4712" s="72" t="str">
        <f>HYPERLINK("http://nsgreg.nga.mil/genc/view?v=296284&amp;end_month=6&amp;end_day=30&amp;end_year=2019","Zombo")</f>
        <v>Zombo</v>
      </c>
      <c r="G4712" s="72" t="str">
        <f>HYPERLINK("http://api.nsgreg.nga.mil/geo-division/GENC/6/3-11/UG-330","as:GENC:6:3-11:UG-330")</f>
        <v>as:GENC:6:3-11:UG-330</v>
      </c>
    </row>
    <row r="4713" spans="1:7" x14ac:dyDescent="0.25">
      <c r="A4713" s="112"/>
      <c r="B4713" s="21" t="s">
        <v>11045</v>
      </c>
      <c r="C4713" s="21" t="s">
        <v>4131</v>
      </c>
      <c r="D4713" s="76" t="s">
        <v>2931</v>
      </c>
      <c r="E4713" s="77" t="b">
        <v>0</v>
      </c>
      <c r="F4713" s="72" t="str">
        <f>HYPERLINK("http://nsgreg.nga.mil/genc/view?v=296321&amp;end_month=6&amp;end_day=30&amp;end_year=2019","Western")</f>
        <v>Western</v>
      </c>
      <c r="G4713" s="72" t="str">
        <f>HYPERLINK("http://api.nsgreg.nga.mil/geo-division/GENC/6/3-11/UG-W","as:GENC:6:3-11:UG-W")</f>
        <v>as:GENC:6:3-11:UG-W</v>
      </c>
    </row>
    <row r="4714" spans="1:7" x14ac:dyDescent="0.25">
      <c r="A4714" s="112"/>
      <c r="B4714" s="21" t="s">
        <v>11046</v>
      </c>
      <c r="C4714" s="21" t="s">
        <v>11047</v>
      </c>
      <c r="D4714" s="21" t="s">
        <v>2035</v>
      </c>
      <c r="E4714" s="50" t="b">
        <v>1</v>
      </c>
      <c r="F4714" s="72" t="str">
        <f>HYPERLINK("http://nsgreg.nga.mil/genc/view?v=296306&amp;end_month=6&amp;end_day=30&amp;end_year=2019","Buhweju")</f>
        <v>Buhweju</v>
      </c>
      <c r="G4714" s="72" t="str">
        <f>HYPERLINK("http://api.nsgreg.nga.mil/geo-division/GENC/6/3-11/UG-420","as:GENC:6:3-11:UG-420")</f>
        <v>as:GENC:6:3-11:UG-420</v>
      </c>
    </row>
    <row r="4715" spans="1:7" x14ac:dyDescent="0.25">
      <c r="A4715" s="112"/>
      <c r="B4715" s="21" t="s">
        <v>11048</v>
      </c>
      <c r="C4715" s="21" t="s">
        <v>11049</v>
      </c>
      <c r="D4715" s="21" t="s">
        <v>2035</v>
      </c>
      <c r="E4715" s="50" t="b">
        <v>1</v>
      </c>
      <c r="F4715" s="72" t="str">
        <f>HYPERLINK("http://nsgreg.nga.mil/genc/view?v=296302&amp;end_month=6&amp;end_day=30&amp;end_year=2019","Buliisa")</f>
        <v>Buliisa</v>
      </c>
      <c r="G4715" s="72" t="str">
        <f>HYPERLINK("http://api.nsgreg.nga.mil/geo-division/GENC/6/3-11/UG-416","as:GENC:6:3-11:UG-416")</f>
        <v>as:GENC:6:3-11:UG-416</v>
      </c>
    </row>
    <row r="4716" spans="1:7" x14ac:dyDescent="0.25">
      <c r="A4716" s="112"/>
      <c r="B4716" s="21" t="s">
        <v>11050</v>
      </c>
      <c r="C4716" s="21" t="s">
        <v>11051</v>
      </c>
      <c r="D4716" s="21" t="s">
        <v>2035</v>
      </c>
      <c r="E4716" s="50" t="b">
        <v>1</v>
      </c>
      <c r="F4716" s="72" t="str">
        <f>HYPERLINK("http://nsgreg.nga.mil/genc/view?v=296287&amp;end_month=6&amp;end_day=30&amp;end_year=2019","Bundibugyo")</f>
        <v>Bundibugyo</v>
      </c>
      <c r="G4716" s="72" t="str">
        <f>HYPERLINK("http://api.nsgreg.nga.mil/geo-division/GENC/6/3-11/UG-401","as:GENC:6:3-11:UG-401")</f>
        <v>as:GENC:6:3-11:UG-401</v>
      </c>
    </row>
    <row r="4717" spans="1:7" x14ac:dyDescent="0.25">
      <c r="A4717" s="112"/>
      <c r="B4717" s="21" t="s">
        <v>11052</v>
      </c>
      <c r="C4717" s="21" t="s">
        <v>11053</v>
      </c>
      <c r="D4717" s="21" t="s">
        <v>2035</v>
      </c>
      <c r="E4717" s="50" t="b">
        <v>1</v>
      </c>
      <c r="F4717" s="72" t="str">
        <f>HYPERLINK("http://nsgreg.nga.mil/genc/view?v=296316&amp;end_month=6&amp;end_day=30&amp;end_year=2019","Bunyangabu")</f>
        <v>Bunyangabu</v>
      </c>
      <c r="G4717" s="72" t="str">
        <f>HYPERLINK("http://api.nsgreg.nga.mil/geo-division/GENC/6/3-11/UG-430","as:GENC:6:3-11:UG-430")</f>
        <v>as:GENC:6:3-11:UG-430</v>
      </c>
    </row>
    <row r="4718" spans="1:7" x14ac:dyDescent="0.25">
      <c r="A4718" s="112"/>
      <c r="B4718" s="21" t="s">
        <v>11054</v>
      </c>
      <c r="C4718" s="21" t="s">
        <v>11055</v>
      </c>
      <c r="D4718" s="21" t="s">
        <v>2035</v>
      </c>
      <c r="E4718" s="50" t="b">
        <v>1</v>
      </c>
      <c r="F4718" s="72" t="str">
        <f>HYPERLINK("http://nsgreg.nga.mil/genc/view?v=296288&amp;end_month=6&amp;end_day=30&amp;end_year=2019","Bushenyi")</f>
        <v>Bushenyi</v>
      </c>
      <c r="G4718" s="72" t="str">
        <f>HYPERLINK("http://api.nsgreg.nga.mil/geo-division/GENC/6/3-11/UG-402","as:GENC:6:3-11:UG-402")</f>
        <v>as:GENC:6:3-11:UG-402</v>
      </c>
    </row>
    <row r="4719" spans="1:7" x14ac:dyDescent="0.25">
      <c r="A4719" s="112"/>
      <c r="B4719" s="21" t="s">
        <v>11056</v>
      </c>
      <c r="C4719" s="21" t="s">
        <v>11057</v>
      </c>
      <c r="D4719" s="21" t="s">
        <v>2035</v>
      </c>
      <c r="E4719" s="50" t="b">
        <v>1</v>
      </c>
      <c r="F4719" s="72" t="str">
        <f>HYPERLINK("http://nsgreg.nga.mil/genc/view?v=296289&amp;end_month=6&amp;end_day=30&amp;end_year=2019","Hoima")</f>
        <v>Hoima</v>
      </c>
      <c r="G4719" s="72" t="str">
        <f>HYPERLINK("http://api.nsgreg.nga.mil/geo-division/GENC/6/3-11/UG-403","as:GENC:6:3-11:UG-403")</f>
        <v>as:GENC:6:3-11:UG-403</v>
      </c>
    </row>
    <row r="4720" spans="1:7" x14ac:dyDescent="0.25">
      <c r="A4720" s="112"/>
      <c r="B4720" s="21" t="s">
        <v>11058</v>
      </c>
      <c r="C4720" s="21" t="s">
        <v>11059</v>
      </c>
      <c r="D4720" s="21" t="s">
        <v>2035</v>
      </c>
      <c r="E4720" s="50" t="b">
        <v>1</v>
      </c>
      <c r="F4720" s="72" t="str">
        <f>HYPERLINK("http://nsgreg.nga.mil/genc/view?v=296303&amp;end_month=6&amp;end_day=30&amp;end_year=2019","Ibanda")</f>
        <v>Ibanda</v>
      </c>
      <c r="G4720" s="72" t="str">
        <f>HYPERLINK("http://api.nsgreg.nga.mil/geo-division/GENC/6/3-11/UG-417","as:GENC:6:3-11:UG-417")</f>
        <v>as:GENC:6:3-11:UG-417</v>
      </c>
    </row>
    <row r="4721" spans="1:7" x14ac:dyDescent="0.25">
      <c r="A4721" s="112"/>
      <c r="B4721" s="21" t="s">
        <v>11060</v>
      </c>
      <c r="C4721" s="21" t="s">
        <v>11061</v>
      </c>
      <c r="D4721" s="21" t="s">
        <v>2035</v>
      </c>
      <c r="E4721" s="50" t="b">
        <v>1</v>
      </c>
      <c r="F4721" s="72" t="str">
        <f>HYPERLINK("http://nsgreg.nga.mil/genc/view?v=296304&amp;end_month=6&amp;end_day=30&amp;end_year=2019","Isingiro")</f>
        <v>Isingiro</v>
      </c>
      <c r="G4721" s="72" t="str">
        <f>HYPERLINK("http://api.nsgreg.nga.mil/geo-division/GENC/6/3-11/UG-418","as:GENC:6:3-11:UG-418")</f>
        <v>as:GENC:6:3-11:UG-418</v>
      </c>
    </row>
    <row r="4722" spans="1:7" x14ac:dyDescent="0.25">
      <c r="A4722" s="112"/>
      <c r="B4722" s="21" t="s">
        <v>11062</v>
      </c>
      <c r="C4722" s="21" t="s">
        <v>11063</v>
      </c>
      <c r="D4722" s="21" t="s">
        <v>2035</v>
      </c>
      <c r="E4722" s="50" t="b">
        <v>1</v>
      </c>
      <c r="F4722" s="72" t="str">
        <f>HYPERLINK("http://nsgreg.nga.mil/genc/view?v=296290&amp;end_month=6&amp;end_day=30&amp;end_year=2019","Kabale")</f>
        <v>Kabale</v>
      </c>
      <c r="G4722" s="72" t="str">
        <f>HYPERLINK("http://api.nsgreg.nga.mil/geo-division/GENC/6/3-11/UG-404","as:GENC:6:3-11:UG-404")</f>
        <v>as:GENC:6:3-11:UG-404</v>
      </c>
    </row>
    <row r="4723" spans="1:7" x14ac:dyDescent="0.25">
      <c r="A4723" s="112"/>
      <c r="B4723" s="21" t="s">
        <v>11064</v>
      </c>
      <c r="C4723" s="21" t="s">
        <v>11065</v>
      </c>
      <c r="D4723" s="21" t="s">
        <v>2035</v>
      </c>
      <c r="E4723" s="50" t="b">
        <v>1</v>
      </c>
      <c r="F4723" s="72" t="str">
        <f>HYPERLINK("http://nsgreg.nga.mil/genc/view?v=296291&amp;end_month=6&amp;end_day=30&amp;end_year=2019","Kabarole")</f>
        <v>Kabarole</v>
      </c>
      <c r="G4723" s="72" t="str">
        <f>HYPERLINK("http://api.nsgreg.nga.mil/geo-division/GENC/6/3-11/UG-405","as:GENC:6:3-11:UG-405")</f>
        <v>as:GENC:6:3-11:UG-405</v>
      </c>
    </row>
    <row r="4724" spans="1:7" x14ac:dyDescent="0.25">
      <c r="A4724" s="112"/>
      <c r="B4724" s="21" t="s">
        <v>11066</v>
      </c>
      <c r="C4724" s="21" t="s">
        <v>11067</v>
      </c>
      <c r="D4724" s="21" t="s">
        <v>2035</v>
      </c>
      <c r="E4724" s="50" t="b">
        <v>1</v>
      </c>
      <c r="F4724" s="72" t="str">
        <f>HYPERLINK("http://nsgreg.nga.mil/genc/view?v=296313&amp;end_month=6&amp;end_day=30&amp;end_year=2019","Kagadi")</f>
        <v>Kagadi</v>
      </c>
      <c r="G4724" s="72" t="str">
        <f>HYPERLINK("http://api.nsgreg.nga.mil/geo-division/GENC/6/3-11/UG-427","as:GENC:6:3-11:UG-427")</f>
        <v>as:GENC:6:3-11:UG-427</v>
      </c>
    </row>
    <row r="4725" spans="1:7" x14ac:dyDescent="0.25">
      <c r="A4725" s="112"/>
      <c r="B4725" s="21" t="s">
        <v>11068</v>
      </c>
      <c r="C4725" s="21" t="s">
        <v>11069</v>
      </c>
      <c r="D4725" s="21" t="s">
        <v>2035</v>
      </c>
      <c r="E4725" s="50" t="b">
        <v>1</v>
      </c>
      <c r="F4725" s="72" t="str">
        <f>HYPERLINK("http://nsgreg.nga.mil/genc/view?v=296314&amp;end_month=6&amp;end_day=30&amp;end_year=2019","Kakumiro")</f>
        <v>Kakumiro</v>
      </c>
      <c r="G4725" s="72" t="str">
        <f>HYPERLINK("http://api.nsgreg.nga.mil/geo-division/GENC/6/3-11/UG-428","as:GENC:6:3-11:UG-428")</f>
        <v>as:GENC:6:3-11:UG-428</v>
      </c>
    </row>
    <row r="4726" spans="1:7" x14ac:dyDescent="0.25">
      <c r="A4726" s="112"/>
      <c r="B4726" s="21" t="s">
        <v>11070</v>
      </c>
      <c r="C4726" s="21" t="s">
        <v>11071</v>
      </c>
      <c r="D4726" s="21" t="s">
        <v>2035</v>
      </c>
      <c r="E4726" s="50" t="b">
        <v>1</v>
      </c>
      <c r="F4726" s="72" t="str">
        <f>HYPERLINK("http://nsgreg.nga.mil/genc/view?v=296299&amp;end_month=6&amp;end_day=30&amp;end_year=2019","Kamwenge")</f>
        <v>Kamwenge</v>
      </c>
      <c r="G4726" s="72" t="str">
        <f>HYPERLINK("http://api.nsgreg.nga.mil/geo-division/GENC/6/3-11/UG-413","as:GENC:6:3-11:UG-413")</f>
        <v>as:GENC:6:3-11:UG-413</v>
      </c>
    </row>
    <row r="4727" spans="1:7" x14ac:dyDescent="0.25">
      <c r="A4727" s="112"/>
      <c r="B4727" s="21" t="s">
        <v>11072</v>
      </c>
      <c r="C4727" s="21" t="s">
        <v>11073</v>
      </c>
      <c r="D4727" s="21" t="s">
        <v>2035</v>
      </c>
      <c r="E4727" s="50" t="b">
        <v>1</v>
      </c>
      <c r="F4727" s="72" t="str">
        <f>HYPERLINK("http://nsgreg.nga.mil/genc/view?v=296300&amp;end_month=6&amp;end_day=30&amp;end_year=2019","Kanungu")</f>
        <v>Kanungu</v>
      </c>
      <c r="G4727" s="72" t="str">
        <f>HYPERLINK("http://api.nsgreg.nga.mil/geo-division/GENC/6/3-11/UG-414","as:GENC:6:3-11:UG-414")</f>
        <v>as:GENC:6:3-11:UG-414</v>
      </c>
    </row>
    <row r="4728" spans="1:7" x14ac:dyDescent="0.25">
      <c r="A4728" s="112"/>
      <c r="B4728" s="21" t="s">
        <v>11074</v>
      </c>
      <c r="C4728" s="21" t="s">
        <v>11075</v>
      </c>
      <c r="D4728" s="21" t="s">
        <v>2035</v>
      </c>
      <c r="E4728" s="50" t="b">
        <v>1</v>
      </c>
      <c r="F4728" s="72" t="str">
        <f>HYPERLINK("http://nsgreg.nga.mil/genc/view?v=296292&amp;end_month=6&amp;end_day=30&amp;end_year=2019","Kasese")</f>
        <v>Kasese</v>
      </c>
      <c r="G4728" s="72" t="str">
        <f>HYPERLINK("http://api.nsgreg.nga.mil/geo-division/GENC/6/3-11/UG-406","as:GENC:6:3-11:UG-406")</f>
        <v>as:GENC:6:3-11:UG-406</v>
      </c>
    </row>
    <row r="4729" spans="1:7" x14ac:dyDescent="0.25">
      <c r="A4729" s="112"/>
      <c r="B4729" s="21" t="s">
        <v>11076</v>
      </c>
      <c r="C4729" s="21" t="s">
        <v>11077</v>
      </c>
      <c r="D4729" s="21" t="s">
        <v>2035</v>
      </c>
      <c r="E4729" s="50" t="b">
        <v>1</v>
      </c>
      <c r="F4729" s="72" t="str">
        <f>HYPERLINK("http://nsgreg.nga.mil/genc/view?v=296293&amp;end_month=6&amp;end_day=30&amp;end_year=2019","Kibaale")</f>
        <v>Kibaale</v>
      </c>
      <c r="G4729" s="72" t="str">
        <f>HYPERLINK("http://api.nsgreg.nga.mil/geo-division/GENC/6/3-11/UG-407","as:GENC:6:3-11:UG-407")</f>
        <v>as:GENC:6:3-11:UG-407</v>
      </c>
    </row>
    <row r="4730" spans="1:7" x14ac:dyDescent="0.25">
      <c r="A4730" s="112"/>
      <c r="B4730" s="21" t="s">
        <v>11078</v>
      </c>
      <c r="C4730" s="21" t="s">
        <v>11079</v>
      </c>
      <c r="D4730" s="21" t="s">
        <v>2035</v>
      </c>
      <c r="E4730" s="50" t="b">
        <v>1</v>
      </c>
      <c r="F4730" s="72" t="str">
        <f>HYPERLINK("http://nsgreg.nga.mil/genc/view?v=296305&amp;end_month=6&amp;end_day=30&amp;end_year=2019","Kiruhura")</f>
        <v>Kiruhura</v>
      </c>
      <c r="G4730" s="72" t="str">
        <f>HYPERLINK("http://api.nsgreg.nga.mil/geo-division/GENC/6/3-11/UG-419","as:GENC:6:3-11:UG-419")</f>
        <v>as:GENC:6:3-11:UG-419</v>
      </c>
    </row>
    <row r="4731" spans="1:7" x14ac:dyDescent="0.25">
      <c r="A4731" s="112"/>
      <c r="B4731" s="21" t="s">
        <v>11080</v>
      </c>
      <c r="C4731" s="21" t="s">
        <v>11081</v>
      </c>
      <c r="D4731" s="21" t="s">
        <v>2035</v>
      </c>
      <c r="E4731" s="50" t="b">
        <v>1</v>
      </c>
      <c r="F4731" s="72" t="str">
        <f>HYPERLINK("http://nsgreg.nga.mil/genc/view?v=296307&amp;end_month=6&amp;end_day=30&amp;end_year=2019","Kiryandongo")</f>
        <v>Kiryandongo</v>
      </c>
      <c r="G4731" s="72" t="str">
        <f>HYPERLINK("http://api.nsgreg.nga.mil/geo-division/GENC/6/3-11/UG-421","as:GENC:6:3-11:UG-421")</f>
        <v>as:GENC:6:3-11:UG-421</v>
      </c>
    </row>
    <row r="4732" spans="1:7" x14ac:dyDescent="0.25">
      <c r="A4732" s="112"/>
      <c r="B4732" s="21" t="s">
        <v>11082</v>
      </c>
      <c r="C4732" s="21" t="s">
        <v>11083</v>
      </c>
      <c r="D4732" s="21" t="s">
        <v>2035</v>
      </c>
      <c r="E4732" s="50" t="b">
        <v>1</v>
      </c>
      <c r="F4732" s="72" t="str">
        <f>HYPERLINK("http://nsgreg.nga.mil/genc/view?v=296294&amp;end_month=6&amp;end_day=30&amp;end_year=2019","Kisoro")</f>
        <v>Kisoro</v>
      </c>
      <c r="G4732" s="72" t="str">
        <f>HYPERLINK("http://api.nsgreg.nga.mil/geo-division/GENC/6/3-11/UG-408","as:GENC:6:3-11:UG-408")</f>
        <v>as:GENC:6:3-11:UG-408</v>
      </c>
    </row>
    <row r="4733" spans="1:7" x14ac:dyDescent="0.25">
      <c r="A4733" s="112"/>
      <c r="B4733" s="21" t="s">
        <v>11084</v>
      </c>
      <c r="C4733" s="21" t="s">
        <v>11085</v>
      </c>
      <c r="D4733" s="21" t="s">
        <v>2035</v>
      </c>
      <c r="E4733" s="50" t="b">
        <v>1</v>
      </c>
      <c r="F4733" s="72" t="str">
        <f>HYPERLINK("http://nsgreg.nga.mil/genc/view?v=296308&amp;end_month=6&amp;end_day=30&amp;end_year=2019","Kyegegwa")</f>
        <v>Kyegegwa</v>
      </c>
      <c r="G4733" s="72" t="str">
        <f>HYPERLINK("http://api.nsgreg.nga.mil/geo-division/GENC/6/3-11/UG-422","as:GENC:6:3-11:UG-422")</f>
        <v>as:GENC:6:3-11:UG-422</v>
      </c>
    </row>
    <row r="4734" spans="1:7" x14ac:dyDescent="0.25">
      <c r="A4734" s="112"/>
      <c r="B4734" s="21" t="s">
        <v>11086</v>
      </c>
      <c r="C4734" s="21" t="s">
        <v>11087</v>
      </c>
      <c r="D4734" s="21" t="s">
        <v>2035</v>
      </c>
      <c r="E4734" s="50" t="b">
        <v>1</v>
      </c>
      <c r="F4734" s="72" t="str">
        <f>HYPERLINK("http://nsgreg.nga.mil/genc/view?v=296301&amp;end_month=6&amp;end_day=30&amp;end_year=2019","Kyenjojo")</f>
        <v>Kyenjojo</v>
      </c>
      <c r="G4734" s="72" t="str">
        <f>HYPERLINK("http://api.nsgreg.nga.mil/geo-division/GENC/6/3-11/UG-415","as:GENC:6:3-11:UG-415")</f>
        <v>as:GENC:6:3-11:UG-415</v>
      </c>
    </row>
    <row r="4735" spans="1:7" x14ac:dyDescent="0.25">
      <c r="A4735" s="112"/>
      <c r="B4735" s="21" t="s">
        <v>11088</v>
      </c>
      <c r="C4735" s="21" t="s">
        <v>11089</v>
      </c>
      <c r="D4735" s="21" t="s">
        <v>2035</v>
      </c>
      <c r="E4735" s="50" t="b">
        <v>1</v>
      </c>
      <c r="F4735" s="72" t="str">
        <f>HYPERLINK("http://nsgreg.nga.mil/genc/view?v=296295&amp;end_month=6&amp;end_day=30&amp;end_year=2019","Masindi")</f>
        <v>Masindi</v>
      </c>
      <c r="G4735" s="72" t="str">
        <f>HYPERLINK("http://api.nsgreg.nga.mil/geo-division/GENC/6/3-11/UG-409","as:GENC:6:3-11:UG-409")</f>
        <v>as:GENC:6:3-11:UG-409</v>
      </c>
    </row>
    <row r="4736" spans="1:7" x14ac:dyDescent="0.25">
      <c r="A4736" s="112"/>
      <c r="B4736" s="21" t="s">
        <v>11090</v>
      </c>
      <c r="C4736" s="21" t="s">
        <v>11091</v>
      </c>
      <c r="D4736" s="21" t="s">
        <v>2035</v>
      </c>
      <c r="E4736" s="50" t="b">
        <v>1</v>
      </c>
      <c r="F4736" s="72" t="str">
        <f>HYPERLINK("http://nsgreg.nga.mil/genc/view?v=296296&amp;end_month=6&amp;end_day=30&amp;end_year=2019","Mbarara")</f>
        <v>Mbarara</v>
      </c>
      <c r="G4736" s="72" t="str">
        <f>HYPERLINK("http://api.nsgreg.nga.mil/geo-division/GENC/6/3-11/UG-410","as:GENC:6:3-11:UG-410")</f>
        <v>as:GENC:6:3-11:UG-410</v>
      </c>
    </row>
    <row r="4737" spans="1:7" x14ac:dyDescent="0.25">
      <c r="A4737" s="112"/>
      <c r="B4737" s="21" t="s">
        <v>11092</v>
      </c>
      <c r="C4737" s="21" t="s">
        <v>11093</v>
      </c>
      <c r="D4737" s="21" t="s">
        <v>2035</v>
      </c>
      <c r="E4737" s="50" t="b">
        <v>1</v>
      </c>
      <c r="F4737" s="72" t="str">
        <f>HYPERLINK("http://nsgreg.nga.mil/genc/view?v=296309&amp;end_month=6&amp;end_day=30&amp;end_year=2019","Mitooma")</f>
        <v>Mitooma</v>
      </c>
      <c r="G4737" s="72" t="str">
        <f>HYPERLINK("http://api.nsgreg.nga.mil/geo-division/GENC/6/3-11/UG-423","as:GENC:6:3-11:UG-423")</f>
        <v>as:GENC:6:3-11:UG-423</v>
      </c>
    </row>
    <row r="4738" spans="1:7" x14ac:dyDescent="0.25">
      <c r="A4738" s="112"/>
      <c r="B4738" s="21" t="s">
        <v>11094</v>
      </c>
      <c r="C4738" s="21" t="s">
        <v>11095</v>
      </c>
      <c r="D4738" s="21" t="s">
        <v>2035</v>
      </c>
      <c r="E4738" s="50" t="b">
        <v>1</v>
      </c>
      <c r="F4738" s="72" t="str">
        <f>HYPERLINK("http://nsgreg.nga.mil/genc/view?v=296310&amp;end_month=6&amp;end_day=30&amp;end_year=2019","Ntoroko")</f>
        <v>Ntoroko</v>
      </c>
      <c r="G4738" s="72" t="str">
        <f>HYPERLINK("http://api.nsgreg.nga.mil/geo-division/GENC/6/3-11/UG-424","as:GENC:6:3-11:UG-424")</f>
        <v>as:GENC:6:3-11:UG-424</v>
      </c>
    </row>
    <row r="4739" spans="1:7" x14ac:dyDescent="0.25">
      <c r="A4739" s="112"/>
      <c r="B4739" s="21" t="s">
        <v>11096</v>
      </c>
      <c r="C4739" s="21" t="s">
        <v>11097</v>
      </c>
      <c r="D4739" s="21" t="s">
        <v>2035</v>
      </c>
      <c r="E4739" s="50" t="b">
        <v>1</v>
      </c>
      <c r="F4739" s="72" t="str">
        <f>HYPERLINK("http://nsgreg.nga.mil/genc/view?v=296297&amp;end_month=6&amp;end_day=30&amp;end_year=2019","Ntungamo")</f>
        <v>Ntungamo</v>
      </c>
      <c r="G4739" s="72" t="str">
        <f>HYPERLINK("http://api.nsgreg.nga.mil/geo-division/GENC/6/3-11/UG-411","as:GENC:6:3-11:UG-411")</f>
        <v>as:GENC:6:3-11:UG-411</v>
      </c>
    </row>
    <row r="4740" spans="1:7" x14ac:dyDescent="0.25">
      <c r="A4740" s="112"/>
      <c r="B4740" s="21" t="s">
        <v>11098</v>
      </c>
      <c r="C4740" s="21" t="s">
        <v>11099</v>
      </c>
      <c r="D4740" s="21" t="s">
        <v>2035</v>
      </c>
      <c r="E4740" s="50" t="b">
        <v>1</v>
      </c>
      <c r="F4740" s="72" t="str">
        <f>HYPERLINK("http://nsgreg.nga.mil/genc/view?v=296315&amp;end_month=6&amp;end_day=30&amp;end_year=2019","Rubanda")</f>
        <v>Rubanda</v>
      </c>
      <c r="G4740" s="72" t="str">
        <f>HYPERLINK("http://api.nsgreg.nga.mil/geo-division/GENC/6/3-11/UG-429","as:GENC:6:3-11:UG-429")</f>
        <v>as:GENC:6:3-11:UG-429</v>
      </c>
    </row>
    <row r="4741" spans="1:7" x14ac:dyDescent="0.25">
      <c r="A4741" s="112"/>
      <c r="B4741" s="21" t="s">
        <v>11100</v>
      </c>
      <c r="C4741" s="21" t="s">
        <v>11101</v>
      </c>
      <c r="D4741" s="21" t="s">
        <v>2035</v>
      </c>
      <c r="E4741" s="50" t="b">
        <v>1</v>
      </c>
      <c r="F4741" s="72" t="str">
        <f>HYPERLINK("http://nsgreg.nga.mil/genc/view?v=296311&amp;end_month=6&amp;end_day=30&amp;end_year=2019","Rubirizi")</f>
        <v>Rubirizi</v>
      </c>
      <c r="G4741" s="72" t="str">
        <f>HYPERLINK("http://api.nsgreg.nga.mil/geo-division/GENC/6/3-11/UG-425","as:GENC:6:3-11:UG-425")</f>
        <v>as:GENC:6:3-11:UG-425</v>
      </c>
    </row>
    <row r="4742" spans="1:7" x14ac:dyDescent="0.25">
      <c r="A4742" s="112"/>
      <c r="B4742" s="21" t="s">
        <v>11102</v>
      </c>
      <c r="C4742" s="21" t="s">
        <v>11103</v>
      </c>
      <c r="D4742" s="21" t="s">
        <v>2035</v>
      </c>
      <c r="E4742" s="50" t="b">
        <v>1</v>
      </c>
      <c r="F4742" s="72" t="str">
        <f>HYPERLINK("http://nsgreg.nga.mil/genc/view?v=296317&amp;end_month=6&amp;end_day=30&amp;end_year=2019","Rukiga")</f>
        <v>Rukiga</v>
      </c>
      <c r="G4742" s="72" t="str">
        <f>HYPERLINK("http://api.nsgreg.nga.mil/geo-division/GENC/6/3-11/UG-431","as:GENC:6:3-11:UG-431")</f>
        <v>as:GENC:6:3-11:UG-431</v>
      </c>
    </row>
    <row r="4743" spans="1:7" x14ac:dyDescent="0.25">
      <c r="A4743" s="112"/>
      <c r="B4743" s="21" t="s">
        <v>11104</v>
      </c>
      <c r="C4743" s="21" t="s">
        <v>11105</v>
      </c>
      <c r="D4743" s="21" t="s">
        <v>2035</v>
      </c>
      <c r="E4743" s="50" t="b">
        <v>1</v>
      </c>
      <c r="F4743" s="72" t="str">
        <f>HYPERLINK("http://nsgreg.nga.mil/genc/view?v=296298&amp;end_month=6&amp;end_day=30&amp;end_year=2019","Rukungiri")</f>
        <v>Rukungiri</v>
      </c>
      <c r="G4743" s="72" t="str">
        <f>HYPERLINK("http://api.nsgreg.nga.mil/geo-division/GENC/6/3-11/UG-412","as:GENC:6:3-11:UG-412")</f>
        <v>as:GENC:6:3-11:UG-412</v>
      </c>
    </row>
    <row r="4744" spans="1:7" x14ac:dyDescent="0.25">
      <c r="A4744" s="113"/>
      <c r="B4744" s="47" t="s">
        <v>11106</v>
      </c>
      <c r="C4744" s="47" t="s">
        <v>11107</v>
      </c>
      <c r="D4744" s="47" t="s">
        <v>2035</v>
      </c>
      <c r="E4744" s="51" t="b">
        <v>1</v>
      </c>
      <c r="F4744" s="73" t="str">
        <f>HYPERLINK("http://nsgreg.nga.mil/genc/view?v=296312&amp;end_month=6&amp;end_day=30&amp;end_year=2019","Sheema")</f>
        <v>Sheema</v>
      </c>
      <c r="G4744" s="73" t="str">
        <f>HYPERLINK("http://api.nsgreg.nga.mil/geo-division/GENC/6/3-11/UG-426","as:GENC:6:3-11:UG-426")</f>
        <v>as:GENC:6:3-11:UG-426</v>
      </c>
    </row>
    <row r="4745" spans="1:7" x14ac:dyDescent="0.25">
      <c r="A4745" s="111" t="str">
        <f>HYPERLINK("[#]Codes_for_GE_Names!A264:I264","UKRAINE")</f>
        <v>UKRAINE</v>
      </c>
      <c r="B4745" s="42" t="s">
        <v>11108</v>
      </c>
      <c r="C4745" s="42" t="s">
        <v>11109</v>
      </c>
      <c r="D4745" s="42" t="s">
        <v>1668</v>
      </c>
      <c r="E4745" s="49" t="b">
        <v>1</v>
      </c>
      <c r="F4745" s="74" t="str">
        <f>HYPERLINK("http://nsgreg.nga.mil/genc/view?v=296193&amp;end_month=6&amp;end_day=30&amp;end_year=2019","Cherkas’ka Oblast’")</f>
        <v>Cherkas’ka Oblast’</v>
      </c>
      <c r="G4745" s="74" t="str">
        <f>HYPERLINK("http://api.nsgreg.nga.mil/geo-division/GENC/6/3-11/UA-71","as:GENC:6:3-11:UA-71")</f>
        <v>as:GENC:6:3-11:UA-71</v>
      </c>
    </row>
    <row r="4746" spans="1:7" x14ac:dyDescent="0.25">
      <c r="A4746" s="112"/>
      <c r="B4746" s="21" t="s">
        <v>11110</v>
      </c>
      <c r="C4746" s="21" t="s">
        <v>11111</v>
      </c>
      <c r="D4746" s="21" t="s">
        <v>1668</v>
      </c>
      <c r="E4746" s="50" t="b">
        <v>1</v>
      </c>
      <c r="F4746" s="72" t="str">
        <f>HYPERLINK("http://nsgreg.nga.mil/genc/view?v=296194&amp;end_month=6&amp;end_day=30&amp;end_year=2019","Chernihivs’ka Oblast’")</f>
        <v>Chernihivs’ka Oblast’</v>
      </c>
      <c r="G4746" s="72" t="str">
        <f>HYPERLINK("http://api.nsgreg.nga.mil/geo-division/GENC/6/3-11/UA-74","as:GENC:6:3-11:UA-74")</f>
        <v>as:GENC:6:3-11:UA-74</v>
      </c>
    </row>
    <row r="4747" spans="1:7" x14ac:dyDescent="0.25">
      <c r="A4747" s="112"/>
      <c r="B4747" s="21" t="s">
        <v>11112</v>
      </c>
      <c r="C4747" s="21" t="s">
        <v>11113</v>
      </c>
      <c r="D4747" s="21" t="s">
        <v>1668</v>
      </c>
      <c r="E4747" s="50" t="b">
        <v>1</v>
      </c>
      <c r="F4747" s="72" t="str">
        <f>HYPERLINK("http://nsgreg.nga.mil/genc/view?v=296195&amp;end_month=6&amp;end_day=30&amp;end_year=2019","Chernivets’ka Oblast’")</f>
        <v>Chernivets’ka Oblast’</v>
      </c>
      <c r="G4747" s="72" t="str">
        <f>HYPERLINK("http://api.nsgreg.nga.mil/geo-division/GENC/6/3-11/UA-77","as:GENC:6:3-11:UA-77")</f>
        <v>as:GENC:6:3-11:UA-77</v>
      </c>
    </row>
    <row r="4748" spans="1:7" x14ac:dyDescent="0.25">
      <c r="A4748" s="112"/>
      <c r="B4748" s="21" t="s">
        <v>11114</v>
      </c>
      <c r="C4748" s="21" t="s">
        <v>11115</v>
      </c>
      <c r="D4748" s="21" t="s">
        <v>1668</v>
      </c>
      <c r="E4748" s="50" t="b">
        <v>1</v>
      </c>
      <c r="F4748" s="72" t="str">
        <f>HYPERLINK("http://nsgreg.nga.mil/genc/view?v=296172&amp;end_month=6&amp;end_day=30&amp;end_year=2019","Dnipropetrovs’ka Oblast’")</f>
        <v>Dnipropetrovs’ka Oblast’</v>
      </c>
      <c r="G4748" s="72" t="str">
        <f>HYPERLINK("http://api.nsgreg.nga.mil/geo-division/GENC/6/3-11/UA-12","as:GENC:6:3-11:UA-12")</f>
        <v>as:GENC:6:3-11:UA-12</v>
      </c>
    </row>
    <row r="4749" spans="1:7" x14ac:dyDescent="0.25">
      <c r="A4749" s="112"/>
      <c r="B4749" s="21" t="s">
        <v>11116</v>
      </c>
      <c r="C4749" s="21" t="s">
        <v>11117</v>
      </c>
      <c r="D4749" s="21" t="s">
        <v>1668</v>
      </c>
      <c r="E4749" s="50" t="b">
        <v>1</v>
      </c>
      <c r="F4749" s="72" t="str">
        <f>HYPERLINK("http://nsgreg.nga.mil/genc/view?v=296173&amp;end_month=6&amp;end_day=30&amp;end_year=2019","Donets’ka Oblast’")</f>
        <v>Donets’ka Oblast’</v>
      </c>
      <c r="G4749" s="72" t="str">
        <f>HYPERLINK("http://api.nsgreg.nga.mil/geo-division/GENC/6/3-11/UA-14","as:GENC:6:3-11:UA-14")</f>
        <v>as:GENC:6:3-11:UA-14</v>
      </c>
    </row>
    <row r="4750" spans="1:7" x14ac:dyDescent="0.25">
      <c r="A4750" s="112"/>
      <c r="B4750" s="21" t="s">
        <v>11118</v>
      </c>
      <c r="C4750" s="21" t="s">
        <v>11119</v>
      </c>
      <c r="D4750" s="21" t="s">
        <v>1668</v>
      </c>
      <c r="E4750" s="50" t="b">
        <v>1</v>
      </c>
      <c r="F4750" s="72" t="str">
        <f>HYPERLINK("http://nsgreg.nga.mil/genc/view?v=296177&amp;end_month=6&amp;end_day=30&amp;end_year=2019","Ivano-Frankivs’ka Oblast’")</f>
        <v>Ivano-Frankivs’ka Oblast’</v>
      </c>
      <c r="G4750" s="72" t="str">
        <f>HYPERLINK("http://api.nsgreg.nga.mil/geo-division/GENC/6/3-11/UA-26","as:GENC:6:3-11:UA-26")</f>
        <v>as:GENC:6:3-11:UA-26</v>
      </c>
    </row>
    <row r="4751" spans="1:7" x14ac:dyDescent="0.25">
      <c r="A4751" s="112"/>
      <c r="B4751" s="21" t="s">
        <v>11120</v>
      </c>
      <c r="C4751" s="21" t="s">
        <v>11121</v>
      </c>
      <c r="D4751" s="21" t="s">
        <v>1668</v>
      </c>
      <c r="E4751" s="50" t="b">
        <v>1</v>
      </c>
      <c r="F4751" s="72" t="str">
        <f>HYPERLINK("http://nsgreg.nga.mil/genc/view?v=296190&amp;end_month=6&amp;end_day=30&amp;end_year=2019","Kharkivs’ka Oblast’")</f>
        <v>Kharkivs’ka Oblast’</v>
      </c>
      <c r="G4751" s="72" t="str">
        <f>HYPERLINK("http://api.nsgreg.nga.mil/geo-division/GENC/6/3-11/UA-63","as:GENC:6:3-11:UA-63")</f>
        <v>as:GENC:6:3-11:UA-63</v>
      </c>
    </row>
    <row r="4752" spans="1:7" x14ac:dyDescent="0.25">
      <c r="A4752" s="112"/>
      <c r="B4752" s="21" t="s">
        <v>11122</v>
      </c>
      <c r="C4752" s="21" t="s">
        <v>11123</v>
      </c>
      <c r="D4752" s="21" t="s">
        <v>1668</v>
      </c>
      <c r="E4752" s="50" t="b">
        <v>1</v>
      </c>
      <c r="F4752" s="72" t="str">
        <f>HYPERLINK("http://nsgreg.nga.mil/genc/view?v=296191&amp;end_month=6&amp;end_day=30&amp;end_year=2019","Khersons’ka Oblast’")</f>
        <v>Khersons’ka Oblast’</v>
      </c>
      <c r="G4752" s="72" t="str">
        <f>HYPERLINK("http://api.nsgreg.nga.mil/geo-division/GENC/6/3-11/UA-65","as:GENC:6:3-11:UA-65")</f>
        <v>as:GENC:6:3-11:UA-65</v>
      </c>
    </row>
    <row r="4753" spans="1:7" x14ac:dyDescent="0.25">
      <c r="A4753" s="112"/>
      <c r="B4753" s="21" t="s">
        <v>11124</v>
      </c>
      <c r="C4753" s="21" t="s">
        <v>11125</v>
      </c>
      <c r="D4753" s="21" t="s">
        <v>1668</v>
      </c>
      <c r="E4753" s="50" t="b">
        <v>1</v>
      </c>
      <c r="F4753" s="72" t="str">
        <f>HYPERLINK("http://nsgreg.nga.mil/genc/view?v=296192&amp;end_month=6&amp;end_day=30&amp;end_year=2019","Khmel’nyts’ka Oblast’")</f>
        <v>Khmel’nyts’ka Oblast’</v>
      </c>
      <c r="G4753" s="72" t="str">
        <f>HYPERLINK("http://api.nsgreg.nga.mil/geo-division/GENC/6/3-11/UA-68","as:GENC:6:3-11:UA-68")</f>
        <v>as:GENC:6:3-11:UA-68</v>
      </c>
    </row>
    <row r="4754" spans="1:7" x14ac:dyDescent="0.25">
      <c r="A4754" s="112"/>
      <c r="B4754" s="21" t="s">
        <v>11126</v>
      </c>
      <c r="C4754" s="21" t="s">
        <v>11127</v>
      </c>
      <c r="D4754" s="21" t="s">
        <v>1668</v>
      </c>
      <c r="E4754" s="50" t="b">
        <v>1</v>
      </c>
      <c r="F4754" s="72" t="str">
        <f>HYPERLINK("http://nsgreg.nga.mil/genc/view?v=296180&amp;end_month=6&amp;end_day=30&amp;end_year=2019","Kirovohrads’ka Oblast’")</f>
        <v>Kirovohrads’ka Oblast’</v>
      </c>
      <c r="G4754" s="72" t="str">
        <f>HYPERLINK("http://api.nsgreg.nga.mil/geo-division/GENC/6/3-11/UA-35","as:GENC:6:3-11:UA-35")</f>
        <v>as:GENC:6:3-11:UA-35</v>
      </c>
    </row>
    <row r="4755" spans="1:7" x14ac:dyDescent="0.25">
      <c r="A4755" s="112"/>
      <c r="B4755" s="21" t="s">
        <v>11128</v>
      </c>
      <c r="C4755" s="21" t="s">
        <v>11129</v>
      </c>
      <c r="D4755" s="21" t="s">
        <v>2101</v>
      </c>
      <c r="E4755" s="50" t="b">
        <v>1</v>
      </c>
      <c r="F4755" s="72" t="str">
        <f>HYPERLINK("http://nsgreg.nga.mil/genc/view?v=296182&amp;end_month=6&amp;end_day=30&amp;end_year=2019","Krym, Avtonomna Respublika")</f>
        <v>Krym, Avtonomna Respublika</v>
      </c>
      <c r="G4755" s="72" t="str">
        <f>HYPERLINK("http://api.nsgreg.nga.mil/geo-division/GENC/6/3-11/UA-43","as:GENC:6:3-11:UA-43")</f>
        <v>as:GENC:6:3-11:UA-43</v>
      </c>
    </row>
    <row r="4756" spans="1:7" x14ac:dyDescent="0.25">
      <c r="A4756" s="112"/>
      <c r="B4756" s="21" t="s">
        <v>11130</v>
      </c>
      <c r="C4756" s="21" t="s">
        <v>11131</v>
      </c>
      <c r="D4756" s="21" t="s">
        <v>1996</v>
      </c>
      <c r="E4756" s="50" t="b">
        <v>1</v>
      </c>
      <c r="F4756" s="72" t="str">
        <f>HYPERLINK("http://nsgreg.nga.mil/genc/view?v=296178&amp;end_month=6&amp;end_day=30&amp;end_year=2019","Kyyiv, Misto")</f>
        <v>Kyyiv, Misto</v>
      </c>
      <c r="G4756" s="72" t="str">
        <f>HYPERLINK("http://api.nsgreg.nga.mil/geo-division/GENC/6/3-11/UA-30","as:GENC:6:3-11:UA-30")</f>
        <v>as:GENC:6:3-11:UA-30</v>
      </c>
    </row>
    <row r="4757" spans="1:7" x14ac:dyDescent="0.25">
      <c r="A4757" s="112"/>
      <c r="B4757" s="21" t="s">
        <v>11132</v>
      </c>
      <c r="C4757" s="21" t="s">
        <v>11133</v>
      </c>
      <c r="D4757" s="21" t="s">
        <v>1668</v>
      </c>
      <c r="E4757" s="50" t="b">
        <v>1</v>
      </c>
      <c r="F4757" s="72" t="str">
        <f>HYPERLINK("http://nsgreg.nga.mil/genc/view?v=296179&amp;end_month=6&amp;end_day=30&amp;end_year=2019","Kyyivs’ka Oblast’")</f>
        <v>Kyyivs’ka Oblast’</v>
      </c>
      <c r="G4757" s="72" t="str">
        <f>HYPERLINK("http://api.nsgreg.nga.mil/geo-division/GENC/6/3-11/UA-32","as:GENC:6:3-11:UA-32")</f>
        <v>as:GENC:6:3-11:UA-32</v>
      </c>
    </row>
    <row r="4758" spans="1:7" x14ac:dyDescent="0.25">
      <c r="A4758" s="112"/>
      <c r="B4758" s="21" t="s">
        <v>11134</v>
      </c>
      <c r="C4758" s="21" t="s">
        <v>11135</v>
      </c>
      <c r="D4758" s="21" t="s">
        <v>1668</v>
      </c>
      <c r="E4758" s="50" t="b">
        <v>1</v>
      </c>
      <c r="F4758" s="72" t="str">
        <f>HYPERLINK("http://nsgreg.nga.mil/genc/view?v=296171&amp;end_month=6&amp;end_day=30&amp;end_year=2019","Luhans’ka Oblast’")</f>
        <v>Luhans’ka Oblast’</v>
      </c>
      <c r="G4758" s="72" t="str">
        <f>HYPERLINK("http://api.nsgreg.nga.mil/geo-division/GENC/6/3-11/UA-09","as:GENC:6:3-11:UA-09")</f>
        <v>as:GENC:6:3-11:UA-09</v>
      </c>
    </row>
    <row r="4759" spans="1:7" x14ac:dyDescent="0.25">
      <c r="A4759" s="112"/>
      <c r="B4759" s="21" t="s">
        <v>11136</v>
      </c>
      <c r="C4759" s="21" t="s">
        <v>11137</v>
      </c>
      <c r="D4759" s="21" t="s">
        <v>1668</v>
      </c>
      <c r="E4759" s="50" t="b">
        <v>1</v>
      </c>
      <c r="F4759" s="72" t="str">
        <f>HYPERLINK("http://nsgreg.nga.mil/genc/view?v=296183&amp;end_month=6&amp;end_day=30&amp;end_year=2019","L’vivs’ka Oblast’")</f>
        <v>L’vivs’ka Oblast’</v>
      </c>
      <c r="G4759" s="72" t="str">
        <f>HYPERLINK("http://api.nsgreg.nga.mil/geo-division/GENC/6/3-11/UA-46","as:GENC:6:3-11:UA-46")</f>
        <v>as:GENC:6:3-11:UA-46</v>
      </c>
    </row>
    <row r="4760" spans="1:7" x14ac:dyDescent="0.25">
      <c r="A4760" s="112"/>
      <c r="B4760" s="21" t="s">
        <v>11138</v>
      </c>
      <c r="C4760" s="21" t="s">
        <v>11139</v>
      </c>
      <c r="D4760" s="21" t="s">
        <v>1668</v>
      </c>
      <c r="E4760" s="50" t="b">
        <v>1</v>
      </c>
      <c r="F4760" s="72" t="str">
        <f>HYPERLINK("http://nsgreg.nga.mil/genc/view?v=296184&amp;end_month=6&amp;end_day=30&amp;end_year=2019","Mykolayivs’ka Oblast’")</f>
        <v>Mykolayivs’ka Oblast’</v>
      </c>
      <c r="G4760" s="72" t="str">
        <f>HYPERLINK("http://api.nsgreg.nga.mil/geo-division/GENC/6/3-11/UA-48","as:GENC:6:3-11:UA-48")</f>
        <v>as:GENC:6:3-11:UA-48</v>
      </c>
    </row>
    <row r="4761" spans="1:7" x14ac:dyDescent="0.25">
      <c r="A4761" s="112"/>
      <c r="B4761" s="21" t="s">
        <v>11140</v>
      </c>
      <c r="C4761" s="21" t="s">
        <v>11141</v>
      </c>
      <c r="D4761" s="21" t="s">
        <v>1668</v>
      </c>
      <c r="E4761" s="50" t="b">
        <v>1</v>
      </c>
      <c r="F4761" s="72" t="str">
        <f>HYPERLINK("http://nsgreg.nga.mil/genc/view?v=296185&amp;end_month=6&amp;end_day=30&amp;end_year=2019","Odes’ka Oblast’")</f>
        <v>Odes’ka Oblast’</v>
      </c>
      <c r="G4761" s="72" t="str">
        <f>HYPERLINK("http://api.nsgreg.nga.mil/geo-division/GENC/6/3-11/UA-51","as:GENC:6:3-11:UA-51")</f>
        <v>as:GENC:6:3-11:UA-51</v>
      </c>
    </row>
    <row r="4762" spans="1:7" x14ac:dyDescent="0.25">
      <c r="A4762" s="112"/>
      <c r="B4762" s="21" t="s">
        <v>11142</v>
      </c>
      <c r="C4762" s="21" t="s">
        <v>11143</v>
      </c>
      <c r="D4762" s="21" t="s">
        <v>1668</v>
      </c>
      <c r="E4762" s="50" t="b">
        <v>1</v>
      </c>
      <c r="F4762" s="72" t="str">
        <f>HYPERLINK("http://nsgreg.nga.mil/genc/view?v=296186&amp;end_month=6&amp;end_day=30&amp;end_year=2019","Poltavs’ka Oblast’")</f>
        <v>Poltavs’ka Oblast’</v>
      </c>
      <c r="G4762" s="72" t="str">
        <f>HYPERLINK("http://api.nsgreg.nga.mil/geo-division/GENC/6/3-11/UA-53","as:GENC:6:3-11:UA-53")</f>
        <v>as:GENC:6:3-11:UA-53</v>
      </c>
    </row>
    <row r="4763" spans="1:7" x14ac:dyDescent="0.25">
      <c r="A4763" s="112"/>
      <c r="B4763" s="21" t="s">
        <v>11144</v>
      </c>
      <c r="C4763" s="21" t="s">
        <v>11145</v>
      </c>
      <c r="D4763" s="21" t="s">
        <v>1668</v>
      </c>
      <c r="E4763" s="50" t="b">
        <v>1</v>
      </c>
      <c r="F4763" s="72" t="str">
        <f>HYPERLINK("http://nsgreg.nga.mil/genc/view?v=296187&amp;end_month=6&amp;end_day=30&amp;end_year=2019","Rivnens’ka Oblast’")</f>
        <v>Rivnens’ka Oblast’</v>
      </c>
      <c r="G4763" s="72" t="str">
        <f>HYPERLINK("http://api.nsgreg.nga.mil/geo-division/GENC/6/3-11/UA-56","as:GENC:6:3-11:UA-56")</f>
        <v>as:GENC:6:3-11:UA-56</v>
      </c>
    </row>
    <row r="4764" spans="1:7" x14ac:dyDescent="0.25">
      <c r="A4764" s="112"/>
      <c r="B4764" s="21" t="s">
        <v>11146</v>
      </c>
      <c r="C4764" s="21" t="s">
        <v>11147</v>
      </c>
      <c r="D4764" s="21" t="s">
        <v>1996</v>
      </c>
      <c r="E4764" s="50" t="b">
        <v>1</v>
      </c>
      <c r="F4764" s="72" t="str">
        <f>HYPERLINK("http://nsgreg.nga.mil/genc/view?v=296181&amp;end_month=6&amp;end_day=30&amp;end_year=2019","Sevastopol’, Misto")</f>
        <v>Sevastopol’, Misto</v>
      </c>
      <c r="G4764" s="72" t="str">
        <f>HYPERLINK("http://api.nsgreg.nga.mil/geo-division/GENC/6/3-11/UA-40","as:GENC:6:3-11:UA-40")</f>
        <v>as:GENC:6:3-11:UA-40</v>
      </c>
    </row>
    <row r="4765" spans="1:7" x14ac:dyDescent="0.25">
      <c r="A4765" s="112"/>
      <c r="B4765" s="21" t="s">
        <v>11148</v>
      </c>
      <c r="C4765" s="21" t="s">
        <v>11149</v>
      </c>
      <c r="D4765" s="21" t="s">
        <v>1668</v>
      </c>
      <c r="E4765" s="50" t="b">
        <v>1</v>
      </c>
      <c r="F4765" s="72" t="str">
        <f>HYPERLINK("http://nsgreg.nga.mil/genc/view?v=296188&amp;end_month=6&amp;end_day=30&amp;end_year=2019","Sums’ka Oblast’")</f>
        <v>Sums’ka Oblast’</v>
      </c>
      <c r="G4765" s="72" t="str">
        <f>HYPERLINK("http://api.nsgreg.nga.mil/geo-division/GENC/6/3-11/UA-59","as:GENC:6:3-11:UA-59")</f>
        <v>as:GENC:6:3-11:UA-59</v>
      </c>
    </row>
    <row r="4766" spans="1:7" x14ac:dyDescent="0.25">
      <c r="A4766" s="112"/>
      <c r="B4766" s="21" t="s">
        <v>11150</v>
      </c>
      <c r="C4766" s="21" t="s">
        <v>11151</v>
      </c>
      <c r="D4766" s="21" t="s">
        <v>1668</v>
      </c>
      <c r="E4766" s="50" t="b">
        <v>1</v>
      </c>
      <c r="F4766" s="72" t="str">
        <f>HYPERLINK("http://nsgreg.nga.mil/genc/view?v=296189&amp;end_month=6&amp;end_day=30&amp;end_year=2019","Ternopil’s’ka Oblast’")</f>
        <v>Ternopil’s’ka Oblast’</v>
      </c>
      <c r="G4766" s="72" t="str">
        <f>HYPERLINK("http://api.nsgreg.nga.mil/geo-division/GENC/6/3-11/UA-61","as:GENC:6:3-11:UA-61")</f>
        <v>as:GENC:6:3-11:UA-61</v>
      </c>
    </row>
    <row r="4767" spans="1:7" x14ac:dyDescent="0.25">
      <c r="A4767" s="112"/>
      <c r="B4767" s="21" t="s">
        <v>11152</v>
      </c>
      <c r="C4767" s="21" t="s">
        <v>11153</v>
      </c>
      <c r="D4767" s="21" t="s">
        <v>1668</v>
      </c>
      <c r="E4767" s="50" t="b">
        <v>1</v>
      </c>
      <c r="F4767" s="72" t="str">
        <f>HYPERLINK("http://nsgreg.nga.mil/genc/view?v=296169&amp;end_month=6&amp;end_day=30&amp;end_year=2019","Vinnyts’ka Oblast’")</f>
        <v>Vinnyts’ka Oblast’</v>
      </c>
      <c r="G4767" s="72" t="str">
        <f>HYPERLINK("http://api.nsgreg.nga.mil/geo-division/GENC/6/3-11/UA-05","as:GENC:6:3-11:UA-05")</f>
        <v>as:GENC:6:3-11:UA-05</v>
      </c>
    </row>
    <row r="4768" spans="1:7" x14ac:dyDescent="0.25">
      <c r="A4768" s="112"/>
      <c r="B4768" s="21" t="s">
        <v>11154</v>
      </c>
      <c r="C4768" s="21" t="s">
        <v>11155</v>
      </c>
      <c r="D4768" s="21" t="s">
        <v>1668</v>
      </c>
      <c r="E4768" s="50" t="b">
        <v>1</v>
      </c>
      <c r="F4768" s="72" t="str">
        <f>HYPERLINK("http://nsgreg.nga.mil/genc/view?v=296170&amp;end_month=6&amp;end_day=30&amp;end_year=2019","Volyns’ka Oblast’")</f>
        <v>Volyns’ka Oblast’</v>
      </c>
      <c r="G4768" s="72" t="str">
        <f>HYPERLINK("http://api.nsgreg.nga.mil/geo-division/GENC/6/3-11/UA-07","as:GENC:6:3-11:UA-07")</f>
        <v>as:GENC:6:3-11:UA-07</v>
      </c>
    </row>
    <row r="4769" spans="1:7" x14ac:dyDescent="0.25">
      <c r="A4769" s="112"/>
      <c r="B4769" s="21" t="s">
        <v>11156</v>
      </c>
      <c r="C4769" s="21" t="s">
        <v>11157</v>
      </c>
      <c r="D4769" s="21" t="s">
        <v>1668</v>
      </c>
      <c r="E4769" s="50" t="b">
        <v>1</v>
      </c>
      <c r="F4769" s="72" t="str">
        <f>HYPERLINK("http://nsgreg.nga.mil/genc/view?v=296175&amp;end_month=6&amp;end_day=30&amp;end_year=2019","Zakarpats’ka Oblast’")</f>
        <v>Zakarpats’ka Oblast’</v>
      </c>
      <c r="G4769" s="72" t="str">
        <f>HYPERLINK("http://api.nsgreg.nga.mil/geo-division/GENC/6/3-11/UA-21","as:GENC:6:3-11:UA-21")</f>
        <v>as:GENC:6:3-11:UA-21</v>
      </c>
    </row>
    <row r="4770" spans="1:7" x14ac:dyDescent="0.25">
      <c r="A4770" s="112"/>
      <c r="B4770" s="21" t="s">
        <v>11158</v>
      </c>
      <c r="C4770" s="21" t="s">
        <v>11159</v>
      </c>
      <c r="D4770" s="21" t="s">
        <v>1668</v>
      </c>
      <c r="E4770" s="50" t="b">
        <v>1</v>
      </c>
      <c r="F4770" s="72" t="str">
        <f>HYPERLINK("http://nsgreg.nga.mil/genc/view?v=296176&amp;end_month=6&amp;end_day=30&amp;end_year=2019","Zaporiz’ka Oblast’")</f>
        <v>Zaporiz’ka Oblast’</v>
      </c>
      <c r="G4770" s="72" t="str">
        <f>HYPERLINK("http://api.nsgreg.nga.mil/geo-division/GENC/6/3-11/UA-23","as:GENC:6:3-11:UA-23")</f>
        <v>as:GENC:6:3-11:UA-23</v>
      </c>
    </row>
    <row r="4771" spans="1:7" x14ac:dyDescent="0.25">
      <c r="A4771" s="113"/>
      <c r="B4771" s="47" t="s">
        <v>11160</v>
      </c>
      <c r="C4771" s="47" t="s">
        <v>11161</v>
      </c>
      <c r="D4771" s="47" t="s">
        <v>1668</v>
      </c>
      <c r="E4771" s="51" t="b">
        <v>1</v>
      </c>
      <c r="F4771" s="73" t="str">
        <f>HYPERLINK("http://nsgreg.nga.mil/genc/view?v=296174&amp;end_month=6&amp;end_day=30&amp;end_year=2019","Zhytomyrs’ka Oblast’")</f>
        <v>Zhytomyrs’ka Oblast’</v>
      </c>
      <c r="G4771" s="73" t="str">
        <f>HYPERLINK("http://api.nsgreg.nga.mil/geo-division/GENC/6/3-11/UA-18","as:GENC:6:3-11:UA-18")</f>
        <v>as:GENC:6:3-11:UA-18</v>
      </c>
    </row>
    <row r="4772" spans="1:7" x14ac:dyDescent="0.25">
      <c r="A4772" s="111" t="str">
        <f>HYPERLINK("[#]Codes_for_GE_Names!A265:I265","UNITED ARAB EMIRATES")</f>
        <v>UNITED ARAB EMIRATES</v>
      </c>
      <c r="B4772" s="42" t="s">
        <v>11162</v>
      </c>
      <c r="C4772" s="42" t="s">
        <v>11163</v>
      </c>
      <c r="D4772" s="42" t="s">
        <v>11164</v>
      </c>
      <c r="E4772" s="49" t="b">
        <v>1</v>
      </c>
      <c r="F4772" s="74" t="str">
        <f>HYPERLINK("http://nsgreg.nga.mil/genc/view?v=291307&amp;end_month=6&amp;end_day=30&amp;end_year=2019","Abū Z̧aby")</f>
        <v>Abū Z̧aby</v>
      </c>
      <c r="G4772" s="74" t="str">
        <f>HYPERLINK("http://api.nsgreg.nga.mil/geo-division/GENC/6/3-11/AE-AZ","as:GENC:6:3-11:AE-AZ")</f>
        <v>as:GENC:6:3-11:AE-AZ</v>
      </c>
    </row>
    <row r="4773" spans="1:7" x14ac:dyDescent="0.25">
      <c r="A4773" s="112"/>
      <c r="B4773" s="21" t="s">
        <v>11165</v>
      </c>
      <c r="C4773" s="21" t="s">
        <v>11166</v>
      </c>
      <c r="D4773" s="21" t="s">
        <v>11164</v>
      </c>
      <c r="E4773" s="50" t="b">
        <v>1</v>
      </c>
      <c r="F4773" s="72" t="str">
        <f>HYPERLINK("http://nsgreg.nga.mil/genc/view?v=291306&amp;end_month=6&amp;end_day=30&amp;end_year=2019","‘Ajmān")</f>
        <v>‘Ajmān</v>
      </c>
      <c r="G4773" s="72" t="str">
        <f>HYPERLINK("http://api.nsgreg.nga.mil/geo-division/GENC/6/3-11/AE-AJ","as:GENC:6:3-11:AE-AJ")</f>
        <v>as:GENC:6:3-11:AE-AJ</v>
      </c>
    </row>
    <row r="4774" spans="1:7" x14ac:dyDescent="0.25">
      <c r="A4774" s="112"/>
      <c r="B4774" s="21" t="s">
        <v>11167</v>
      </c>
      <c r="C4774" s="21" t="s">
        <v>11168</v>
      </c>
      <c r="D4774" s="21" t="s">
        <v>11164</v>
      </c>
      <c r="E4774" s="50" t="b">
        <v>1</v>
      </c>
      <c r="F4774" s="72" t="str">
        <f>HYPERLINK("http://nsgreg.nga.mil/genc/view?v=291309&amp;end_month=6&amp;end_day=30&amp;end_year=2019","Al Fujayrah")</f>
        <v>Al Fujayrah</v>
      </c>
      <c r="G4774" s="72" t="str">
        <f>HYPERLINK("http://api.nsgreg.nga.mil/geo-division/GENC/6/3-11/AE-FU","as:GENC:6:3-11:AE-FU")</f>
        <v>as:GENC:6:3-11:AE-FU</v>
      </c>
    </row>
    <row r="4775" spans="1:7" x14ac:dyDescent="0.25">
      <c r="A4775" s="112"/>
      <c r="B4775" s="21" t="s">
        <v>11169</v>
      </c>
      <c r="C4775" s="21" t="s">
        <v>11170</v>
      </c>
      <c r="D4775" s="21" t="s">
        <v>11164</v>
      </c>
      <c r="E4775" s="50" t="b">
        <v>1</v>
      </c>
      <c r="F4775" s="72" t="str">
        <f>HYPERLINK("http://nsgreg.nga.mil/genc/view?v=291311&amp;end_month=6&amp;end_day=30&amp;end_year=2019","Ash Shāriqah")</f>
        <v>Ash Shāriqah</v>
      </c>
      <c r="G4775" s="72" t="str">
        <f>HYPERLINK("http://api.nsgreg.nga.mil/geo-division/GENC/6/3-11/AE-SH","as:GENC:6:3-11:AE-SH")</f>
        <v>as:GENC:6:3-11:AE-SH</v>
      </c>
    </row>
    <row r="4776" spans="1:7" x14ac:dyDescent="0.25">
      <c r="A4776" s="112"/>
      <c r="B4776" s="21" t="s">
        <v>11171</v>
      </c>
      <c r="C4776" s="21" t="s">
        <v>11172</v>
      </c>
      <c r="D4776" s="21" t="s">
        <v>11164</v>
      </c>
      <c r="E4776" s="50" t="b">
        <v>1</v>
      </c>
      <c r="F4776" s="72" t="str">
        <f>HYPERLINK("http://nsgreg.nga.mil/genc/view?v=291308&amp;end_month=6&amp;end_day=30&amp;end_year=2019","Dubayy")</f>
        <v>Dubayy</v>
      </c>
      <c r="G4776" s="72" t="str">
        <f>HYPERLINK("http://api.nsgreg.nga.mil/geo-division/GENC/6/3-11/AE-DU","as:GENC:6:3-11:AE-DU")</f>
        <v>as:GENC:6:3-11:AE-DU</v>
      </c>
    </row>
    <row r="4777" spans="1:7" x14ac:dyDescent="0.25">
      <c r="A4777" s="112"/>
      <c r="B4777" s="21" t="s">
        <v>11173</v>
      </c>
      <c r="C4777" s="21" t="s">
        <v>11174</v>
      </c>
      <c r="D4777" s="21" t="s">
        <v>11164</v>
      </c>
      <c r="E4777" s="50" t="b">
        <v>1</v>
      </c>
      <c r="F4777" s="72" t="str">
        <f>HYPERLINK("http://nsgreg.nga.mil/genc/view?v=291310&amp;end_month=6&amp;end_day=30&amp;end_year=2019","Ra’s al Khaymah")</f>
        <v>Ra’s al Khaymah</v>
      </c>
      <c r="G4777" s="72" t="str">
        <f>HYPERLINK("http://api.nsgreg.nga.mil/geo-division/GENC/6/3-11/AE-RK","as:GENC:6:3-11:AE-RK")</f>
        <v>as:GENC:6:3-11:AE-RK</v>
      </c>
    </row>
    <row r="4778" spans="1:7" x14ac:dyDescent="0.25">
      <c r="A4778" s="113"/>
      <c r="B4778" s="47" t="s">
        <v>11175</v>
      </c>
      <c r="C4778" s="47" t="s">
        <v>11176</v>
      </c>
      <c r="D4778" s="47" t="s">
        <v>11164</v>
      </c>
      <c r="E4778" s="51" t="b">
        <v>1</v>
      </c>
      <c r="F4778" s="73" t="str">
        <f>HYPERLINK("http://nsgreg.nga.mil/genc/view?v=291312&amp;end_month=6&amp;end_day=30&amp;end_year=2019","Umm al Qaywayn")</f>
        <v>Umm al Qaywayn</v>
      </c>
      <c r="G4778" s="73" t="str">
        <f>HYPERLINK("http://api.nsgreg.nga.mil/geo-division/GENC/6/3-11/AE-UQ","as:GENC:6:3-11:AE-UQ")</f>
        <v>as:GENC:6:3-11:AE-UQ</v>
      </c>
    </row>
    <row r="4779" spans="1:7" x14ac:dyDescent="0.25">
      <c r="A4779" s="111" t="str">
        <f>HYPERLINK("[#]Codes_for_GE_Names!A266:I266","UNITED KINGDOM")</f>
        <v>UNITED KINGDOM</v>
      </c>
      <c r="B4779" s="42" t="s">
        <v>11177</v>
      </c>
      <c r="C4779" s="42" t="s">
        <v>11178</v>
      </c>
      <c r="D4779" s="80" t="s">
        <v>11179</v>
      </c>
      <c r="E4779" s="81" t="b">
        <v>0</v>
      </c>
      <c r="F4779" s="74" t="str">
        <f>HYPERLINK("http://nsgreg.nga.mil/genc/view?v=292764&amp;end_month=6&amp;end_day=30&amp;end_year=2019","England")</f>
        <v>England</v>
      </c>
      <c r="G4779" s="74" t="str">
        <f>HYPERLINK("http://api.nsgreg.nga.mil/geo-division/GENC/6/3-11/GB-ENG","as:GENC:6:3-11:GB-ENG")</f>
        <v>as:GENC:6:3-11:GB-ENG</v>
      </c>
    </row>
    <row r="4780" spans="1:7" x14ac:dyDescent="0.25">
      <c r="A4780" s="112"/>
      <c r="B4780" s="21" t="s">
        <v>11180</v>
      </c>
      <c r="C4780" s="21" t="s">
        <v>11181</v>
      </c>
      <c r="D4780" s="21" t="s">
        <v>11182</v>
      </c>
      <c r="E4780" s="50" t="b">
        <v>1</v>
      </c>
      <c r="F4780" s="72" t="str">
        <f>HYPERLINK("http://nsgreg.nga.mil/genc/view?v=292708&amp;end_month=6&amp;end_day=30&amp;end_year=2019","Barking and Dagenham")</f>
        <v>Barking and Dagenham</v>
      </c>
      <c r="G4780" s="72" t="str">
        <f>HYPERLINK("http://api.nsgreg.nga.mil/geo-division/GENC/6/3-11/GB-BDG","as:GENC:6:3-11:GB-BDG")</f>
        <v>as:GENC:6:3-11:GB-BDG</v>
      </c>
    </row>
    <row r="4781" spans="1:7" x14ac:dyDescent="0.25">
      <c r="A4781" s="112"/>
      <c r="B4781" s="21" t="s">
        <v>11183</v>
      </c>
      <c r="C4781" s="21" t="s">
        <v>11184</v>
      </c>
      <c r="D4781" s="21" t="s">
        <v>11182</v>
      </c>
      <c r="E4781" s="50" t="b">
        <v>1</v>
      </c>
      <c r="F4781" s="72" t="str">
        <f>HYPERLINK("http://nsgreg.nga.mil/genc/view?v=292717&amp;end_month=6&amp;end_day=30&amp;end_year=2019","Barnet")</f>
        <v>Barnet</v>
      </c>
      <c r="G4781" s="72" t="str">
        <f>HYPERLINK("http://api.nsgreg.nga.mil/geo-division/GENC/6/3-11/GB-BNE","as:GENC:6:3-11:GB-BNE")</f>
        <v>as:GENC:6:3-11:GB-BNE</v>
      </c>
    </row>
    <row r="4782" spans="1:7" x14ac:dyDescent="0.25">
      <c r="A4782" s="112"/>
      <c r="B4782" s="21" t="s">
        <v>11185</v>
      </c>
      <c r="C4782" s="21" t="s">
        <v>11186</v>
      </c>
      <c r="D4782" s="21" t="s">
        <v>11187</v>
      </c>
      <c r="E4782" s="50" t="b">
        <v>1</v>
      </c>
      <c r="F4782" s="72" t="str">
        <f>HYPERLINK("http://nsgreg.nga.mil/genc/view?v=292719&amp;end_month=6&amp;end_day=30&amp;end_year=2019","Barnsley")</f>
        <v>Barnsley</v>
      </c>
      <c r="G4782" s="72" t="str">
        <f>HYPERLINK("http://api.nsgreg.nga.mil/geo-division/GENC/6/3-11/GB-BNS","as:GENC:6:3-11:GB-BNS")</f>
        <v>as:GENC:6:3-11:GB-BNS</v>
      </c>
    </row>
    <row r="4783" spans="1:7" x14ac:dyDescent="0.25">
      <c r="A4783" s="112"/>
      <c r="B4783" s="21" t="s">
        <v>11188</v>
      </c>
      <c r="C4783" s="21" t="s">
        <v>11189</v>
      </c>
      <c r="D4783" s="21" t="s">
        <v>11190</v>
      </c>
      <c r="E4783" s="50" t="b">
        <v>1</v>
      </c>
      <c r="F4783" s="72" t="str">
        <f>HYPERLINK("http://nsgreg.nga.mil/genc/view?v=292705&amp;end_month=6&amp;end_day=30&amp;end_year=2019","Bath and North East Somerset")</f>
        <v>Bath and North East Somerset</v>
      </c>
      <c r="G4783" s="72" t="str">
        <f>HYPERLINK("http://api.nsgreg.nga.mil/geo-division/GENC/6/3-11/GB-BAS","as:GENC:6:3-11:GB-BAS")</f>
        <v>as:GENC:6:3-11:GB-BAS</v>
      </c>
    </row>
    <row r="4784" spans="1:7" x14ac:dyDescent="0.25">
      <c r="A4784" s="112"/>
      <c r="B4784" s="21" t="s">
        <v>11191</v>
      </c>
      <c r="C4784" s="21" t="s">
        <v>11192</v>
      </c>
      <c r="D4784" s="21" t="s">
        <v>11190</v>
      </c>
      <c r="E4784" s="50" t="b">
        <v>1</v>
      </c>
      <c r="F4784" s="72" t="str">
        <f>HYPERLINK("http://nsgreg.nga.mil/genc/view?v=292707&amp;end_month=6&amp;end_day=30&amp;end_year=2019","Bedford")</f>
        <v>Bedford</v>
      </c>
      <c r="G4784" s="72" t="str">
        <f>HYPERLINK("http://api.nsgreg.nga.mil/geo-division/GENC/6/3-11/GB-BDF","as:GENC:6:3-11:GB-BDF")</f>
        <v>as:GENC:6:3-11:GB-BDF</v>
      </c>
    </row>
    <row r="4785" spans="1:7" x14ac:dyDescent="0.25">
      <c r="A4785" s="112"/>
      <c r="B4785" s="21" t="s">
        <v>11193</v>
      </c>
      <c r="C4785" s="21" t="s">
        <v>11194</v>
      </c>
      <c r="D4785" s="21" t="s">
        <v>11182</v>
      </c>
      <c r="E4785" s="50" t="b">
        <v>1</v>
      </c>
      <c r="F4785" s="72" t="str">
        <f>HYPERLINK("http://nsgreg.nga.mil/genc/view?v=292710&amp;end_month=6&amp;end_day=30&amp;end_year=2019","Bexley")</f>
        <v>Bexley</v>
      </c>
      <c r="G4785" s="72" t="str">
        <f>HYPERLINK("http://api.nsgreg.nga.mil/geo-division/GENC/6/3-11/GB-BEX","as:GENC:6:3-11:GB-BEX")</f>
        <v>as:GENC:6:3-11:GB-BEX</v>
      </c>
    </row>
    <row r="4786" spans="1:7" x14ac:dyDescent="0.25">
      <c r="A4786" s="112"/>
      <c r="B4786" s="21" t="s">
        <v>11195</v>
      </c>
      <c r="C4786" s="21" t="s">
        <v>11196</v>
      </c>
      <c r="D4786" s="21" t="s">
        <v>11187</v>
      </c>
      <c r="E4786" s="50" t="b">
        <v>1</v>
      </c>
      <c r="F4786" s="72" t="str">
        <f>HYPERLINK("http://nsgreg.nga.mil/genc/view?v=292714&amp;end_month=6&amp;end_day=30&amp;end_year=2019","Birmingham")</f>
        <v>Birmingham</v>
      </c>
      <c r="G4786" s="72" t="str">
        <f>HYPERLINK("http://api.nsgreg.nga.mil/geo-division/GENC/6/3-11/GB-BIR","as:GENC:6:3-11:GB-BIR")</f>
        <v>as:GENC:6:3-11:GB-BIR</v>
      </c>
    </row>
    <row r="4787" spans="1:7" x14ac:dyDescent="0.25">
      <c r="A4787" s="112"/>
      <c r="B4787" s="21" t="s">
        <v>11197</v>
      </c>
      <c r="C4787" s="21" t="s">
        <v>11198</v>
      </c>
      <c r="D4787" s="21" t="s">
        <v>11190</v>
      </c>
      <c r="E4787" s="50" t="b">
        <v>1</v>
      </c>
      <c r="F4787" s="72" t="str">
        <f>HYPERLINK("http://nsgreg.nga.mil/genc/view?v=292706&amp;end_month=6&amp;end_day=30&amp;end_year=2019","Blackburn with Darwen")</f>
        <v>Blackburn with Darwen</v>
      </c>
      <c r="G4787" s="72" t="str">
        <f>HYPERLINK("http://api.nsgreg.nga.mil/geo-division/GENC/6/3-11/GB-BBD","as:GENC:6:3-11:GB-BBD")</f>
        <v>as:GENC:6:3-11:GB-BBD</v>
      </c>
    </row>
    <row r="4788" spans="1:7" x14ac:dyDescent="0.25">
      <c r="A4788" s="112"/>
      <c r="B4788" s="21" t="s">
        <v>11199</v>
      </c>
      <c r="C4788" s="21" t="s">
        <v>11200</v>
      </c>
      <c r="D4788" s="21" t="s">
        <v>11190</v>
      </c>
      <c r="E4788" s="50" t="b">
        <v>1</v>
      </c>
      <c r="F4788" s="72" t="str">
        <f>HYPERLINK("http://nsgreg.nga.mil/genc/view?v=292721&amp;end_month=6&amp;end_day=30&amp;end_year=2019","Blackpool")</f>
        <v>Blackpool</v>
      </c>
      <c r="G4788" s="72" t="str">
        <f>HYPERLINK("http://api.nsgreg.nga.mil/geo-division/GENC/6/3-11/GB-BPL","as:GENC:6:3-11:GB-BPL")</f>
        <v>as:GENC:6:3-11:GB-BPL</v>
      </c>
    </row>
    <row r="4789" spans="1:7" x14ac:dyDescent="0.25">
      <c r="A4789" s="112"/>
      <c r="B4789" s="21" t="s">
        <v>11201</v>
      </c>
      <c r="C4789" s="21" t="s">
        <v>11202</v>
      </c>
      <c r="D4789" s="21" t="s">
        <v>11187</v>
      </c>
      <c r="E4789" s="50" t="b">
        <v>1</v>
      </c>
      <c r="F4789" s="72" t="str">
        <f>HYPERLINK("http://nsgreg.nga.mil/genc/view?v=292720&amp;end_month=6&amp;end_day=30&amp;end_year=2019","Bolton")</f>
        <v>Bolton</v>
      </c>
      <c r="G4789" s="72" t="str">
        <f>HYPERLINK("http://api.nsgreg.nga.mil/geo-division/GENC/6/3-11/GB-BOL","as:GENC:6:3-11:GB-BOL")</f>
        <v>as:GENC:6:3-11:GB-BOL</v>
      </c>
    </row>
    <row r="4790" spans="1:7" x14ac:dyDescent="0.25">
      <c r="A4790" s="112"/>
      <c r="B4790" s="21" t="s">
        <v>11203</v>
      </c>
      <c r="C4790" s="21" t="s">
        <v>11204</v>
      </c>
      <c r="D4790" s="21" t="s">
        <v>11190</v>
      </c>
      <c r="E4790" s="50" t="b">
        <v>1</v>
      </c>
      <c r="F4790" s="72" t="str">
        <f>HYPERLINK("http://nsgreg.nga.mil/genc/view?v=292716&amp;end_month=6&amp;end_day=30&amp;end_year=2019","Bournemouth")</f>
        <v>Bournemouth</v>
      </c>
      <c r="G4790" s="72" t="str">
        <f>HYPERLINK("http://api.nsgreg.nga.mil/geo-division/GENC/6/3-11/GB-BMH","as:GENC:6:3-11:GB-BMH")</f>
        <v>as:GENC:6:3-11:GB-BMH</v>
      </c>
    </row>
    <row r="4791" spans="1:7" x14ac:dyDescent="0.25">
      <c r="A4791" s="112"/>
      <c r="B4791" s="21" t="s">
        <v>11205</v>
      </c>
      <c r="C4791" s="21" t="s">
        <v>11206</v>
      </c>
      <c r="D4791" s="21" t="s">
        <v>11190</v>
      </c>
      <c r="E4791" s="50" t="b">
        <v>1</v>
      </c>
      <c r="F4791" s="72" t="str">
        <f>HYPERLINK("http://nsgreg.nga.mil/genc/view?v=292722&amp;end_month=6&amp;end_day=30&amp;end_year=2019","Bracknell Forest")</f>
        <v>Bracknell Forest</v>
      </c>
      <c r="G4791" s="72" t="str">
        <f>HYPERLINK("http://api.nsgreg.nga.mil/geo-division/GENC/6/3-11/GB-BRC","as:GENC:6:3-11:GB-BRC")</f>
        <v>as:GENC:6:3-11:GB-BRC</v>
      </c>
    </row>
    <row r="4792" spans="1:7" x14ac:dyDescent="0.25">
      <c r="A4792" s="112"/>
      <c r="B4792" s="21" t="s">
        <v>11207</v>
      </c>
      <c r="C4792" s="21" t="s">
        <v>11208</v>
      </c>
      <c r="D4792" s="21" t="s">
        <v>11187</v>
      </c>
      <c r="E4792" s="50" t="b">
        <v>1</v>
      </c>
      <c r="F4792" s="72" t="str">
        <f>HYPERLINK("http://nsgreg.nga.mil/genc/view?v=292723&amp;end_month=6&amp;end_day=30&amp;end_year=2019","Bradford")</f>
        <v>Bradford</v>
      </c>
      <c r="G4792" s="72" t="str">
        <f>HYPERLINK("http://api.nsgreg.nga.mil/geo-division/GENC/6/3-11/GB-BRD","as:GENC:6:3-11:GB-BRD")</f>
        <v>as:GENC:6:3-11:GB-BRD</v>
      </c>
    </row>
    <row r="4793" spans="1:7" x14ac:dyDescent="0.25">
      <c r="A4793" s="112"/>
      <c r="B4793" s="21" t="s">
        <v>11209</v>
      </c>
      <c r="C4793" s="21" t="s">
        <v>11210</v>
      </c>
      <c r="D4793" s="21" t="s">
        <v>11182</v>
      </c>
      <c r="E4793" s="50" t="b">
        <v>1</v>
      </c>
      <c r="F4793" s="72" t="str">
        <f>HYPERLINK("http://nsgreg.nga.mil/genc/view?v=292709&amp;end_month=6&amp;end_day=30&amp;end_year=2019","Brent")</f>
        <v>Brent</v>
      </c>
      <c r="G4793" s="72" t="str">
        <f>HYPERLINK("http://api.nsgreg.nga.mil/geo-division/GENC/6/3-11/GB-BEN","as:GENC:6:3-11:GB-BEN")</f>
        <v>as:GENC:6:3-11:GB-BEN</v>
      </c>
    </row>
    <row r="4794" spans="1:7" x14ac:dyDescent="0.25">
      <c r="A4794" s="112"/>
      <c r="B4794" s="21" t="s">
        <v>11211</v>
      </c>
      <c r="C4794" s="21" t="s">
        <v>11212</v>
      </c>
      <c r="D4794" s="21" t="s">
        <v>11190</v>
      </c>
      <c r="E4794" s="50" t="b">
        <v>1</v>
      </c>
      <c r="F4794" s="72" t="str">
        <f>HYPERLINK("http://nsgreg.nga.mil/genc/view?v=292718&amp;end_month=6&amp;end_day=30&amp;end_year=2019","Brighton and Hove")</f>
        <v>Brighton and Hove</v>
      </c>
      <c r="G4794" s="72" t="str">
        <f>HYPERLINK("http://api.nsgreg.nga.mil/geo-division/GENC/6/3-11/GB-BNH","as:GENC:6:3-11:GB-BNH")</f>
        <v>as:GENC:6:3-11:GB-BNH</v>
      </c>
    </row>
    <row r="4795" spans="1:7" x14ac:dyDescent="0.25">
      <c r="A4795" s="112"/>
      <c r="B4795" s="21" t="s">
        <v>11213</v>
      </c>
      <c r="C4795" s="21" t="s">
        <v>11214</v>
      </c>
      <c r="D4795" s="21" t="s">
        <v>11190</v>
      </c>
      <c r="E4795" s="50" t="b">
        <v>1</v>
      </c>
      <c r="F4795" s="72" t="str">
        <f>HYPERLINK("http://nsgreg.nga.mil/genc/view?v=292725&amp;end_month=6&amp;end_day=30&amp;end_year=2019","Bristol, City of")</f>
        <v>Bristol, City of</v>
      </c>
      <c r="G4795" s="72" t="str">
        <f>HYPERLINK("http://api.nsgreg.nga.mil/geo-division/GENC/6/3-11/GB-BST","as:GENC:6:3-11:GB-BST")</f>
        <v>as:GENC:6:3-11:GB-BST</v>
      </c>
    </row>
    <row r="4796" spans="1:7" x14ac:dyDescent="0.25">
      <c r="A4796" s="112"/>
      <c r="B4796" s="21" t="s">
        <v>11215</v>
      </c>
      <c r="C4796" s="21" t="s">
        <v>11216</v>
      </c>
      <c r="D4796" s="21" t="s">
        <v>11182</v>
      </c>
      <c r="E4796" s="50" t="b">
        <v>1</v>
      </c>
      <c r="F4796" s="72" t="str">
        <f>HYPERLINK("http://nsgreg.nga.mil/genc/view?v=292724&amp;end_month=6&amp;end_day=30&amp;end_year=2019","Bromley")</f>
        <v>Bromley</v>
      </c>
      <c r="G4796" s="72" t="str">
        <f>HYPERLINK("http://api.nsgreg.nga.mil/geo-division/GENC/6/3-11/GB-BRY","as:GENC:6:3-11:GB-BRY")</f>
        <v>as:GENC:6:3-11:GB-BRY</v>
      </c>
    </row>
    <row r="4797" spans="1:7" x14ac:dyDescent="0.25">
      <c r="A4797" s="112"/>
      <c r="B4797" s="21" t="s">
        <v>11217</v>
      </c>
      <c r="C4797" s="21" t="s">
        <v>11218</v>
      </c>
      <c r="D4797" s="21" t="s">
        <v>1737</v>
      </c>
      <c r="E4797" s="50" t="b">
        <v>1</v>
      </c>
      <c r="F4797" s="72" t="str">
        <f>HYPERLINK("http://nsgreg.nga.mil/genc/view?v=292715&amp;end_month=6&amp;end_day=30&amp;end_year=2019","Buckinghamshire")</f>
        <v>Buckinghamshire</v>
      </c>
      <c r="G4797" s="72" t="str">
        <f>HYPERLINK("http://api.nsgreg.nga.mil/geo-division/GENC/6/3-11/GB-BKM","as:GENC:6:3-11:GB-BKM")</f>
        <v>as:GENC:6:3-11:GB-BKM</v>
      </c>
    </row>
    <row r="4798" spans="1:7" x14ac:dyDescent="0.25">
      <c r="A4798" s="112"/>
      <c r="B4798" s="21" t="s">
        <v>11219</v>
      </c>
      <c r="C4798" s="21" t="s">
        <v>11220</v>
      </c>
      <c r="D4798" s="21" t="s">
        <v>11187</v>
      </c>
      <c r="E4798" s="50" t="b">
        <v>1</v>
      </c>
      <c r="F4798" s="72" t="str">
        <f>HYPERLINK("http://nsgreg.nga.mil/genc/view?v=292726&amp;end_month=6&amp;end_day=30&amp;end_year=2019","Bury")</f>
        <v>Bury</v>
      </c>
      <c r="G4798" s="72" t="str">
        <f>HYPERLINK("http://api.nsgreg.nga.mil/geo-division/GENC/6/3-11/GB-BUR","as:GENC:6:3-11:GB-BUR")</f>
        <v>as:GENC:6:3-11:GB-BUR</v>
      </c>
    </row>
    <row r="4799" spans="1:7" x14ac:dyDescent="0.25">
      <c r="A4799" s="112"/>
      <c r="B4799" s="21" t="s">
        <v>11221</v>
      </c>
      <c r="C4799" s="21" t="s">
        <v>11222</v>
      </c>
      <c r="D4799" s="21" t="s">
        <v>11187</v>
      </c>
      <c r="E4799" s="50" t="b">
        <v>1</v>
      </c>
      <c r="F4799" s="72" t="str">
        <f>HYPERLINK("http://nsgreg.nga.mil/genc/view?v=292734&amp;end_month=6&amp;end_day=30&amp;end_year=2019","Calderdale")</f>
        <v>Calderdale</v>
      </c>
      <c r="G4799" s="72" t="str">
        <f>HYPERLINK("http://api.nsgreg.nga.mil/geo-division/GENC/6/3-11/GB-CLD","as:GENC:6:3-11:GB-CLD")</f>
        <v>as:GENC:6:3-11:GB-CLD</v>
      </c>
    </row>
    <row r="4800" spans="1:7" x14ac:dyDescent="0.25">
      <c r="A4800" s="112"/>
      <c r="B4800" s="21" t="s">
        <v>11223</v>
      </c>
      <c r="C4800" s="21" t="s">
        <v>11224</v>
      </c>
      <c r="D4800" s="21" t="s">
        <v>1737</v>
      </c>
      <c r="E4800" s="50" t="b">
        <v>1</v>
      </c>
      <c r="F4800" s="72" t="str">
        <f>HYPERLINK("http://nsgreg.nga.mil/genc/view?v=292727&amp;end_month=6&amp;end_day=30&amp;end_year=2019","Cambridgeshire")</f>
        <v>Cambridgeshire</v>
      </c>
      <c r="G4800" s="72" t="str">
        <f>HYPERLINK("http://api.nsgreg.nga.mil/geo-division/GENC/6/3-11/GB-CAM","as:GENC:6:3-11:GB-CAM")</f>
        <v>as:GENC:6:3-11:GB-CAM</v>
      </c>
    </row>
    <row r="4801" spans="1:7" x14ac:dyDescent="0.25">
      <c r="A4801" s="112"/>
      <c r="B4801" s="21" t="s">
        <v>11225</v>
      </c>
      <c r="C4801" s="21" t="s">
        <v>11226</v>
      </c>
      <c r="D4801" s="21" t="s">
        <v>11182</v>
      </c>
      <c r="E4801" s="50" t="b">
        <v>1</v>
      </c>
      <c r="F4801" s="72" t="str">
        <f>HYPERLINK("http://nsgreg.nga.mil/genc/view?v=292737&amp;end_month=6&amp;end_day=30&amp;end_year=2019","Camden")</f>
        <v>Camden</v>
      </c>
      <c r="G4801" s="72" t="str">
        <f>HYPERLINK("http://api.nsgreg.nga.mil/geo-division/GENC/6/3-11/GB-CMD","as:GENC:6:3-11:GB-CMD")</f>
        <v>as:GENC:6:3-11:GB-CMD</v>
      </c>
    </row>
    <row r="4802" spans="1:7" x14ac:dyDescent="0.25">
      <c r="A4802" s="112"/>
      <c r="B4802" s="21" t="s">
        <v>11227</v>
      </c>
      <c r="C4802" s="21" t="s">
        <v>11228</v>
      </c>
      <c r="D4802" s="21" t="s">
        <v>11190</v>
      </c>
      <c r="E4802" s="50" t="b">
        <v>1</v>
      </c>
      <c r="F4802" s="72" t="str">
        <f>HYPERLINK("http://nsgreg.nga.mil/genc/view?v=292729&amp;end_month=6&amp;end_day=30&amp;end_year=2019","Central Bedfordshire")</f>
        <v>Central Bedfordshire</v>
      </c>
      <c r="G4802" s="72" t="str">
        <f>HYPERLINK("http://api.nsgreg.nga.mil/geo-division/GENC/6/3-11/GB-CBF","as:GENC:6:3-11:GB-CBF")</f>
        <v>as:GENC:6:3-11:GB-CBF</v>
      </c>
    </row>
    <row r="4803" spans="1:7" x14ac:dyDescent="0.25">
      <c r="A4803" s="112"/>
      <c r="B4803" s="21" t="s">
        <v>11229</v>
      </c>
      <c r="C4803" s="21" t="s">
        <v>11230</v>
      </c>
      <c r="D4803" s="21" t="s">
        <v>11190</v>
      </c>
      <c r="E4803" s="50" t="b">
        <v>1</v>
      </c>
      <c r="F4803" s="72" t="str">
        <f>HYPERLINK("http://nsgreg.nga.mil/genc/view?v=292732&amp;end_month=6&amp;end_day=30&amp;end_year=2019","Cheshire East")</f>
        <v>Cheshire East</v>
      </c>
      <c r="G4803" s="72" t="str">
        <f>HYPERLINK("http://api.nsgreg.nga.mil/geo-division/GENC/6/3-11/GB-CHE","as:GENC:6:3-11:GB-CHE")</f>
        <v>as:GENC:6:3-11:GB-CHE</v>
      </c>
    </row>
    <row r="4804" spans="1:7" x14ac:dyDescent="0.25">
      <c r="A4804" s="112"/>
      <c r="B4804" s="21" t="s">
        <v>11231</v>
      </c>
      <c r="C4804" s="21" t="s">
        <v>11232</v>
      </c>
      <c r="D4804" s="21" t="s">
        <v>11190</v>
      </c>
      <c r="E4804" s="50" t="b">
        <v>1</v>
      </c>
      <c r="F4804" s="72" t="str">
        <f>HYPERLINK("http://nsgreg.nga.mil/genc/view?v=292733&amp;end_month=6&amp;end_day=30&amp;end_year=2019","Cheshire West and Chester")</f>
        <v>Cheshire West and Chester</v>
      </c>
      <c r="G4804" s="72" t="str">
        <f>HYPERLINK("http://api.nsgreg.nga.mil/geo-division/GENC/6/3-11/GB-CHW","as:GENC:6:3-11:GB-CHW")</f>
        <v>as:GENC:6:3-11:GB-CHW</v>
      </c>
    </row>
    <row r="4805" spans="1:7" x14ac:dyDescent="0.25">
      <c r="A4805" s="112"/>
      <c r="B4805" s="21" t="s">
        <v>11233</v>
      </c>
      <c r="C4805" s="21" t="s">
        <v>11234</v>
      </c>
      <c r="D4805" s="21" t="s">
        <v>11190</v>
      </c>
      <c r="E4805" s="50" t="b">
        <v>1</v>
      </c>
      <c r="F4805" s="72" t="str">
        <f>HYPERLINK("http://nsgreg.nga.mil/genc/view?v=292739&amp;end_month=6&amp;end_day=30&amp;end_year=2019","Cornwall")</f>
        <v>Cornwall</v>
      </c>
      <c r="G4805" s="72" t="str">
        <f>HYPERLINK("http://api.nsgreg.nga.mil/geo-division/GENC/6/3-11/GB-CON","as:GENC:6:3-11:GB-CON")</f>
        <v>as:GENC:6:3-11:GB-CON</v>
      </c>
    </row>
    <row r="4806" spans="1:7" x14ac:dyDescent="0.25">
      <c r="A4806" s="112"/>
      <c r="B4806" s="21" t="s">
        <v>11235</v>
      </c>
      <c r="C4806" s="21" t="s">
        <v>11236</v>
      </c>
      <c r="D4806" s="21" t="s">
        <v>11187</v>
      </c>
      <c r="E4806" s="50" t="b">
        <v>1</v>
      </c>
      <c r="F4806" s="72" t="str">
        <f>HYPERLINK("http://nsgreg.nga.mil/genc/view?v=292740&amp;end_month=6&amp;end_day=30&amp;end_year=2019","Coventry")</f>
        <v>Coventry</v>
      </c>
      <c r="G4806" s="72" t="str">
        <f>HYPERLINK("http://api.nsgreg.nga.mil/geo-division/GENC/6/3-11/GB-COV","as:GENC:6:3-11:GB-COV")</f>
        <v>as:GENC:6:3-11:GB-COV</v>
      </c>
    </row>
    <row r="4807" spans="1:7" x14ac:dyDescent="0.25">
      <c r="A4807" s="112"/>
      <c r="B4807" s="21" t="s">
        <v>11237</v>
      </c>
      <c r="C4807" s="21" t="s">
        <v>11238</v>
      </c>
      <c r="D4807" s="21" t="s">
        <v>11182</v>
      </c>
      <c r="E4807" s="50" t="b">
        <v>1</v>
      </c>
      <c r="F4807" s="72" t="str">
        <f>HYPERLINK("http://nsgreg.nga.mil/genc/view?v=292742&amp;end_month=6&amp;end_day=30&amp;end_year=2019","Croydon")</f>
        <v>Croydon</v>
      </c>
      <c r="G4807" s="72" t="str">
        <f>HYPERLINK("http://api.nsgreg.nga.mil/geo-division/GENC/6/3-11/GB-CRY","as:GENC:6:3-11:GB-CRY")</f>
        <v>as:GENC:6:3-11:GB-CRY</v>
      </c>
    </row>
    <row r="4808" spans="1:7" x14ac:dyDescent="0.25">
      <c r="A4808" s="112"/>
      <c r="B4808" s="21" t="s">
        <v>11239</v>
      </c>
      <c r="C4808" s="21" t="s">
        <v>11240</v>
      </c>
      <c r="D4808" s="21" t="s">
        <v>1737</v>
      </c>
      <c r="E4808" s="50" t="b">
        <v>1</v>
      </c>
      <c r="F4808" s="72" t="str">
        <f>HYPERLINK("http://nsgreg.nga.mil/genc/view?v=292736&amp;end_month=6&amp;end_day=30&amp;end_year=2019","Cumbria")</f>
        <v>Cumbria</v>
      </c>
      <c r="G4808" s="72" t="str">
        <f>HYPERLINK("http://api.nsgreg.nga.mil/geo-division/GENC/6/3-11/GB-CMA","as:GENC:6:3-11:GB-CMA")</f>
        <v>as:GENC:6:3-11:GB-CMA</v>
      </c>
    </row>
    <row r="4809" spans="1:7" x14ac:dyDescent="0.25">
      <c r="A4809" s="112"/>
      <c r="B4809" s="21" t="s">
        <v>11241</v>
      </c>
      <c r="C4809" s="21" t="s">
        <v>11242</v>
      </c>
      <c r="D4809" s="21" t="s">
        <v>11190</v>
      </c>
      <c r="E4809" s="50" t="b">
        <v>1</v>
      </c>
      <c r="F4809" s="72" t="str">
        <f>HYPERLINK("http://nsgreg.nga.mil/genc/view?v=292744&amp;end_month=6&amp;end_day=30&amp;end_year=2019","Darlington")</f>
        <v>Darlington</v>
      </c>
      <c r="G4809" s="72" t="str">
        <f>HYPERLINK("http://api.nsgreg.nga.mil/geo-division/GENC/6/3-11/GB-DAL","as:GENC:6:3-11:GB-DAL")</f>
        <v>as:GENC:6:3-11:GB-DAL</v>
      </c>
    </row>
    <row r="4810" spans="1:7" x14ac:dyDescent="0.25">
      <c r="A4810" s="112"/>
      <c r="B4810" s="21" t="s">
        <v>11243</v>
      </c>
      <c r="C4810" s="21" t="s">
        <v>11244</v>
      </c>
      <c r="D4810" s="21" t="s">
        <v>11190</v>
      </c>
      <c r="E4810" s="50" t="b">
        <v>1</v>
      </c>
      <c r="F4810" s="72" t="str">
        <f>HYPERLINK("http://nsgreg.nga.mil/genc/view?v=292747&amp;end_month=6&amp;end_day=30&amp;end_year=2019","Derby")</f>
        <v>Derby</v>
      </c>
      <c r="G4810" s="72" t="str">
        <f>HYPERLINK("http://api.nsgreg.nga.mil/geo-division/GENC/6/3-11/GB-DER","as:GENC:6:3-11:GB-DER")</f>
        <v>as:GENC:6:3-11:GB-DER</v>
      </c>
    </row>
    <row r="4811" spans="1:7" x14ac:dyDescent="0.25">
      <c r="A4811" s="112"/>
      <c r="B4811" s="21" t="s">
        <v>11245</v>
      </c>
      <c r="C4811" s="21" t="s">
        <v>11246</v>
      </c>
      <c r="D4811" s="21" t="s">
        <v>1737</v>
      </c>
      <c r="E4811" s="50" t="b">
        <v>1</v>
      </c>
      <c r="F4811" s="72" t="str">
        <f>HYPERLINK("http://nsgreg.nga.mil/genc/view?v=292745&amp;end_month=6&amp;end_day=30&amp;end_year=2019","Derbyshire")</f>
        <v>Derbyshire</v>
      </c>
      <c r="G4811" s="72" t="str">
        <f>HYPERLINK("http://api.nsgreg.nga.mil/geo-division/GENC/6/3-11/GB-DBY","as:GENC:6:3-11:GB-DBY")</f>
        <v>as:GENC:6:3-11:GB-DBY</v>
      </c>
    </row>
    <row r="4812" spans="1:7" x14ac:dyDescent="0.25">
      <c r="A4812" s="112"/>
      <c r="B4812" s="21" t="s">
        <v>11247</v>
      </c>
      <c r="C4812" s="21" t="s">
        <v>11248</v>
      </c>
      <c r="D4812" s="21" t="s">
        <v>1737</v>
      </c>
      <c r="E4812" s="50" t="b">
        <v>1</v>
      </c>
      <c r="F4812" s="72" t="str">
        <f>HYPERLINK("http://nsgreg.nga.mil/genc/view?v=292748&amp;end_month=6&amp;end_day=30&amp;end_year=2019","Devon")</f>
        <v>Devon</v>
      </c>
      <c r="G4812" s="72" t="str">
        <f>HYPERLINK("http://api.nsgreg.nga.mil/geo-division/GENC/6/3-11/GB-DEV","as:GENC:6:3-11:GB-DEV")</f>
        <v>as:GENC:6:3-11:GB-DEV</v>
      </c>
    </row>
    <row r="4813" spans="1:7" x14ac:dyDescent="0.25">
      <c r="A4813" s="112"/>
      <c r="B4813" s="21" t="s">
        <v>11249</v>
      </c>
      <c r="C4813" s="21" t="s">
        <v>11250</v>
      </c>
      <c r="D4813" s="21" t="s">
        <v>11187</v>
      </c>
      <c r="E4813" s="50" t="b">
        <v>1</v>
      </c>
      <c r="F4813" s="72" t="str">
        <f>HYPERLINK("http://nsgreg.nga.mil/genc/view?v=292750&amp;end_month=6&amp;end_day=30&amp;end_year=2019","Doncaster")</f>
        <v>Doncaster</v>
      </c>
      <c r="G4813" s="72" t="str">
        <f>HYPERLINK("http://api.nsgreg.nga.mil/geo-division/GENC/6/3-11/GB-DNC","as:GENC:6:3-11:GB-DNC")</f>
        <v>as:GENC:6:3-11:GB-DNC</v>
      </c>
    </row>
    <row r="4814" spans="1:7" x14ac:dyDescent="0.25">
      <c r="A4814" s="112"/>
      <c r="B4814" s="21" t="s">
        <v>11251</v>
      </c>
      <c r="C4814" s="21" t="s">
        <v>11252</v>
      </c>
      <c r="D4814" s="21" t="s">
        <v>1737</v>
      </c>
      <c r="E4814" s="50" t="b">
        <v>1</v>
      </c>
      <c r="F4814" s="72" t="str">
        <f>HYPERLINK("http://nsgreg.nga.mil/genc/view?v=292752&amp;end_month=6&amp;end_day=30&amp;end_year=2019","Dorset")</f>
        <v>Dorset</v>
      </c>
      <c r="G4814" s="72" t="str">
        <f>HYPERLINK("http://api.nsgreg.nga.mil/geo-division/GENC/6/3-11/GB-DOR","as:GENC:6:3-11:GB-DOR")</f>
        <v>as:GENC:6:3-11:GB-DOR</v>
      </c>
    </row>
    <row r="4815" spans="1:7" x14ac:dyDescent="0.25">
      <c r="A4815" s="112"/>
      <c r="B4815" s="21" t="s">
        <v>11253</v>
      </c>
      <c r="C4815" s="21" t="s">
        <v>11254</v>
      </c>
      <c r="D4815" s="21" t="s">
        <v>11187</v>
      </c>
      <c r="E4815" s="50" t="b">
        <v>1</v>
      </c>
      <c r="F4815" s="72" t="str">
        <f>HYPERLINK("http://nsgreg.nga.mil/genc/view?v=292754&amp;end_month=6&amp;end_day=30&amp;end_year=2019","Dudley")</f>
        <v>Dudley</v>
      </c>
      <c r="G4815" s="72" t="str">
        <f>HYPERLINK("http://api.nsgreg.nga.mil/geo-division/GENC/6/3-11/GB-DUD","as:GENC:6:3-11:GB-DUD")</f>
        <v>as:GENC:6:3-11:GB-DUD</v>
      </c>
    </row>
    <row r="4816" spans="1:7" x14ac:dyDescent="0.25">
      <c r="A4816" s="112"/>
      <c r="B4816" s="21" t="s">
        <v>11255</v>
      </c>
      <c r="C4816" s="21" t="s">
        <v>11256</v>
      </c>
      <c r="D4816" s="21" t="s">
        <v>11190</v>
      </c>
      <c r="E4816" s="50" t="b">
        <v>1</v>
      </c>
      <c r="F4816" s="72" t="str">
        <f>HYPERLINK("http://nsgreg.nga.mil/genc/view?v=292755&amp;end_month=6&amp;end_day=30&amp;end_year=2019","Durham")</f>
        <v>Durham</v>
      </c>
      <c r="G4816" s="72" t="str">
        <f>HYPERLINK("http://api.nsgreg.nga.mil/geo-division/GENC/6/3-11/GB-DUR","as:GENC:6:3-11:GB-DUR")</f>
        <v>as:GENC:6:3-11:GB-DUR</v>
      </c>
    </row>
    <row r="4817" spans="1:7" x14ac:dyDescent="0.25">
      <c r="A4817" s="112"/>
      <c r="B4817" s="21" t="s">
        <v>11257</v>
      </c>
      <c r="C4817" s="21" t="s">
        <v>11258</v>
      </c>
      <c r="D4817" s="21" t="s">
        <v>11182</v>
      </c>
      <c r="E4817" s="50" t="b">
        <v>1</v>
      </c>
      <c r="F4817" s="72" t="str">
        <f>HYPERLINK("http://nsgreg.nga.mil/genc/view?v=292756&amp;end_month=6&amp;end_day=30&amp;end_year=2019","Ealing")</f>
        <v>Ealing</v>
      </c>
      <c r="G4817" s="72" t="str">
        <f>HYPERLINK("http://api.nsgreg.nga.mil/geo-division/GENC/6/3-11/GB-EAL","as:GENC:6:3-11:GB-EAL")</f>
        <v>as:GENC:6:3-11:GB-EAL</v>
      </c>
    </row>
    <row r="4818" spans="1:7" x14ac:dyDescent="0.25">
      <c r="A4818" s="112"/>
      <c r="B4818" s="21" t="s">
        <v>11259</v>
      </c>
      <c r="C4818" s="21" t="s">
        <v>11260</v>
      </c>
      <c r="D4818" s="21" t="s">
        <v>11190</v>
      </c>
      <c r="E4818" s="50" t="b">
        <v>1</v>
      </c>
      <c r="F4818" s="72" t="str">
        <f>HYPERLINK("http://nsgreg.nga.mil/genc/view?v=292766&amp;end_month=6&amp;end_day=30&amp;end_year=2019","East Riding of Yorkshire")</f>
        <v>East Riding of Yorkshire</v>
      </c>
      <c r="G4818" s="72" t="str">
        <f>HYPERLINK("http://api.nsgreg.nga.mil/geo-division/GENC/6/3-11/GB-ERY","as:GENC:6:3-11:GB-ERY")</f>
        <v>as:GENC:6:3-11:GB-ERY</v>
      </c>
    </row>
    <row r="4819" spans="1:7" x14ac:dyDescent="0.25">
      <c r="A4819" s="112"/>
      <c r="B4819" s="21" t="s">
        <v>11261</v>
      </c>
      <c r="C4819" s="21" t="s">
        <v>11262</v>
      </c>
      <c r="D4819" s="21" t="s">
        <v>1737</v>
      </c>
      <c r="E4819" s="50" t="b">
        <v>1</v>
      </c>
      <c r="F4819" s="72" t="str">
        <f>HYPERLINK("http://nsgreg.nga.mil/genc/view?v=292768&amp;end_month=6&amp;end_day=30&amp;end_year=2019","East Sussex")</f>
        <v>East Sussex</v>
      </c>
      <c r="G4819" s="72" t="str">
        <f>HYPERLINK("http://api.nsgreg.nga.mil/geo-division/GENC/6/3-11/GB-ESX","as:GENC:6:3-11:GB-ESX")</f>
        <v>as:GENC:6:3-11:GB-ESX</v>
      </c>
    </row>
    <row r="4820" spans="1:7" x14ac:dyDescent="0.25">
      <c r="A4820" s="112"/>
      <c r="B4820" s="21" t="s">
        <v>11263</v>
      </c>
      <c r="C4820" s="21" t="s">
        <v>11264</v>
      </c>
      <c r="D4820" s="21" t="s">
        <v>11182</v>
      </c>
      <c r="E4820" s="50" t="b">
        <v>1</v>
      </c>
      <c r="F4820" s="72" t="str">
        <f>HYPERLINK("http://nsgreg.nga.mil/genc/view?v=292763&amp;end_month=6&amp;end_day=30&amp;end_year=2019","Enfield")</f>
        <v>Enfield</v>
      </c>
      <c r="G4820" s="72" t="str">
        <f>HYPERLINK("http://api.nsgreg.nga.mil/geo-division/GENC/6/3-11/GB-ENF","as:GENC:6:3-11:GB-ENF")</f>
        <v>as:GENC:6:3-11:GB-ENF</v>
      </c>
    </row>
    <row r="4821" spans="1:7" x14ac:dyDescent="0.25">
      <c r="A4821" s="112"/>
      <c r="B4821" s="21" t="s">
        <v>11265</v>
      </c>
      <c r="C4821" s="21" t="s">
        <v>11266</v>
      </c>
      <c r="D4821" s="21" t="s">
        <v>1737</v>
      </c>
      <c r="E4821" s="50" t="b">
        <v>1</v>
      </c>
      <c r="F4821" s="72" t="str">
        <f>HYPERLINK("http://nsgreg.nga.mil/genc/view?v=292767&amp;end_month=6&amp;end_day=30&amp;end_year=2019","Essex")</f>
        <v>Essex</v>
      </c>
      <c r="G4821" s="72" t="str">
        <f>HYPERLINK("http://api.nsgreg.nga.mil/geo-division/GENC/6/3-11/GB-ESS","as:GENC:6:3-11:GB-ESS")</f>
        <v>as:GENC:6:3-11:GB-ESS</v>
      </c>
    </row>
    <row r="4822" spans="1:7" x14ac:dyDescent="0.25">
      <c r="A4822" s="112"/>
      <c r="B4822" s="21" t="s">
        <v>11267</v>
      </c>
      <c r="C4822" s="21" t="s">
        <v>11268</v>
      </c>
      <c r="D4822" s="21" t="s">
        <v>11187</v>
      </c>
      <c r="E4822" s="50" t="b">
        <v>1</v>
      </c>
      <c r="F4822" s="72" t="str">
        <f>HYPERLINK("http://nsgreg.nga.mil/genc/view?v=292773&amp;end_month=6&amp;end_day=30&amp;end_year=2019","Gateshead")</f>
        <v>Gateshead</v>
      </c>
      <c r="G4822" s="72" t="str">
        <f>HYPERLINK("http://api.nsgreg.nga.mil/geo-division/GENC/6/3-11/GB-GAT","as:GENC:6:3-11:GB-GAT")</f>
        <v>as:GENC:6:3-11:GB-GAT</v>
      </c>
    </row>
    <row r="4823" spans="1:7" x14ac:dyDescent="0.25">
      <c r="A4823" s="112"/>
      <c r="B4823" s="21" t="s">
        <v>11269</v>
      </c>
      <c r="C4823" s="21" t="s">
        <v>11270</v>
      </c>
      <c r="D4823" s="21" t="s">
        <v>1737</v>
      </c>
      <c r="E4823" s="50" t="b">
        <v>1</v>
      </c>
      <c r="F4823" s="72" t="str">
        <f>HYPERLINK("http://nsgreg.nga.mil/genc/view?v=292776&amp;end_month=6&amp;end_day=30&amp;end_year=2019","Gloucestershire")</f>
        <v>Gloucestershire</v>
      </c>
      <c r="G4823" s="72" t="str">
        <f>HYPERLINK("http://api.nsgreg.nga.mil/geo-division/GENC/6/3-11/GB-GLS","as:GENC:6:3-11:GB-GLS")</f>
        <v>as:GENC:6:3-11:GB-GLS</v>
      </c>
    </row>
    <row r="4824" spans="1:7" x14ac:dyDescent="0.25">
      <c r="A4824" s="112"/>
      <c r="B4824" s="21" t="s">
        <v>11271</v>
      </c>
      <c r="C4824" s="21" t="s">
        <v>11272</v>
      </c>
      <c r="D4824" s="21" t="s">
        <v>11182</v>
      </c>
      <c r="E4824" s="50" t="b">
        <v>1</v>
      </c>
      <c r="F4824" s="72" t="str">
        <f>HYPERLINK("http://nsgreg.nga.mil/genc/view?v=292777&amp;end_month=6&amp;end_day=30&amp;end_year=2019","Greenwich")</f>
        <v>Greenwich</v>
      </c>
      <c r="G4824" s="72" t="str">
        <f>HYPERLINK("http://api.nsgreg.nga.mil/geo-division/GENC/6/3-11/GB-GRE","as:GENC:6:3-11:GB-GRE")</f>
        <v>as:GENC:6:3-11:GB-GRE</v>
      </c>
    </row>
    <row r="4825" spans="1:7" x14ac:dyDescent="0.25">
      <c r="A4825" s="112"/>
      <c r="B4825" s="21" t="s">
        <v>11273</v>
      </c>
      <c r="C4825" s="21" t="s">
        <v>11274</v>
      </c>
      <c r="D4825" s="21" t="s">
        <v>11182</v>
      </c>
      <c r="E4825" s="50" t="b">
        <v>1</v>
      </c>
      <c r="F4825" s="72" t="str">
        <f>HYPERLINK("http://nsgreg.nga.mil/genc/view?v=292782&amp;end_month=6&amp;end_day=30&amp;end_year=2019","Hackney")</f>
        <v>Hackney</v>
      </c>
      <c r="G4825" s="72" t="str">
        <f>HYPERLINK("http://api.nsgreg.nga.mil/geo-division/GENC/6/3-11/GB-HCK","as:GENC:6:3-11:GB-HCK")</f>
        <v>as:GENC:6:3-11:GB-HCK</v>
      </c>
    </row>
    <row r="4826" spans="1:7" x14ac:dyDescent="0.25">
      <c r="A4826" s="112"/>
      <c r="B4826" s="21" t="s">
        <v>11275</v>
      </c>
      <c r="C4826" s="21" t="s">
        <v>11276</v>
      </c>
      <c r="D4826" s="21" t="s">
        <v>11190</v>
      </c>
      <c r="E4826" s="50" t="b">
        <v>1</v>
      </c>
      <c r="F4826" s="72" t="str">
        <f>HYPERLINK("http://nsgreg.nga.mil/genc/view?v=292779&amp;end_month=6&amp;end_day=30&amp;end_year=2019","Halton")</f>
        <v>Halton</v>
      </c>
      <c r="G4826" s="72" t="str">
        <f>HYPERLINK("http://api.nsgreg.nga.mil/geo-division/GENC/6/3-11/GB-HAL","as:GENC:6:3-11:GB-HAL")</f>
        <v>as:GENC:6:3-11:GB-HAL</v>
      </c>
    </row>
    <row r="4827" spans="1:7" x14ac:dyDescent="0.25">
      <c r="A4827" s="112"/>
      <c r="B4827" s="21" t="s">
        <v>11277</v>
      </c>
      <c r="C4827" s="21" t="s">
        <v>11278</v>
      </c>
      <c r="D4827" s="21" t="s">
        <v>11182</v>
      </c>
      <c r="E4827" s="50" t="b">
        <v>1</v>
      </c>
      <c r="F4827" s="72" t="str">
        <f>HYPERLINK("http://nsgreg.nga.mil/genc/view?v=292786&amp;end_month=6&amp;end_day=30&amp;end_year=2019","Hammersmith and Fulham")</f>
        <v>Hammersmith and Fulham</v>
      </c>
      <c r="G4827" s="72" t="str">
        <f>HYPERLINK("http://api.nsgreg.nga.mil/geo-division/GENC/6/3-11/GB-HMF","as:GENC:6:3-11:GB-HMF")</f>
        <v>as:GENC:6:3-11:GB-HMF</v>
      </c>
    </row>
    <row r="4828" spans="1:7" x14ac:dyDescent="0.25">
      <c r="A4828" s="112"/>
      <c r="B4828" s="21" t="s">
        <v>11279</v>
      </c>
      <c r="C4828" s="21" t="s">
        <v>11280</v>
      </c>
      <c r="D4828" s="21" t="s">
        <v>1737</v>
      </c>
      <c r="E4828" s="50" t="b">
        <v>1</v>
      </c>
      <c r="F4828" s="72" t="str">
        <f>HYPERLINK("http://nsgreg.nga.mil/genc/view?v=292780&amp;end_month=6&amp;end_day=30&amp;end_year=2019","Hampshire")</f>
        <v>Hampshire</v>
      </c>
      <c r="G4828" s="72" t="str">
        <f>HYPERLINK("http://api.nsgreg.nga.mil/geo-division/GENC/6/3-11/GB-HAM","as:GENC:6:3-11:GB-HAM")</f>
        <v>as:GENC:6:3-11:GB-HAM</v>
      </c>
    </row>
    <row r="4829" spans="1:7" x14ac:dyDescent="0.25">
      <c r="A4829" s="112"/>
      <c r="B4829" s="21" t="s">
        <v>11281</v>
      </c>
      <c r="C4829" s="21" t="s">
        <v>11282</v>
      </c>
      <c r="D4829" s="21" t="s">
        <v>11182</v>
      </c>
      <c r="E4829" s="50" t="b">
        <v>1</v>
      </c>
      <c r="F4829" s="72" t="str">
        <f>HYPERLINK("http://nsgreg.nga.mil/genc/view?v=292791&amp;end_month=6&amp;end_day=30&amp;end_year=2019","Haringey")</f>
        <v>Haringey</v>
      </c>
      <c r="G4829" s="72" t="str">
        <f>HYPERLINK("http://api.nsgreg.nga.mil/geo-division/GENC/6/3-11/GB-HRY","as:GENC:6:3-11:GB-HRY")</f>
        <v>as:GENC:6:3-11:GB-HRY</v>
      </c>
    </row>
    <row r="4830" spans="1:7" x14ac:dyDescent="0.25">
      <c r="A4830" s="112"/>
      <c r="B4830" s="21" t="s">
        <v>11283</v>
      </c>
      <c r="C4830" s="21" t="s">
        <v>11284</v>
      </c>
      <c r="D4830" s="21" t="s">
        <v>11182</v>
      </c>
      <c r="E4830" s="50" t="b">
        <v>1</v>
      </c>
      <c r="F4830" s="72" t="str">
        <f>HYPERLINK("http://nsgreg.nga.mil/genc/view?v=292790&amp;end_month=6&amp;end_day=30&amp;end_year=2019","Harrow")</f>
        <v>Harrow</v>
      </c>
      <c r="G4830" s="72" t="str">
        <f>HYPERLINK("http://api.nsgreg.nga.mil/geo-division/GENC/6/3-11/GB-HRW","as:GENC:6:3-11:GB-HRW")</f>
        <v>as:GENC:6:3-11:GB-HRW</v>
      </c>
    </row>
    <row r="4831" spans="1:7" x14ac:dyDescent="0.25">
      <c r="A4831" s="112"/>
      <c r="B4831" s="21" t="s">
        <v>11285</v>
      </c>
      <c r="C4831" s="21" t="s">
        <v>11286</v>
      </c>
      <c r="D4831" s="21" t="s">
        <v>11190</v>
      </c>
      <c r="E4831" s="50" t="b">
        <v>1</v>
      </c>
      <c r="F4831" s="72" t="str">
        <f>HYPERLINK("http://nsgreg.nga.mil/genc/view?v=292788&amp;end_month=6&amp;end_day=30&amp;end_year=2019","Hartlepool")</f>
        <v>Hartlepool</v>
      </c>
      <c r="G4831" s="72" t="str">
        <f>HYPERLINK("http://api.nsgreg.nga.mil/geo-division/GENC/6/3-11/GB-HPL","as:GENC:6:3-11:GB-HPL")</f>
        <v>as:GENC:6:3-11:GB-HPL</v>
      </c>
    </row>
    <row r="4832" spans="1:7" x14ac:dyDescent="0.25">
      <c r="A4832" s="112"/>
      <c r="B4832" s="21" t="s">
        <v>11287</v>
      </c>
      <c r="C4832" s="21" t="s">
        <v>11288</v>
      </c>
      <c r="D4832" s="21" t="s">
        <v>11182</v>
      </c>
      <c r="E4832" s="50" t="b">
        <v>1</v>
      </c>
      <c r="F4832" s="72" t="str">
        <f>HYPERLINK("http://nsgreg.nga.mil/genc/view?v=292781&amp;end_month=6&amp;end_day=30&amp;end_year=2019","Havering")</f>
        <v>Havering</v>
      </c>
      <c r="G4832" s="72" t="str">
        <f>HYPERLINK("http://api.nsgreg.nga.mil/geo-division/GENC/6/3-11/GB-HAV","as:GENC:6:3-11:GB-HAV")</f>
        <v>as:GENC:6:3-11:GB-HAV</v>
      </c>
    </row>
    <row r="4833" spans="1:7" x14ac:dyDescent="0.25">
      <c r="A4833" s="112"/>
      <c r="B4833" s="21" t="s">
        <v>11289</v>
      </c>
      <c r="C4833" s="21" t="s">
        <v>11290</v>
      </c>
      <c r="D4833" s="21" t="s">
        <v>11190</v>
      </c>
      <c r="E4833" s="50" t="b">
        <v>1</v>
      </c>
      <c r="F4833" s="72" t="str">
        <f>HYPERLINK("http://nsgreg.nga.mil/genc/view?v=292783&amp;end_month=6&amp;end_day=30&amp;end_year=2019","Herefordshire")</f>
        <v>Herefordshire</v>
      </c>
      <c r="G4833" s="72" t="str">
        <f>HYPERLINK("http://api.nsgreg.nga.mil/geo-division/GENC/6/3-11/GB-HEF","as:GENC:6:3-11:GB-HEF")</f>
        <v>as:GENC:6:3-11:GB-HEF</v>
      </c>
    </row>
    <row r="4834" spans="1:7" x14ac:dyDescent="0.25">
      <c r="A4834" s="112"/>
      <c r="B4834" s="21" t="s">
        <v>11291</v>
      </c>
      <c r="C4834" s="21" t="s">
        <v>11292</v>
      </c>
      <c r="D4834" s="21" t="s">
        <v>1737</v>
      </c>
      <c r="E4834" s="50" t="b">
        <v>1</v>
      </c>
      <c r="F4834" s="72" t="str">
        <f>HYPERLINK("http://nsgreg.nga.mil/genc/view?v=292789&amp;end_month=6&amp;end_day=30&amp;end_year=2019","Hertfordshire")</f>
        <v>Hertfordshire</v>
      </c>
      <c r="G4834" s="72" t="str">
        <f>HYPERLINK("http://api.nsgreg.nga.mil/geo-division/GENC/6/3-11/GB-HRT","as:GENC:6:3-11:GB-HRT")</f>
        <v>as:GENC:6:3-11:GB-HRT</v>
      </c>
    </row>
    <row r="4835" spans="1:7" x14ac:dyDescent="0.25">
      <c r="A4835" s="112"/>
      <c r="B4835" s="21" t="s">
        <v>11293</v>
      </c>
      <c r="C4835" s="21" t="s">
        <v>11294</v>
      </c>
      <c r="D4835" s="21" t="s">
        <v>11182</v>
      </c>
      <c r="E4835" s="50" t="b">
        <v>1</v>
      </c>
      <c r="F4835" s="72" t="str">
        <f>HYPERLINK("http://nsgreg.nga.mil/genc/view?v=292784&amp;end_month=6&amp;end_day=30&amp;end_year=2019","Hillingdon")</f>
        <v>Hillingdon</v>
      </c>
      <c r="G4835" s="72" t="str">
        <f>HYPERLINK("http://api.nsgreg.nga.mil/geo-division/GENC/6/3-11/GB-HIL","as:GENC:6:3-11:GB-HIL")</f>
        <v>as:GENC:6:3-11:GB-HIL</v>
      </c>
    </row>
    <row r="4836" spans="1:7" x14ac:dyDescent="0.25">
      <c r="A4836" s="112"/>
      <c r="B4836" s="21" t="s">
        <v>11295</v>
      </c>
      <c r="C4836" s="21" t="s">
        <v>11296</v>
      </c>
      <c r="D4836" s="21" t="s">
        <v>11182</v>
      </c>
      <c r="E4836" s="50" t="b">
        <v>1</v>
      </c>
      <c r="F4836" s="72" t="str">
        <f>HYPERLINK("http://nsgreg.nga.mil/genc/view?v=292787&amp;end_month=6&amp;end_day=30&amp;end_year=2019","Hounslow")</f>
        <v>Hounslow</v>
      </c>
      <c r="G4836" s="72" t="str">
        <f>HYPERLINK("http://api.nsgreg.nga.mil/geo-division/GENC/6/3-11/GB-HNS","as:GENC:6:3-11:GB-HNS")</f>
        <v>as:GENC:6:3-11:GB-HNS</v>
      </c>
    </row>
    <row r="4837" spans="1:7" x14ac:dyDescent="0.25">
      <c r="A4837" s="112"/>
      <c r="B4837" s="21" t="s">
        <v>11297</v>
      </c>
      <c r="C4837" s="21" t="s">
        <v>11298</v>
      </c>
      <c r="D4837" s="21" t="s">
        <v>11190</v>
      </c>
      <c r="E4837" s="50" t="b">
        <v>1</v>
      </c>
      <c r="F4837" s="72" t="str">
        <f>HYPERLINK("http://nsgreg.nga.mil/genc/view?v=292793&amp;end_month=6&amp;end_day=30&amp;end_year=2019","Isle of Wight")</f>
        <v>Isle of Wight</v>
      </c>
      <c r="G4837" s="72" t="str">
        <f>HYPERLINK("http://api.nsgreg.nga.mil/geo-division/GENC/6/3-11/GB-IOW","as:GENC:6:3-11:GB-IOW")</f>
        <v>as:GENC:6:3-11:GB-IOW</v>
      </c>
    </row>
    <row r="4838" spans="1:7" x14ac:dyDescent="0.25">
      <c r="A4838" s="112"/>
      <c r="B4838" s="21" t="s">
        <v>11299</v>
      </c>
      <c r="C4838" s="21" t="s">
        <v>11300</v>
      </c>
      <c r="D4838" s="21" t="s">
        <v>11190</v>
      </c>
      <c r="E4838" s="50" t="b">
        <v>1</v>
      </c>
      <c r="F4838" s="72" t="str">
        <f>HYPERLINK("http://nsgreg.nga.mil/genc/view?v=292792&amp;end_month=6&amp;end_day=30&amp;end_year=2019","Isles of Scilly")</f>
        <v>Isles of Scilly</v>
      </c>
      <c r="G4838" s="72" t="str">
        <f>HYPERLINK("http://api.nsgreg.nga.mil/geo-division/GENC/6/3-11/GB-IOS","as:GENC:6:3-11:GB-IOS")</f>
        <v>as:GENC:6:3-11:GB-IOS</v>
      </c>
    </row>
    <row r="4839" spans="1:7" x14ac:dyDescent="0.25">
      <c r="A4839" s="112"/>
      <c r="B4839" s="21" t="s">
        <v>11301</v>
      </c>
      <c r="C4839" s="21" t="s">
        <v>11302</v>
      </c>
      <c r="D4839" s="21" t="s">
        <v>11182</v>
      </c>
      <c r="E4839" s="50" t="b">
        <v>1</v>
      </c>
      <c r="F4839" s="72" t="str">
        <f>HYPERLINK("http://nsgreg.nga.mil/genc/view?v=292794&amp;end_month=6&amp;end_day=30&amp;end_year=2019","Islington")</f>
        <v>Islington</v>
      </c>
      <c r="G4839" s="72" t="str">
        <f>HYPERLINK("http://api.nsgreg.nga.mil/geo-division/GENC/6/3-11/GB-ISL","as:GENC:6:3-11:GB-ISL")</f>
        <v>as:GENC:6:3-11:GB-ISL</v>
      </c>
    </row>
    <row r="4840" spans="1:7" x14ac:dyDescent="0.25">
      <c r="A4840" s="112"/>
      <c r="B4840" s="21" t="s">
        <v>11303</v>
      </c>
      <c r="C4840" s="21" t="s">
        <v>11304</v>
      </c>
      <c r="D4840" s="21" t="s">
        <v>11182</v>
      </c>
      <c r="E4840" s="50" t="b">
        <v>1</v>
      </c>
      <c r="F4840" s="72" t="str">
        <f>HYPERLINK("http://nsgreg.nga.mil/genc/view?v=292796&amp;end_month=6&amp;end_day=30&amp;end_year=2019","Kensington and Chelsea")</f>
        <v>Kensington and Chelsea</v>
      </c>
      <c r="G4840" s="72" t="str">
        <f>HYPERLINK("http://api.nsgreg.nga.mil/geo-division/GENC/6/3-11/GB-KEC","as:GENC:6:3-11:GB-KEC")</f>
        <v>as:GENC:6:3-11:GB-KEC</v>
      </c>
    </row>
    <row r="4841" spans="1:7" x14ac:dyDescent="0.25">
      <c r="A4841" s="112"/>
      <c r="B4841" s="21" t="s">
        <v>11305</v>
      </c>
      <c r="C4841" s="21" t="s">
        <v>11306</v>
      </c>
      <c r="D4841" s="21" t="s">
        <v>1737</v>
      </c>
      <c r="E4841" s="50" t="b">
        <v>1</v>
      </c>
      <c r="F4841" s="72" t="str">
        <f>HYPERLINK("http://nsgreg.nga.mil/genc/view?v=292797&amp;end_month=6&amp;end_day=30&amp;end_year=2019","Kent")</f>
        <v>Kent</v>
      </c>
      <c r="G4841" s="72" t="str">
        <f>HYPERLINK("http://api.nsgreg.nga.mil/geo-division/GENC/6/3-11/GB-KEN","as:GENC:6:3-11:GB-KEN")</f>
        <v>as:GENC:6:3-11:GB-KEN</v>
      </c>
    </row>
    <row r="4842" spans="1:7" x14ac:dyDescent="0.25">
      <c r="A4842" s="112"/>
      <c r="B4842" s="21" t="s">
        <v>11307</v>
      </c>
      <c r="C4842" s="21" t="s">
        <v>11308</v>
      </c>
      <c r="D4842" s="21" t="s">
        <v>11190</v>
      </c>
      <c r="E4842" s="50" t="b">
        <v>1</v>
      </c>
      <c r="F4842" s="72" t="str">
        <f>HYPERLINK("http://nsgreg.nga.mil/genc/view?v=292798&amp;end_month=6&amp;end_day=30&amp;end_year=2019","Kingston upon Hull, City of")</f>
        <v>Kingston upon Hull, City of</v>
      </c>
      <c r="G4842" s="72" t="str">
        <f>HYPERLINK("http://api.nsgreg.nga.mil/geo-division/GENC/6/3-11/GB-KHL","as:GENC:6:3-11:GB-KHL")</f>
        <v>as:GENC:6:3-11:GB-KHL</v>
      </c>
    </row>
    <row r="4843" spans="1:7" x14ac:dyDescent="0.25">
      <c r="A4843" s="112"/>
      <c r="B4843" s="21" t="s">
        <v>11309</v>
      </c>
      <c r="C4843" s="21" t="s">
        <v>11310</v>
      </c>
      <c r="D4843" s="21" t="s">
        <v>11182</v>
      </c>
      <c r="E4843" s="50" t="b">
        <v>1</v>
      </c>
      <c r="F4843" s="72" t="str">
        <f>HYPERLINK("http://nsgreg.nga.mil/genc/view?v=292800&amp;end_month=6&amp;end_day=30&amp;end_year=2019","Kingston upon Thames")</f>
        <v>Kingston upon Thames</v>
      </c>
      <c r="G4843" s="72" t="str">
        <f>HYPERLINK("http://api.nsgreg.nga.mil/geo-division/GENC/6/3-11/GB-KTT","as:GENC:6:3-11:GB-KTT")</f>
        <v>as:GENC:6:3-11:GB-KTT</v>
      </c>
    </row>
    <row r="4844" spans="1:7" x14ac:dyDescent="0.25">
      <c r="A4844" s="112"/>
      <c r="B4844" s="21" t="s">
        <v>11311</v>
      </c>
      <c r="C4844" s="21" t="s">
        <v>11312</v>
      </c>
      <c r="D4844" s="21" t="s">
        <v>11187</v>
      </c>
      <c r="E4844" s="50" t="b">
        <v>1</v>
      </c>
      <c r="F4844" s="72" t="str">
        <f>HYPERLINK("http://nsgreg.nga.mil/genc/view?v=292799&amp;end_month=6&amp;end_day=30&amp;end_year=2019","Kirklees")</f>
        <v>Kirklees</v>
      </c>
      <c r="G4844" s="72" t="str">
        <f>HYPERLINK("http://api.nsgreg.nga.mil/geo-division/GENC/6/3-11/GB-KIR","as:GENC:6:3-11:GB-KIR")</f>
        <v>as:GENC:6:3-11:GB-KIR</v>
      </c>
    </row>
    <row r="4845" spans="1:7" x14ac:dyDescent="0.25">
      <c r="A4845" s="112"/>
      <c r="B4845" s="21" t="s">
        <v>11313</v>
      </c>
      <c r="C4845" s="21" t="s">
        <v>11314</v>
      </c>
      <c r="D4845" s="21" t="s">
        <v>11187</v>
      </c>
      <c r="E4845" s="50" t="b">
        <v>1</v>
      </c>
      <c r="F4845" s="72" t="str">
        <f>HYPERLINK("http://nsgreg.nga.mil/genc/view?v=292801&amp;end_month=6&amp;end_day=30&amp;end_year=2019","Knowsley")</f>
        <v>Knowsley</v>
      </c>
      <c r="G4845" s="72" t="str">
        <f>HYPERLINK("http://api.nsgreg.nga.mil/geo-division/GENC/6/3-11/GB-KWL","as:GENC:6:3-11:GB-KWL")</f>
        <v>as:GENC:6:3-11:GB-KWL</v>
      </c>
    </row>
    <row r="4846" spans="1:7" x14ac:dyDescent="0.25">
      <c r="A4846" s="112"/>
      <c r="B4846" s="21" t="s">
        <v>11315</v>
      </c>
      <c r="C4846" s="21" t="s">
        <v>11316</v>
      </c>
      <c r="D4846" s="21" t="s">
        <v>11182</v>
      </c>
      <c r="E4846" s="50" t="b">
        <v>1</v>
      </c>
      <c r="F4846" s="72" t="str">
        <f>HYPERLINK("http://nsgreg.nga.mil/genc/view?v=292804&amp;end_month=6&amp;end_day=30&amp;end_year=2019","Lambeth")</f>
        <v>Lambeth</v>
      </c>
      <c r="G4846" s="72" t="str">
        <f>HYPERLINK("http://api.nsgreg.nga.mil/geo-division/GENC/6/3-11/GB-LBH","as:GENC:6:3-11:GB-LBH")</f>
        <v>as:GENC:6:3-11:GB-LBH</v>
      </c>
    </row>
    <row r="4847" spans="1:7" x14ac:dyDescent="0.25">
      <c r="A4847" s="112"/>
      <c r="B4847" s="21" t="s">
        <v>11317</v>
      </c>
      <c r="C4847" s="21" t="s">
        <v>11318</v>
      </c>
      <c r="D4847" s="21" t="s">
        <v>1737</v>
      </c>
      <c r="E4847" s="50" t="b">
        <v>1</v>
      </c>
      <c r="F4847" s="72" t="str">
        <f>HYPERLINK("http://nsgreg.nga.mil/genc/view?v=292802&amp;end_month=6&amp;end_day=30&amp;end_year=2019","Lancashire")</f>
        <v>Lancashire</v>
      </c>
      <c r="G4847" s="72" t="str">
        <f>HYPERLINK("http://api.nsgreg.nga.mil/geo-division/GENC/6/3-11/GB-LAN","as:GENC:6:3-11:GB-LAN")</f>
        <v>as:GENC:6:3-11:GB-LAN</v>
      </c>
    </row>
    <row r="4848" spans="1:7" x14ac:dyDescent="0.25">
      <c r="A4848" s="112"/>
      <c r="B4848" s="21" t="s">
        <v>11319</v>
      </c>
      <c r="C4848" s="21" t="s">
        <v>11320</v>
      </c>
      <c r="D4848" s="21" t="s">
        <v>11187</v>
      </c>
      <c r="E4848" s="50" t="b">
        <v>1</v>
      </c>
      <c r="F4848" s="72" t="str">
        <f>HYPERLINK("http://nsgreg.nga.mil/genc/view?v=292806&amp;end_month=6&amp;end_day=30&amp;end_year=2019","Leeds")</f>
        <v>Leeds</v>
      </c>
      <c r="G4848" s="72" t="str">
        <f>HYPERLINK("http://api.nsgreg.nga.mil/geo-division/GENC/6/3-11/GB-LDS","as:GENC:6:3-11:GB-LDS")</f>
        <v>as:GENC:6:3-11:GB-LDS</v>
      </c>
    </row>
    <row r="4849" spans="1:7" x14ac:dyDescent="0.25">
      <c r="A4849" s="112"/>
      <c r="B4849" s="21" t="s">
        <v>11321</v>
      </c>
      <c r="C4849" s="21" t="s">
        <v>11322</v>
      </c>
      <c r="D4849" s="21" t="s">
        <v>11190</v>
      </c>
      <c r="E4849" s="50" t="b">
        <v>1</v>
      </c>
      <c r="F4849" s="72" t="str">
        <f>HYPERLINK("http://nsgreg.nga.mil/genc/view?v=292805&amp;end_month=6&amp;end_day=30&amp;end_year=2019","Leicester")</f>
        <v>Leicester</v>
      </c>
      <c r="G4849" s="72" t="str">
        <f>HYPERLINK("http://api.nsgreg.nga.mil/geo-division/GENC/6/3-11/GB-LCE","as:GENC:6:3-11:GB-LCE")</f>
        <v>as:GENC:6:3-11:GB-LCE</v>
      </c>
    </row>
    <row r="4850" spans="1:7" x14ac:dyDescent="0.25">
      <c r="A4850" s="112"/>
      <c r="B4850" s="21" t="s">
        <v>11323</v>
      </c>
      <c r="C4850" s="21" t="s">
        <v>11324</v>
      </c>
      <c r="D4850" s="21" t="s">
        <v>1737</v>
      </c>
      <c r="E4850" s="50" t="b">
        <v>1</v>
      </c>
      <c r="F4850" s="72" t="str">
        <f>HYPERLINK("http://nsgreg.nga.mil/genc/view?v=292807&amp;end_month=6&amp;end_day=30&amp;end_year=2019","Leicestershire")</f>
        <v>Leicestershire</v>
      </c>
      <c r="G4850" s="72" t="str">
        <f>HYPERLINK("http://api.nsgreg.nga.mil/geo-division/GENC/6/3-11/GB-LEC","as:GENC:6:3-11:GB-LEC")</f>
        <v>as:GENC:6:3-11:GB-LEC</v>
      </c>
    </row>
    <row r="4851" spans="1:7" x14ac:dyDescent="0.25">
      <c r="A4851" s="112"/>
      <c r="B4851" s="21" t="s">
        <v>11325</v>
      </c>
      <c r="C4851" s="21" t="s">
        <v>11326</v>
      </c>
      <c r="D4851" s="21" t="s">
        <v>11182</v>
      </c>
      <c r="E4851" s="50" t="b">
        <v>1</v>
      </c>
      <c r="F4851" s="72" t="str">
        <f>HYPERLINK("http://nsgreg.nga.mil/genc/view?v=292808&amp;end_month=6&amp;end_day=30&amp;end_year=2019","Lewisham")</f>
        <v>Lewisham</v>
      </c>
      <c r="G4851" s="72" t="str">
        <f>HYPERLINK("http://api.nsgreg.nga.mil/geo-division/GENC/6/3-11/GB-LEW","as:GENC:6:3-11:GB-LEW")</f>
        <v>as:GENC:6:3-11:GB-LEW</v>
      </c>
    </row>
    <row r="4852" spans="1:7" x14ac:dyDescent="0.25">
      <c r="A4852" s="112"/>
      <c r="B4852" s="21" t="s">
        <v>11327</v>
      </c>
      <c r="C4852" s="21" t="s">
        <v>11328</v>
      </c>
      <c r="D4852" s="21" t="s">
        <v>1737</v>
      </c>
      <c r="E4852" s="50" t="b">
        <v>1</v>
      </c>
      <c r="F4852" s="72" t="str">
        <f>HYPERLINK("http://nsgreg.nga.mil/genc/view?v=292809&amp;end_month=6&amp;end_day=30&amp;end_year=2019","Lincolnshire")</f>
        <v>Lincolnshire</v>
      </c>
      <c r="G4852" s="72" t="str">
        <f>HYPERLINK("http://api.nsgreg.nga.mil/geo-division/GENC/6/3-11/GB-LIN","as:GENC:6:3-11:GB-LIN")</f>
        <v>as:GENC:6:3-11:GB-LIN</v>
      </c>
    </row>
    <row r="4853" spans="1:7" x14ac:dyDescent="0.25">
      <c r="A4853" s="112"/>
      <c r="B4853" s="21" t="s">
        <v>11329</v>
      </c>
      <c r="C4853" s="21" t="s">
        <v>11330</v>
      </c>
      <c r="D4853" s="21" t="s">
        <v>11187</v>
      </c>
      <c r="E4853" s="50" t="b">
        <v>1</v>
      </c>
      <c r="F4853" s="72" t="str">
        <f>HYPERLINK("http://nsgreg.nga.mil/genc/view?v=292810&amp;end_month=6&amp;end_day=30&amp;end_year=2019","Liverpool")</f>
        <v>Liverpool</v>
      </c>
      <c r="G4853" s="72" t="str">
        <f>HYPERLINK("http://api.nsgreg.nga.mil/geo-division/GENC/6/3-11/GB-LIV","as:GENC:6:3-11:GB-LIV")</f>
        <v>as:GENC:6:3-11:GB-LIV</v>
      </c>
    </row>
    <row r="4854" spans="1:7" x14ac:dyDescent="0.25">
      <c r="A4854" s="112"/>
      <c r="B4854" s="21" t="s">
        <v>11331</v>
      </c>
      <c r="C4854" s="21" t="s">
        <v>11332</v>
      </c>
      <c r="D4854" s="21" t="s">
        <v>11333</v>
      </c>
      <c r="E4854" s="50" t="b">
        <v>1</v>
      </c>
      <c r="F4854" s="72" t="str">
        <f>HYPERLINK("http://nsgreg.nga.mil/genc/view?v=292811&amp;end_month=6&amp;end_day=30&amp;end_year=2019","London, City of")</f>
        <v>London, City of</v>
      </c>
      <c r="G4854" s="72" t="str">
        <f>HYPERLINK("http://api.nsgreg.nga.mil/geo-division/GENC/6/3-11/GB-LND","as:GENC:6:3-11:GB-LND")</f>
        <v>as:GENC:6:3-11:GB-LND</v>
      </c>
    </row>
    <row r="4855" spans="1:7" x14ac:dyDescent="0.25">
      <c r="A4855" s="112"/>
      <c r="B4855" s="21" t="s">
        <v>11334</v>
      </c>
      <c r="C4855" s="21" t="s">
        <v>11335</v>
      </c>
      <c r="D4855" s="21" t="s">
        <v>11190</v>
      </c>
      <c r="E4855" s="50" t="b">
        <v>1</v>
      </c>
      <c r="F4855" s="72" t="str">
        <f>HYPERLINK("http://nsgreg.nga.mil/genc/view?v=292812&amp;end_month=6&amp;end_day=30&amp;end_year=2019","Luton")</f>
        <v>Luton</v>
      </c>
      <c r="G4855" s="72" t="str">
        <f>HYPERLINK("http://api.nsgreg.nga.mil/geo-division/GENC/6/3-11/GB-LUT","as:GENC:6:3-11:GB-LUT")</f>
        <v>as:GENC:6:3-11:GB-LUT</v>
      </c>
    </row>
    <row r="4856" spans="1:7" x14ac:dyDescent="0.25">
      <c r="A4856" s="112"/>
      <c r="B4856" s="21" t="s">
        <v>11336</v>
      </c>
      <c r="C4856" s="21" t="s">
        <v>11337</v>
      </c>
      <c r="D4856" s="21" t="s">
        <v>11187</v>
      </c>
      <c r="E4856" s="50" t="b">
        <v>1</v>
      </c>
      <c r="F4856" s="72" t="str">
        <f>HYPERLINK("http://nsgreg.nga.mil/genc/view?v=292813&amp;end_month=6&amp;end_day=30&amp;end_year=2019","Manchester")</f>
        <v>Manchester</v>
      </c>
      <c r="G4856" s="72" t="str">
        <f>HYPERLINK("http://api.nsgreg.nga.mil/geo-division/GENC/6/3-11/GB-MAN","as:GENC:6:3-11:GB-MAN")</f>
        <v>as:GENC:6:3-11:GB-MAN</v>
      </c>
    </row>
    <row r="4857" spans="1:7" x14ac:dyDescent="0.25">
      <c r="A4857" s="112"/>
      <c r="B4857" s="21" t="s">
        <v>11338</v>
      </c>
      <c r="C4857" s="21" t="s">
        <v>11339</v>
      </c>
      <c r="D4857" s="21" t="s">
        <v>11190</v>
      </c>
      <c r="E4857" s="50" t="b">
        <v>1</v>
      </c>
      <c r="F4857" s="72" t="str">
        <f>HYPERLINK("http://nsgreg.nga.mil/genc/view?v=292815&amp;end_month=6&amp;end_day=30&amp;end_year=2019","Medway")</f>
        <v>Medway</v>
      </c>
      <c r="G4857" s="72" t="str">
        <f>HYPERLINK("http://api.nsgreg.nga.mil/geo-division/GENC/6/3-11/GB-MDW","as:GENC:6:3-11:GB-MDW")</f>
        <v>as:GENC:6:3-11:GB-MDW</v>
      </c>
    </row>
    <row r="4858" spans="1:7" x14ac:dyDescent="0.25">
      <c r="A4858" s="112"/>
      <c r="B4858" s="21" t="s">
        <v>11340</v>
      </c>
      <c r="C4858" s="21" t="s">
        <v>11341</v>
      </c>
      <c r="D4858" s="21" t="s">
        <v>11182</v>
      </c>
      <c r="E4858" s="50" t="b">
        <v>1</v>
      </c>
      <c r="F4858" s="72" t="str">
        <f>HYPERLINK("http://nsgreg.nga.mil/genc/view?v=292820&amp;end_month=6&amp;end_day=30&amp;end_year=2019","Merton")</f>
        <v>Merton</v>
      </c>
      <c r="G4858" s="72" t="str">
        <f>HYPERLINK("http://api.nsgreg.nga.mil/geo-division/GENC/6/3-11/GB-MRT","as:GENC:6:3-11:GB-MRT")</f>
        <v>as:GENC:6:3-11:GB-MRT</v>
      </c>
    </row>
    <row r="4859" spans="1:7" x14ac:dyDescent="0.25">
      <c r="A4859" s="112"/>
      <c r="B4859" s="21" t="s">
        <v>11342</v>
      </c>
      <c r="C4859" s="21" t="s">
        <v>11343</v>
      </c>
      <c r="D4859" s="21" t="s">
        <v>11190</v>
      </c>
      <c r="E4859" s="50" t="b">
        <v>1</v>
      </c>
      <c r="F4859" s="72" t="str">
        <f>HYPERLINK("http://nsgreg.nga.mil/genc/view?v=292814&amp;end_month=6&amp;end_day=30&amp;end_year=2019","Middlesbrough")</f>
        <v>Middlesbrough</v>
      </c>
      <c r="G4859" s="72" t="str">
        <f>HYPERLINK("http://api.nsgreg.nga.mil/geo-division/GENC/6/3-11/GB-MDB","as:GENC:6:3-11:GB-MDB")</f>
        <v>as:GENC:6:3-11:GB-MDB</v>
      </c>
    </row>
    <row r="4860" spans="1:7" x14ac:dyDescent="0.25">
      <c r="A4860" s="112"/>
      <c r="B4860" s="21" t="s">
        <v>11344</v>
      </c>
      <c r="C4860" s="21" t="s">
        <v>11345</v>
      </c>
      <c r="D4860" s="21" t="s">
        <v>11190</v>
      </c>
      <c r="E4860" s="50" t="b">
        <v>1</v>
      </c>
      <c r="F4860" s="72" t="str">
        <f>HYPERLINK("http://nsgreg.nga.mil/genc/view?v=292817&amp;end_month=6&amp;end_day=30&amp;end_year=2019","Milton Keynes")</f>
        <v>Milton Keynes</v>
      </c>
      <c r="G4860" s="72" t="str">
        <f>HYPERLINK("http://api.nsgreg.nga.mil/geo-division/GENC/6/3-11/GB-MIK","as:GENC:6:3-11:GB-MIK")</f>
        <v>as:GENC:6:3-11:GB-MIK</v>
      </c>
    </row>
    <row r="4861" spans="1:7" x14ac:dyDescent="0.25">
      <c r="A4861" s="112"/>
      <c r="B4861" s="21" t="s">
        <v>11346</v>
      </c>
      <c r="C4861" s="21" t="s">
        <v>11347</v>
      </c>
      <c r="D4861" s="21" t="s">
        <v>11187</v>
      </c>
      <c r="E4861" s="50" t="b">
        <v>1</v>
      </c>
      <c r="F4861" s="72" t="str">
        <f>HYPERLINK("http://nsgreg.nga.mil/genc/view?v=292827&amp;end_month=6&amp;end_day=30&amp;end_year=2019","Newcastle upon Tyne")</f>
        <v>Newcastle upon Tyne</v>
      </c>
      <c r="G4861" s="72" t="str">
        <f>HYPERLINK("http://api.nsgreg.nga.mil/geo-division/GENC/6/3-11/GB-NET","as:GENC:6:3-11:GB-NET")</f>
        <v>as:GENC:6:3-11:GB-NET</v>
      </c>
    </row>
    <row r="4862" spans="1:7" x14ac:dyDescent="0.25">
      <c r="A4862" s="112"/>
      <c r="B4862" s="21" t="s">
        <v>11348</v>
      </c>
      <c r="C4862" s="21" t="s">
        <v>11349</v>
      </c>
      <c r="D4862" s="21" t="s">
        <v>11182</v>
      </c>
      <c r="E4862" s="50" t="b">
        <v>1</v>
      </c>
      <c r="F4862" s="72" t="str">
        <f>HYPERLINK("http://nsgreg.nga.mil/genc/view?v=292839&amp;end_month=6&amp;end_day=30&amp;end_year=2019","Newham")</f>
        <v>Newham</v>
      </c>
      <c r="G4862" s="72" t="str">
        <f>HYPERLINK("http://api.nsgreg.nga.mil/geo-division/GENC/6/3-11/GB-NWM","as:GENC:6:3-11:GB-NWM")</f>
        <v>as:GENC:6:3-11:GB-NWM</v>
      </c>
    </row>
    <row r="4863" spans="1:7" x14ac:dyDescent="0.25">
      <c r="A4863" s="112"/>
      <c r="B4863" s="21" t="s">
        <v>11350</v>
      </c>
      <c r="C4863" s="21" t="s">
        <v>11351</v>
      </c>
      <c r="D4863" s="21" t="s">
        <v>1737</v>
      </c>
      <c r="E4863" s="50" t="b">
        <v>1</v>
      </c>
      <c r="F4863" s="72" t="str">
        <f>HYPERLINK("http://nsgreg.nga.mil/genc/view?v=292828&amp;end_month=6&amp;end_day=30&amp;end_year=2019","Norfolk")</f>
        <v>Norfolk</v>
      </c>
      <c r="G4863" s="72" t="str">
        <f>HYPERLINK("http://api.nsgreg.nga.mil/geo-division/GENC/6/3-11/GB-NFK","as:GENC:6:3-11:GB-NFK")</f>
        <v>as:GENC:6:3-11:GB-NFK</v>
      </c>
    </row>
    <row r="4864" spans="1:7" x14ac:dyDescent="0.25">
      <c r="A4864" s="112"/>
      <c r="B4864" s="21" t="s">
        <v>11352</v>
      </c>
      <c r="C4864" s="21" t="s">
        <v>11353</v>
      </c>
      <c r="D4864" s="21" t="s">
        <v>1737</v>
      </c>
      <c r="E4864" s="50" t="b">
        <v>1</v>
      </c>
      <c r="F4864" s="72" t="str">
        <f>HYPERLINK("http://nsgreg.nga.mil/genc/view?v=292835&amp;end_month=6&amp;end_day=30&amp;end_year=2019","Northamptonshire")</f>
        <v>Northamptonshire</v>
      </c>
      <c r="G4864" s="72" t="str">
        <f>HYPERLINK("http://api.nsgreg.nga.mil/geo-division/GENC/6/3-11/GB-NTH","as:GENC:6:3-11:GB-NTH")</f>
        <v>as:GENC:6:3-11:GB-NTH</v>
      </c>
    </row>
    <row r="4865" spans="1:7" x14ac:dyDescent="0.25">
      <c r="A4865" s="112"/>
      <c r="B4865" s="21" t="s">
        <v>11354</v>
      </c>
      <c r="C4865" s="21" t="s">
        <v>11355</v>
      </c>
      <c r="D4865" s="21" t="s">
        <v>11190</v>
      </c>
      <c r="E4865" s="50" t="b">
        <v>1</v>
      </c>
      <c r="F4865" s="72" t="str">
        <f>HYPERLINK("http://nsgreg.nga.mil/genc/view?v=292826&amp;end_month=6&amp;end_day=30&amp;end_year=2019","North East Lincolnshire")</f>
        <v>North East Lincolnshire</v>
      </c>
      <c r="G4865" s="72" t="str">
        <f>HYPERLINK("http://api.nsgreg.nga.mil/geo-division/GENC/6/3-11/GB-NEL","as:GENC:6:3-11:GB-NEL")</f>
        <v>as:GENC:6:3-11:GB-NEL</v>
      </c>
    </row>
    <row r="4866" spans="1:7" x14ac:dyDescent="0.25">
      <c r="A4866" s="112"/>
      <c r="B4866" s="21" t="s">
        <v>11356</v>
      </c>
      <c r="C4866" s="21" t="s">
        <v>11357</v>
      </c>
      <c r="D4866" s="21" t="s">
        <v>11190</v>
      </c>
      <c r="E4866" s="50" t="b">
        <v>1</v>
      </c>
      <c r="F4866" s="72" t="str">
        <f>HYPERLINK("http://nsgreg.nga.mil/genc/view?v=292832&amp;end_month=6&amp;end_day=30&amp;end_year=2019","North Lincolnshire")</f>
        <v>North Lincolnshire</v>
      </c>
      <c r="G4866" s="72" t="str">
        <f>HYPERLINK("http://api.nsgreg.nga.mil/geo-division/GENC/6/3-11/GB-NLN","as:GENC:6:3-11:GB-NLN")</f>
        <v>as:GENC:6:3-11:GB-NLN</v>
      </c>
    </row>
    <row r="4867" spans="1:7" x14ac:dyDescent="0.25">
      <c r="A4867" s="112"/>
      <c r="B4867" s="21" t="s">
        <v>11358</v>
      </c>
      <c r="C4867" s="21" t="s">
        <v>11359</v>
      </c>
      <c r="D4867" s="21" t="s">
        <v>11190</v>
      </c>
      <c r="E4867" s="50" t="b">
        <v>1</v>
      </c>
      <c r="F4867" s="72" t="str">
        <f>HYPERLINK("http://nsgreg.nga.mil/genc/view?v=292834&amp;end_month=6&amp;end_day=30&amp;end_year=2019","North Somerset")</f>
        <v>North Somerset</v>
      </c>
      <c r="G4867" s="72" t="str">
        <f>HYPERLINK("http://api.nsgreg.nga.mil/geo-division/GENC/6/3-11/GB-NSM","as:GENC:6:3-11:GB-NSM")</f>
        <v>as:GENC:6:3-11:GB-NSM</v>
      </c>
    </row>
    <row r="4868" spans="1:7" x14ac:dyDescent="0.25">
      <c r="A4868" s="112"/>
      <c r="B4868" s="21" t="s">
        <v>11360</v>
      </c>
      <c r="C4868" s="21" t="s">
        <v>11361</v>
      </c>
      <c r="D4868" s="21" t="s">
        <v>11187</v>
      </c>
      <c r="E4868" s="50" t="b">
        <v>1</v>
      </c>
      <c r="F4868" s="72" t="str">
        <f>HYPERLINK("http://nsgreg.nga.mil/genc/view?v=292838&amp;end_month=6&amp;end_day=30&amp;end_year=2019","North Tyneside")</f>
        <v>North Tyneside</v>
      </c>
      <c r="G4868" s="72" t="str">
        <f>HYPERLINK("http://api.nsgreg.nga.mil/geo-division/GENC/6/3-11/GB-NTY","as:GENC:6:3-11:GB-NTY")</f>
        <v>as:GENC:6:3-11:GB-NTY</v>
      </c>
    </row>
    <row r="4869" spans="1:7" x14ac:dyDescent="0.25">
      <c r="A4869" s="112"/>
      <c r="B4869" s="21" t="s">
        <v>11362</v>
      </c>
      <c r="C4869" s="21" t="s">
        <v>11363</v>
      </c>
      <c r="D4869" s="21" t="s">
        <v>11190</v>
      </c>
      <c r="E4869" s="50" t="b">
        <v>1</v>
      </c>
      <c r="F4869" s="72" t="str">
        <f>HYPERLINK("http://nsgreg.nga.mil/genc/view?v=292825&amp;end_month=6&amp;end_day=30&amp;end_year=2019","Northumberland")</f>
        <v>Northumberland</v>
      </c>
      <c r="G4869" s="72" t="str">
        <f>HYPERLINK("http://api.nsgreg.nga.mil/geo-division/GENC/6/3-11/GB-NBL","as:GENC:6:3-11:GB-NBL")</f>
        <v>as:GENC:6:3-11:GB-NBL</v>
      </c>
    </row>
    <row r="4870" spans="1:7" x14ac:dyDescent="0.25">
      <c r="A4870" s="112"/>
      <c r="B4870" s="21" t="s">
        <v>11364</v>
      </c>
      <c r="C4870" s="21" t="s">
        <v>11365</v>
      </c>
      <c r="D4870" s="21" t="s">
        <v>1737</v>
      </c>
      <c r="E4870" s="50" t="b">
        <v>1</v>
      </c>
      <c r="F4870" s="72" t="str">
        <f>HYPERLINK("http://nsgreg.nga.mil/genc/view?v=292841&amp;end_month=6&amp;end_day=30&amp;end_year=2019","North Yorkshire")</f>
        <v>North Yorkshire</v>
      </c>
      <c r="G4870" s="72" t="str">
        <f>HYPERLINK("http://api.nsgreg.nga.mil/geo-division/GENC/6/3-11/GB-NYK","as:GENC:6:3-11:GB-NYK")</f>
        <v>as:GENC:6:3-11:GB-NYK</v>
      </c>
    </row>
    <row r="4871" spans="1:7" x14ac:dyDescent="0.25">
      <c r="A4871" s="112"/>
      <c r="B4871" s="21" t="s">
        <v>11366</v>
      </c>
      <c r="C4871" s="21" t="s">
        <v>11367</v>
      </c>
      <c r="D4871" s="21" t="s">
        <v>11190</v>
      </c>
      <c r="E4871" s="50" t="b">
        <v>1</v>
      </c>
      <c r="F4871" s="72" t="str">
        <f>HYPERLINK("http://nsgreg.nga.mil/genc/view?v=292829&amp;end_month=6&amp;end_day=30&amp;end_year=2019","Nottingham")</f>
        <v>Nottingham</v>
      </c>
      <c r="G4871" s="72" t="str">
        <f>HYPERLINK("http://api.nsgreg.nga.mil/geo-division/GENC/6/3-11/GB-NGM","as:GENC:6:3-11:GB-NGM")</f>
        <v>as:GENC:6:3-11:GB-NGM</v>
      </c>
    </row>
    <row r="4872" spans="1:7" x14ac:dyDescent="0.25">
      <c r="A4872" s="112"/>
      <c r="B4872" s="21" t="s">
        <v>11368</v>
      </c>
      <c r="C4872" s="21" t="s">
        <v>11369</v>
      </c>
      <c r="D4872" s="21" t="s">
        <v>1737</v>
      </c>
      <c r="E4872" s="50" t="b">
        <v>1</v>
      </c>
      <c r="F4872" s="72" t="str">
        <f>HYPERLINK("http://nsgreg.nga.mil/genc/view?v=292837&amp;end_month=6&amp;end_day=30&amp;end_year=2019","Nottinghamshire")</f>
        <v>Nottinghamshire</v>
      </c>
      <c r="G4872" s="72" t="str">
        <f>HYPERLINK("http://api.nsgreg.nga.mil/geo-division/GENC/6/3-11/GB-NTT","as:GENC:6:3-11:GB-NTT")</f>
        <v>as:GENC:6:3-11:GB-NTT</v>
      </c>
    </row>
    <row r="4873" spans="1:7" x14ac:dyDescent="0.25">
      <c r="A4873" s="112"/>
      <c r="B4873" s="21" t="s">
        <v>11370</v>
      </c>
      <c r="C4873" s="21" t="s">
        <v>11371</v>
      </c>
      <c r="D4873" s="21" t="s">
        <v>11187</v>
      </c>
      <c r="E4873" s="50" t="b">
        <v>1</v>
      </c>
      <c r="F4873" s="72" t="str">
        <f>HYPERLINK("http://nsgreg.nga.mil/genc/view?v=292842&amp;end_month=6&amp;end_day=30&amp;end_year=2019","Oldham")</f>
        <v>Oldham</v>
      </c>
      <c r="G4873" s="72" t="str">
        <f>HYPERLINK("http://api.nsgreg.nga.mil/geo-division/GENC/6/3-11/GB-OLD","as:GENC:6:3-11:GB-OLD")</f>
        <v>as:GENC:6:3-11:GB-OLD</v>
      </c>
    </row>
    <row r="4874" spans="1:7" x14ac:dyDescent="0.25">
      <c r="A4874" s="112"/>
      <c r="B4874" s="21" t="s">
        <v>11372</v>
      </c>
      <c r="C4874" s="21" t="s">
        <v>11373</v>
      </c>
      <c r="D4874" s="21" t="s">
        <v>1737</v>
      </c>
      <c r="E4874" s="50" t="b">
        <v>1</v>
      </c>
      <c r="F4874" s="72" t="str">
        <f>HYPERLINK("http://nsgreg.nga.mil/genc/view?v=292844&amp;end_month=6&amp;end_day=30&amp;end_year=2019","Oxfordshire")</f>
        <v>Oxfordshire</v>
      </c>
      <c r="G4874" s="72" t="str">
        <f>HYPERLINK("http://api.nsgreg.nga.mil/geo-division/GENC/6/3-11/GB-OXF","as:GENC:6:3-11:GB-OXF")</f>
        <v>as:GENC:6:3-11:GB-OXF</v>
      </c>
    </row>
    <row r="4875" spans="1:7" x14ac:dyDescent="0.25">
      <c r="A4875" s="112"/>
      <c r="B4875" s="21" t="s">
        <v>11374</v>
      </c>
      <c r="C4875" s="21" t="s">
        <v>11375</v>
      </c>
      <c r="D4875" s="21" t="s">
        <v>11190</v>
      </c>
      <c r="E4875" s="50" t="b">
        <v>1</v>
      </c>
      <c r="F4875" s="72" t="str">
        <f>HYPERLINK("http://nsgreg.nga.mil/genc/view?v=292851&amp;end_month=6&amp;end_day=30&amp;end_year=2019","Peterborough")</f>
        <v>Peterborough</v>
      </c>
      <c r="G4875" s="72" t="str">
        <f>HYPERLINK("http://api.nsgreg.nga.mil/geo-division/GENC/6/3-11/GB-PTE","as:GENC:6:3-11:GB-PTE")</f>
        <v>as:GENC:6:3-11:GB-PTE</v>
      </c>
    </row>
    <row r="4876" spans="1:7" x14ac:dyDescent="0.25">
      <c r="A4876" s="112"/>
      <c r="B4876" s="21" t="s">
        <v>11376</v>
      </c>
      <c r="C4876" s="21" t="s">
        <v>11377</v>
      </c>
      <c r="D4876" s="21" t="s">
        <v>11190</v>
      </c>
      <c r="E4876" s="50" t="b">
        <v>1</v>
      </c>
      <c r="F4876" s="72" t="str">
        <f>HYPERLINK("http://nsgreg.nga.mil/genc/view?v=292847&amp;end_month=6&amp;end_day=30&amp;end_year=2019","Plymouth")</f>
        <v>Plymouth</v>
      </c>
      <c r="G4876" s="72" t="str">
        <f>HYPERLINK("http://api.nsgreg.nga.mil/geo-division/GENC/6/3-11/GB-PLY","as:GENC:6:3-11:GB-PLY")</f>
        <v>as:GENC:6:3-11:GB-PLY</v>
      </c>
    </row>
    <row r="4877" spans="1:7" x14ac:dyDescent="0.25">
      <c r="A4877" s="112"/>
      <c r="B4877" s="21" t="s">
        <v>11378</v>
      </c>
      <c r="C4877" s="21" t="s">
        <v>11379</v>
      </c>
      <c r="D4877" s="21" t="s">
        <v>11190</v>
      </c>
      <c r="E4877" s="50" t="b">
        <v>1</v>
      </c>
      <c r="F4877" s="72" t="str">
        <f>HYPERLINK("http://nsgreg.nga.mil/genc/view?v=292848&amp;end_month=6&amp;end_day=30&amp;end_year=2019","Poole")</f>
        <v>Poole</v>
      </c>
      <c r="G4877" s="72" t="str">
        <f>HYPERLINK("http://api.nsgreg.nga.mil/geo-division/GENC/6/3-11/GB-POL","as:GENC:6:3-11:GB-POL")</f>
        <v>as:GENC:6:3-11:GB-POL</v>
      </c>
    </row>
    <row r="4878" spans="1:7" x14ac:dyDescent="0.25">
      <c r="A4878" s="112"/>
      <c r="B4878" s="21" t="s">
        <v>11380</v>
      </c>
      <c r="C4878" s="21" t="s">
        <v>11381</v>
      </c>
      <c r="D4878" s="21" t="s">
        <v>11190</v>
      </c>
      <c r="E4878" s="50" t="b">
        <v>1</v>
      </c>
      <c r="F4878" s="72" t="str">
        <f>HYPERLINK("http://nsgreg.nga.mil/genc/view?v=292849&amp;end_month=6&amp;end_day=30&amp;end_year=2019","Portsmouth")</f>
        <v>Portsmouth</v>
      </c>
      <c r="G4878" s="72" t="str">
        <f>HYPERLINK("http://api.nsgreg.nga.mil/geo-division/GENC/6/3-11/GB-POR","as:GENC:6:3-11:GB-POR")</f>
        <v>as:GENC:6:3-11:GB-POR</v>
      </c>
    </row>
    <row r="4879" spans="1:7" x14ac:dyDescent="0.25">
      <c r="A4879" s="112"/>
      <c r="B4879" s="21" t="s">
        <v>11382</v>
      </c>
      <c r="C4879" s="21" t="s">
        <v>11383</v>
      </c>
      <c r="D4879" s="21" t="s">
        <v>11190</v>
      </c>
      <c r="E4879" s="50" t="b">
        <v>1</v>
      </c>
      <c r="F4879" s="72" t="str">
        <f>HYPERLINK("http://nsgreg.nga.mil/genc/view?v=292856&amp;end_month=6&amp;end_day=30&amp;end_year=2019","Reading")</f>
        <v>Reading</v>
      </c>
      <c r="G4879" s="72" t="str">
        <f>HYPERLINK("http://api.nsgreg.nga.mil/geo-division/GENC/6/3-11/GB-RDG","as:GENC:6:3-11:GB-RDG")</f>
        <v>as:GENC:6:3-11:GB-RDG</v>
      </c>
    </row>
    <row r="4880" spans="1:7" x14ac:dyDescent="0.25">
      <c r="A4880" s="112"/>
      <c r="B4880" s="21" t="s">
        <v>11384</v>
      </c>
      <c r="C4880" s="21" t="s">
        <v>11385</v>
      </c>
      <c r="D4880" s="21" t="s">
        <v>11182</v>
      </c>
      <c r="E4880" s="50" t="b">
        <v>1</v>
      </c>
      <c r="F4880" s="72" t="str">
        <f>HYPERLINK("http://nsgreg.nga.mil/genc/view?v=292855&amp;end_month=6&amp;end_day=30&amp;end_year=2019","Redbridge")</f>
        <v>Redbridge</v>
      </c>
      <c r="G4880" s="72" t="str">
        <f>HYPERLINK("http://api.nsgreg.nga.mil/geo-division/GENC/6/3-11/GB-RDB","as:GENC:6:3-11:GB-RDB")</f>
        <v>as:GENC:6:3-11:GB-RDB</v>
      </c>
    </row>
    <row r="4881" spans="1:7" x14ac:dyDescent="0.25">
      <c r="A4881" s="112"/>
      <c r="B4881" s="21" t="s">
        <v>11386</v>
      </c>
      <c r="C4881" s="21" t="s">
        <v>11387</v>
      </c>
      <c r="D4881" s="21" t="s">
        <v>11190</v>
      </c>
      <c r="E4881" s="50" t="b">
        <v>1</v>
      </c>
      <c r="F4881" s="72" t="str">
        <f>HYPERLINK("http://nsgreg.nga.mil/genc/view?v=292852&amp;end_month=6&amp;end_day=30&amp;end_year=2019","Redcar and Cleveland")</f>
        <v>Redcar and Cleveland</v>
      </c>
      <c r="G4881" s="72" t="str">
        <f>HYPERLINK("http://api.nsgreg.nga.mil/geo-division/GENC/6/3-11/GB-RCC","as:GENC:6:3-11:GB-RCC")</f>
        <v>as:GENC:6:3-11:GB-RCC</v>
      </c>
    </row>
    <row r="4882" spans="1:7" x14ac:dyDescent="0.25">
      <c r="A4882" s="112"/>
      <c r="B4882" s="21" t="s">
        <v>11388</v>
      </c>
      <c r="C4882" s="21" t="s">
        <v>11389</v>
      </c>
      <c r="D4882" s="21" t="s">
        <v>11182</v>
      </c>
      <c r="E4882" s="50" t="b">
        <v>1</v>
      </c>
      <c r="F4882" s="72" t="str">
        <f>HYPERLINK("http://nsgreg.nga.mil/genc/view?v=292858&amp;end_month=6&amp;end_day=30&amp;end_year=2019","Richmond upon Thames")</f>
        <v>Richmond upon Thames</v>
      </c>
      <c r="G4882" s="72" t="str">
        <f>HYPERLINK("http://api.nsgreg.nga.mil/geo-division/GENC/6/3-11/GB-RIC","as:GENC:6:3-11:GB-RIC")</f>
        <v>as:GENC:6:3-11:GB-RIC</v>
      </c>
    </row>
    <row r="4883" spans="1:7" x14ac:dyDescent="0.25">
      <c r="A4883" s="112"/>
      <c r="B4883" s="21" t="s">
        <v>11390</v>
      </c>
      <c r="C4883" s="21" t="s">
        <v>11391</v>
      </c>
      <c r="D4883" s="21" t="s">
        <v>11187</v>
      </c>
      <c r="E4883" s="50" t="b">
        <v>1</v>
      </c>
      <c r="F4883" s="72" t="str">
        <f>HYPERLINK("http://nsgreg.nga.mil/genc/view?v=292853&amp;end_month=6&amp;end_day=30&amp;end_year=2019","Rochdale")</f>
        <v>Rochdale</v>
      </c>
      <c r="G4883" s="72" t="str">
        <f>HYPERLINK("http://api.nsgreg.nga.mil/geo-division/GENC/6/3-11/GB-RCH","as:GENC:6:3-11:GB-RCH")</f>
        <v>as:GENC:6:3-11:GB-RCH</v>
      </c>
    </row>
    <row r="4884" spans="1:7" x14ac:dyDescent="0.25">
      <c r="A4884" s="112"/>
      <c r="B4884" s="21" t="s">
        <v>11392</v>
      </c>
      <c r="C4884" s="21" t="s">
        <v>11393</v>
      </c>
      <c r="D4884" s="21" t="s">
        <v>11187</v>
      </c>
      <c r="E4884" s="50" t="b">
        <v>1</v>
      </c>
      <c r="F4884" s="72" t="str">
        <f>HYPERLINK("http://nsgreg.nga.mil/genc/view?v=292859&amp;end_month=6&amp;end_day=30&amp;end_year=2019","Rotherham")</f>
        <v>Rotherham</v>
      </c>
      <c r="G4884" s="72" t="str">
        <f>HYPERLINK("http://api.nsgreg.nga.mil/geo-division/GENC/6/3-11/GB-ROT","as:GENC:6:3-11:GB-ROT")</f>
        <v>as:GENC:6:3-11:GB-ROT</v>
      </c>
    </row>
    <row r="4885" spans="1:7" x14ac:dyDescent="0.25">
      <c r="A4885" s="112"/>
      <c r="B4885" s="21" t="s">
        <v>11394</v>
      </c>
      <c r="C4885" s="21" t="s">
        <v>11395</v>
      </c>
      <c r="D4885" s="21" t="s">
        <v>11190</v>
      </c>
      <c r="E4885" s="50" t="b">
        <v>1</v>
      </c>
      <c r="F4885" s="72" t="str">
        <f>HYPERLINK("http://nsgreg.nga.mil/genc/view?v=292860&amp;end_month=6&amp;end_day=30&amp;end_year=2019","Rutland")</f>
        <v>Rutland</v>
      </c>
      <c r="G4885" s="72" t="str">
        <f>HYPERLINK("http://api.nsgreg.nga.mil/geo-division/GENC/6/3-11/GB-RUT","as:GENC:6:3-11:GB-RUT")</f>
        <v>as:GENC:6:3-11:GB-RUT</v>
      </c>
    </row>
    <row r="4886" spans="1:7" x14ac:dyDescent="0.25">
      <c r="A4886" s="112"/>
      <c r="B4886" s="21" t="s">
        <v>11396</v>
      </c>
      <c r="C4886" s="21" t="s">
        <v>11397</v>
      </c>
      <c r="D4886" s="21" t="s">
        <v>11187</v>
      </c>
      <c r="E4886" s="50" t="b">
        <v>1</v>
      </c>
      <c r="F4886" s="72" t="str">
        <f>HYPERLINK("http://nsgreg.nga.mil/genc/view?v=292872&amp;end_month=6&amp;end_day=30&amp;end_year=2019","Salford")</f>
        <v>Salford</v>
      </c>
      <c r="G4886" s="72" t="str">
        <f>HYPERLINK("http://api.nsgreg.nga.mil/geo-division/GENC/6/3-11/GB-SLF","as:GENC:6:3-11:GB-SLF")</f>
        <v>as:GENC:6:3-11:GB-SLF</v>
      </c>
    </row>
    <row r="4887" spans="1:7" x14ac:dyDescent="0.25">
      <c r="A4887" s="112"/>
      <c r="B4887" s="21" t="s">
        <v>11398</v>
      </c>
      <c r="C4887" s="21" t="s">
        <v>11399</v>
      </c>
      <c r="D4887" s="21" t="s">
        <v>11187</v>
      </c>
      <c r="E4887" s="50" t="b">
        <v>1</v>
      </c>
      <c r="F4887" s="72" t="str">
        <f>HYPERLINK("http://nsgreg.nga.mil/genc/view?v=292861&amp;end_month=6&amp;end_day=30&amp;end_year=2019","Sandwell")</f>
        <v>Sandwell</v>
      </c>
      <c r="G4887" s="72" t="str">
        <f>HYPERLINK("http://api.nsgreg.nga.mil/geo-division/GENC/6/3-11/GB-SAW","as:GENC:6:3-11:GB-SAW")</f>
        <v>as:GENC:6:3-11:GB-SAW</v>
      </c>
    </row>
    <row r="4888" spans="1:7" x14ac:dyDescent="0.25">
      <c r="A4888" s="112"/>
      <c r="B4888" s="21" t="s">
        <v>11400</v>
      </c>
      <c r="C4888" s="21" t="s">
        <v>11401</v>
      </c>
      <c r="D4888" s="21" t="s">
        <v>11187</v>
      </c>
      <c r="E4888" s="50" t="b">
        <v>1</v>
      </c>
      <c r="F4888" s="72" t="str">
        <f>HYPERLINK("http://nsgreg.nga.mil/genc/view?v=292866&amp;end_month=6&amp;end_day=30&amp;end_year=2019","Sefton")</f>
        <v>Sefton</v>
      </c>
      <c r="G4888" s="72" t="str">
        <f>HYPERLINK("http://api.nsgreg.nga.mil/geo-division/GENC/6/3-11/GB-SFT","as:GENC:6:3-11:GB-SFT")</f>
        <v>as:GENC:6:3-11:GB-SFT</v>
      </c>
    </row>
    <row r="4889" spans="1:7" x14ac:dyDescent="0.25">
      <c r="A4889" s="112"/>
      <c r="B4889" s="21" t="s">
        <v>11402</v>
      </c>
      <c r="C4889" s="21" t="s">
        <v>11403</v>
      </c>
      <c r="D4889" s="21" t="s">
        <v>11187</v>
      </c>
      <c r="E4889" s="50" t="b">
        <v>1</v>
      </c>
      <c r="F4889" s="72" t="str">
        <f>HYPERLINK("http://nsgreg.nga.mil/genc/view?v=292868&amp;end_month=6&amp;end_day=30&amp;end_year=2019","Sheffield")</f>
        <v>Sheffield</v>
      </c>
      <c r="G4889" s="72" t="str">
        <f>HYPERLINK("http://api.nsgreg.nga.mil/geo-division/GENC/6/3-11/GB-SHF","as:GENC:6:3-11:GB-SHF")</f>
        <v>as:GENC:6:3-11:GB-SHF</v>
      </c>
    </row>
    <row r="4890" spans="1:7" x14ac:dyDescent="0.25">
      <c r="A4890" s="112"/>
      <c r="B4890" s="21" t="s">
        <v>11404</v>
      </c>
      <c r="C4890" s="21" t="s">
        <v>11405</v>
      </c>
      <c r="D4890" s="21" t="s">
        <v>11190</v>
      </c>
      <c r="E4890" s="50" t="b">
        <v>1</v>
      </c>
      <c r="F4890" s="72" t="str">
        <f>HYPERLINK("http://nsgreg.nga.mil/genc/view?v=292870&amp;end_month=6&amp;end_day=30&amp;end_year=2019","Shropshire")</f>
        <v>Shropshire</v>
      </c>
      <c r="G4890" s="72" t="str">
        <f>HYPERLINK("http://api.nsgreg.nga.mil/geo-division/GENC/6/3-11/GB-SHR","as:GENC:6:3-11:GB-SHR")</f>
        <v>as:GENC:6:3-11:GB-SHR</v>
      </c>
    </row>
    <row r="4891" spans="1:7" x14ac:dyDescent="0.25">
      <c r="A4891" s="112"/>
      <c r="B4891" s="21" t="s">
        <v>11406</v>
      </c>
      <c r="C4891" s="21" t="s">
        <v>11407</v>
      </c>
      <c r="D4891" s="21" t="s">
        <v>11190</v>
      </c>
      <c r="E4891" s="50" t="b">
        <v>1</v>
      </c>
      <c r="F4891" s="72" t="str">
        <f>HYPERLINK("http://nsgreg.nga.mil/genc/view?v=292873&amp;end_month=6&amp;end_day=30&amp;end_year=2019","Slough")</f>
        <v>Slough</v>
      </c>
      <c r="G4891" s="72" t="str">
        <f>HYPERLINK("http://api.nsgreg.nga.mil/geo-division/GENC/6/3-11/GB-SLG","as:GENC:6:3-11:GB-SLG")</f>
        <v>as:GENC:6:3-11:GB-SLG</v>
      </c>
    </row>
    <row r="4892" spans="1:7" x14ac:dyDescent="0.25">
      <c r="A4892" s="112"/>
      <c r="B4892" s="21" t="s">
        <v>11408</v>
      </c>
      <c r="C4892" s="21" t="s">
        <v>11409</v>
      </c>
      <c r="D4892" s="21" t="s">
        <v>11187</v>
      </c>
      <c r="E4892" s="50" t="b">
        <v>1</v>
      </c>
      <c r="F4892" s="72" t="str">
        <f>HYPERLINK("http://nsgreg.nga.mil/genc/view?v=292876&amp;end_month=6&amp;end_day=30&amp;end_year=2019","Solihull")</f>
        <v>Solihull</v>
      </c>
      <c r="G4892" s="72" t="str">
        <f>HYPERLINK("http://api.nsgreg.nga.mil/geo-division/GENC/6/3-11/GB-SOL","as:GENC:6:3-11:GB-SOL")</f>
        <v>as:GENC:6:3-11:GB-SOL</v>
      </c>
    </row>
    <row r="4893" spans="1:7" x14ac:dyDescent="0.25">
      <c r="A4893" s="112"/>
      <c r="B4893" s="21" t="s">
        <v>11410</v>
      </c>
      <c r="C4893" s="21" t="s">
        <v>11411</v>
      </c>
      <c r="D4893" s="21" t="s">
        <v>1737</v>
      </c>
      <c r="E4893" s="50" t="b">
        <v>1</v>
      </c>
      <c r="F4893" s="72" t="str">
        <f>HYPERLINK("http://nsgreg.nga.mil/genc/view?v=292877&amp;end_month=6&amp;end_day=30&amp;end_year=2019","Somerset")</f>
        <v>Somerset</v>
      </c>
      <c r="G4893" s="72" t="str">
        <f>HYPERLINK("http://api.nsgreg.nga.mil/geo-division/GENC/6/3-11/GB-SOM","as:GENC:6:3-11:GB-SOM")</f>
        <v>as:GENC:6:3-11:GB-SOM</v>
      </c>
    </row>
    <row r="4894" spans="1:7" x14ac:dyDescent="0.25">
      <c r="A4894" s="112"/>
      <c r="B4894" s="21" t="s">
        <v>11412</v>
      </c>
      <c r="C4894" s="21" t="s">
        <v>11413</v>
      </c>
      <c r="D4894" s="21" t="s">
        <v>11190</v>
      </c>
      <c r="E4894" s="50" t="b">
        <v>1</v>
      </c>
      <c r="F4894" s="72" t="str">
        <f>HYPERLINK("http://nsgreg.nga.mil/genc/view?v=292882&amp;end_month=6&amp;end_day=30&amp;end_year=2019","Southampton")</f>
        <v>Southampton</v>
      </c>
      <c r="G4894" s="72" t="str">
        <f>HYPERLINK("http://api.nsgreg.nga.mil/geo-division/GENC/6/3-11/GB-STH","as:GENC:6:3-11:GB-STH")</f>
        <v>as:GENC:6:3-11:GB-STH</v>
      </c>
    </row>
    <row r="4895" spans="1:7" x14ac:dyDescent="0.25">
      <c r="A4895" s="112"/>
      <c r="B4895" s="21" t="s">
        <v>11414</v>
      </c>
      <c r="C4895" s="21" t="s">
        <v>11415</v>
      </c>
      <c r="D4895" s="21" t="s">
        <v>11190</v>
      </c>
      <c r="E4895" s="50" t="b">
        <v>1</v>
      </c>
      <c r="F4895" s="72" t="str">
        <f>HYPERLINK("http://nsgreg.nga.mil/genc/view?v=292878&amp;end_month=6&amp;end_day=30&amp;end_year=2019","Southend-on-Sea")</f>
        <v>Southend-on-Sea</v>
      </c>
      <c r="G4895" s="72" t="str">
        <f>HYPERLINK("http://api.nsgreg.nga.mil/geo-division/GENC/6/3-11/GB-SOS","as:GENC:6:3-11:GB-SOS")</f>
        <v>as:GENC:6:3-11:GB-SOS</v>
      </c>
    </row>
    <row r="4896" spans="1:7" x14ac:dyDescent="0.25">
      <c r="A4896" s="112"/>
      <c r="B4896" s="21" t="s">
        <v>11416</v>
      </c>
      <c r="C4896" s="21" t="s">
        <v>11417</v>
      </c>
      <c r="D4896" s="21" t="s">
        <v>11190</v>
      </c>
      <c r="E4896" s="50" t="b">
        <v>1</v>
      </c>
      <c r="F4896" s="72" t="str">
        <f>HYPERLINK("http://nsgreg.nga.mil/genc/view?v=292867&amp;end_month=6&amp;end_day=30&amp;end_year=2019","South Gloucestershire")</f>
        <v>South Gloucestershire</v>
      </c>
      <c r="G4896" s="72" t="str">
        <f>HYPERLINK("http://api.nsgreg.nga.mil/geo-division/GENC/6/3-11/GB-SGC","as:GENC:6:3-11:GB-SGC")</f>
        <v>as:GENC:6:3-11:GB-SGC</v>
      </c>
    </row>
    <row r="4897" spans="1:7" x14ac:dyDescent="0.25">
      <c r="A4897" s="112"/>
      <c r="B4897" s="21" t="s">
        <v>11418</v>
      </c>
      <c r="C4897" s="21" t="s">
        <v>11419</v>
      </c>
      <c r="D4897" s="21" t="s">
        <v>11187</v>
      </c>
      <c r="E4897" s="50" t="b">
        <v>1</v>
      </c>
      <c r="F4897" s="72" t="str">
        <f>HYPERLINK("http://nsgreg.nga.mil/genc/view?v=292886&amp;end_month=6&amp;end_day=30&amp;end_year=2019","South Tyneside")</f>
        <v>South Tyneside</v>
      </c>
      <c r="G4897" s="72" t="str">
        <f>HYPERLINK("http://api.nsgreg.nga.mil/geo-division/GENC/6/3-11/GB-STY","as:GENC:6:3-11:GB-STY")</f>
        <v>as:GENC:6:3-11:GB-STY</v>
      </c>
    </row>
    <row r="4898" spans="1:7" x14ac:dyDescent="0.25">
      <c r="A4898" s="112"/>
      <c r="B4898" s="21" t="s">
        <v>11420</v>
      </c>
      <c r="C4898" s="21" t="s">
        <v>11421</v>
      </c>
      <c r="D4898" s="21" t="s">
        <v>11182</v>
      </c>
      <c r="E4898" s="50" t="b">
        <v>1</v>
      </c>
      <c r="F4898" s="72" t="str">
        <f>HYPERLINK("http://nsgreg.nga.mil/genc/view?v=292889&amp;end_month=6&amp;end_day=30&amp;end_year=2019","Southwark")</f>
        <v>Southwark</v>
      </c>
      <c r="G4898" s="72" t="str">
        <f>HYPERLINK("http://api.nsgreg.nga.mil/geo-division/GENC/6/3-11/GB-SWK","as:GENC:6:3-11:GB-SWK")</f>
        <v>as:GENC:6:3-11:GB-SWK</v>
      </c>
    </row>
    <row r="4899" spans="1:7" x14ac:dyDescent="0.25">
      <c r="A4899" s="112"/>
      <c r="B4899" s="21" t="s">
        <v>11422</v>
      </c>
      <c r="C4899" s="21" t="s">
        <v>11423</v>
      </c>
      <c r="D4899" s="21" t="s">
        <v>1737</v>
      </c>
      <c r="E4899" s="50" t="b">
        <v>1</v>
      </c>
      <c r="F4899" s="72" t="str">
        <f>HYPERLINK("http://nsgreg.nga.mil/genc/view?v=292884&amp;end_month=6&amp;end_day=30&amp;end_year=2019","Staffordshire")</f>
        <v>Staffordshire</v>
      </c>
      <c r="G4899" s="72" t="str">
        <f>HYPERLINK("http://api.nsgreg.nga.mil/geo-division/GENC/6/3-11/GB-STS","as:GENC:6:3-11:GB-STS")</f>
        <v>as:GENC:6:3-11:GB-STS</v>
      </c>
    </row>
    <row r="4900" spans="1:7" x14ac:dyDescent="0.25">
      <c r="A4900" s="112"/>
      <c r="B4900" s="21" t="s">
        <v>11424</v>
      </c>
      <c r="C4900" s="21" t="s">
        <v>11425</v>
      </c>
      <c r="D4900" s="21" t="s">
        <v>11187</v>
      </c>
      <c r="E4900" s="50" t="b">
        <v>1</v>
      </c>
      <c r="F4900" s="72" t="str">
        <f>HYPERLINK("http://nsgreg.nga.mil/genc/view?v=292869&amp;end_month=6&amp;end_day=30&amp;end_year=2019","St. Helens")</f>
        <v>St. Helens</v>
      </c>
      <c r="G4900" s="72" t="str">
        <f>HYPERLINK("http://api.nsgreg.nga.mil/geo-division/GENC/6/3-11/GB-SHN","as:GENC:6:3-11:GB-SHN")</f>
        <v>as:GENC:6:3-11:GB-SHN</v>
      </c>
    </row>
    <row r="4901" spans="1:7" x14ac:dyDescent="0.25">
      <c r="A4901" s="112"/>
      <c r="B4901" s="21" t="s">
        <v>11426</v>
      </c>
      <c r="C4901" s="21" t="s">
        <v>11427</v>
      </c>
      <c r="D4901" s="21" t="s">
        <v>11187</v>
      </c>
      <c r="E4901" s="50" t="b">
        <v>1</v>
      </c>
      <c r="F4901" s="72" t="str">
        <f>HYPERLINK("http://nsgreg.nga.mil/genc/view?v=292871&amp;end_month=6&amp;end_day=30&amp;end_year=2019","Stockport")</f>
        <v>Stockport</v>
      </c>
      <c r="G4901" s="72" t="str">
        <f>HYPERLINK("http://api.nsgreg.nga.mil/geo-division/GENC/6/3-11/GB-SKP","as:GENC:6:3-11:GB-SKP")</f>
        <v>as:GENC:6:3-11:GB-SKP</v>
      </c>
    </row>
    <row r="4902" spans="1:7" x14ac:dyDescent="0.25">
      <c r="A4902" s="112"/>
      <c r="B4902" s="21" t="s">
        <v>11428</v>
      </c>
      <c r="C4902" s="21" t="s">
        <v>11429</v>
      </c>
      <c r="D4902" s="21" t="s">
        <v>11190</v>
      </c>
      <c r="E4902" s="50" t="b">
        <v>1</v>
      </c>
      <c r="F4902" s="72" t="str">
        <f>HYPERLINK("http://nsgreg.nga.mil/genc/view?v=292885&amp;end_month=6&amp;end_day=30&amp;end_year=2019","Stockton-on-Tees")</f>
        <v>Stockton-on-Tees</v>
      </c>
      <c r="G4902" s="72" t="str">
        <f>HYPERLINK("http://api.nsgreg.nga.mil/geo-division/GENC/6/3-11/GB-STT","as:GENC:6:3-11:GB-STT")</f>
        <v>as:GENC:6:3-11:GB-STT</v>
      </c>
    </row>
    <row r="4903" spans="1:7" x14ac:dyDescent="0.25">
      <c r="A4903" s="112"/>
      <c r="B4903" s="21" t="s">
        <v>11430</v>
      </c>
      <c r="C4903" s="21" t="s">
        <v>11431</v>
      </c>
      <c r="D4903" s="21" t="s">
        <v>11190</v>
      </c>
      <c r="E4903" s="50" t="b">
        <v>1</v>
      </c>
      <c r="F4903" s="72" t="str">
        <f>HYPERLINK("http://nsgreg.nga.mil/genc/view?v=292880&amp;end_month=6&amp;end_day=30&amp;end_year=2019","Stoke-on-Trent")</f>
        <v>Stoke-on-Trent</v>
      </c>
      <c r="G4903" s="72" t="str">
        <f>HYPERLINK("http://api.nsgreg.nga.mil/geo-division/GENC/6/3-11/GB-STE","as:GENC:6:3-11:GB-STE")</f>
        <v>as:GENC:6:3-11:GB-STE</v>
      </c>
    </row>
    <row r="4904" spans="1:7" x14ac:dyDescent="0.25">
      <c r="A4904" s="112"/>
      <c r="B4904" s="21" t="s">
        <v>11432</v>
      </c>
      <c r="C4904" s="21" t="s">
        <v>11433</v>
      </c>
      <c r="D4904" s="21" t="s">
        <v>1737</v>
      </c>
      <c r="E4904" s="50" t="b">
        <v>1</v>
      </c>
      <c r="F4904" s="72" t="str">
        <f>HYPERLINK("http://nsgreg.nga.mil/genc/view?v=292865&amp;end_month=6&amp;end_day=30&amp;end_year=2019","Suffolk")</f>
        <v>Suffolk</v>
      </c>
      <c r="G4904" s="72" t="str">
        <f>HYPERLINK("http://api.nsgreg.nga.mil/geo-division/GENC/6/3-11/GB-SFK","as:GENC:6:3-11:GB-SFK")</f>
        <v>as:GENC:6:3-11:GB-SFK</v>
      </c>
    </row>
    <row r="4905" spans="1:7" x14ac:dyDescent="0.25">
      <c r="A4905" s="112"/>
      <c r="B4905" s="21" t="s">
        <v>11434</v>
      </c>
      <c r="C4905" s="21" t="s">
        <v>11435</v>
      </c>
      <c r="D4905" s="21" t="s">
        <v>11187</v>
      </c>
      <c r="E4905" s="50" t="b">
        <v>1</v>
      </c>
      <c r="F4905" s="72" t="str">
        <f>HYPERLINK("http://nsgreg.nga.mil/genc/view?v=292875&amp;end_month=6&amp;end_day=30&amp;end_year=2019","Sunderland")</f>
        <v>Sunderland</v>
      </c>
      <c r="G4905" s="72" t="str">
        <f>HYPERLINK("http://api.nsgreg.nga.mil/geo-division/GENC/6/3-11/GB-SND","as:GENC:6:3-11:GB-SND")</f>
        <v>as:GENC:6:3-11:GB-SND</v>
      </c>
    </row>
    <row r="4906" spans="1:7" x14ac:dyDescent="0.25">
      <c r="A4906" s="112"/>
      <c r="B4906" s="21" t="s">
        <v>11436</v>
      </c>
      <c r="C4906" s="21" t="s">
        <v>11437</v>
      </c>
      <c r="D4906" s="21" t="s">
        <v>1737</v>
      </c>
      <c r="E4906" s="50" t="b">
        <v>1</v>
      </c>
      <c r="F4906" s="72" t="str">
        <f>HYPERLINK("http://nsgreg.nga.mil/genc/view?v=292879&amp;end_month=6&amp;end_day=30&amp;end_year=2019","Surrey")</f>
        <v>Surrey</v>
      </c>
      <c r="G4906" s="72" t="str">
        <f>HYPERLINK("http://api.nsgreg.nga.mil/geo-division/GENC/6/3-11/GB-SRY","as:GENC:6:3-11:GB-SRY")</f>
        <v>as:GENC:6:3-11:GB-SRY</v>
      </c>
    </row>
    <row r="4907" spans="1:7" x14ac:dyDescent="0.25">
      <c r="A4907" s="112"/>
      <c r="B4907" s="21" t="s">
        <v>11438</v>
      </c>
      <c r="C4907" s="21" t="s">
        <v>11439</v>
      </c>
      <c r="D4907" s="21" t="s">
        <v>11182</v>
      </c>
      <c r="E4907" s="50" t="b">
        <v>1</v>
      </c>
      <c r="F4907" s="72" t="str">
        <f>HYPERLINK("http://nsgreg.nga.mil/genc/view?v=292883&amp;end_month=6&amp;end_day=30&amp;end_year=2019","Sutton")</f>
        <v>Sutton</v>
      </c>
      <c r="G4907" s="72" t="str">
        <f>HYPERLINK("http://api.nsgreg.nga.mil/geo-division/GENC/6/3-11/GB-STN","as:GENC:6:3-11:GB-STN")</f>
        <v>as:GENC:6:3-11:GB-STN</v>
      </c>
    </row>
    <row r="4908" spans="1:7" x14ac:dyDescent="0.25">
      <c r="A4908" s="112"/>
      <c r="B4908" s="21" t="s">
        <v>11440</v>
      </c>
      <c r="C4908" s="21" t="s">
        <v>11441</v>
      </c>
      <c r="D4908" s="21" t="s">
        <v>11190</v>
      </c>
      <c r="E4908" s="50" t="b">
        <v>1</v>
      </c>
      <c r="F4908" s="72" t="str">
        <f>HYPERLINK("http://nsgreg.nga.mil/genc/view?v=292888&amp;end_month=6&amp;end_day=30&amp;end_year=2019","Swindon")</f>
        <v>Swindon</v>
      </c>
      <c r="G4908" s="72" t="str">
        <f>HYPERLINK("http://api.nsgreg.nga.mil/geo-division/GENC/6/3-11/GB-SWD","as:GENC:6:3-11:GB-SWD")</f>
        <v>as:GENC:6:3-11:GB-SWD</v>
      </c>
    </row>
    <row r="4909" spans="1:7" x14ac:dyDescent="0.25">
      <c r="A4909" s="112"/>
      <c r="B4909" s="21" t="s">
        <v>11442</v>
      </c>
      <c r="C4909" s="21" t="s">
        <v>11443</v>
      </c>
      <c r="D4909" s="21" t="s">
        <v>11187</v>
      </c>
      <c r="E4909" s="50" t="b">
        <v>1</v>
      </c>
      <c r="F4909" s="72" t="str">
        <f>HYPERLINK("http://nsgreg.nga.mil/genc/view?v=292890&amp;end_month=6&amp;end_day=30&amp;end_year=2019","Tameside")</f>
        <v>Tameside</v>
      </c>
      <c r="G4909" s="72" t="str">
        <f>HYPERLINK("http://api.nsgreg.nga.mil/geo-division/GENC/6/3-11/GB-TAM","as:GENC:6:3-11:GB-TAM")</f>
        <v>as:GENC:6:3-11:GB-TAM</v>
      </c>
    </row>
    <row r="4910" spans="1:7" x14ac:dyDescent="0.25">
      <c r="A4910" s="112"/>
      <c r="B4910" s="21" t="s">
        <v>11444</v>
      </c>
      <c r="C4910" s="21" t="s">
        <v>11445</v>
      </c>
      <c r="D4910" s="21" t="s">
        <v>11190</v>
      </c>
      <c r="E4910" s="50" t="b">
        <v>1</v>
      </c>
      <c r="F4910" s="72" t="str">
        <f>HYPERLINK("http://nsgreg.nga.mil/genc/view?v=292891&amp;end_month=6&amp;end_day=30&amp;end_year=2019","Telford and Wrekin")</f>
        <v>Telford and Wrekin</v>
      </c>
      <c r="G4910" s="72" t="str">
        <f>HYPERLINK("http://api.nsgreg.nga.mil/geo-division/GENC/6/3-11/GB-TFW","as:GENC:6:3-11:GB-TFW")</f>
        <v>as:GENC:6:3-11:GB-TFW</v>
      </c>
    </row>
    <row r="4911" spans="1:7" x14ac:dyDescent="0.25">
      <c r="A4911" s="112"/>
      <c r="B4911" s="21" t="s">
        <v>11446</v>
      </c>
      <c r="C4911" s="21" t="s">
        <v>11447</v>
      </c>
      <c r="D4911" s="21" t="s">
        <v>11190</v>
      </c>
      <c r="E4911" s="50" t="b">
        <v>1</v>
      </c>
      <c r="F4911" s="72" t="str">
        <f>HYPERLINK("http://nsgreg.nga.mil/genc/view?v=292892&amp;end_month=6&amp;end_day=30&amp;end_year=2019","Thurrock")</f>
        <v>Thurrock</v>
      </c>
      <c r="G4911" s="72" t="str">
        <f>HYPERLINK("http://api.nsgreg.nga.mil/geo-division/GENC/6/3-11/GB-THR","as:GENC:6:3-11:GB-THR")</f>
        <v>as:GENC:6:3-11:GB-THR</v>
      </c>
    </row>
    <row r="4912" spans="1:7" x14ac:dyDescent="0.25">
      <c r="A4912" s="112"/>
      <c r="B4912" s="21" t="s">
        <v>11448</v>
      </c>
      <c r="C4912" s="21" t="s">
        <v>11449</v>
      </c>
      <c r="D4912" s="21" t="s">
        <v>11190</v>
      </c>
      <c r="E4912" s="50" t="b">
        <v>1</v>
      </c>
      <c r="F4912" s="72" t="str">
        <f>HYPERLINK("http://nsgreg.nga.mil/genc/view?v=292893&amp;end_month=6&amp;end_day=30&amp;end_year=2019","Torbay")</f>
        <v>Torbay</v>
      </c>
      <c r="G4912" s="72" t="str">
        <f>HYPERLINK("http://api.nsgreg.nga.mil/geo-division/GENC/6/3-11/GB-TOB","as:GENC:6:3-11:GB-TOB")</f>
        <v>as:GENC:6:3-11:GB-TOB</v>
      </c>
    </row>
    <row r="4913" spans="1:7" x14ac:dyDescent="0.25">
      <c r="A4913" s="112"/>
      <c r="B4913" s="21" t="s">
        <v>11450</v>
      </c>
      <c r="C4913" s="21" t="s">
        <v>11451</v>
      </c>
      <c r="D4913" s="21" t="s">
        <v>11182</v>
      </c>
      <c r="E4913" s="50" t="b">
        <v>1</v>
      </c>
      <c r="F4913" s="72" t="str">
        <f>HYPERLINK("http://nsgreg.nga.mil/genc/view?v=292896&amp;end_month=6&amp;end_day=30&amp;end_year=2019","Tower Hamlets")</f>
        <v>Tower Hamlets</v>
      </c>
      <c r="G4913" s="72" t="str">
        <f>HYPERLINK("http://api.nsgreg.nga.mil/geo-division/GENC/6/3-11/GB-TWH","as:GENC:6:3-11:GB-TWH")</f>
        <v>as:GENC:6:3-11:GB-TWH</v>
      </c>
    </row>
    <row r="4914" spans="1:7" x14ac:dyDescent="0.25">
      <c r="A4914" s="112"/>
      <c r="B4914" s="21" t="s">
        <v>11452</v>
      </c>
      <c r="C4914" s="21" t="s">
        <v>11453</v>
      </c>
      <c r="D4914" s="21" t="s">
        <v>11187</v>
      </c>
      <c r="E4914" s="50" t="b">
        <v>1</v>
      </c>
      <c r="F4914" s="72" t="str">
        <f>HYPERLINK("http://nsgreg.nga.mil/genc/view?v=292895&amp;end_month=6&amp;end_day=30&amp;end_year=2019","Trafford")</f>
        <v>Trafford</v>
      </c>
      <c r="G4914" s="72" t="str">
        <f>HYPERLINK("http://api.nsgreg.nga.mil/geo-division/GENC/6/3-11/GB-TRF","as:GENC:6:3-11:GB-TRF")</f>
        <v>as:GENC:6:3-11:GB-TRF</v>
      </c>
    </row>
    <row r="4915" spans="1:7" x14ac:dyDescent="0.25">
      <c r="A4915" s="112"/>
      <c r="B4915" s="21" t="s">
        <v>11454</v>
      </c>
      <c r="C4915" s="21" t="s">
        <v>11455</v>
      </c>
      <c r="D4915" s="21" t="s">
        <v>11187</v>
      </c>
      <c r="E4915" s="50" t="b">
        <v>1</v>
      </c>
      <c r="F4915" s="72" t="str">
        <f>HYPERLINK("http://nsgreg.nga.mil/genc/view?v=292905&amp;end_month=6&amp;end_day=30&amp;end_year=2019","Wakefield")</f>
        <v>Wakefield</v>
      </c>
      <c r="G4915" s="72" t="str">
        <f>HYPERLINK("http://api.nsgreg.nga.mil/geo-division/GENC/6/3-11/GB-WKF","as:GENC:6:3-11:GB-WKF")</f>
        <v>as:GENC:6:3-11:GB-WKF</v>
      </c>
    </row>
    <row r="4916" spans="1:7" x14ac:dyDescent="0.25">
      <c r="A4916" s="112"/>
      <c r="B4916" s="21" t="s">
        <v>11456</v>
      </c>
      <c r="C4916" s="21" t="s">
        <v>11457</v>
      </c>
      <c r="D4916" s="21" t="s">
        <v>11187</v>
      </c>
      <c r="E4916" s="50" t="b">
        <v>1</v>
      </c>
      <c r="F4916" s="72" t="str">
        <f>HYPERLINK("http://nsgreg.nga.mil/genc/view?v=292906&amp;end_month=6&amp;end_day=30&amp;end_year=2019","Walsall")</f>
        <v>Walsall</v>
      </c>
      <c r="G4916" s="72" t="str">
        <f>HYPERLINK("http://api.nsgreg.nga.mil/geo-division/GENC/6/3-11/GB-WLL","as:GENC:6:3-11:GB-WLL")</f>
        <v>as:GENC:6:3-11:GB-WLL</v>
      </c>
    </row>
    <row r="4917" spans="1:7" x14ac:dyDescent="0.25">
      <c r="A4917" s="112"/>
      <c r="B4917" s="21" t="s">
        <v>11458</v>
      </c>
      <c r="C4917" s="21" t="s">
        <v>11459</v>
      </c>
      <c r="D4917" s="21" t="s">
        <v>11182</v>
      </c>
      <c r="E4917" s="50" t="b">
        <v>1</v>
      </c>
      <c r="F4917" s="72" t="str">
        <f>HYPERLINK("http://nsgreg.nga.mil/genc/view?v=292902&amp;end_month=6&amp;end_day=30&amp;end_year=2019","Waltham Forest")</f>
        <v>Waltham Forest</v>
      </c>
      <c r="G4917" s="72" t="str">
        <f>HYPERLINK("http://api.nsgreg.nga.mil/geo-division/GENC/6/3-11/GB-WFT","as:GENC:6:3-11:GB-WFT")</f>
        <v>as:GENC:6:3-11:GB-WFT</v>
      </c>
    </row>
    <row r="4918" spans="1:7" x14ac:dyDescent="0.25">
      <c r="A4918" s="112"/>
      <c r="B4918" s="21" t="s">
        <v>11460</v>
      </c>
      <c r="C4918" s="21" t="s">
        <v>11461</v>
      </c>
      <c r="D4918" s="21" t="s">
        <v>11182</v>
      </c>
      <c r="E4918" s="50" t="b">
        <v>1</v>
      </c>
      <c r="F4918" s="72" t="str">
        <f>HYPERLINK("http://nsgreg.nga.mil/genc/view?v=292910&amp;end_month=6&amp;end_day=30&amp;end_year=2019","Wandsworth")</f>
        <v>Wandsworth</v>
      </c>
      <c r="G4918" s="72" t="str">
        <f>HYPERLINK("http://api.nsgreg.nga.mil/geo-division/GENC/6/3-11/GB-WND","as:GENC:6:3-11:GB-WND")</f>
        <v>as:GENC:6:3-11:GB-WND</v>
      </c>
    </row>
    <row r="4919" spans="1:7" x14ac:dyDescent="0.25">
      <c r="A4919" s="112"/>
      <c r="B4919" s="21" t="s">
        <v>11462</v>
      </c>
      <c r="C4919" s="21" t="s">
        <v>11463</v>
      </c>
      <c r="D4919" s="21" t="s">
        <v>11190</v>
      </c>
      <c r="E4919" s="50" t="b">
        <v>1</v>
      </c>
      <c r="F4919" s="72" t="str">
        <f>HYPERLINK("http://nsgreg.nga.mil/genc/view?v=292915&amp;end_month=6&amp;end_day=30&amp;end_year=2019","Warrington")</f>
        <v>Warrington</v>
      </c>
      <c r="G4919" s="72" t="str">
        <f>HYPERLINK("http://api.nsgreg.nga.mil/geo-division/GENC/6/3-11/GB-WRT","as:GENC:6:3-11:GB-WRT")</f>
        <v>as:GENC:6:3-11:GB-WRT</v>
      </c>
    </row>
    <row r="4920" spans="1:7" x14ac:dyDescent="0.25">
      <c r="A4920" s="112"/>
      <c r="B4920" s="21" t="s">
        <v>11464</v>
      </c>
      <c r="C4920" s="21" t="s">
        <v>11465</v>
      </c>
      <c r="D4920" s="21" t="s">
        <v>1737</v>
      </c>
      <c r="E4920" s="50" t="b">
        <v>1</v>
      </c>
      <c r="F4920" s="72" t="str">
        <f>HYPERLINK("http://nsgreg.nga.mil/genc/view?v=292899&amp;end_month=6&amp;end_day=30&amp;end_year=2019","Warwickshire")</f>
        <v>Warwickshire</v>
      </c>
      <c r="G4920" s="72" t="str">
        <f>HYPERLINK("http://api.nsgreg.nga.mil/geo-division/GENC/6/3-11/GB-WAR","as:GENC:6:3-11:GB-WAR")</f>
        <v>as:GENC:6:3-11:GB-WAR</v>
      </c>
    </row>
    <row r="4921" spans="1:7" x14ac:dyDescent="0.25">
      <c r="A4921" s="112"/>
      <c r="B4921" s="21" t="s">
        <v>11466</v>
      </c>
      <c r="C4921" s="21" t="s">
        <v>11467</v>
      </c>
      <c r="D4921" s="21" t="s">
        <v>11190</v>
      </c>
      <c r="E4921" s="50" t="b">
        <v>1</v>
      </c>
      <c r="F4921" s="72" t="str">
        <f>HYPERLINK("http://nsgreg.nga.mil/genc/view?v=292900&amp;end_month=6&amp;end_day=30&amp;end_year=2019","West Berkshire")</f>
        <v>West Berkshire</v>
      </c>
      <c r="G4921" s="72" t="str">
        <f>HYPERLINK("http://api.nsgreg.nga.mil/geo-division/GENC/6/3-11/GB-WBK","as:GENC:6:3-11:GB-WBK")</f>
        <v>as:GENC:6:3-11:GB-WBK</v>
      </c>
    </row>
    <row r="4922" spans="1:7" x14ac:dyDescent="0.25">
      <c r="A4922" s="112"/>
      <c r="B4922" s="21" t="s">
        <v>11468</v>
      </c>
      <c r="C4922" s="21" t="s">
        <v>11469</v>
      </c>
      <c r="D4922" s="21" t="s">
        <v>11182</v>
      </c>
      <c r="E4922" s="50" t="b">
        <v>1</v>
      </c>
      <c r="F4922" s="72" t="str">
        <f>HYPERLINK("http://nsgreg.nga.mil/genc/view?v=292917&amp;end_month=6&amp;end_day=30&amp;end_year=2019","Westminster")</f>
        <v>Westminster</v>
      </c>
      <c r="G4922" s="72" t="str">
        <f>HYPERLINK("http://api.nsgreg.nga.mil/geo-division/GENC/6/3-11/GB-WSM","as:GENC:6:3-11:GB-WSM")</f>
        <v>as:GENC:6:3-11:GB-WSM</v>
      </c>
    </row>
    <row r="4923" spans="1:7" x14ac:dyDescent="0.25">
      <c r="A4923" s="112"/>
      <c r="B4923" s="21" t="s">
        <v>11470</v>
      </c>
      <c r="C4923" s="21" t="s">
        <v>11471</v>
      </c>
      <c r="D4923" s="21" t="s">
        <v>1737</v>
      </c>
      <c r="E4923" s="50" t="b">
        <v>1</v>
      </c>
      <c r="F4923" s="72" t="str">
        <f>HYPERLINK("http://nsgreg.nga.mil/genc/view?v=292918&amp;end_month=6&amp;end_day=30&amp;end_year=2019","West Sussex")</f>
        <v>West Sussex</v>
      </c>
      <c r="G4923" s="72" t="str">
        <f>HYPERLINK("http://api.nsgreg.nga.mil/geo-division/GENC/6/3-11/GB-WSX","as:GENC:6:3-11:GB-WSX")</f>
        <v>as:GENC:6:3-11:GB-WSX</v>
      </c>
    </row>
    <row r="4924" spans="1:7" x14ac:dyDescent="0.25">
      <c r="A4924" s="112"/>
      <c r="B4924" s="21" t="s">
        <v>11472</v>
      </c>
      <c r="C4924" s="21" t="s">
        <v>11473</v>
      </c>
      <c r="D4924" s="21" t="s">
        <v>11187</v>
      </c>
      <c r="E4924" s="50" t="b">
        <v>1</v>
      </c>
      <c r="F4924" s="72" t="str">
        <f>HYPERLINK("http://nsgreg.nga.mil/genc/view?v=292903&amp;end_month=6&amp;end_day=30&amp;end_year=2019","Wigan")</f>
        <v>Wigan</v>
      </c>
      <c r="G4924" s="72" t="str">
        <f>HYPERLINK("http://api.nsgreg.nga.mil/geo-division/GENC/6/3-11/GB-WGN","as:GENC:6:3-11:GB-WGN")</f>
        <v>as:GENC:6:3-11:GB-WGN</v>
      </c>
    </row>
    <row r="4925" spans="1:7" x14ac:dyDescent="0.25">
      <c r="A4925" s="112"/>
      <c r="B4925" s="21" t="s">
        <v>11474</v>
      </c>
      <c r="C4925" s="21" t="s">
        <v>11475</v>
      </c>
      <c r="D4925" s="21" t="s">
        <v>11190</v>
      </c>
      <c r="E4925" s="50" t="b">
        <v>1</v>
      </c>
      <c r="F4925" s="72" t="str">
        <f>HYPERLINK("http://nsgreg.nga.mil/genc/view?v=292904&amp;end_month=6&amp;end_day=30&amp;end_year=2019","Wiltshire")</f>
        <v>Wiltshire</v>
      </c>
      <c r="G4925" s="72" t="str">
        <f>HYPERLINK("http://api.nsgreg.nga.mil/geo-division/GENC/6/3-11/GB-WIL","as:GENC:6:3-11:GB-WIL")</f>
        <v>as:GENC:6:3-11:GB-WIL</v>
      </c>
    </row>
    <row r="4926" spans="1:7" x14ac:dyDescent="0.25">
      <c r="A4926" s="112"/>
      <c r="B4926" s="21" t="s">
        <v>11476</v>
      </c>
      <c r="C4926" s="21" t="s">
        <v>11477</v>
      </c>
      <c r="D4926" s="21" t="s">
        <v>11190</v>
      </c>
      <c r="E4926" s="50" t="b">
        <v>1</v>
      </c>
      <c r="F4926" s="72" t="str">
        <f>HYPERLINK("http://nsgreg.nga.mil/genc/view?v=292911&amp;end_month=6&amp;end_day=30&amp;end_year=2019","Windsor and Maidenhead")</f>
        <v>Windsor and Maidenhead</v>
      </c>
      <c r="G4926" s="72" t="str">
        <f>HYPERLINK("http://api.nsgreg.nga.mil/geo-division/GENC/6/3-11/GB-WNM","as:GENC:6:3-11:GB-WNM")</f>
        <v>as:GENC:6:3-11:GB-WNM</v>
      </c>
    </row>
    <row r="4927" spans="1:7" x14ac:dyDescent="0.25">
      <c r="A4927" s="112"/>
      <c r="B4927" s="21" t="s">
        <v>11478</v>
      </c>
      <c r="C4927" s="21" t="s">
        <v>11479</v>
      </c>
      <c r="D4927" s="21" t="s">
        <v>11187</v>
      </c>
      <c r="E4927" s="50" t="b">
        <v>1</v>
      </c>
      <c r="F4927" s="72" t="str">
        <f>HYPERLINK("http://nsgreg.nga.mil/genc/view?v=292914&amp;end_month=6&amp;end_day=30&amp;end_year=2019","Wirral")</f>
        <v>Wirral</v>
      </c>
      <c r="G4927" s="72" t="str">
        <f>HYPERLINK("http://api.nsgreg.nga.mil/geo-division/GENC/6/3-11/GB-WRL","as:GENC:6:3-11:GB-WRL")</f>
        <v>as:GENC:6:3-11:GB-WRL</v>
      </c>
    </row>
    <row r="4928" spans="1:7" x14ac:dyDescent="0.25">
      <c r="A4928" s="112"/>
      <c r="B4928" s="21" t="s">
        <v>11480</v>
      </c>
      <c r="C4928" s="21" t="s">
        <v>11481</v>
      </c>
      <c r="D4928" s="21" t="s">
        <v>11190</v>
      </c>
      <c r="E4928" s="50" t="b">
        <v>1</v>
      </c>
      <c r="F4928" s="72" t="str">
        <f>HYPERLINK("http://nsgreg.nga.mil/genc/view?v=292912&amp;end_month=6&amp;end_day=30&amp;end_year=2019","Wokingham")</f>
        <v>Wokingham</v>
      </c>
      <c r="G4928" s="72" t="str">
        <f>HYPERLINK("http://api.nsgreg.nga.mil/geo-division/GENC/6/3-11/GB-WOK","as:GENC:6:3-11:GB-WOK")</f>
        <v>as:GENC:6:3-11:GB-WOK</v>
      </c>
    </row>
    <row r="4929" spans="1:7" x14ac:dyDescent="0.25">
      <c r="A4929" s="112"/>
      <c r="B4929" s="21" t="s">
        <v>11482</v>
      </c>
      <c r="C4929" s="21" t="s">
        <v>11483</v>
      </c>
      <c r="D4929" s="21" t="s">
        <v>11187</v>
      </c>
      <c r="E4929" s="50" t="b">
        <v>1</v>
      </c>
      <c r="F4929" s="72" t="str">
        <f>HYPERLINK("http://nsgreg.nga.mil/genc/view?v=292909&amp;end_month=6&amp;end_day=30&amp;end_year=2019","Wolverhampton")</f>
        <v>Wolverhampton</v>
      </c>
      <c r="G4929" s="72" t="str">
        <f>HYPERLINK("http://api.nsgreg.nga.mil/geo-division/GENC/6/3-11/GB-WLV","as:GENC:6:3-11:GB-WLV")</f>
        <v>as:GENC:6:3-11:GB-WLV</v>
      </c>
    </row>
    <row r="4930" spans="1:7" x14ac:dyDescent="0.25">
      <c r="A4930" s="112"/>
      <c r="B4930" s="21" t="s">
        <v>11484</v>
      </c>
      <c r="C4930" s="21" t="s">
        <v>11485</v>
      </c>
      <c r="D4930" s="21" t="s">
        <v>1737</v>
      </c>
      <c r="E4930" s="50" t="b">
        <v>1</v>
      </c>
      <c r="F4930" s="72" t="str">
        <f>HYPERLINK("http://nsgreg.nga.mil/genc/view?v=292913&amp;end_month=6&amp;end_day=30&amp;end_year=2019","Worcestershire")</f>
        <v>Worcestershire</v>
      </c>
      <c r="G4930" s="72" t="str">
        <f>HYPERLINK("http://api.nsgreg.nga.mil/geo-division/GENC/6/3-11/GB-WOR","as:GENC:6:3-11:GB-WOR")</f>
        <v>as:GENC:6:3-11:GB-WOR</v>
      </c>
    </row>
    <row r="4931" spans="1:7" x14ac:dyDescent="0.25">
      <c r="A4931" s="112"/>
      <c r="B4931" s="21" t="s">
        <v>11486</v>
      </c>
      <c r="C4931" s="21" t="s">
        <v>11487</v>
      </c>
      <c r="D4931" s="21" t="s">
        <v>11190</v>
      </c>
      <c r="E4931" s="50" t="b">
        <v>1</v>
      </c>
      <c r="F4931" s="72" t="str">
        <f>HYPERLINK("http://nsgreg.nga.mil/genc/view?v=292919&amp;end_month=6&amp;end_day=30&amp;end_year=2019","York")</f>
        <v>York</v>
      </c>
      <c r="G4931" s="72" t="str">
        <f>HYPERLINK("http://api.nsgreg.nga.mil/geo-division/GENC/6/3-11/GB-YOR","as:GENC:6:3-11:GB-YOR")</f>
        <v>as:GENC:6:3-11:GB-YOR</v>
      </c>
    </row>
    <row r="4932" spans="1:7" x14ac:dyDescent="0.25">
      <c r="A4932" s="112"/>
      <c r="B4932" s="21" t="s">
        <v>11488</v>
      </c>
      <c r="C4932" s="21" t="s">
        <v>11489</v>
      </c>
      <c r="D4932" s="76" t="s">
        <v>1668</v>
      </c>
      <c r="E4932" s="77" t="b">
        <v>0</v>
      </c>
      <c r="F4932" s="72" t="str">
        <f>HYPERLINK("http://nsgreg.nga.mil/genc/view?v=292830&amp;end_month=6&amp;end_day=30&amp;end_year=2019","Northern Ireland")</f>
        <v>Northern Ireland</v>
      </c>
      <c r="G4932" s="72" t="str">
        <f>HYPERLINK("http://api.nsgreg.nga.mil/geo-division/GENC/6/3-11/GB-NIR","as:GENC:6:3-11:GB-NIR")</f>
        <v>as:GENC:6:3-11:GB-NIR</v>
      </c>
    </row>
    <row r="4933" spans="1:7" x14ac:dyDescent="0.25">
      <c r="A4933" s="112"/>
      <c r="B4933" s="21" t="s">
        <v>11490</v>
      </c>
      <c r="C4933" s="21" t="s">
        <v>11491</v>
      </c>
      <c r="D4933" s="21" t="s">
        <v>2035</v>
      </c>
      <c r="E4933" s="50" t="b">
        <v>1</v>
      </c>
      <c r="F4933" s="72" t="str">
        <f>HYPERLINK("http://nsgreg.nga.mil/genc/view?v=292703&amp;end_month=6&amp;end_day=30&amp;end_year=2019","Antrim and Newtownabbey")</f>
        <v>Antrim and Newtownabbey</v>
      </c>
      <c r="G4933" s="72" t="str">
        <f>HYPERLINK("http://api.nsgreg.nga.mil/geo-division/GENC/6/3-11/GB-ANN","as:GENC:6:3-11:GB-ANN")</f>
        <v>as:GENC:6:3-11:GB-ANN</v>
      </c>
    </row>
    <row r="4934" spans="1:7" x14ac:dyDescent="0.25">
      <c r="A4934" s="112"/>
      <c r="B4934" s="21" t="s">
        <v>11492</v>
      </c>
      <c r="C4934" s="21" t="s">
        <v>11493</v>
      </c>
      <c r="D4934" s="21" t="s">
        <v>2035</v>
      </c>
      <c r="E4934" s="50" t="b">
        <v>1</v>
      </c>
      <c r="F4934" s="72" t="str">
        <f>HYPERLINK("http://nsgreg.nga.mil/genc/view?v=292702&amp;end_month=6&amp;end_day=30&amp;end_year=2019","Ards and North Down")</f>
        <v>Ards and North Down</v>
      </c>
      <c r="G4934" s="72" t="str">
        <f>HYPERLINK("http://api.nsgreg.nga.mil/geo-division/GENC/6/3-11/GB-AND","as:GENC:6:3-11:GB-AND")</f>
        <v>as:GENC:6:3-11:GB-AND</v>
      </c>
    </row>
    <row r="4935" spans="1:7" x14ac:dyDescent="0.25">
      <c r="A4935" s="112"/>
      <c r="B4935" s="21" t="s">
        <v>11494</v>
      </c>
      <c r="C4935" s="21" t="s">
        <v>11495</v>
      </c>
      <c r="D4935" s="21" t="s">
        <v>2035</v>
      </c>
      <c r="E4935" s="50" t="b">
        <v>1</v>
      </c>
      <c r="F4935" s="72" t="str">
        <f>HYPERLINK("http://nsgreg.nga.mil/genc/view?v=292697&amp;end_month=6&amp;end_day=30&amp;end_year=2019","Armagh City, Banbridge and Craigavon")</f>
        <v>Armagh City, Banbridge and Craigavon</v>
      </c>
      <c r="G4935" s="72" t="str">
        <f>HYPERLINK("http://api.nsgreg.nga.mil/geo-division/GENC/6/3-11/GB-ABC","as:GENC:6:3-11:GB-ABC")</f>
        <v>as:GENC:6:3-11:GB-ABC</v>
      </c>
    </row>
    <row r="4936" spans="1:7" x14ac:dyDescent="0.25">
      <c r="A4936" s="112"/>
      <c r="B4936" s="21" t="s">
        <v>11496</v>
      </c>
      <c r="C4936" s="21" t="s">
        <v>11497</v>
      </c>
      <c r="D4936" s="21" t="s">
        <v>2035</v>
      </c>
      <c r="E4936" s="50" t="b">
        <v>1</v>
      </c>
      <c r="F4936" s="72" t="str">
        <f>HYPERLINK("http://nsgreg.nga.mil/genc/view?v=292711&amp;end_month=6&amp;end_day=30&amp;end_year=2019","Belfast")</f>
        <v>Belfast</v>
      </c>
      <c r="G4936" s="72" t="str">
        <f>HYPERLINK("http://api.nsgreg.nga.mil/geo-division/GENC/6/3-11/GB-BFS","as:GENC:6:3-11:GB-BFS")</f>
        <v>as:GENC:6:3-11:GB-BFS</v>
      </c>
    </row>
    <row r="4937" spans="1:7" x14ac:dyDescent="0.25">
      <c r="A4937" s="112"/>
      <c r="B4937" s="21" t="s">
        <v>11498</v>
      </c>
      <c r="C4937" s="21" t="s">
        <v>11499</v>
      </c>
      <c r="D4937" s="21" t="s">
        <v>2035</v>
      </c>
      <c r="E4937" s="50" t="b">
        <v>1</v>
      </c>
      <c r="F4937" s="72" t="str">
        <f>HYPERLINK("http://nsgreg.nga.mil/genc/view?v=292730&amp;end_month=6&amp;end_day=30&amp;end_year=2019","Causeway Coast and Glens")</f>
        <v>Causeway Coast and Glens</v>
      </c>
      <c r="G4937" s="72" t="str">
        <f>HYPERLINK("http://api.nsgreg.nga.mil/geo-division/GENC/6/3-11/GB-CCG","as:GENC:6:3-11:GB-CCG")</f>
        <v>as:GENC:6:3-11:GB-CCG</v>
      </c>
    </row>
    <row r="4938" spans="1:7" x14ac:dyDescent="0.25">
      <c r="A4938" s="112"/>
      <c r="B4938" s="21" t="s">
        <v>11500</v>
      </c>
      <c r="C4938" s="21" t="s">
        <v>11501</v>
      </c>
      <c r="D4938" s="21" t="s">
        <v>2035</v>
      </c>
      <c r="E4938" s="50" t="b">
        <v>1</v>
      </c>
      <c r="F4938" s="72" t="str">
        <f>HYPERLINK("http://nsgreg.nga.mil/genc/view?v=292753&amp;end_month=6&amp;end_day=30&amp;end_year=2019","Derry City and Strabane")</f>
        <v>Derry City and Strabane</v>
      </c>
      <c r="G4938" s="72" t="str">
        <f>HYPERLINK("http://api.nsgreg.nga.mil/geo-division/GENC/6/3-11/GB-DRS","as:GENC:6:3-11:GB-DRS")</f>
        <v>as:GENC:6:3-11:GB-DRS</v>
      </c>
    </row>
    <row r="4939" spans="1:7" x14ac:dyDescent="0.25">
      <c r="A4939" s="112"/>
      <c r="B4939" s="21" t="s">
        <v>11502</v>
      </c>
      <c r="C4939" s="21" t="s">
        <v>11503</v>
      </c>
      <c r="D4939" s="21" t="s">
        <v>2035</v>
      </c>
      <c r="E4939" s="50" t="b">
        <v>1</v>
      </c>
      <c r="F4939" s="72" t="str">
        <f>HYPERLINK("http://nsgreg.nga.mil/genc/view?v=292772&amp;end_month=6&amp;end_day=30&amp;end_year=2019","Fermanagh and Omagh")</f>
        <v>Fermanagh and Omagh</v>
      </c>
      <c r="G4939" s="72" t="str">
        <f>HYPERLINK("http://api.nsgreg.nga.mil/geo-division/GENC/6/3-11/GB-FMO","as:GENC:6:3-11:GB-FMO")</f>
        <v>as:GENC:6:3-11:GB-FMO</v>
      </c>
    </row>
    <row r="4940" spans="1:7" x14ac:dyDescent="0.25">
      <c r="A4940" s="112"/>
      <c r="B4940" s="21" t="s">
        <v>11504</v>
      </c>
      <c r="C4940" s="21" t="s">
        <v>11505</v>
      </c>
      <c r="D4940" s="21" t="s">
        <v>2035</v>
      </c>
      <c r="E4940" s="50" t="b">
        <v>1</v>
      </c>
      <c r="F4940" s="72" t="str">
        <f>HYPERLINK("http://nsgreg.nga.mil/genc/view?v=292803&amp;end_month=6&amp;end_day=30&amp;end_year=2019","Lisburn and Castlereagh")</f>
        <v>Lisburn and Castlereagh</v>
      </c>
      <c r="G4940" s="72" t="str">
        <f>HYPERLINK("http://api.nsgreg.nga.mil/geo-division/GENC/6/3-11/GB-LBC","as:GENC:6:3-11:GB-LBC")</f>
        <v>as:GENC:6:3-11:GB-LBC</v>
      </c>
    </row>
    <row r="4941" spans="1:7" x14ac:dyDescent="0.25">
      <c r="A4941" s="112"/>
      <c r="B4941" s="21" t="s">
        <v>11506</v>
      </c>
      <c r="C4941" s="21" t="s">
        <v>11507</v>
      </c>
      <c r="D4941" s="21" t="s">
        <v>2035</v>
      </c>
      <c r="E4941" s="50" t="b">
        <v>1</v>
      </c>
      <c r="F4941" s="72" t="str">
        <f>HYPERLINK("http://nsgreg.nga.mil/genc/view?v=292816&amp;end_month=6&amp;end_day=30&amp;end_year=2019","Mid and East Antrim")</f>
        <v>Mid and East Antrim</v>
      </c>
      <c r="G4941" s="72" t="str">
        <f>HYPERLINK("http://api.nsgreg.nga.mil/geo-division/GENC/6/3-11/GB-MEA","as:GENC:6:3-11:GB-MEA")</f>
        <v>as:GENC:6:3-11:GB-MEA</v>
      </c>
    </row>
    <row r="4942" spans="1:7" x14ac:dyDescent="0.25">
      <c r="A4942" s="112"/>
      <c r="B4942" s="21" t="s">
        <v>11508</v>
      </c>
      <c r="C4942" s="21" t="s">
        <v>11509</v>
      </c>
      <c r="D4942" s="21" t="s">
        <v>2035</v>
      </c>
      <c r="E4942" s="50" t="b">
        <v>1</v>
      </c>
      <c r="F4942" s="72" t="str">
        <f>HYPERLINK("http://nsgreg.nga.mil/genc/view?v=292823&amp;end_month=6&amp;end_day=30&amp;end_year=2019","Mid Ulster")</f>
        <v>Mid Ulster</v>
      </c>
      <c r="G4942" s="72" t="str">
        <f>HYPERLINK("http://api.nsgreg.nga.mil/geo-division/GENC/6/3-11/GB-MUL","as:GENC:6:3-11:GB-MUL")</f>
        <v>as:GENC:6:3-11:GB-MUL</v>
      </c>
    </row>
    <row r="4943" spans="1:7" x14ac:dyDescent="0.25">
      <c r="A4943" s="112"/>
      <c r="B4943" s="21" t="s">
        <v>11510</v>
      </c>
      <c r="C4943" s="21" t="s">
        <v>11511</v>
      </c>
      <c r="D4943" s="21" t="s">
        <v>2035</v>
      </c>
      <c r="E4943" s="50" t="b">
        <v>1</v>
      </c>
      <c r="F4943" s="72" t="str">
        <f>HYPERLINK("http://nsgreg.nga.mil/genc/view?v=292833&amp;end_month=6&amp;end_day=30&amp;end_year=2019","Newry, Mourne and Down")</f>
        <v>Newry, Mourne and Down</v>
      </c>
      <c r="G4943" s="72" t="str">
        <f>HYPERLINK("http://api.nsgreg.nga.mil/geo-division/GENC/6/3-11/GB-NMD","as:GENC:6:3-11:GB-NMD")</f>
        <v>as:GENC:6:3-11:GB-NMD</v>
      </c>
    </row>
    <row r="4944" spans="1:7" x14ac:dyDescent="0.25">
      <c r="A4944" s="112"/>
      <c r="B4944" s="21" t="s">
        <v>11512</v>
      </c>
      <c r="C4944" s="21" t="s">
        <v>11513</v>
      </c>
      <c r="D4944" s="76" t="s">
        <v>11179</v>
      </c>
      <c r="E4944" s="77" t="b">
        <v>0</v>
      </c>
      <c r="F4944" s="72" t="str">
        <f>HYPERLINK("http://nsgreg.nga.mil/genc/view?v=292864&amp;end_month=6&amp;end_day=30&amp;end_year=2019","Scotland")</f>
        <v>Scotland</v>
      </c>
      <c r="G4944" s="72" t="str">
        <f>HYPERLINK("http://api.nsgreg.nga.mil/geo-division/GENC/6/3-11/GB-SCT","as:GENC:6:3-11:GB-SCT")</f>
        <v>as:GENC:6:3-11:GB-SCT</v>
      </c>
    </row>
    <row r="4945" spans="1:7" x14ac:dyDescent="0.25">
      <c r="A4945" s="112"/>
      <c r="B4945" s="21" t="s">
        <v>11514</v>
      </c>
      <c r="C4945" s="21" t="s">
        <v>11515</v>
      </c>
      <c r="D4945" s="21" t="s">
        <v>11516</v>
      </c>
      <c r="E4945" s="50" t="b">
        <v>1</v>
      </c>
      <c r="F4945" s="72" t="str">
        <f>HYPERLINK("http://nsgreg.nga.mil/genc/view?v=292699&amp;end_month=6&amp;end_day=30&amp;end_year=2019","Aberdeen City")</f>
        <v>Aberdeen City</v>
      </c>
      <c r="G4945" s="72" t="str">
        <f>HYPERLINK("http://api.nsgreg.nga.mil/geo-division/GENC/6/3-11/GB-ABE","as:GENC:6:3-11:GB-ABE")</f>
        <v>as:GENC:6:3-11:GB-ABE</v>
      </c>
    </row>
    <row r="4946" spans="1:7" x14ac:dyDescent="0.25">
      <c r="A4946" s="112"/>
      <c r="B4946" s="21" t="s">
        <v>11517</v>
      </c>
      <c r="C4946" s="21" t="s">
        <v>11518</v>
      </c>
      <c r="D4946" s="21" t="s">
        <v>11516</v>
      </c>
      <c r="E4946" s="50" t="b">
        <v>1</v>
      </c>
      <c r="F4946" s="72" t="str">
        <f>HYPERLINK("http://nsgreg.nga.mil/genc/view?v=292698&amp;end_month=6&amp;end_day=30&amp;end_year=2019","Aberdeenshire")</f>
        <v>Aberdeenshire</v>
      </c>
      <c r="G4946" s="72" t="str">
        <f>HYPERLINK("http://api.nsgreg.nga.mil/geo-division/GENC/6/3-11/GB-ABD","as:GENC:6:3-11:GB-ABD")</f>
        <v>as:GENC:6:3-11:GB-ABD</v>
      </c>
    </row>
    <row r="4947" spans="1:7" x14ac:dyDescent="0.25">
      <c r="A4947" s="112"/>
      <c r="B4947" s="21" t="s">
        <v>11519</v>
      </c>
      <c r="C4947" s="21" t="s">
        <v>11520</v>
      </c>
      <c r="D4947" s="21" t="s">
        <v>11516</v>
      </c>
      <c r="E4947" s="50" t="b">
        <v>1</v>
      </c>
      <c r="F4947" s="72" t="str">
        <f>HYPERLINK("http://nsgreg.nga.mil/genc/view?v=292704&amp;end_month=6&amp;end_day=30&amp;end_year=2019","Angus")</f>
        <v>Angus</v>
      </c>
      <c r="G4947" s="72" t="str">
        <f>HYPERLINK("http://api.nsgreg.nga.mil/geo-division/GENC/6/3-11/GB-ANS","as:GENC:6:3-11:GB-ANS")</f>
        <v>as:GENC:6:3-11:GB-ANS</v>
      </c>
    </row>
    <row r="4948" spans="1:7" x14ac:dyDescent="0.25">
      <c r="A4948" s="112"/>
      <c r="B4948" s="21" t="s">
        <v>11521</v>
      </c>
      <c r="C4948" s="21" t="s">
        <v>11522</v>
      </c>
      <c r="D4948" s="21" t="s">
        <v>11516</v>
      </c>
      <c r="E4948" s="50" t="b">
        <v>1</v>
      </c>
      <c r="F4948" s="72" t="str">
        <f>HYPERLINK("http://nsgreg.nga.mil/genc/view?v=292700&amp;end_month=6&amp;end_day=30&amp;end_year=2019","Argyll and Bute")</f>
        <v>Argyll and Bute</v>
      </c>
      <c r="G4948" s="72" t="str">
        <f>HYPERLINK("http://api.nsgreg.nga.mil/geo-division/GENC/6/3-11/GB-AGB","as:GENC:6:3-11:GB-AGB")</f>
        <v>as:GENC:6:3-11:GB-AGB</v>
      </c>
    </row>
    <row r="4949" spans="1:7" x14ac:dyDescent="0.25">
      <c r="A4949" s="112"/>
      <c r="B4949" s="21" t="s">
        <v>11523</v>
      </c>
      <c r="C4949" s="21" t="s">
        <v>11524</v>
      </c>
      <c r="D4949" s="21" t="s">
        <v>11516</v>
      </c>
      <c r="E4949" s="50" t="b">
        <v>1</v>
      </c>
      <c r="F4949" s="72" t="str">
        <f>HYPERLINK("http://nsgreg.nga.mil/genc/view?v=292735&amp;end_month=6&amp;end_day=30&amp;end_year=2019","Clackmannanshire")</f>
        <v>Clackmannanshire</v>
      </c>
      <c r="G4949" s="72" t="str">
        <f>HYPERLINK("http://api.nsgreg.nga.mil/geo-division/GENC/6/3-11/GB-CLK","as:GENC:6:3-11:GB-CLK")</f>
        <v>as:GENC:6:3-11:GB-CLK</v>
      </c>
    </row>
    <row r="4950" spans="1:7" x14ac:dyDescent="0.25">
      <c r="A4950" s="112"/>
      <c r="B4950" s="21" t="s">
        <v>11525</v>
      </c>
      <c r="C4950" s="21" t="s">
        <v>11526</v>
      </c>
      <c r="D4950" s="21" t="s">
        <v>11516</v>
      </c>
      <c r="E4950" s="50" t="b">
        <v>1</v>
      </c>
      <c r="F4950" s="72" t="str">
        <f>HYPERLINK("http://nsgreg.nga.mil/genc/view?v=292749&amp;end_month=6&amp;end_day=30&amp;end_year=2019","Dumfries and Galloway")</f>
        <v>Dumfries and Galloway</v>
      </c>
      <c r="G4950" s="72" t="str">
        <f>HYPERLINK("http://api.nsgreg.nga.mil/geo-division/GENC/6/3-11/GB-DGY","as:GENC:6:3-11:GB-DGY")</f>
        <v>as:GENC:6:3-11:GB-DGY</v>
      </c>
    </row>
    <row r="4951" spans="1:7" x14ac:dyDescent="0.25">
      <c r="A4951" s="112"/>
      <c r="B4951" s="21" t="s">
        <v>11527</v>
      </c>
      <c r="C4951" s="21" t="s">
        <v>11528</v>
      </c>
      <c r="D4951" s="21" t="s">
        <v>11516</v>
      </c>
      <c r="E4951" s="50" t="b">
        <v>1</v>
      </c>
      <c r="F4951" s="72" t="str">
        <f>HYPERLINK("http://nsgreg.nga.mil/genc/view?v=292751&amp;end_month=6&amp;end_day=30&amp;end_year=2019","Dundee City")</f>
        <v>Dundee City</v>
      </c>
      <c r="G4951" s="72" t="str">
        <f>HYPERLINK("http://api.nsgreg.nga.mil/geo-division/GENC/6/3-11/GB-DND","as:GENC:6:3-11:GB-DND")</f>
        <v>as:GENC:6:3-11:GB-DND</v>
      </c>
    </row>
    <row r="4952" spans="1:7" x14ac:dyDescent="0.25">
      <c r="A4952" s="112"/>
      <c r="B4952" s="21" t="s">
        <v>11529</v>
      </c>
      <c r="C4952" s="21" t="s">
        <v>11530</v>
      </c>
      <c r="D4952" s="21" t="s">
        <v>11516</v>
      </c>
      <c r="E4952" s="50" t="b">
        <v>1</v>
      </c>
      <c r="F4952" s="72" t="str">
        <f>HYPERLINK("http://nsgreg.nga.mil/genc/view?v=292758&amp;end_month=6&amp;end_day=30&amp;end_year=2019","East Ayrshire")</f>
        <v>East Ayrshire</v>
      </c>
      <c r="G4952" s="72" t="str">
        <f>HYPERLINK("http://api.nsgreg.nga.mil/geo-division/GENC/6/3-11/GB-EAY","as:GENC:6:3-11:GB-EAY")</f>
        <v>as:GENC:6:3-11:GB-EAY</v>
      </c>
    </row>
    <row r="4953" spans="1:7" x14ac:dyDescent="0.25">
      <c r="A4953" s="112"/>
      <c r="B4953" s="21" t="s">
        <v>11531</v>
      </c>
      <c r="C4953" s="21" t="s">
        <v>11532</v>
      </c>
      <c r="D4953" s="21" t="s">
        <v>11516</v>
      </c>
      <c r="E4953" s="50" t="b">
        <v>1</v>
      </c>
      <c r="F4953" s="72" t="str">
        <f>HYPERLINK("http://nsgreg.nga.mil/genc/view?v=292760&amp;end_month=6&amp;end_day=30&amp;end_year=2019","East Dunbartonshire")</f>
        <v>East Dunbartonshire</v>
      </c>
      <c r="G4953" s="72" t="str">
        <f>HYPERLINK("http://api.nsgreg.nga.mil/geo-division/GENC/6/3-11/GB-EDU","as:GENC:6:3-11:GB-EDU")</f>
        <v>as:GENC:6:3-11:GB-EDU</v>
      </c>
    </row>
    <row r="4954" spans="1:7" x14ac:dyDescent="0.25">
      <c r="A4954" s="112"/>
      <c r="B4954" s="21" t="s">
        <v>11533</v>
      </c>
      <c r="C4954" s="21" t="s">
        <v>11534</v>
      </c>
      <c r="D4954" s="21" t="s">
        <v>11516</v>
      </c>
      <c r="E4954" s="50" t="b">
        <v>1</v>
      </c>
      <c r="F4954" s="72" t="str">
        <f>HYPERLINK("http://nsgreg.nga.mil/genc/view?v=292761&amp;end_month=6&amp;end_day=30&amp;end_year=2019","East Lothian")</f>
        <v>East Lothian</v>
      </c>
      <c r="G4954" s="72" t="str">
        <f>HYPERLINK("http://api.nsgreg.nga.mil/geo-division/GENC/6/3-11/GB-ELN","as:GENC:6:3-11:GB-ELN")</f>
        <v>as:GENC:6:3-11:GB-ELN</v>
      </c>
    </row>
    <row r="4955" spans="1:7" x14ac:dyDescent="0.25">
      <c r="A4955" s="112"/>
      <c r="B4955" s="21" t="s">
        <v>11535</v>
      </c>
      <c r="C4955" s="21" t="s">
        <v>11536</v>
      </c>
      <c r="D4955" s="21" t="s">
        <v>11516</v>
      </c>
      <c r="E4955" s="50" t="b">
        <v>1</v>
      </c>
      <c r="F4955" s="72" t="str">
        <f>HYPERLINK("http://nsgreg.nga.mil/genc/view?v=292765&amp;end_month=6&amp;end_day=30&amp;end_year=2019","East Renfrewshire")</f>
        <v>East Renfrewshire</v>
      </c>
      <c r="G4955" s="72" t="str">
        <f>HYPERLINK("http://api.nsgreg.nga.mil/geo-division/GENC/6/3-11/GB-ERW","as:GENC:6:3-11:GB-ERW")</f>
        <v>as:GENC:6:3-11:GB-ERW</v>
      </c>
    </row>
    <row r="4956" spans="1:7" x14ac:dyDescent="0.25">
      <c r="A4956" s="112"/>
      <c r="B4956" s="21" t="s">
        <v>11537</v>
      </c>
      <c r="C4956" s="21" t="s">
        <v>11538</v>
      </c>
      <c r="D4956" s="21" t="s">
        <v>11516</v>
      </c>
      <c r="E4956" s="50" t="b">
        <v>1</v>
      </c>
      <c r="F4956" s="72" t="str">
        <f>HYPERLINK("http://nsgreg.nga.mil/genc/view?v=292759&amp;end_month=6&amp;end_day=30&amp;end_year=2019","Edinburgh, City of")</f>
        <v>Edinburgh, City of</v>
      </c>
      <c r="G4956" s="72" t="str">
        <f>HYPERLINK("http://api.nsgreg.nga.mil/geo-division/GENC/6/3-11/GB-EDH","as:GENC:6:3-11:GB-EDH")</f>
        <v>as:GENC:6:3-11:GB-EDH</v>
      </c>
    </row>
    <row r="4957" spans="1:7" x14ac:dyDescent="0.25">
      <c r="A4957" s="112"/>
      <c r="B4957" s="21" t="s">
        <v>11539</v>
      </c>
      <c r="C4957" s="21" t="s">
        <v>11540</v>
      </c>
      <c r="D4957" s="21" t="s">
        <v>11516</v>
      </c>
      <c r="E4957" s="50" t="b">
        <v>1</v>
      </c>
      <c r="F4957" s="72" t="str">
        <f>HYPERLINK("http://nsgreg.nga.mil/genc/view?v=292762&amp;end_month=6&amp;end_day=30&amp;end_year=2019","Eilean Siar")</f>
        <v>Eilean Siar</v>
      </c>
      <c r="G4957" s="72" t="str">
        <f>HYPERLINK("http://api.nsgreg.nga.mil/geo-division/GENC/6/3-11/GB-ELS","as:GENC:6:3-11:GB-ELS")</f>
        <v>as:GENC:6:3-11:GB-ELS</v>
      </c>
    </row>
    <row r="4958" spans="1:7" x14ac:dyDescent="0.25">
      <c r="A4958" s="112"/>
      <c r="B4958" s="21" t="s">
        <v>11541</v>
      </c>
      <c r="C4958" s="21" t="s">
        <v>11542</v>
      </c>
      <c r="D4958" s="21" t="s">
        <v>11516</v>
      </c>
      <c r="E4958" s="50" t="b">
        <v>1</v>
      </c>
      <c r="F4958" s="72" t="str">
        <f>HYPERLINK("http://nsgreg.nga.mil/genc/view?v=292769&amp;end_month=6&amp;end_day=30&amp;end_year=2019","Falkirk")</f>
        <v>Falkirk</v>
      </c>
      <c r="G4958" s="72" t="str">
        <f>HYPERLINK("http://api.nsgreg.nga.mil/geo-division/GENC/6/3-11/GB-FAL","as:GENC:6:3-11:GB-FAL")</f>
        <v>as:GENC:6:3-11:GB-FAL</v>
      </c>
    </row>
    <row r="4959" spans="1:7" x14ac:dyDescent="0.25">
      <c r="A4959" s="112"/>
      <c r="B4959" s="21" t="s">
        <v>11543</v>
      </c>
      <c r="C4959" s="21" t="s">
        <v>11544</v>
      </c>
      <c r="D4959" s="21" t="s">
        <v>11516</v>
      </c>
      <c r="E4959" s="50" t="b">
        <v>1</v>
      </c>
      <c r="F4959" s="72" t="str">
        <f>HYPERLINK("http://nsgreg.nga.mil/genc/view?v=292770&amp;end_month=6&amp;end_day=30&amp;end_year=2019","Fife")</f>
        <v>Fife</v>
      </c>
      <c r="G4959" s="72" t="str">
        <f>HYPERLINK("http://api.nsgreg.nga.mil/geo-division/GENC/6/3-11/GB-FIF","as:GENC:6:3-11:GB-FIF")</f>
        <v>as:GENC:6:3-11:GB-FIF</v>
      </c>
    </row>
    <row r="4960" spans="1:7" x14ac:dyDescent="0.25">
      <c r="A4960" s="112"/>
      <c r="B4960" s="21" t="s">
        <v>11545</v>
      </c>
      <c r="C4960" s="21" t="s">
        <v>11546</v>
      </c>
      <c r="D4960" s="21" t="s">
        <v>11516</v>
      </c>
      <c r="E4960" s="50" t="b">
        <v>1</v>
      </c>
      <c r="F4960" s="72" t="str">
        <f>HYPERLINK("http://nsgreg.nga.mil/genc/view?v=292775&amp;end_month=6&amp;end_day=30&amp;end_year=2019","Glasgow City")</f>
        <v>Glasgow City</v>
      </c>
      <c r="G4960" s="72" t="str">
        <f>HYPERLINK("http://api.nsgreg.nga.mil/geo-division/GENC/6/3-11/GB-GLG","as:GENC:6:3-11:GB-GLG")</f>
        <v>as:GENC:6:3-11:GB-GLG</v>
      </c>
    </row>
    <row r="4961" spans="1:7" x14ac:dyDescent="0.25">
      <c r="A4961" s="112"/>
      <c r="B4961" s="21" t="s">
        <v>11547</v>
      </c>
      <c r="C4961" s="21" t="s">
        <v>11548</v>
      </c>
      <c r="D4961" s="21" t="s">
        <v>11516</v>
      </c>
      <c r="E4961" s="50" t="b">
        <v>1</v>
      </c>
      <c r="F4961" s="72" t="str">
        <f>HYPERLINK("http://nsgreg.nga.mil/genc/view?v=292785&amp;end_month=6&amp;end_day=30&amp;end_year=2019","Highland")</f>
        <v>Highland</v>
      </c>
      <c r="G4961" s="72" t="str">
        <f>HYPERLINK("http://api.nsgreg.nga.mil/geo-division/GENC/6/3-11/GB-HLD","as:GENC:6:3-11:GB-HLD")</f>
        <v>as:GENC:6:3-11:GB-HLD</v>
      </c>
    </row>
    <row r="4962" spans="1:7" x14ac:dyDescent="0.25">
      <c r="A4962" s="112"/>
      <c r="B4962" s="21" t="s">
        <v>11549</v>
      </c>
      <c r="C4962" s="21" t="s">
        <v>11550</v>
      </c>
      <c r="D4962" s="21" t="s">
        <v>11516</v>
      </c>
      <c r="E4962" s="50" t="b">
        <v>1</v>
      </c>
      <c r="F4962" s="72" t="str">
        <f>HYPERLINK("http://nsgreg.nga.mil/genc/view?v=292795&amp;end_month=6&amp;end_day=30&amp;end_year=2019","Inverclyde")</f>
        <v>Inverclyde</v>
      </c>
      <c r="G4962" s="72" t="str">
        <f>HYPERLINK("http://api.nsgreg.nga.mil/geo-division/GENC/6/3-11/GB-IVC","as:GENC:6:3-11:GB-IVC")</f>
        <v>as:GENC:6:3-11:GB-IVC</v>
      </c>
    </row>
    <row r="4963" spans="1:7" x14ac:dyDescent="0.25">
      <c r="A4963" s="112"/>
      <c r="B4963" s="21" t="s">
        <v>11551</v>
      </c>
      <c r="C4963" s="21" t="s">
        <v>11552</v>
      </c>
      <c r="D4963" s="21" t="s">
        <v>11516</v>
      </c>
      <c r="E4963" s="50" t="b">
        <v>1</v>
      </c>
      <c r="F4963" s="72" t="str">
        <f>HYPERLINK("http://nsgreg.nga.mil/genc/view?v=292818&amp;end_month=6&amp;end_day=30&amp;end_year=2019","Midlothian")</f>
        <v>Midlothian</v>
      </c>
      <c r="G4963" s="72" t="str">
        <f>HYPERLINK("http://api.nsgreg.nga.mil/geo-division/GENC/6/3-11/GB-MLN","as:GENC:6:3-11:GB-MLN")</f>
        <v>as:GENC:6:3-11:GB-MLN</v>
      </c>
    </row>
    <row r="4964" spans="1:7" x14ac:dyDescent="0.25">
      <c r="A4964" s="112"/>
      <c r="B4964" s="21" t="s">
        <v>11553</v>
      </c>
      <c r="C4964" s="21" t="s">
        <v>11554</v>
      </c>
      <c r="D4964" s="21" t="s">
        <v>11516</v>
      </c>
      <c r="E4964" s="50" t="b">
        <v>1</v>
      </c>
      <c r="F4964" s="72" t="str">
        <f>HYPERLINK("http://nsgreg.nga.mil/genc/view?v=292821&amp;end_month=6&amp;end_day=30&amp;end_year=2019","Moray")</f>
        <v>Moray</v>
      </c>
      <c r="G4964" s="72" t="str">
        <f>HYPERLINK("http://api.nsgreg.nga.mil/geo-division/GENC/6/3-11/GB-MRY","as:GENC:6:3-11:GB-MRY")</f>
        <v>as:GENC:6:3-11:GB-MRY</v>
      </c>
    </row>
    <row r="4965" spans="1:7" x14ac:dyDescent="0.25">
      <c r="A4965" s="112"/>
      <c r="B4965" s="21" t="s">
        <v>11555</v>
      </c>
      <c r="C4965" s="21" t="s">
        <v>11556</v>
      </c>
      <c r="D4965" s="21" t="s">
        <v>11516</v>
      </c>
      <c r="E4965" s="50" t="b">
        <v>1</v>
      </c>
      <c r="F4965" s="72" t="str">
        <f>HYPERLINK("http://nsgreg.nga.mil/genc/view?v=292824&amp;end_month=6&amp;end_day=30&amp;end_year=2019","North Ayrshire")</f>
        <v>North Ayrshire</v>
      </c>
      <c r="G4965" s="72" t="str">
        <f>HYPERLINK("http://api.nsgreg.nga.mil/geo-division/GENC/6/3-11/GB-NAY","as:GENC:6:3-11:GB-NAY")</f>
        <v>as:GENC:6:3-11:GB-NAY</v>
      </c>
    </row>
    <row r="4966" spans="1:7" x14ac:dyDescent="0.25">
      <c r="A4966" s="112"/>
      <c r="B4966" s="21" t="s">
        <v>11557</v>
      </c>
      <c r="C4966" s="21" t="s">
        <v>11558</v>
      </c>
      <c r="D4966" s="21" t="s">
        <v>11516</v>
      </c>
      <c r="E4966" s="50" t="b">
        <v>1</v>
      </c>
      <c r="F4966" s="72" t="str">
        <f>HYPERLINK("http://nsgreg.nga.mil/genc/view?v=292831&amp;end_month=6&amp;end_day=30&amp;end_year=2019","North Lanarkshire")</f>
        <v>North Lanarkshire</v>
      </c>
      <c r="G4966" s="72" t="str">
        <f>HYPERLINK("http://api.nsgreg.nga.mil/geo-division/GENC/6/3-11/GB-NLK","as:GENC:6:3-11:GB-NLK")</f>
        <v>as:GENC:6:3-11:GB-NLK</v>
      </c>
    </row>
    <row r="4967" spans="1:7" x14ac:dyDescent="0.25">
      <c r="A4967" s="112"/>
      <c r="B4967" s="21" t="s">
        <v>11559</v>
      </c>
      <c r="C4967" s="21" t="s">
        <v>11560</v>
      </c>
      <c r="D4967" s="21" t="s">
        <v>11516</v>
      </c>
      <c r="E4967" s="50" t="b">
        <v>1</v>
      </c>
      <c r="F4967" s="72" t="str">
        <f>HYPERLINK("http://nsgreg.nga.mil/genc/view?v=292843&amp;end_month=6&amp;end_day=30&amp;end_year=2019","Orkney Islands")</f>
        <v>Orkney Islands</v>
      </c>
      <c r="G4967" s="72" t="str">
        <f>HYPERLINK("http://api.nsgreg.nga.mil/geo-division/GENC/6/3-11/GB-ORK","as:GENC:6:3-11:GB-ORK")</f>
        <v>as:GENC:6:3-11:GB-ORK</v>
      </c>
    </row>
    <row r="4968" spans="1:7" x14ac:dyDescent="0.25">
      <c r="A4968" s="112"/>
      <c r="B4968" s="21" t="s">
        <v>11561</v>
      </c>
      <c r="C4968" s="21" t="s">
        <v>11562</v>
      </c>
      <c r="D4968" s="21" t="s">
        <v>11516</v>
      </c>
      <c r="E4968" s="50" t="b">
        <v>1</v>
      </c>
      <c r="F4968" s="72" t="str">
        <f>HYPERLINK("http://nsgreg.nga.mil/genc/view?v=292846&amp;end_month=6&amp;end_day=30&amp;end_year=2019","Perth and Kinross")</f>
        <v>Perth and Kinross</v>
      </c>
      <c r="G4968" s="72" t="str">
        <f>HYPERLINK("http://api.nsgreg.nga.mil/geo-division/GENC/6/3-11/GB-PKN","as:GENC:6:3-11:GB-PKN")</f>
        <v>as:GENC:6:3-11:GB-PKN</v>
      </c>
    </row>
    <row r="4969" spans="1:7" x14ac:dyDescent="0.25">
      <c r="A4969" s="112"/>
      <c r="B4969" s="21" t="s">
        <v>11563</v>
      </c>
      <c r="C4969" s="21" t="s">
        <v>11564</v>
      </c>
      <c r="D4969" s="21" t="s">
        <v>11516</v>
      </c>
      <c r="E4969" s="50" t="b">
        <v>1</v>
      </c>
      <c r="F4969" s="72" t="str">
        <f>HYPERLINK("http://nsgreg.nga.mil/genc/view?v=292857&amp;end_month=6&amp;end_day=30&amp;end_year=2019","Renfrewshire")</f>
        <v>Renfrewshire</v>
      </c>
      <c r="G4969" s="72" t="str">
        <f>HYPERLINK("http://api.nsgreg.nga.mil/geo-division/GENC/6/3-11/GB-RFW","as:GENC:6:3-11:GB-RFW")</f>
        <v>as:GENC:6:3-11:GB-RFW</v>
      </c>
    </row>
    <row r="4970" spans="1:7" x14ac:dyDescent="0.25">
      <c r="A4970" s="112"/>
      <c r="B4970" s="21" t="s">
        <v>11565</v>
      </c>
      <c r="C4970" s="21" t="s">
        <v>11566</v>
      </c>
      <c r="D4970" s="21" t="s">
        <v>11516</v>
      </c>
      <c r="E4970" s="50" t="b">
        <v>1</v>
      </c>
      <c r="F4970" s="72" t="str">
        <f>HYPERLINK("http://nsgreg.nga.mil/genc/view?v=292863&amp;end_month=6&amp;end_day=30&amp;end_year=2019","Scottish Borders, The")</f>
        <v>Scottish Borders, The</v>
      </c>
      <c r="G4970" s="72" t="str">
        <f>HYPERLINK("http://api.nsgreg.nga.mil/geo-division/GENC/6/3-11/GB-SCB","as:GENC:6:3-11:GB-SCB")</f>
        <v>as:GENC:6:3-11:GB-SCB</v>
      </c>
    </row>
    <row r="4971" spans="1:7" x14ac:dyDescent="0.25">
      <c r="A4971" s="112"/>
      <c r="B4971" s="21" t="s">
        <v>11567</v>
      </c>
      <c r="C4971" s="21" t="s">
        <v>11568</v>
      </c>
      <c r="D4971" s="21" t="s">
        <v>11516</v>
      </c>
      <c r="E4971" s="50" t="b">
        <v>1</v>
      </c>
      <c r="F4971" s="72" t="str">
        <f>HYPERLINK("http://nsgreg.nga.mil/genc/view?v=292920&amp;end_month=6&amp;end_day=30&amp;end_year=2019","Shetland Islands")</f>
        <v>Shetland Islands</v>
      </c>
      <c r="G4971" s="72" t="str">
        <f>HYPERLINK("http://api.nsgreg.nga.mil/geo-division/GENC/6/3-11/GB-ZET","as:GENC:6:3-11:GB-ZET")</f>
        <v>as:GENC:6:3-11:GB-ZET</v>
      </c>
    </row>
    <row r="4972" spans="1:7" x14ac:dyDescent="0.25">
      <c r="A4972" s="112"/>
      <c r="B4972" s="21" t="s">
        <v>11569</v>
      </c>
      <c r="C4972" s="21" t="s">
        <v>11570</v>
      </c>
      <c r="D4972" s="21" t="s">
        <v>11516</v>
      </c>
      <c r="E4972" s="50" t="b">
        <v>1</v>
      </c>
      <c r="F4972" s="72" t="str">
        <f>HYPERLINK("http://nsgreg.nga.mil/genc/view?v=292862&amp;end_month=6&amp;end_day=30&amp;end_year=2019","South Ayrshire")</f>
        <v>South Ayrshire</v>
      </c>
      <c r="G4972" s="72" t="str">
        <f>HYPERLINK("http://api.nsgreg.nga.mil/geo-division/GENC/6/3-11/GB-SAY","as:GENC:6:3-11:GB-SAY")</f>
        <v>as:GENC:6:3-11:GB-SAY</v>
      </c>
    </row>
    <row r="4973" spans="1:7" x14ac:dyDescent="0.25">
      <c r="A4973" s="112"/>
      <c r="B4973" s="21" t="s">
        <v>11571</v>
      </c>
      <c r="C4973" s="21" t="s">
        <v>11572</v>
      </c>
      <c r="D4973" s="21" t="s">
        <v>11516</v>
      </c>
      <c r="E4973" s="50" t="b">
        <v>1</v>
      </c>
      <c r="F4973" s="72" t="str">
        <f>HYPERLINK("http://nsgreg.nga.mil/genc/view?v=292874&amp;end_month=6&amp;end_day=30&amp;end_year=2019","South Lanarkshire")</f>
        <v>South Lanarkshire</v>
      </c>
      <c r="G4973" s="72" t="str">
        <f>HYPERLINK("http://api.nsgreg.nga.mil/geo-division/GENC/6/3-11/GB-SLK","as:GENC:6:3-11:GB-SLK")</f>
        <v>as:GENC:6:3-11:GB-SLK</v>
      </c>
    </row>
    <row r="4974" spans="1:7" x14ac:dyDescent="0.25">
      <c r="A4974" s="112"/>
      <c r="B4974" s="21" t="s">
        <v>11573</v>
      </c>
      <c r="C4974" s="21" t="s">
        <v>11574</v>
      </c>
      <c r="D4974" s="21" t="s">
        <v>11516</v>
      </c>
      <c r="E4974" s="50" t="b">
        <v>1</v>
      </c>
      <c r="F4974" s="72" t="str">
        <f>HYPERLINK("http://nsgreg.nga.mil/genc/view?v=292881&amp;end_month=6&amp;end_day=30&amp;end_year=2019","Stirling")</f>
        <v>Stirling</v>
      </c>
      <c r="G4974" s="72" t="str">
        <f>HYPERLINK("http://api.nsgreg.nga.mil/geo-division/GENC/6/3-11/GB-STG","as:GENC:6:3-11:GB-STG")</f>
        <v>as:GENC:6:3-11:GB-STG</v>
      </c>
    </row>
    <row r="4975" spans="1:7" x14ac:dyDescent="0.25">
      <c r="A4975" s="112"/>
      <c r="B4975" s="21" t="s">
        <v>11575</v>
      </c>
      <c r="C4975" s="21" t="s">
        <v>11576</v>
      </c>
      <c r="D4975" s="21" t="s">
        <v>11516</v>
      </c>
      <c r="E4975" s="50" t="b">
        <v>1</v>
      </c>
      <c r="F4975" s="72" t="str">
        <f>HYPERLINK("http://nsgreg.nga.mil/genc/view?v=292901&amp;end_month=6&amp;end_day=30&amp;end_year=2019","West Dunbartonshire")</f>
        <v>West Dunbartonshire</v>
      </c>
      <c r="G4975" s="72" t="str">
        <f>HYPERLINK("http://api.nsgreg.nga.mil/geo-division/GENC/6/3-11/GB-WDU","as:GENC:6:3-11:GB-WDU")</f>
        <v>as:GENC:6:3-11:GB-WDU</v>
      </c>
    </row>
    <row r="4976" spans="1:7" x14ac:dyDescent="0.25">
      <c r="A4976" s="112"/>
      <c r="B4976" s="21" t="s">
        <v>11577</v>
      </c>
      <c r="C4976" s="21" t="s">
        <v>11578</v>
      </c>
      <c r="D4976" s="21" t="s">
        <v>11516</v>
      </c>
      <c r="E4976" s="50" t="b">
        <v>1</v>
      </c>
      <c r="F4976" s="72" t="str">
        <f>HYPERLINK("http://nsgreg.nga.mil/genc/view?v=292907&amp;end_month=6&amp;end_day=30&amp;end_year=2019","West Lothian")</f>
        <v>West Lothian</v>
      </c>
      <c r="G4976" s="72" t="str">
        <f>HYPERLINK("http://api.nsgreg.nga.mil/geo-division/GENC/6/3-11/GB-WLN","as:GENC:6:3-11:GB-WLN")</f>
        <v>as:GENC:6:3-11:GB-WLN</v>
      </c>
    </row>
    <row r="4977" spans="1:7" x14ac:dyDescent="0.25">
      <c r="A4977" s="112"/>
      <c r="B4977" s="21" t="s">
        <v>11579</v>
      </c>
      <c r="C4977" s="21" t="s">
        <v>11580</v>
      </c>
      <c r="D4977" s="76" t="s">
        <v>11179</v>
      </c>
      <c r="E4977" s="77" t="b">
        <v>0</v>
      </c>
      <c r="F4977" s="72" t="str">
        <f>HYPERLINK("http://nsgreg.nga.mil/genc/view?v=292908&amp;end_month=6&amp;end_day=30&amp;end_year=2019","Wales")</f>
        <v>Wales</v>
      </c>
      <c r="G4977" s="72" t="str">
        <f>HYPERLINK("http://api.nsgreg.nga.mil/geo-division/GENC/6/3-11/GB-WLS","as:GENC:6:3-11:GB-WLS")</f>
        <v>as:GENC:6:3-11:GB-WLS</v>
      </c>
    </row>
    <row r="4978" spans="1:7" x14ac:dyDescent="0.25">
      <c r="A4978" s="112"/>
      <c r="B4978" s="21" t="s">
        <v>11581</v>
      </c>
      <c r="C4978" s="21" t="s">
        <v>11582</v>
      </c>
      <c r="D4978" s="21" t="s">
        <v>11190</v>
      </c>
      <c r="E4978" s="50" t="b">
        <v>1</v>
      </c>
      <c r="F4978" s="72" t="str">
        <f>HYPERLINK("http://nsgreg.nga.mil/genc/view?v=292713&amp;end_month=6&amp;end_day=30&amp;end_year=2019","Blaenau Gwent")</f>
        <v>Blaenau Gwent</v>
      </c>
      <c r="G4978" s="72" t="str">
        <f>HYPERLINK("http://api.nsgreg.nga.mil/geo-division/GENC/6/3-11/GB-BGW","as:GENC:6:3-11:GB-BGW")</f>
        <v>as:GENC:6:3-11:GB-BGW</v>
      </c>
    </row>
    <row r="4979" spans="1:7" x14ac:dyDescent="0.25">
      <c r="A4979" s="112"/>
      <c r="B4979" s="21" t="s">
        <v>11583</v>
      </c>
      <c r="C4979" s="21" t="s">
        <v>11584</v>
      </c>
      <c r="D4979" s="21" t="s">
        <v>11190</v>
      </c>
      <c r="E4979" s="50" t="b">
        <v>1</v>
      </c>
      <c r="F4979" s="72" t="str">
        <f>HYPERLINK("http://nsgreg.nga.mil/genc/view?v=292712&amp;end_month=6&amp;end_day=30&amp;end_year=2019","Bridgend")</f>
        <v>Bridgend</v>
      </c>
      <c r="G4979" s="72" t="str">
        <f>HYPERLINK("http://api.nsgreg.nga.mil/geo-division/GENC/6/3-11/GB-BGE","as:GENC:6:3-11:GB-BGE")</f>
        <v>as:GENC:6:3-11:GB-BGE</v>
      </c>
    </row>
    <row r="4980" spans="1:7" x14ac:dyDescent="0.25">
      <c r="A4980" s="112"/>
      <c r="B4980" s="21" t="s">
        <v>11585</v>
      </c>
      <c r="C4980" s="21" t="s">
        <v>11586</v>
      </c>
      <c r="D4980" s="21" t="s">
        <v>11190</v>
      </c>
      <c r="E4980" s="50" t="b">
        <v>1</v>
      </c>
      <c r="F4980" s="72" t="str">
        <f>HYPERLINK("http://nsgreg.nga.mil/genc/view?v=292728&amp;end_month=6&amp;end_day=30&amp;end_year=2019","Caerphilly")</f>
        <v>Caerphilly</v>
      </c>
      <c r="G4980" s="72" t="str">
        <f>HYPERLINK("http://api.nsgreg.nga.mil/geo-division/GENC/6/3-11/GB-CAY","as:GENC:6:3-11:GB-CAY")</f>
        <v>as:GENC:6:3-11:GB-CAY</v>
      </c>
    </row>
    <row r="4981" spans="1:7" x14ac:dyDescent="0.25">
      <c r="A4981" s="112"/>
      <c r="B4981" s="21" t="s">
        <v>11587</v>
      </c>
      <c r="C4981" s="21" t="s">
        <v>11588</v>
      </c>
      <c r="D4981" s="21" t="s">
        <v>11190</v>
      </c>
      <c r="E4981" s="50" t="b">
        <v>1</v>
      </c>
      <c r="F4981" s="72" t="str">
        <f>HYPERLINK("http://nsgreg.nga.mil/genc/view?v=292741&amp;end_month=6&amp;end_day=30&amp;end_year=2019","Cardiff")</f>
        <v>Cardiff</v>
      </c>
      <c r="G4981" s="72" t="str">
        <f>HYPERLINK("http://api.nsgreg.nga.mil/geo-division/GENC/6/3-11/GB-CRF","as:GENC:6:3-11:GB-CRF")</f>
        <v>as:GENC:6:3-11:GB-CRF</v>
      </c>
    </row>
    <row r="4982" spans="1:7" x14ac:dyDescent="0.25">
      <c r="A4982" s="112"/>
      <c r="B4982" s="21" t="s">
        <v>11589</v>
      </c>
      <c r="C4982" s="21" t="s">
        <v>11590</v>
      </c>
      <c r="D4982" s="21" t="s">
        <v>11190</v>
      </c>
      <c r="E4982" s="50" t="b">
        <v>1</v>
      </c>
      <c r="F4982" s="72" t="str">
        <f>HYPERLINK("http://nsgreg.nga.mil/genc/view?v=292738&amp;end_month=6&amp;end_day=30&amp;end_year=2019","Carmarthenshire")</f>
        <v>Carmarthenshire</v>
      </c>
      <c r="G4982" s="72" t="str">
        <f>HYPERLINK("http://api.nsgreg.nga.mil/geo-division/GENC/6/3-11/GB-CMN","as:GENC:6:3-11:GB-CMN")</f>
        <v>as:GENC:6:3-11:GB-CMN</v>
      </c>
    </row>
    <row r="4983" spans="1:7" x14ac:dyDescent="0.25">
      <c r="A4983" s="112"/>
      <c r="B4983" s="21" t="s">
        <v>11591</v>
      </c>
      <c r="C4983" s="21" t="s">
        <v>11592</v>
      </c>
      <c r="D4983" s="21" t="s">
        <v>11190</v>
      </c>
      <c r="E4983" s="50" t="b">
        <v>1</v>
      </c>
      <c r="F4983" s="72" t="str">
        <f>HYPERLINK("http://nsgreg.nga.mil/genc/view?v=292731&amp;end_month=6&amp;end_day=30&amp;end_year=2019","Ceredigion")</f>
        <v>Ceredigion</v>
      </c>
      <c r="G4983" s="72" t="str">
        <f>HYPERLINK("http://api.nsgreg.nga.mil/geo-division/GENC/6/3-11/GB-CGN","as:GENC:6:3-11:GB-CGN")</f>
        <v>as:GENC:6:3-11:GB-CGN</v>
      </c>
    </row>
    <row r="4984" spans="1:7" x14ac:dyDescent="0.25">
      <c r="A4984" s="112"/>
      <c r="B4984" s="21" t="s">
        <v>11593</v>
      </c>
      <c r="C4984" s="21" t="s">
        <v>11594</v>
      </c>
      <c r="D4984" s="21" t="s">
        <v>11190</v>
      </c>
      <c r="E4984" s="50" t="b">
        <v>1</v>
      </c>
      <c r="F4984" s="72" t="str">
        <f>HYPERLINK("http://nsgreg.nga.mil/genc/view?v=292743&amp;end_month=6&amp;end_day=30&amp;end_year=2019","Conwy")</f>
        <v>Conwy</v>
      </c>
      <c r="G4984" s="72" t="str">
        <f>HYPERLINK("http://api.nsgreg.nga.mil/geo-division/GENC/6/3-11/GB-CWY","as:GENC:6:3-11:GB-CWY")</f>
        <v>as:GENC:6:3-11:GB-CWY</v>
      </c>
    </row>
    <row r="4985" spans="1:7" x14ac:dyDescent="0.25">
      <c r="A4985" s="112"/>
      <c r="B4985" s="21" t="s">
        <v>11595</v>
      </c>
      <c r="C4985" s="21" t="s">
        <v>11596</v>
      </c>
      <c r="D4985" s="21" t="s">
        <v>11190</v>
      </c>
      <c r="E4985" s="50" t="b">
        <v>1</v>
      </c>
      <c r="F4985" s="72" t="str">
        <f>HYPERLINK("http://nsgreg.nga.mil/genc/view?v=292746&amp;end_month=6&amp;end_day=30&amp;end_year=2019","Denbighshire")</f>
        <v>Denbighshire</v>
      </c>
      <c r="G4985" s="72" t="str">
        <f>HYPERLINK("http://api.nsgreg.nga.mil/geo-division/GENC/6/3-11/GB-DEN","as:GENC:6:3-11:GB-DEN")</f>
        <v>as:GENC:6:3-11:GB-DEN</v>
      </c>
    </row>
    <row r="4986" spans="1:7" x14ac:dyDescent="0.25">
      <c r="A4986" s="112"/>
      <c r="B4986" s="21" t="s">
        <v>11597</v>
      </c>
      <c r="C4986" s="21" t="s">
        <v>11598</v>
      </c>
      <c r="D4986" s="21" t="s">
        <v>11190</v>
      </c>
      <c r="E4986" s="50" t="b">
        <v>1</v>
      </c>
      <c r="F4986" s="72" t="str">
        <f>HYPERLINK("http://nsgreg.nga.mil/genc/view?v=292771&amp;end_month=6&amp;end_day=30&amp;end_year=2019","Flintshire")</f>
        <v>Flintshire</v>
      </c>
      <c r="G4986" s="72" t="str">
        <f>HYPERLINK("http://api.nsgreg.nga.mil/geo-division/GENC/6/3-11/GB-FLN","as:GENC:6:3-11:GB-FLN")</f>
        <v>as:GENC:6:3-11:GB-FLN</v>
      </c>
    </row>
    <row r="4987" spans="1:7" x14ac:dyDescent="0.25">
      <c r="A4987" s="112"/>
      <c r="B4987" s="21" t="s">
        <v>11599</v>
      </c>
      <c r="C4987" s="21" t="s">
        <v>11600</v>
      </c>
      <c r="D4987" s="21" t="s">
        <v>11190</v>
      </c>
      <c r="E4987" s="50" t="b">
        <v>1</v>
      </c>
      <c r="F4987" s="72" t="str">
        <f>HYPERLINK("http://nsgreg.nga.mil/genc/view?v=292778&amp;end_month=6&amp;end_day=30&amp;end_year=2019","Gwynedd")</f>
        <v>Gwynedd</v>
      </c>
      <c r="G4987" s="72" t="str">
        <f>HYPERLINK("http://api.nsgreg.nga.mil/geo-division/GENC/6/3-11/GB-GWN","as:GENC:6:3-11:GB-GWN")</f>
        <v>as:GENC:6:3-11:GB-GWN</v>
      </c>
    </row>
    <row r="4988" spans="1:7" x14ac:dyDescent="0.25">
      <c r="A4988" s="112"/>
      <c r="B4988" s="21" t="s">
        <v>11601</v>
      </c>
      <c r="C4988" s="21" t="s">
        <v>11602</v>
      </c>
      <c r="D4988" s="21" t="s">
        <v>11190</v>
      </c>
      <c r="E4988" s="50" t="b">
        <v>1</v>
      </c>
      <c r="F4988" s="72" t="str">
        <f>HYPERLINK("http://nsgreg.nga.mil/genc/view?v=292701&amp;end_month=6&amp;end_day=30&amp;end_year=2019","Isle of Anglesey")</f>
        <v>Isle of Anglesey</v>
      </c>
      <c r="G4988" s="72" t="str">
        <f>HYPERLINK("http://api.nsgreg.nga.mil/geo-division/GENC/6/3-11/GB-AGY","as:GENC:6:3-11:GB-AGY")</f>
        <v>as:GENC:6:3-11:GB-AGY</v>
      </c>
    </row>
    <row r="4989" spans="1:7" x14ac:dyDescent="0.25">
      <c r="A4989" s="112"/>
      <c r="B4989" s="21" t="s">
        <v>11603</v>
      </c>
      <c r="C4989" s="21" t="s">
        <v>11604</v>
      </c>
      <c r="D4989" s="21" t="s">
        <v>11190</v>
      </c>
      <c r="E4989" s="50" t="b">
        <v>1</v>
      </c>
      <c r="F4989" s="72" t="str">
        <f>HYPERLINK("http://nsgreg.nga.mil/genc/view?v=292822&amp;end_month=6&amp;end_day=30&amp;end_year=2019","Merthyr Tydfil")</f>
        <v>Merthyr Tydfil</v>
      </c>
      <c r="G4989" s="72" t="str">
        <f>HYPERLINK("http://api.nsgreg.nga.mil/geo-division/GENC/6/3-11/GB-MTY","as:GENC:6:3-11:GB-MTY")</f>
        <v>as:GENC:6:3-11:GB-MTY</v>
      </c>
    </row>
    <row r="4990" spans="1:7" x14ac:dyDescent="0.25">
      <c r="A4990" s="112"/>
      <c r="B4990" s="21" t="s">
        <v>11605</v>
      </c>
      <c r="C4990" s="21" t="s">
        <v>11606</v>
      </c>
      <c r="D4990" s="21" t="s">
        <v>11190</v>
      </c>
      <c r="E4990" s="50" t="b">
        <v>1</v>
      </c>
      <c r="F4990" s="72" t="str">
        <f>HYPERLINK("http://nsgreg.nga.mil/genc/view?v=292819&amp;end_month=6&amp;end_day=30&amp;end_year=2019","Monmouthshire")</f>
        <v>Monmouthshire</v>
      </c>
      <c r="G4990" s="72" t="str">
        <f>HYPERLINK("http://api.nsgreg.nga.mil/geo-division/GENC/6/3-11/GB-MON","as:GENC:6:3-11:GB-MON")</f>
        <v>as:GENC:6:3-11:GB-MON</v>
      </c>
    </row>
    <row r="4991" spans="1:7" x14ac:dyDescent="0.25">
      <c r="A4991" s="112"/>
      <c r="B4991" s="21" t="s">
        <v>11607</v>
      </c>
      <c r="C4991" s="21" t="s">
        <v>11608</v>
      </c>
      <c r="D4991" s="21" t="s">
        <v>11190</v>
      </c>
      <c r="E4991" s="50" t="b">
        <v>1</v>
      </c>
      <c r="F4991" s="72" t="str">
        <f>HYPERLINK("http://nsgreg.nga.mil/genc/view?v=292836&amp;end_month=6&amp;end_day=30&amp;end_year=2019","Neath Port Talbot")</f>
        <v>Neath Port Talbot</v>
      </c>
      <c r="G4991" s="72" t="str">
        <f>HYPERLINK("http://api.nsgreg.nga.mil/geo-division/GENC/6/3-11/GB-NTL","as:GENC:6:3-11:GB-NTL")</f>
        <v>as:GENC:6:3-11:GB-NTL</v>
      </c>
    </row>
    <row r="4992" spans="1:7" x14ac:dyDescent="0.25">
      <c r="A4992" s="112"/>
      <c r="B4992" s="21" t="s">
        <v>11609</v>
      </c>
      <c r="C4992" s="21" t="s">
        <v>11610</v>
      </c>
      <c r="D4992" s="21" t="s">
        <v>11190</v>
      </c>
      <c r="E4992" s="50" t="b">
        <v>1</v>
      </c>
      <c r="F4992" s="72" t="str">
        <f>HYPERLINK("http://nsgreg.nga.mil/genc/view?v=292840&amp;end_month=6&amp;end_day=30&amp;end_year=2019","Newport")</f>
        <v>Newport</v>
      </c>
      <c r="G4992" s="72" t="str">
        <f>HYPERLINK("http://api.nsgreg.nga.mil/geo-division/GENC/6/3-11/GB-NWP","as:GENC:6:3-11:GB-NWP")</f>
        <v>as:GENC:6:3-11:GB-NWP</v>
      </c>
    </row>
    <row r="4993" spans="1:7" x14ac:dyDescent="0.25">
      <c r="A4993" s="112"/>
      <c r="B4993" s="21" t="s">
        <v>11611</v>
      </c>
      <c r="C4993" s="21" t="s">
        <v>11612</v>
      </c>
      <c r="D4993" s="21" t="s">
        <v>11190</v>
      </c>
      <c r="E4993" s="50" t="b">
        <v>1</v>
      </c>
      <c r="F4993" s="72" t="str">
        <f>HYPERLINK("http://nsgreg.nga.mil/genc/view?v=292845&amp;end_month=6&amp;end_day=30&amp;end_year=2019","Pembrokeshire")</f>
        <v>Pembrokeshire</v>
      </c>
      <c r="G4993" s="72" t="str">
        <f>HYPERLINK("http://api.nsgreg.nga.mil/geo-division/GENC/6/3-11/GB-PEM","as:GENC:6:3-11:GB-PEM")</f>
        <v>as:GENC:6:3-11:GB-PEM</v>
      </c>
    </row>
    <row r="4994" spans="1:7" x14ac:dyDescent="0.25">
      <c r="A4994" s="112"/>
      <c r="B4994" s="21" t="s">
        <v>11613</v>
      </c>
      <c r="C4994" s="21" t="s">
        <v>11614</v>
      </c>
      <c r="D4994" s="21" t="s">
        <v>11190</v>
      </c>
      <c r="E4994" s="50" t="b">
        <v>1</v>
      </c>
      <c r="F4994" s="72" t="str">
        <f>HYPERLINK("http://nsgreg.nga.mil/genc/view?v=292850&amp;end_month=6&amp;end_day=30&amp;end_year=2019","Powys")</f>
        <v>Powys</v>
      </c>
      <c r="G4994" s="72" t="str">
        <f>HYPERLINK("http://api.nsgreg.nga.mil/geo-division/GENC/6/3-11/GB-POW","as:GENC:6:3-11:GB-POW")</f>
        <v>as:GENC:6:3-11:GB-POW</v>
      </c>
    </row>
    <row r="4995" spans="1:7" x14ac:dyDescent="0.25">
      <c r="A4995" s="112"/>
      <c r="B4995" s="21" t="s">
        <v>11615</v>
      </c>
      <c r="C4995" s="21" t="s">
        <v>11616</v>
      </c>
      <c r="D4995" s="21" t="s">
        <v>11190</v>
      </c>
      <c r="E4995" s="50" t="b">
        <v>1</v>
      </c>
      <c r="F4995" s="72" t="str">
        <f>HYPERLINK("http://nsgreg.nga.mil/genc/view?v=292854&amp;end_month=6&amp;end_day=30&amp;end_year=2019","Rhondda Cynon Taff")</f>
        <v>Rhondda Cynon Taff</v>
      </c>
      <c r="G4995" s="72" t="str">
        <f>HYPERLINK("http://api.nsgreg.nga.mil/geo-division/GENC/6/3-11/GB-RCT","as:GENC:6:3-11:GB-RCT")</f>
        <v>as:GENC:6:3-11:GB-RCT</v>
      </c>
    </row>
    <row r="4996" spans="1:7" x14ac:dyDescent="0.25">
      <c r="A4996" s="112"/>
      <c r="B4996" s="21" t="s">
        <v>11617</v>
      </c>
      <c r="C4996" s="21" t="s">
        <v>11618</v>
      </c>
      <c r="D4996" s="21" t="s">
        <v>11190</v>
      </c>
      <c r="E4996" s="50" t="b">
        <v>1</v>
      </c>
      <c r="F4996" s="72" t="str">
        <f>HYPERLINK("http://nsgreg.nga.mil/genc/view?v=292887&amp;end_month=6&amp;end_day=30&amp;end_year=2019","Swansea")</f>
        <v>Swansea</v>
      </c>
      <c r="G4996" s="72" t="str">
        <f>HYPERLINK("http://api.nsgreg.nga.mil/geo-division/GENC/6/3-11/GB-SWA","as:GENC:6:3-11:GB-SWA")</f>
        <v>as:GENC:6:3-11:GB-SWA</v>
      </c>
    </row>
    <row r="4997" spans="1:7" x14ac:dyDescent="0.25">
      <c r="A4997" s="112"/>
      <c r="B4997" s="21" t="s">
        <v>11619</v>
      </c>
      <c r="C4997" s="21" t="s">
        <v>11620</v>
      </c>
      <c r="D4997" s="21" t="s">
        <v>11190</v>
      </c>
      <c r="E4997" s="50" t="b">
        <v>1</v>
      </c>
      <c r="F4997" s="72" t="str">
        <f>HYPERLINK("http://nsgreg.nga.mil/genc/view?v=292894&amp;end_month=6&amp;end_day=30&amp;end_year=2019","Torfaen")</f>
        <v>Torfaen</v>
      </c>
      <c r="G4997" s="72" t="str">
        <f>HYPERLINK("http://api.nsgreg.nga.mil/geo-division/GENC/6/3-11/GB-TOF","as:GENC:6:3-11:GB-TOF")</f>
        <v>as:GENC:6:3-11:GB-TOF</v>
      </c>
    </row>
    <row r="4998" spans="1:7" x14ac:dyDescent="0.25">
      <c r="A4998" s="112"/>
      <c r="B4998" s="21" t="s">
        <v>11621</v>
      </c>
      <c r="C4998" s="21" t="s">
        <v>11622</v>
      </c>
      <c r="D4998" s="21" t="s">
        <v>11190</v>
      </c>
      <c r="E4998" s="50" t="b">
        <v>1</v>
      </c>
      <c r="F4998" s="72" t="str">
        <f>HYPERLINK("http://nsgreg.nga.mil/genc/view?v=292898&amp;end_month=6&amp;end_day=30&amp;end_year=2019","Vale of Glamorgan, The")</f>
        <v>Vale of Glamorgan, The</v>
      </c>
      <c r="G4998" s="72" t="str">
        <f>HYPERLINK("http://api.nsgreg.nga.mil/geo-division/GENC/6/3-11/GB-VGL","as:GENC:6:3-11:GB-VGL")</f>
        <v>as:GENC:6:3-11:GB-VGL</v>
      </c>
    </row>
    <row r="4999" spans="1:7" x14ac:dyDescent="0.25">
      <c r="A4999" s="113"/>
      <c r="B4999" s="47" t="s">
        <v>11623</v>
      </c>
      <c r="C4999" s="47" t="s">
        <v>11624</v>
      </c>
      <c r="D4999" s="47" t="s">
        <v>11190</v>
      </c>
      <c r="E4999" s="51" t="b">
        <v>1</v>
      </c>
      <c r="F4999" s="73" t="str">
        <f>HYPERLINK("http://nsgreg.nga.mil/genc/view?v=292916&amp;end_month=6&amp;end_day=30&amp;end_year=2019","Wrexham")</f>
        <v>Wrexham</v>
      </c>
      <c r="G4999" s="73" t="str">
        <f>HYPERLINK("http://api.nsgreg.nga.mil/geo-division/GENC/6/3-11/GB-WRX","as:GENC:6:3-11:GB-WRX")</f>
        <v>as:GENC:6:3-11:GB-WRX</v>
      </c>
    </row>
    <row r="5000" spans="1:7" x14ac:dyDescent="0.25">
      <c r="A5000" s="111" t="str">
        <f>HYPERLINK("[#]Codes_for_GE_Names!A267:I267","UNITED STATES")</f>
        <v>UNITED STATES</v>
      </c>
      <c r="B5000" s="42" t="s">
        <v>11625</v>
      </c>
      <c r="C5000" s="42" t="s">
        <v>11626</v>
      </c>
      <c r="D5000" s="42" t="s">
        <v>2002</v>
      </c>
      <c r="E5000" s="49" t="b">
        <v>1</v>
      </c>
      <c r="F5000" s="74" t="str">
        <f>HYPERLINK("http://nsgreg.nga.mil/genc/view?v=296332&amp;end_month=6&amp;end_day=30&amp;end_year=2019","Alabama")</f>
        <v>Alabama</v>
      </c>
      <c r="G5000" s="74" t="str">
        <f>HYPERLINK("http://api.nsgreg.nga.mil/geo-division/GENC/6/3-11/US-AL","as:GENC:6:3-11:US-AL")</f>
        <v>as:GENC:6:3-11:US-AL</v>
      </c>
    </row>
    <row r="5001" spans="1:7" x14ac:dyDescent="0.25">
      <c r="A5001" s="112"/>
      <c r="B5001" s="21" t="s">
        <v>11627</v>
      </c>
      <c r="C5001" s="21" t="s">
        <v>11628</v>
      </c>
      <c r="D5001" s="21" t="s">
        <v>2002</v>
      </c>
      <c r="E5001" s="50" t="b">
        <v>1</v>
      </c>
      <c r="F5001" s="72" t="str">
        <f>HYPERLINK("http://nsgreg.nga.mil/genc/view?v=296331&amp;end_month=6&amp;end_day=30&amp;end_year=2019","Alaska")</f>
        <v>Alaska</v>
      </c>
      <c r="G5001" s="72" t="str">
        <f>HYPERLINK("http://api.nsgreg.nga.mil/geo-division/GENC/6/3-11/US-AK","as:GENC:6:3-11:US-AK")</f>
        <v>as:GENC:6:3-11:US-AK</v>
      </c>
    </row>
    <row r="5002" spans="1:7" x14ac:dyDescent="0.25">
      <c r="A5002" s="112"/>
      <c r="B5002" s="21" t="s">
        <v>11629</v>
      </c>
      <c r="C5002" s="21" t="s">
        <v>11630</v>
      </c>
      <c r="D5002" s="21" t="s">
        <v>2002</v>
      </c>
      <c r="E5002" s="50" t="b">
        <v>1</v>
      </c>
      <c r="F5002" s="72" t="str">
        <f>HYPERLINK("http://nsgreg.nga.mil/genc/view?v=296335&amp;end_month=6&amp;end_day=30&amp;end_year=2019","Arizona")</f>
        <v>Arizona</v>
      </c>
      <c r="G5002" s="72" t="str">
        <f>HYPERLINK("http://api.nsgreg.nga.mil/geo-division/GENC/6/3-11/US-AZ","as:GENC:6:3-11:US-AZ")</f>
        <v>as:GENC:6:3-11:US-AZ</v>
      </c>
    </row>
    <row r="5003" spans="1:7" x14ac:dyDescent="0.25">
      <c r="A5003" s="112"/>
      <c r="B5003" s="21" t="s">
        <v>11631</v>
      </c>
      <c r="C5003" s="21" t="s">
        <v>11632</v>
      </c>
      <c r="D5003" s="21" t="s">
        <v>2002</v>
      </c>
      <c r="E5003" s="50" t="b">
        <v>1</v>
      </c>
      <c r="F5003" s="72" t="str">
        <f>HYPERLINK("http://nsgreg.nga.mil/genc/view?v=296333&amp;end_month=6&amp;end_day=30&amp;end_year=2019","Arkansas")</f>
        <v>Arkansas</v>
      </c>
      <c r="G5003" s="72" t="str">
        <f>HYPERLINK("http://api.nsgreg.nga.mil/geo-division/GENC/6/3-11/US-AR","as:GENC:6:3-11:US-AR")</f>
        <v>as:GENC:6:3-11:US-AR</v>
      </c>
    </row>
    <row r="5004" spans="1:7" x14ac:dyDescent="0.25">
      <c r="A5004" s="112"/>
      <c r="B5004" s="21" t="s">
        <v>11633</v>
      </c>
      <c r="C5004" s="21" t="s">
        <v>11634</v>
      </c>
      <c r="D5004" s="21" t="s">
        <v>2002</v>
      </c>
      <c r="E5004" s="50" t="b">
        <v>1</v>
      </c>
      <c r="F5004" s="72" t="str">
        <f>HYPERLINK("http://nsgreg.nga.mil/genc/view?v=296336&amp;end_month=6&amp;end_day=30&amp;end_year=2019","California")</f>
        <v>California</v>
      </c>
      <c r="G5004" s="72" t="str">
        <f>HYPERLINK("http://api.nsgreg.nga.mil/geo-division/GENC/6/3-11/US-CA","as:GENC:6:3-11:US-CA")</f>
        <v>as:GENC:6:3-11:US-CA</v>
      </c>
    </row>
    <row r="5005" spans="1:7" x14ac:dyDescent="0.25">
      <c r="A5005" s="112"/>
      <c r="B5005" s="21" t="s">
        <v>11635</v>
      </c>
      <c r="C5005" s="21" t="s">
        <v>11636</v>
      </c>
      <c r="D5005" s="21" t="s">
        <v>2002</v>
      </c>
      <c r="E5005" s="50" t="b">
        <v>1</v>
      </c>
      <c r="F5005" s="72" t="str">
        <f>HYPERLINK("http://nsgreg.nga.mil/genc/view?v=296337&amp;end_month=6&amp;end_day=30&amp;end_year=2019","Colorado")</f>
        <v>Colorado</v>
      </c>
      <c r="G5005" s="72" t="str">
        <f>HYPERLINK("http://api.nsgreg.nga.mil/geo-division/GENC/6/3-11/US-CO","as:GENC:6:3-11:US-CO")</f>
        <v>as:GENC:6:3-11:US-CO</v>
      </c>
    </row>
    <row r="5006" spans="1:7" x14ac:dyDescent="0.25">
      <c r="A5006" s="112"/>
      <c r="B5006" s="21" t="s">
        <v>11637</v>
      </c>
      <c r="C5006" s="21" t="s">
        <v>11638</v>
      </c>
      <c r="D5006" s="21" t="s">
        <v>2002</v>
      </c>
      <c r="E5006" s="50" t="b">
        <v>1</v>
      </c>
      <c r="F5006" s="72" t="str">
        <f>HYPERLINK("http://nsgreg.nga.mil/genc/view?v=296338&amp;end_month=6&amp;end_day=30&amp;end_year=2019","Connecticut")</f>
        <v>Connecticut</v>
      </c>
      <c r="G5006" s="72" t="str">
        <f>HYPERLINK("http://api.nsgreg.nga.mil/geo-division/GENC/6/3-11/US-CT","as:GENC:6:3-11:US-CT")</f>
        <v>as:GENC:6:3-11:US-CT</v>
      </c>
    </row>
    <row r="5007" spans="1:7" x14ac:dyDescent="0.25">
      <c r="A5007" s="112"/>
      <c r="B5007" s="21" t="s">
        <v>11639</v>
      </c>
      <c r="C5007" s="21" t="s">
        <v>11640</v>
      </c>
      <c r="D5007" s="21" t="s">
        <v>2002</v>
      </c>
      <c r="E5007" s="50" t="b">
        <v>1</v>
      </c>
      <c r="F5007" s="72" t="str">
        <f>HYPERLINK("http://nsgreg.nga.mil/genc/view?v=296340&amp;end_month=6&amp;end_day=30&amp;end_year=2019","Delaware")</f>
        <v>Delaware</v>
      </c>
      <c r="G5007" s="72" t="str">
        <f>HYPERLINK("http://api.nsgreg.nga.mil/geo-division/GENC/6/3-11/US-DE","as:GENC:6:3-11:US-DE")</f>
        <v>as:GENC:6:3-11:US-DE</v>
      </c>
    </row>
    <row r="5008" spans="1:7" x14ac:dyDescent="0.25">
      <c r="A5008" s="112"/>
      <c r="B5008" s="21" t="s">
        <v>11641</v>
      </c>
      <c r="C5008" s="21" t="s">
        <v>11642</v>
      </c>
      <c r="D5008" s="21" t="s">
        <v>2035</v>
      </c>
      <c r="E5008" s="50" t="b">
        <v>1</v>
      </c>
      <c r="F5008" s="72" t="str">
        <f>HYPERLINK("http://nsgreg.nga.mil/genc/view?v=296339&amp;end_month=6&amp;end_day=30&amp;end_year=2019","District of Columbia")</f>
        <v>District of Columbia</v>
      </c>
      <c r="G5008" s="72" t="str">
        <f>HYPERLINK("http://api.nsgreg.nga.mil/geo-division/GENC/6/3-11/US-DC","as:GENC:6:3-11:US-DC")</f>
        <v>as:GENC:6:3-11:US-DC</v>
      </c>
    </row>
    <row r="5009" spans="1:7" x14ac:dyDescent="0.25">
      <c r="A5009" s="112"/>
      <c r="B5009" s="21" t="s">
        <v>11643</v>
      </c>
      <c r="C5009" s="21" t="s">
        <v>11644</v>
      </c>
      <c r="D5009" s="21" t="s">
        <v>2002</v>
      </c>
      <c r="E5009" s="50" t="b">
        <v>1</v>
      </c>
      <c r="F5009" s="72" t="str">
        <f>HYPERLINK("http://nsgreg.nga.mil/genc/view?v=296341&amp;end_month=6&amp;end_day=30&amp;end_year=2019","Florida")</f>
        <v>Florida</v>
      </c>
      <c r="G5009" s="72" t="str">
        <f>HYPERLINK("http://api.nsgreg.nga.mil/geo-division/GENC/6/3-11/US-FL","as:GENC:6:3-11:US-FL")</f>
        <v>as:GENC:6:3-11:US-FL</v>
      </c>
    </row>
    <row r="5010" spans="1:7" x14ac:dyDescent="0.25">
      <c r="A5010" s="112"/>
      <c r="B5010" s="21" t="s">
        <v>11645</v>
      </c>
      <c r="C5010" s="21" t="s">
        <v>630</v>
      </c>
      <c r="D5010" s="21" t="s">
        <v>2002</v>
      </c>
      <c r="E5010" s="50" t="b">
        <v>1</v>
      </c>
      <c r="F5010" s="72" t="str">
        <f>HYPERLINK("http://nsgreg.nga.mil/genc/view?v=296342&amp;end_month=6&amp;end_day=30&amp;end_year=2019","Georgia")</f>
        <v>Georgia</v>
      </c>
      <c r="G5010" s="72" t="str">
        <f>HYPERLINK("http://api.nsgreg.nga.mil/geo-division/GENC/6/3-11/US-GA","as:GENC:6:3-11:US-GA")</f>
        <v>as:GENC:6:3-11:US-GA</v>
      </c>
    </row>
    <row r="5011" spans="1:7" x14ac:dyDescent="0.25">
      <c r="A5011" s="112"/>
      <c r="B5011" s="21" t="s">
        <v>11646</v>
      </c>
      <c r="C5011" s="21" t="s">
        <v>11647</v>
      </c>
      <c r="D5011" s="21" t="s">
        <v>2002</v>
      </c>
      <c r="E5011" s="50" t="b">
        <v>1</v>
      </c>
      <c r="F5011" s="72" t="str">
        <f>HYPERLINK("http://nsgreg.nga.mil/genc/view?v=296344&amp;end_month=6&amp;end_day=30&amp;end_year=2019","Hawaii")</f>
        <v>Hawaii</v>
      </c>
      <c r="G5011" s="72" t="str">
        <f>HYPERLINK("http://api.nsgreg.nga.mil/geo-division/GENC/6/3-11/US-HI","as:GENC:6:3-11:US-HI")</f>
        <v>as:GENC:6:3-11:US-HI</v>
      </c>
    </row>
    <row r="5012" spans="1:7" x14ac:dyDescent="0.25">
      <c r="A5012" s="112"/>
      <c r="B5012" s="21" t="s">
        <v>11648</v>
      </c>
      <c r="C5012" s="21" t="s">
        <v>11649</v>
      </c>
      <c r="D5012" s="21" t="s">
        <v>2002</v>
      </c>
      <c r="E5012" s="50" t="b">
        <v>1</v>
      </c>
      <c r="F5012" s="72" t="str">
        <f>HYPERLINK("http://nsgreg.nga.mil/genc/view?v=296346&amp;end_month=6&amp;end_day=30&amp;end_year=2019","Idaho")</f>
        <v>Idaho</v>
      </c>
      <c r="G5012" s="72" t="str">
        <f>HYPERLINK("http://api.nsgreg.nga.mil/geo-division/GENC/6/3-11/US-ID","as:GENC:6:3-11:US-ID")</f>
        <v>as:GENC:6:3-11:US-ID</v>
      </c>
    </row>
    <row r="5013" spans="1:7" x14ac:dyDescent="0.25">
      <c r="A5013" s="112"/>
      <c r="B5013" s="21" t="s">
        <v>11650</v>
      </c>
      <c r="C5013" s="21" t="s">
        <v>11651</v>
      </c>
      <c r="D5013" s="21" t="s">
        <v>2002</v>
      </c>
      <c r="E5013" s="50" t="b">
        <v>1</v>
      </c>
      <c r="F5013" s="72" t="str">
        <f>HYPERLINK("http://nsgreg.nga.mil/genc/view?v=296347&amp;end_month=6&amp;end_day=30&amp;end_year=2019","Illinois")</f>
        <v>Illinois</v>
      </c>
      <c r="G5013" s="72" t="str">
        <f>HYPERLINK("http://api.nsgreg.nga.mil/geo-division/GENC/6/3-11/US-IL","as:GENC:6:3-11:US-IL")</f>
        <v>as:GENC:6:3-11:US-IL</v>
      </c>
    </row>
    <row r="5014" spans="1:7" x14ac:dyDescent="0.25">
      <c r="A5014" s="112"/>
      <c r="B5014" s="21" t="s">
        <v>11652</v>
      </c>
      <c r="C5014" s="21" t="s">
        <v>11653</v>
      </c>
      <c r="D5014" s="21" t="s">
        <v>2002</v>
      </c>
      <c r="E5014" s="50" t="b">
        <v>1</v>
      </c>
      <c r="F5014" s="72" t="str">
        <f>HYPERLINK("http://nsgreg.nga.mil/genc/view?v=296348&amp;end_month=6&amp;end_day=30&amp;end_year=2019","Indiana")</f>
        <v>Indiana</v>
      </c>
      <c r="G5014" s="72" t="str">
        <f>HYPERLINK("http://api.nsgreg.nga.mil/geo-division/GENC/6/3-11/US-IN","as:GENC:6:3-11:US-IN")</f>
        <v>as:GENC:6:3-11:US-IN</v>
      </c>
    </row>
    <row r="5015" spans="1:7" x14ac:dyDescent="0.25">
      <c r="A5015" s="112"/>
      <c r="B5015" s="21" t="s">
        <v>11654</v>
      </c>
      <c r="C5015" s="21" t="s">
        <v>11655</v>
      </c>
      <c r="D5015" s="21" t="s">
        <v>2002</v>
      </c>
      <c r="E5015" s="50" t="b">
        <v>1</v>
      </c>
      <c r="F5015" s="72" t="str">
        <f>HYPERLINK("http://nsgreg.nga.mil/genc/view?v=296345&amp;end_month=6&amp;end_day=30&amp;end_year=2019","Iowa")</f>
        <v>Iowa</v>
      </c>
      <c r="G5015" s="72" t="str">
        <f>HYPERLINK("http://api.nsgreg.nga.mil/geo-division/GENC/6/3-11/US-IA","as:GENC:6:3-11:US-IA")</f>
        <v>as:GENC:6:3-11:US-IA</v>
      </c>
    </row>
    <row r="5016" spans="1:7" x14ac:dyDescent="0.25">
      <c r="A5016" s="112"/>
      <c r="B5016" s="21" t="s">
        <v>11656</v>
      </c>
      <c r="C5016" s="21" t="s">
        <v>11657</v>
      </c>
      <c r="D5016" s="21" t="s">
        <v>2002</v>
      </c>
      <c r="E5016" s="50" t="b">
        <v>1</v>
      </c>
      <c r="F5016" s="72" t="str">
        <f>HYPERLINK("http://nsgreg.nga.mil/genc/view?v=296349&amp;end_month=6&amp;end_day=30&amp;end_year=2019","Kansas")</f>
        <v>Kansas</v>
      </c>
      <c r="G5016" s="72" t="str">
        <f>HYPERLINK("http://api.nsgreg.nga.mil/geo-division/GENC/6/3-11/US-KS","as:GENC:6:3-11:US-KS")</f>
        <v>as:GENC:6:3-11:US-KS</v>
      </c>
    </row>
    <row r="5017" spans="1:7" x14ac:dyDescent="0.25">
      <c r="A5017" s="112"/>
      <c r="B5017" s="21" t="s">
        <v>11658</v>
      </c>
      <c r="C5017" s="21" t="s">
        <v>11659</v>
      </c>
      <c r="D5017" s="21" t="s">
        <v>2002</v>
      </c>
      <c r="E5017" s="50" t="b">
        <v>1</v>
      </c>
      <c r="F5017" s="72" t="str">
        <f>HYPERLINK("http://nsgreg.nga.mil/genc/view?v=296350&amp;end_month=6&amp;end_day=30&amp;end_year=2019","Kentucky")</f>
        <v>Kentucky</v>
      </c>
      <c r="G5017" s="72" t="str">
        <f>HYPERLINK("http://api.nsgreg.nga.mil/geo-division/GENC/6/3-11/US-KY","as:GENC:6:3-11:US-KY")</f>
        <v>as:GENC:6:3-11:US-KY</v>
      </c>
    </row>
    <row r="5018" spans="1:7" x14ac:dyDescent="0.25">
      <c r="A5018" s="112"/>
      <c r="B5018" s="21" t="s">
        <v>11660</v>
      </c>
      <c r="C5018" s="21" t="s">
        <v>11661</v>
      </c>
      <c r="D5018" s="21" t="s">
        <v>2002</v>
      </c>
      <c r="E5018" s="50" t="b">
        <v>1</v>
      </c>
      <c r="F5018" s="72" t="str">
        <f>HYPERLINK("http://nsgreg.nga.mil/genc/view?v=296351&amp;end_month=6&amp;end_day=30&amp;end_year=2019","Louisiana")</f>
        <v>Louisiana</v>
      </c>
      <c r="G5018" s="72" t="str">
        <f>HYPERLINK("http://api.nsgreg.nga.mil/geo-division/GENC/6/3-11/US-LA","as:GENC:6:3-11:US-LA")</f>
        <v>as:GENC:6:3-11:US-LA</v>
      </c>
    </row>
    <row r="5019" spans="1:7" x14ac:dyDescent="0.25">
      <c r="A5019" s="112"/>
      <c r="B5019" s="21" t="s">
        <v>11662</v>
      </c>
      <c r="C5019" s="21" t="s">
        <v>11663</v>
      </c>
      <c r="D5019" s="21" t="s">
        <v>2002</v>
      </c>
      <c r="E5019" s="50" t="b">
        <v>1</v>
      </c>
      <c r="F5019" s="72" t="str">
        <f>HYPERLINK("http://nsgreg.nga.mil/genc/view?v=296354&amp;end_month=6&amp;end_day=30&amp;end_year=2019","Maine")</f>
        <v>Maine</v>
      </c>
      <c r="G5019" s="72" t="str">
        <f>HYPERLINK("http://api.nsgreg.nga.mil/geo-division/GENC/6/3-11/US-ME","as:GENC:6:3-11:US-ME")</f>
        <v>as:GENC:6:3-11:US-ME</v>
      </c>
    </row>
    <row r="5020" spans="1:7" x14ac:dyDescent="0.25">
      <c r="A5020" s="112"/>
      <c r="B5020" s="21" t="s">
        <v>11664</v>
      </c>
      <c r="C5020" s="21" t="s">
        <v>6366</v>
      </c>
      <c r="D5020" s="21" t="s">
        <v>2002</v>
      </c>
      <c r="E5020" s="50" t="b">
        <v>1</v>
      </c>
      <c r="F5020" s="72" t="str">
        <f>HYPERLINK("http://nsgreg.nga.mil/genc/view?v=296353&amp;end_month=6&amp;end_day=30&amp;end_year=2019","Maryland")</f>
        <v>Maryland</v>
      </c>
      <c r="G5020" s="72" t="str">
        <f>HYPERLINK("http://api.nsgreg.nga.mil/geo-division/GENC/6/3-11/US-MD","as:GENC:6:3-11:US-MD")</f>
        <v>as:GENC:6:3-11:US-MD</v>
      </c>
    </row>
    <row r="5021" spans="1:7" x14ac:dyDescent="0.25">
      <c r="A5021" s="112"/>
      <c r="B5021" s="21" t="s">
        <v>11665</v>
      </c>
      <c r="C5021" s="21" t="s">
        <v>11666</v>
      </c>
      <c r="D5021" s="21" t="s">
        <v>2002</v>
      </c>
      <c r="E5021" s="50" t="b">
        <v>1</v>
      </c>
      <c r="F5021" s="72" t="str">
        <f>HYPERLINK("http://nsgreg.nga.mil/genc/view?v=296352&amp;end_month=6&amp;end_day=30&amp;end_year=2019","Massachusetts")</f>
        <v>Massachusetts</v>
      </c>
      <c r="G5021" s="72" t="str">
        <f>HYPERLINK("http://api.nsgreg.nga.mil/geo-division/GENC/6/3-11/US-MA","as:GENC:6:3-11:US-MA")</f>
        <v>as:GENC:6:3-11:US-MA</v>
      </c>
    </row>
    <row r="5022" spans="1:7" x14ac:dyDescent="0.25">
      <c r="A5022" s="112"/>
      <c r="B5022" s="21" t="s">
        <v>11667</v>
      </c>
      <c r="C5022" s="21" t="s">
        <v>11668</v>
      </c>
      <c r="D5022" s="21" t="s">
        <v>2002</v>
      </c>
      <c r="E5022" s="50" t="b">
        <v>1</v>
      </c>
      <c r="F5022" s="72" t="str">
        <f>HYPERLINK("http://nsgreg.nga.mil/genc/view?v=296355&amp;end_month=6&amp;end_day=30&amp;end_year=2019","Michigan")</f>
        <v>Michigan</v>
      </c>
      <c r="G5022" s="72" t="str">
        <f>HYPERLINK("http://api.nsgreg.nga.mil/geo-division/GENC/6/3-11/US-MI","as:GENC:6:3-11:US-MI")</f>
        <v>as:GENC:6:3-11:US-MI</v>
      </c>
    </row>
    <row r="5023" spans="1:7" x14ac:dyDescent="0.25">
      <c r="A5023" s="112"/>
      <c r="B5023" s="21" t="s">
        <v>11669</v>
      </c>
      <c r="C5023" s="21" t="s">
        <v>11670</v>
      </c>
      <c r="D5023" s="21" t="s">
        <v>2002</v>
      </c>
      <c r="E5023" s="50" t="b">
        <v>1</v>
      </c>
      <c r="F5023" s="72" t="str">
        <f>HYPERLINK("http://nsgreg.nga.mil/genc/view?v=296356&amp;end_month=6&amp;end_day=30&amp;end_year=2019","Minnesota")</f>
        <v>Minnesota</v>
      </c>
      <c r="G5023" s="72" t="str">
        <f>HYPERLINK("http://api.nsgreg.nga.mil/geo-division/GENC/6/3-11/US-MN","as:GENC:6:3-11:US-MN")</f>
        <v>as:GENC:6:3-11:US-MN</v>
      </c>
    </row>
    <row r="5024" spans="1:7" x14ac:dyDescent="0.25">
      <c r="A5024" s="112"/>
      <c r="B5024" s="21" t="s">
        <v>11671</v>
      </c>
      <c r="C5024" s="21" t="s">
        <v>11672</v>
      </c>
      <c r="D5024" s="21" t="s">
        <v>2002</v>
      </c>
      <c r="E5024" s="50" t="b">
        <v>1</v>
      </c>
      <c r="F5024" s="72" t="str">
        <f>HYPERLINK("http://nsgreg.nga.mil/genc/view?v=296359&amp;end_month=6&amp;end_day=30&amp;end_year=2019","Mississippi")</f>
        <v>Mississippi</v>
      </c>
      <c r="G5024" s="72" t="str">
        <f>HYPERLINK("http://api.nsgreg.nga.mil/geo-division/GENC/6/3-11/US-MS","as:GENC:6:3-11:US-MS")</f>
        <v>as:GENC:6:3-11:US-MS</v>
      </c>
    </row>
    <row r="5025" spans="1:7" x14ac:dyDescent="0.25">
      <c r="A5025" s="112"/>
      <c r="B5025" s="21" t="s">
        <v>11673</v>
      </c>
      <c r="C5025" s="21" t="s">
        <v>11674</v>
      </c>
      <c r="D5025" s="21" t="s">
        <v>2002</v>
      </c>
      <c r="E5025" s="50" t="b">
        <v>1</v>
      </c>
      <c r="F5025" s="72" t="str">
        <f>HYPERLINK("http://nsgreg.nga.mil/genc/view?v=296357&amp;end_month=6&amp;end_day=30&amp;end_year=2019","Missouri")</f>
        <v>Missouri</v>
      </c>
      <c r="G5025" s="72" t="str">
        <f>HYPERLINK("http://api.nsgreg.nga.mil/geo-division/GENC/6/3-11/US-MO","as:GENC:6:3-11:US-MO")</f>
        <v>as:GENC:6:3-11:US-MO</v>
      </c>
    </row>
    <row r="5026" spans="1:7" x14ac:dyDescent="0.25">
      <c r="A5026" s="112"/>
      <c r="B5026" s="21" t="s">
        <v>11675</v>
      </c>
      <c r="C5026" s="21" t="s">
        <v>2707</v>
      </c>
      <c r="D5026" s="21" t="s">
        <v>2002</v>
      </c>
      <c r="E5026" s="50" t="b">
        <v>1</v>
      </c>
      <c r="F5026" s="72" t="str">
        <f>HYPERLINK("http://nsgreg.nga.mil/genc/view?v=296360&amp;end_month=6&amp;end_day=30&amp;end_year=2019","Montana")</f>
        <v>Montana</v>
      </c>
      <c r="G5026" s="72" t="str">
        <f>HYPERLINK("http://api.nsgreg.nga.mil/geo-division/GENC/6/3-11/US-MT","as:GENC:6:3-11:US-MT")</f>
        <v>as:GENC:6:3-11:US-MT</v>
      </c>
    </row>
    <row r="5027" spans="1:7" x14ac:dyDescent="0.25">
      <c r="A5027" s="112"/>
      <c r="B5027" s="21" t="s">
        <v>11676</v>
      </c>
      <c r="C5027" s="21" t="s">
        <v>11677</v>
      </c>
      <c r="D5027" s="21" t="s">
        <v>2002</v>
      </c>
      <c r="E5027" s="50" t="b">
        <v>1</v>
      </c>
      <c r="F5027" s="72" t="str">
        <f>HYPERLINK("http://nsgreg.nga.mil/genc/view?v=296363&amp;end_month=6&amp;end_day=30&amp;end_year=2019","Nebraska")</f>
        <v>Nebraska</v>
      </c>
      <c r="G5027" s="72" t="str">
        <f>HYPERLINK("http://api.nsgreg.nga.mil/geo-division/GENC/6/3-11/US-NE","as:GENC:6:3-11:US-NE")</f>
        <v>as:GENC:6:3-11:US-NE</v>
      </c>
    </row>
    <row r="5028" spans="1:7" x14ac:dyDescent="0.25">
      <c r="A5028" s="112"/>
      <c r="B5028" s="21" t="s">
        <v>11678</v>
      </c>
      <c r="C5028" s="21" t="s">
        <v>11679</v>
      </c>
      <c r="D5028" s="21" t="s">
        <v>2002</v>
      </c>
      <c r="E5028" s="50" t="b">
        <v>1</v>
      </c>
      <c r="F5028" s="72" t="str">
        <f>HYPERLINK("http://nsgreg.nga.mil/genc/view?v=296367&amp;end_month=6&amp;end_day=30&amp;end_year=2019","Nevada")</f>
        <v>Nevada</v>
      </c>
      <c r="G5028" s="72" t="str">
        <f>HYPERLINK("http://api.nsgreg.nga.mil/geo-division/GENC/6/3-11/US-NV","as:GENC:6:3-11:US-NV")</f>
        <v>as:GENC:6:3-11:US-NV</v>
      </c>
    </row>
    <row r="5029" spans="1:7" x14ac:dyDescent="0.25">
      <c r="A5029" s="112"/>
      <c r="B5029" s="21" t="s">
        <v>11680</v>
      </c>
      <c r="C5029" s="21" t="s">
        <v>11681</v>
      </c>
      <c r="D5029" s="21" t="s">
        <v>2002</v>
      </c>
      <c r="E5029" s="50" t="b">
        <v>1</v>
      </c>
      <c r="F5029" s="72" t="str">
        <f>HYPERLINK("http://nsgreg.nga.mil/genc/view?v=296364&amp;end_month=6&amp;end_day=30&amp;end_year=2019","New Hampshire")</f>
        <v>New Hampshire</v>
      </c>
      <c r="G5029" s="72" t="str">
        <f>HYPERLINK("http://api.nsgreg.nga.mil/geo-division/GENC/6/3-11/US-NH","as:GENC:6:3-11:US-NH")</f>
        <v>as:GENC:6:3-11:US-NH</v>
      </c>
    </row>
    <row r="5030" spans="1:7" x14ac:dyDescent="0.25">
      <c r="A5030" s="112"/>
      <c r="B5030" s="21" t="s">
        <v>11682</v>
      </c>
      <c r="C5030" s="21" t="s">
        <v>11683</v>
      </c>
      <c r="D5030" s="21" t="s">
        <v>2002</v>
      </c>
      <c r="E5030" s="50" t="b">
        <v>1</v>
      </c>
      <c r="F5030" s="72" t="str">
        <f>HYPERLINK("http://nsgreg.nga.mil/genc/view?v=296365&amp;end_month=6&amp;end_day=30&amp;end_year=2019","New Jersey")</f>
        <v>New Jersey</v>
      </c>
      <c r="G5030" s="72" t="str">
        <f>HYPERLINK("http://api.nsgreg.nga.mil/geo-division/GENC/6/3-11/US-NJ","as:GENC:6:3-11:US-NJ")</f>
        <v>as:GENC:6:3-11:US-NJ</v>
      </c>
    </row>
    <row r="5031" spans="1:7" x14ac:dyDescent="0.25">
      <c r="A5031" s="112"/>
      <c r="B5031" s="21" t="s">
        <v>11684</v>
      </c>
      <c r="C5031" s="21" t="s">
        <v>11685</v>
      </c>
      <c r="D5031" s="21" t="s">
        <v>2002</v>
      </c>
      <c r="E5031" s="50" t="b">
        <v>1</v>
      </c>
      <c r="F5031" s="72" t="str">
        <f>HYPERLINK("http://nsgreg.nga.mil/genc/view?v=296366&amp;end_month=6&amp;end_day=30&amp;end_year=2019","New Mexico")</f>
        <v>New Mexico</v>
      </c>
      <c r="G5031" s="72" t="str">
        <f>HYPERLINK("http://api.nsgreg.nga.mil/geo-division/GENC/6/3-11/US-NM","as:GENC:6:3-11:US-NM")</f>
        <v>as:GENC:6:3-11:US-NM</v>
      </c>
    </row>
    <row r="5032" spans="1:7" x14ac:dyDescent="0.25">
      <c r="A5032" s="112"/>
      <c r="B5032" s="21" t="s">
        <v>11686</v>
      </c>
      <c r="C5032" s="21" t="s">
        <v>11687</v>
      </c>
      <c r="D5032" s="21" t="s">
        <v>2002</v>
      </c>
      <c r="E5032" s="50" t="b">
        <v>1</v>
      </c>
      <c r="F5032" s="72" t="str">
        <f>HYPERLINK("http://nsgreg.nga.mil/genc/view?v=296368&amp;end_month=6&amp;end_day=30&amp;end_year=2019","New York")</f>
        <v>New York</v>
      </c>
      <c r="G5032" s="72" t="str">
        <f>HYPERLINK("http://api.nsgreg.nga.mil/geo-division/GENC/6/3-11/US-NY","as:GENC:6:3-11:US-NY")</f>
        <v>as:GENC:6:3-11:US-NY</v>
      </c>
    </row>
    <row r="5033" spans="1:7" x14ac:dyDescent="0.25">
      <c r="A5033" s="112"/>
      <c r="B5033" s="21" t="s">
        <v>11688</v>
      </c>
      <c r="C5033" s="21" t="s">
        <v>11689</v>
      </c>
      <c r="D5033" s="21" t="s">
        <v>2002</v>
      </c>
      <c r="E5033" s="50" t="b">
        <v>1</v>
      </c>
      <c r="F5033" s="72" t="str">
        <f>HYPERLINK("http://nsgreg.nga.mil/genc/view?v=296361&amp;end_month=6&amp;end_day=30&amp;end_year=2019","North Carolina")</f>
        <v>North Carolina</v>
      </c>
      <c r="G5033" s="72" t="str">
        <f>HYPERLINK("http://api.nsgreg.nga.mil/geo-division/GENC/6/3-11/US-NC","as:GENC:6:3-11:US-NC")</f>
        <v>as:GENC:6:3-11:US-NC</v>
      </c>
    </row>
    <row r="5034" spans="1:7" x14ac:dyDescent="0.25">
      <c r="A5034" s="112"/>
      <c r="B5034" s="21" t="s">
        <v>11690</v>
      </c>
      <c r="C5034" s="21" t="s">
        <v>11691</v>
      </c>
      <c r="D5034" s="21" t="s">
        <v>2002</v>
      </c>
      <c r="E5034" s="50" t="b">
        <v>1</v>
      </c>
      <c r="F5034" s="72" t="str">
        <f>HYPERLINK("http://nsgreg.nga.mil/genc/view?v=296362&amp;end_month=6&amp;end_day=30&amp;end_year=2019","North Dakota")</f>
        <v>North Dakota</v>
      </c>
      <c r="G5034" s="72" t="str">
        <f>HYPERLINK("http://api.nsgreg.nga.mil/geo-division/GENC/6/3-11/US-ND","as:GENC:6:3-11:US-ND")</f>
        <v>as:GENC:6:3-11:US-ND</v>
      </c>
    </row>
    <row r="5035" spans="1:7" x14ac:dyDescent="0.25">
      <c r="A5035" s="112"/>
      <c r="B5035" s="21" t="s">
        <v>11692</v>
      </c>
      <c r="C5035" s="21" t="s">
        <v>11693</v>
      </c>
      <c r="D5035" s="21" t="s">
        <v>2002</v>
      </c>
      <c r="E5035" s="50" t="b">
        <v>1</v>
      </c>
      <c r="F5035" s="72" t="str">
        <f>HYPERLINK("http://nsgreg.nga.mil/genc/view?v=296369&amp;end_month=6&amp;end_day=30&amp;end_year=2019","Ohio")</f>
        <v>Ohio</v>
      </c>
      <c r="G5035" s="72" t="str">
        <f>HYPERLINK("http://api.nsgreg.nga.mil/geo-division/GENC/6/3-11/US-OH","as:GENC:6:3-11:US-OH")</f>
        <v>as:GENC:6:3-11:US-OH</v>
      </c>
    </row>
    <row r="5036" spans="1:7" x14ac:dyDescent="0.25">
      <c r="A5036" s="112"/>
      <c r="B5036" s="21" t="s">
        <v>11694</v>
      </c>
      <c r="C5036" s="21" t="s">
        <v>11695</v>
      </c>
      <c r="D5036" s="21" t="s">
        <v>2002</v>
      </c>
      <c r="E5036" s="50" t="b">
        <v>1</v>
      </c>
      <c r="F5036" s="72" t="str">
        <f>HYPERLINK("http://nsgreg.nga.mil/genc/view?v=296370&amp;end_month=6&amp;end_day=30&amp;end_year=2019","Oklahoma")</f>
        <v>Oklahoma</v>
      </c>
      <c r="G5036" s="72" t="str">
        <f>HYPERLINK("http://api.nsgreg.nga.mil/geo-division/GENC/6/3-11/US-OK","as:GENC:6:3-11:US-OK")</f>
        <v>as:GENC:6:3-11:US-OK</v>
      </c>
    </row>
    <row r="5037" spans="1:7" x14ac:dyDescent="0.25">
      <c r="A5037" s="112"/>
      <c r="B5037" s="21" t="s">
        <v>11696</v>
      </c>
      <c r="C5037" s="21" t="s">
        <v>11697</v>
      </c>
      <c r="D5037" s="21" t="s">
        <v>2002</v>
      </c>
      <c r="E5037" s="50" t="b">
        <v>1</v>
      </c>
      <c r="F5037" s="72" t="str">
        <f>HYPERLINK("http://nsgreg.nga.mil/genc/view?v=296371&amp;end_month=6&amp;end_day=30&amp;end_year=2019","Oregon")</f>
        <v>Oregon</v>
      </c>
      <c r="G5037" s="72" t="str">
        <f>HYPERLINK("http://api.nsgreg.nga.mil/geo-division/GENC/6/3-11/US-OR","as:GENC:6:3-11:US-OR")</f>
        <v>as:GENC:6:3-11:US-OR</v>
      </c>
    </row>
    <row r="5038" spans="1:7" x14ac:dyDescent="0.25">
      <c r="A5038" s="112"/>
      <c r="B5038" s="21" t="s">
        <v>11698</v>
      </c>
      <c r="C5038" s="21" t="s">
        <v>11699</v>
      </c>
      <c r="D5038" s="21" t="s">
        <v>2002</v>
      </c>
      <c r="E5038" s="50" t="b">
        <v>1</v>
      </c>
      <c r="F5038" s="72" t="str">
        <f>HYPERLINK("http://nsgreg.nga.mil/genc/view?v=296372&amp;end_month=6&amp;end_day=30&amp;end_year=2019","Pennsylvania")</f>
        <v>Pennsylvania</v>
      </c>
      <c r="G5038" s="72" t="str">
        <f>HYPERLINK("http://api.nsgreg.nga.mil/geo-division/GENC/6/3-11/US-PA","as:GENC:6:3-11:US-PA")</f>
        <v>as:GENC:6:3-11:US-PA</v>
      </c>
    </row>
    <row r="5039" spans="1:7" x14ac:dyDescent="0.25">
      <c r="A5039" s="112"/>
      <c r="B5039" s="21" t="s">
        <v>11700</v>
      </c>
      <c r="C5039" s="21" t="s">
        <v>11701</v>
      </c>
      <c r="D5039" s="21" t="s">
        <v>2002</v>
      </c>
      <c r="E5039" s="50" t="b">
        <v>1</v>
      </c>
      <c r="F5039" s="72" t="str">
        <f>HYPERLINK("http://nsgreg.nga.mil/genc/view?v=296374&amp;end_month=6&amp;end_day=30&amp;end_year=2019","Rhode Island")</f>
        <v>Rhode Island</v>
      </c>
      <c r="G5039" s="72" t="str">
        <f>HYPERLINK("http://api.nsgreg.nga.mil/geo-division/GENC/6/3-11/US-RI","as:GENC:6:3-11:US-RI")</f>
        <v>as:GENC:6:3-11:US-RI</v>
      </c>
    </row>
    <row r="5040" spans="1:7" x14ac:dyDescent="0.25">
      <c r="A5040" s="112"/>
      <c r="B5040" s="21" t="s">
        <v>11702</v>
      </c>
      <c r="C5040" s="21" t="s">
        <v>11703</v>
      </c>
      <c r="D5040" s="21" t="s">
        <v>2002</v>
      </c>
      <c r="E5040" s="50" t="b">
        <v>1</v>
      </c>
      <c r="F5040" s="72" t="str">
        <f>HYPERLINK("http://nsgreg.nga.mil/genc/view?v=296375&amp;end_month=6&amp;end_day=30&amp;end_year=2019","South Carolina")</f>
        <v>South Carolina</v>
      </c>
      <c r="G5040" s="72" t="str">
        <f>HYPERLINK("http://api.nsgreg.nga.mil/geo-division/GENC/6/3-11/US-SC","as:GENC:6:3-11:US-SC")</f>
        <v>as:GENC:6:3-11:US-SC</v>
      </c>
    </row>
    <row r="5041" spans="1:7" x14ac:dyDescent="0.25">
      <c r="A5041" s="112"/>
      <c r="B5041" s="21" t="s">
        <v>11704</v>
      </c>
      <c r="C5041" s="21" t="s">
        <v>11705</v>
      </c>
      <c r="D5041" s="21" t="s">
        <v>2002</v>
      </c>
      <c r="E5041" s="50" t="b">
        <v>1</v>
      </c>
      <c r="F5041" s="72" t="str">
        <f>HYPERLINK("http://nsgreg.nga.mil/genc/view?v=296376&amp;end_month=6&amp;end_day=30&amp;end_year=2019","South Dakota")</f>
        <v>South Dakota</v>
      </c>
      <c r="G5041" s="72" t="str">
        <f>HYPERLINK("http://api.nsgreg.nga.mil/geo-division/GENC/6/3-11/US-SD","as:GENC:6:3-11:US-SD")</f>
        <v>as:GENC:6:3-11:US-SD</v>
      </c>
    </row>
    <row r="5042" spans="1:7" x14ac:dyDescent="0.25">
      <c r="A5042" s="112"/>
      <c r="B5042" s="21" t="s">
        <v>11706</v>
      </c>
      <c r="C5042" s="21" t="s">
        <v>11707</v>
      </c>
      <c r="D5042" s="21" t="s">
        <v>2002</v>
      </c>
      <c r="E5042" s="50" t="b">
        <v>1</v>
      </c>
      <c r="F5042" s="72" t="str">
        <f>HYPERLINK("http://nsgreg.nga.mil/genc/view?v=296377&amp;end_month=6&amp;end_day=30&amp;end_year=2019","Tennessee")</f>
        <v>Tennessee</v>
      </c>
      <c r="G5042" s="72" t="str">
        <f>HYPERLINK("http://api.nsgreg.nga.mil/geo-division/GENC/6/3-11/US-TN","as:GENC:6:3-11:US-TN")</f>
        <v>as:GENC:6:3-11:US-TN</v>
      </c>
    </row>
    <row r="5043" spans="1:7" x14ac:dyDescent="0.25">
      <c r="A5043" s="112"/>
      <c r="B5043" s="21" t="s">
        <v>11708</v>
      </c>
      <c r="C5043" s="21" t="s">
        <v>11709</v>
      </c>
      <c r="D5043" s="21" t="s">
        <v>2002</v>
      </c>
      <c r="E5043" s="50" t="b">
        <v>1</v>
      </c>
      <c r="F5043" s="72" t="str">
        <f>HYPERLINK("http://nsgreg.nga.mil/genc/view?v=296378&amp;end_month=6&amp;end_day=30&amp;end_year=2019","Texas")</f>
        <v>Texas</v>
      </c>
      <c r="G5043" s="72" t="str">
        <f>HYPERLINK("http://api.nsgreg.nga.mil/geo-division/GENC/6/3-11/US-TX","as:GENC:6:3-11:US-TX")</f>
        <v>as:GENC:6:3-11:US-TX</v>
      </c>
    </row>
    <row r="5044" spans="1:7" x14ac:dyDescent="0.25">
      <c r="A5044" s="112"/>
      <c r="B5044" s="21" t="s">
        <v>11710</v>
      </c>
      <c r="C5044" s="21" t="s">
        <v>11711</v>
      </c>
      <c r="D5044" s="21" t="s">
        <v>2002</v>
      </c>
      <c r="E5044" s="50" t="b">
        <v>1</v>
      </c>
      <c r="F5044" s="72" t="str">
        <f>HYPERLINK("http://nsgreg.nga.mil/genc/view?v=296380&amp;end_month=6&amp;end_day=30&amp;end_year=2019","Utah")</f>
        <v>Utah</v>
      </c>
      <c r="G5044" s="72" t="str">
        <f>HYPERLINK("http://api.nsgreg.nga.mil/geo-division/GENC/6/3-11/US-UT","as:GENC:6:3-11:US-UT")</f>
        <v>as:GENC:6:3-11:US-UT</v>
      </c>
    </row>
    <row r="5045" spans="1:7" x14ac:dyDescent="0.25">
      <c r="A5045" s="112"/>
      <c r="B5045" s="21" t="s">
        <v>11712</v>
      </c>
      <c r="C5045" s="21" t="s">
        <v>11713</v>
      </c>
      <c r="D5045" s="21" t="s">
        <v>2002</v>
      </c>
      <c r="E5045" s="50" t="b">
        <v>1</v>
      </c>
      <c r="F5045" s="72" t="str">
        <f>HYPERLINK("http://nsgreg.nga.mil/genc/view?v=296383&amp;end_month=6&amp;end_day=30&amp;end_year=2019","Vermont")</f>
        <v>Vermont</v>
      </c>
      <c r="G5045" s="72" t="str">
        <f>HYPERLINK("http://api.nsgreg.nga.mil/geo-division/GENC/6/3-11/US-VT","as:GENC:6:3-11:US-VT")</f>
        <v>as:GENC:6:3-11:US-VT</v>
      </c>
    </row>
    <row r="5046" spans="1:7" x14ac:dyDescent="0.25">
      <c r="A5046" s="112"/>
      <c r="B5046" s="21" t="s">
        <v>11714</v>
      </c>
      <c r="C5046" s="21" t="s">
        <v>11715</v>
      </c>
      <c r="D5046" s="21" t="s">
        <v>2002</v>
      </c>
      <c r="E5046" s="50" t="b">
        <v>1</v>
      </c>
      <c r="F5046" s="72" t="str">
        <f>HYPERLINK("http://nsgreg.nga.mil/genc/view?v=296381&amp;end_month=6&amp;end_day=30&amp;end_year=2019","Virginia")</f>
        <v>Virginia</v>
      </c>
      <c r="G5046" s="72" t="str">
        <f>HYPERLINK("http://api.nsgreg.nga.mil/geo-division/GENC/6/3-11/US-VA","as:GENC:6:3-11:US-VA")</f>
        <v>as:GENC:6:3-11:US-VA</v>
      </c>
    </row>
    <row r="5047" spans="1:7" x14ac:dyDescent="0.25">
      <c r="A5047" s="112"/>
      <c r="B5047" s="21" t="s">
        <v>11716</v>
      </c>
      <c r="C5047" s="21" t="s">
        <v>11717</v>
      </c>
      <c r="D5047" s="21" t="s">
        <v>2002</v>
      </c>
      <c r="E5047" s="50" t="b">
        <v>1</v>
      </c>
      <c r="F5047" s="72" t="str">
        <f>HYPERLINK("http://nsgreg.nga.mil/genc/view?v=296384&amp;end_month=6&amp;end_day=30&amp;end_year=2019","Washington")</f>
        <v>Washington</v>
      </c>
      <c r="G5047" s="72" t="str">
        <f>HYPERLINK("http://api.nsgreg.nga.mil/geo-division/GENC/6/3-11/US-WA","as:GENC:6:3-11:US-WA")</f>
        <v>as:GENC:6:3-11:US-WA</v>
      </c>
    </row>
    <row r="5048" spans="1:7" x14ac:dyDescent="0.25">
      <c r="A5048" s="112"/>
      <c r="B5048" s="21" t="s">
        <v>11718</v>
      </c>
      <c r="C5048" s="21" t="s">
        <v>11719</v>
      </c>
      <c r="D5048" s="21" t="s">
        <v>2002</v>
      </c>
      <c r="E5048" s="50" t="b">
        <v>1</v>
      </c>
      <c r="F5048" s="72" t="str">
        <f>HYPERLINK("http://nsgreg.nga.mil/genc/view?v=296386&amp;end_month=6&amp;end_day=30&amp;end_year=2019","West Virginia")</f>
        <v>West Virginia</v>
      </c>
      <c r="G5048" s="72" t="str">
        <f>HYPERLINK("http://api.nsgreg.nga.mil/geo-division/GENC/6/3-11/US-WV","as:GENC:6:3-11:US-WV")</f>
        <v>as:GENC:6:3-11:US-WV</v>
      </c>
    </row>
    <row r="5049" spans="1:7" x14ac:dyDescent="0.25">
      <c r="A5049" s="112"/>
      <c r="B5049" s="21" t="s">
        <v>11720</v>
      </c>
      <c r="C5049" s="21" t="s">
        <v>11721</v>
      </c>
      <c r="D5049" s="21" t="s">
        <v>2002</v>
      </c>
      <c r="E5049" s="50" t="b">
        <v>1</v>
      </c>
      <c r="F5049" s="72" t="str">
        <f>HYPERLINK("http://nsgreg.nga.mil/genc/view?v=296385&amp;end_month=6&amp;end_day=30&amp;end_year=2019","Wisconsin")</f>
        <v>Wisconsin</v>
      </c>
      <c r="G5049" s="72" t="str">
        <f>HYPERLINK("http://api.nsgreg.nga.mil/geo-division/GENC/6/3-11/US-WI","as:GENC:6:3-11:US-WI")</f>
        <v>as:GENC:6:3-11:US-WI</v>
      </c>
    </row>
    <row r="5050" spans="1:7" x14ac:dyDescent="0.25">
      <c r="A5050" s="113"/>
      <c r="B5050" s="47" t="s">
        <v>11722</v>
      </c>
      <c r="C5050" s="47" t="s">
        <v>11723</v>
      </c>
      <c r="D5050" s="47" t="s">
        <v>2002</v>
      </c>
      <c r="E5050" s="51" t="b">
        <v>1</v>
      </c>
      <c r="F5050" s="73" t="str">
        <f>HYPERLINK("http://nsgreg.nga.mil/genc/view?v=296387&amp;end_month=6&amp;end_day=30&amp;end_year=2019","Wyoming")</f>
        <v>Wyoming</v>
      </c>
      <c r="G5050" s="73" t="str">
        <f>HYPERLINK("http://api.nsgreg.nga.mil/geo-division/GENC/6/3-11/US-WY","as:GENC:6:3-11:US-WY")</f>
        <v>as:GENC:6:3-11:US-WY</v>
      </c>
    </row>
    <row r="5051" spans="1:7" x14ac:dyDescent="0.25">
      <c r="A5051" s="111" t="str">
        <f>HYPERLINK("[#]Codes_for_GE_Names!A269:I269","URUGUAY")</f>
        <v>URUGUAY</v>
      </c>
      <c r="B5051" s="42" t="s">
        <v>11724</v>
      </c>
      <c r="C5051" s="42" t="s">
        <v>11725</v>
      </c>
      <c r="D5051" s="42" t="s">
        <v>2478</v>
      </c>
      <c r="E5051" s="49" t="b">
        <v>1</v>
      </c>
      <c r="F5051" s="74" t="str">
        <f>HYPERLINK("http://nsgreg.nga.mil/genc/view?v=296388&amp;end_month=6&amp;end_day=30&amp;end_year=2019","Artigas")</f>
        <v>Artigas</v>
      </c>
      <c r="G5051" s="74" t="str">
        <f>HYPERLINK("http://api.nsgreg.nga.mil/geo-division/GENC/6/3-11/UY-AR","as:GENC:6:3-11:UY-AR")</f>
        <v>as:GENC:6:3-11:UY-AR</v>
      </c>
    </row>
    <row r="5052" spans="1:7" x14ac:dyDescent="0.25">
      <c r="A5052" s="112"/>
      <c r="B5052" s="21" t="s">
        <v>11726</v>
      </c>
      <c r="C5052" s="21" t="s">
        <v>11727</v>
      </c>
      <c r="D5052" s="21" t="s">
        <v>2478</v>
      </c>
      <c r="E5052" s="50" t="b">
        <v>1</v>
      </c>
      <c r="F5052" s="72" t="str">
        <f>HYPERLINK("http://nsgreg.nga.mil/genc/view?v=296389&amp;end_month=6&amp;end_day=30&amp;end_year=2019","Canelones")</f>
        <v>Canelones</v>
      </c>
      <c r="G5052" s="72" t="str">
        <f>HYPERLINK("http://api.nsgreg.nga.mil/geo-division/GENC/6/3-11/UY-CA","as:GENC:6:3-11:UY-CA")</f>
        <v>as:GENC:6:3-11:UY-CA</v>
      </c>
    </row>
    <row r="5053" spans="1:7" x14ac:dyDescent="0.25">
      <c r="A5053" s="112"/>
      <c r="B5053" s="21" t="s">
        <v>11728</v>
      </c>
      <c r="C5053" s="21" t="s">
        <v>11729</v>
      </c>
      <c r="D5053" s="21" t="s">
        <v>2478</v>
      </c>
      <c r="E5053" s="50" t="b">
        <v>1</v>
      </c>
      <c r="F5053" s="72" t="str">
        <f>HYPERLINK("http://nsgreg.nga.mil/genc/view?v=296390&amp;end_month=6&amp;end_day=30&amp;end_year=2019","Cerro Largo")</f>
        <v>Cerro Largo</v>
      </c>
      <c r="G5053" s="72" t="str">
        <f>HYPERLINK("http://api.nsgreg.nga.mil/geo-division/GENC/6/3-11/UY-CL","as:GENC:6:3-11:UY-CL")</f>
        <v>as:GENC:6:3-11:UY-CL</v>
      </c>
    </row>
    <row r="5054" spans="1:7" x14ac:dyDescent="0.25">
      <c r="A5054" s="112"/>
      <c r="B5054" s="21" t="s">
        <v>11730</v>
      </c>
      <c r="C5054" s="21" t="s">
        <v>11731</v>
      </c>
      <c r="D5054" s="21" t="s">
        <v>2478</v>
      </c>
      <c r="E5054" s="50" t="b">
        <v>1</v>
      </c>
      <c r="F5054" s="72" t="str">
        <f>HYPERLINK("http://nsgreg.nga.mil/genc/view?v=296391&amp;end_month=6&amp;end_day=30&amp;end_year=2019","Colonia")</f>
        <v>Colonia</v>
      </c>
      <c r="G5054" s="72" t="str">
        <f>HYPERLINK("http://api.nsgreg.nga.mil/geo-division/GENC/6/3-11/UY-CO","as:GENC:6:3-11:UY-CO")</f>
        <v>as:GENC:6:3-11:UY-CO</v>
      </c>
    </row>
    <row r="5055" spans="1:7" x14ac:dyDescent="0.25">
      <c r="A5055" s="112"/>
      <c r="B5055" s="21" t="s">
        <v>11732</v>
      </c>
      <c r="C5055" s="21" t="s">
        <v>11733</v>
      </c>
      <c r="D5055" s="21" t="s">
        <v>2478</v>
      </c>
      <c r="E5055" s="50" t="b">
        <v>1</v>
      </c>
      <c r="F5055" s="72" t="str">
        <f>HYPERLINK("http://nsgreg.nga.mil/genc/view?v=296392&amp;end_month=6&amp;end_day=30&amp;end_year=2019","Durazno")</f>
        <v>Durazno</v>
      </c>
      <c r="G5055" s="72" t="str">
        <f>HYPERLINK("http://api.nsgreg.nga.mil/geo-division/GENC/6/3-11/UY-DU","as:GENC:6:3-11:UY-DU")</f>
        <v>as:GENC:6:3-11:UY-DU</v>
      </c>
    </row>
    <row r="5056" spans="1:7" x14ac:dyDescent="0.25">
      <c r="A5056" s="112"/>
      <c r="B5056" s="21" t="s">
        <v>11734</v>
      </c>
      <c r="C5056" s="21" t="s">
        <v>11735</v>
      </c>
      <c r="D5056" s="21" t="s">
        <v>2478</v>
      </c>
      <c r="E5056" s="50" t="b">
        <v>1</v>
      </c>
      <c r="F5056" s="72" t="str">
        <f>HYPERLINK("http://nsgreg.nga.mil/genc/view?v=296394&amp;end_month=6&amp;end_day=30&amp;end_year=2019","Flores")</f>
        <v>Flores</v>
      </c>
      <c r="G5056" s="72" t="str">
        <f>HYPERLINK("http://api.nsgreg.nga.mil/geo-division/GENC/6/3-11/UY-FS","as:GENC:6:3-11:UY-FS")</f>
        <v>as:GENC:6:3-11:UY-FS</v>
      </c>
    </row>
    <row r="5057" spans="1:7" x14ac:dyDescent="0.25">
      <c r="A5057" s="112"/>
      <c r="B5057" s="21" t="s">
        <v>11736</v>
      </c>
      <c r="C5057" s="21" t="s">
        <v>11644</v>
      </c>
      <c r="D5057" s="21" t="s">
        <v>2478</v>
      </c>
      <c r="E5057" s="50" t="b">
        <v>1</v>
      </c>
      <c r="F5057" s="72" t="str">
        <f>HYPERLINK("http://nsgreg.nga.mil/genc/view?v=296393&amp;end_month=6&amp;end_day=30&amp;end_year=2019","Florida")</f>
        <v>Florida</v>
      </c>
      <c r="G5057" s="72" t="str">
        <f>HYPERLINK("http://api.nsgreg.nga.mil/geo-division/GENC/6/3-11/UY-FD","as:GENC:6:3-11:UY-FD")</f>
        <v>as:GENC:6:3-11:UY-FD</v>
      </c>
    </row>
    <row r="5058" spans="1:7" x14ac:dyDescent="0.25">
      <c r="A5058" s="112"/>
      <c r="B5058" s="21" t="s">
        <v>11737</v>
      </c>
      <c r="C5058" s="21" t="s">
        <v>11738</v>
      </c>
      <c r="D5058" s="21" t="s">
        <v>2478</v>
      </c>
      <c r="E5058" s="50" t="b">
        <v>1</v>
      </c>
      <c r="F5058" s="72" t="str">
        <f>HYPERLINK("http://nsgreg.nga.mil/genc/view?v=296395&amp;end_month=6&amp;end_day=30&amp;end_year=2019","Lavalleja")</f>
        <v>Lavalleja</v>
      </c>
      <c r="G5058" s="72" t="str">
        <f>HYPERLINK("http://api.nsgreg.nga.mil/geo-division/GENC/6/3-11/UY-LA","as:GENC:6:3-11:UY-LA")</f>
        <v>as:GENC:6:3-11:UY-LA</v>
      </c>
    </row>
    <row r="5059" spans="1:7" x14ac:dyDescent="0.25">
      <c r="A5059" s="112"/>
      <c r="B5059" s="21" t="s">
        <v>11739</v>
      </c>
      <c r="C5059" s="21" t="s">
        <v>11740</v>
      </c>
      <c r="D5059" s="21" t="s">
        <v>2478</v>
      </c>
      <c r="E5059" s="50" t="b">
        <v>1</v>
      </c>
      <c r="F5059" s="72" t="str">
        <f>HYPERLINK("http://nsgreg.nga.mil/genc/view?v=296396&amp;end_month=6&amp;end_day=30&amp;end_year=2019","Maldonado")</f>
        <v>Maldonado</v>
      </c>
      <c r="G5059" s="72" t="str">
        <f>HYPERLINK("http://api.nsgreg.nga.mil/geo-division/GENC/6/3-11/UY-MA","as:GENC:6:3-11:UY-MA")</f>
        <v>as:GENC:6:3-11:UY-MA</v>
      </c>
    </row>
    <row r="5060" spans="1:7" x14ac:dyDescent="0.25">
      <c r="A5060" s="112"/>
      <c r="B5060" s="21" t="s">
        <v>11741</v>
      </c>
      <c r="C5060" s="21" t="s">
        <v>11742</v>
      </c>
      <c r="D5060" s="21" t="s">
        <v>2478</v>
      </c>
      <c r="E5060" s="50" t="b">
        <v>1</v>
      </c>
      <c r="F5060" s="72" t="str">
        <f>HYPERLINK("http://nsgreg.nga.mil/genc/view?v=296397&amp;end_month=6&amp;end_day=30&amp;end_year=2019","Montevideo")</f>
        <v>Montevideo</v>
      </c>
      <c r="G5060" s="72" t="str">
        <f>HYPERLINK("http://api.nsgreg.nga.mil/geo-division/GENC/6/3-11/UY-MO","as:GENC:6:3-11:UY-MO")</f>
        <v>as:GENC:6:3-11:UY-MO</v>
      </c>
    </row>
    <row r="5061" spans="1:7" x14ac:dyDescent="0.25">
      <c r="A5061" s="112"/>
      <c r="B5061" s="21" t="s">
        <v>11743</v>
      </c>
      <c r="C5061" s="21" t="s">
        <v>11744</v>
      </c>
      <c r="D5061" s="21" t="s">
        <v>2478</v>
      </c>
      <c r="E5061" s="50" t="b">
        <v>1</v>
      </c>
      <c r="F5061" s="72" t="str">
        <f>HYPERLINK("http://nsgreg.nga.mil/genc/view?v=296398&amp;end_month=6&amp;end_day=30&amp;end_year=2019","Paysandú")</f>
        <v>Paysandú</v>
      </c>
      <c r="G5061" s="72" t="str">
        <f>HYPERLINK("http://api.nsgreg.nga.mil/geo-division/GENC/6/3-11/UY-PA","as:GENC:6:3-11:UY-PA")</f>
        <v>as:GENC:6:3-11:UY-PA</v>
      </c>
    </row>
    <row r="5062" spans="1:7" x14ac:dyDescent="0.25">
      <c r="A5062" s="112"/>
      <c r="B5062" s="21" t="s">
        <v>11745</v>
      </c>
      <c r="C5062" s="21" t="s">
        <v>1956</v>
      </c>
      <c r="D5062" s="21" t="s">
        <v>2478</v>
      </c>
      <c r="E5062" s="50" t="b">
        <v>1</v>
      </c>
      <c r="F5062" s="72" t="str">
        <f>HYPERLINK("http://nsgreg.nga.mil/genc/view?v=296399&amp;end_month=6&amp;end_day=30&amp;end_year=2019","Río Negro")</f>
        <v>Río Negro</v>
      </c>
      <c r="G5062" s="72" t="str">
        <f>HYPERLINK("http://api.nsgreg.nga.mil/geo-division/GENC/6/3-11/UY-RN","as:GENC:6:3-11:UY-RN")</f>
        <v>as:GENC:6:3-11:UY-RN</v>
      </c>
    </row>
    <row r="5063" spans="1:7" x14ac:dyDescent="0.25">
      <c r="A5063" s="112"/>
      <c r="B5063" s="21" t="s">
        <v>11746</v>
      </c>
      <c r="C5063" s="21" t="s">
        <v>11747</v>
      </c>
      <c r="D5063" s="21" t="s">
        <v>2478</v>
      </c>
      <c r="E5063" s="50" t="b">
        <v>1</v>
      </c>
      <c r="F5063" s="72" t="str">
        <f>HYPERLINK("http://nsgreg.nga.mil/genc/view?v=296401&amp;end_month=6&amp;end_day=30&amp;end_year=2019","Rivera")</f>
        <v>Rivera</v>
      </c>
      <c r="G5063" s="72" t="str">
        <f>HYPERLINK("http://api.nsgreg.nga.mil/geo-division/GENC/6/3-11/UY-RV","as:GENC:6:3-11:UY-RV")</f>
        <v>as:GENC:6:3-11:UY-RV</v>
      </c>
    </row>
    <row r="5064" spans="1:7" x14ac:dyDescent="0.25">
      <c r="A5064" s="112"/>
      <c r="B5064" s="21" t="s">
        <v>11748</v>
      </c>
      <c r="C5064" s="21" t="s">
        <v>11749</v>
      </c>
      <c r="D5064" s="21" t="s">
        <v>2478</v>
      </c>
      <c r="E5064" s="50" t="b">
        <v>1</v>
      </c>
      <c r="F5064" s="72" t="str">
        <f>HYPERLINK("http://nsgreg.nga.mil/genc/view?v=296400&amp;end_month=6&amp;end_day=30&amp;end_year=2019","Rocha")</f>
        <v>Rocha</v>
      </c>
      <c r="G5064" s="72" t="str">
        <f>HYPERLINK("http://api.nsgreg.nga.mil/geo-division/GENC/6/3-11/UY-RO","as:GENC:6:3-11:UY-RO")</f>
        <v>as:GENC:6:3-11:UY-RO</v>
      </c>
    </row>
    <row r="5065" spans="1:7" x14ac:dyDescent="0.25">
      <c r="A5065" s="112"/>
      <c r="B5065" s="21" t="s">
        <v>11750</v>
      </c>
      <c r="C5065" s="21" t="s">
        <v>11751</v>
      </c>
      <c r="D5065" s="21" t="s">
        <v>2478</v>
      </c>
      <c r="E5065" s="50" t="b">
        <v>1</v>
      </c>
      <c r="F5065" s="72" t="str">
        <f>HYPERLINK("http://nsgreg.nga.mil/genc/view?v=296402&amp;end_month=6&amp;end_day=30&amp;end_year=2019","Salto")</f>
        <v>Salto</v>
      </c>
      <c r="G5065" s="72" t="str">
        <f>HYPERLINK("http://api.nsgreg.nga.mil/geo-division/GENC/6/3-11/UY-SA","as:GENC:6:3-11:UY-SA")</f>
        <v>as:GENC:6:3-11:UY-SA</v>
      </c>
    </row>
    <row r="5066" spans="1:7" x14ac:dyDescent="0.25">
      <c r="A5066" s="112"/>
      <c r="B5066" s="21" t="s">
        <v>11752</v>
      </c>
      <c r="C5066" s="21" t="s">
        <v>3409</v>
      </c>
      <c r="D5066" s="21" t="s">
        <v>2478</v>
      </c>
      <c r="E5066" s="50" t="b">
        <v>1</v>
      </c>
      <c r="F5066" s="72" t="str">
        <f>HYPERLINK("http://nsgreg.nga.mil/genc/view?v=296403&amp;end_month=6&amp;end_day=30&amp;end_year=2019","San José")</f>
        <v>San José</v>
      </c>
      <c r="G5066" s="72" t="str">
        <f>HYPERLINK("http://api.nsgreg.nga.mil/geo-division/GENC/6/3-11/UY-SJ","as:GENC:6:3-11:UY-SJ")</f>
        <v>as:GENC:6:3-11:UY-SJ</v>
      </c>
    </row>
    <row r="5067" spans="1:7" x14ac:dyDescent="0.25">
      <c r="A5067" s="112"/>
      <c r="B5067" s="21" t="s">
        <v>11753</v>
      </c>
      <c r="C5067" s="21" t="s">
        <v>11754</v>
      </c>
      <c r="D5067" s="21" t="s">
        <v>2478</v>
      </c>
      <c r="E5067" s="50" t="b">
        <v>1</v>
      </c>
      <c r="F5067" s="72" t="str">
        <f>HYPERLINK("http://nsgreg.nga.mil/genc/view?v=296404&amp;end_month=6&amp;end_day=30&amp;end_year=2019","Soriano")</f>
        <v>Soriano</v>
      </c>
      <c r="G5067" s="72" t="str">
        <f>HYPERLINK("http://api.nsgreg.nga.mil/geo-division/GENC/6/3-11/UY-SO","as:GENC:6:3-11:UY-SO")</f>
        <v>as:GENC:6:3-11:UY-SO</v>
      </c>
    </row>
    <row r="5068" spans="1:7" x14ac:dyDescent="0.25">
      <c r="A5068" s="112"/>
      <c r="B5068" s="21" t="s">
        <v>11755</v>
      </c>
      <c r="C5068" s="21" t="s">
        <v>11756</v>
      </c>
      <c r="D5068" s="21" t="s">
        <v>2478</v>
      </c>
      <c r="E5068" s="50" t="b">
        <v>1</v>
      </c>
      <c r="F5068" s="72" t="str">
        <f>HYPERLINK("http://nsgreg.nga.mil/genc/view?v=296405&amp;end_month=6&amp;end_day=30&amp;end_year=2019","Tacuarembó")</f>
        <v>Tacuarembó</v>
      </c>
      <c r="G5068" s="72" t="str">
        <f>HYPERLINK("http://api.nsgreg.nga.mil/geo-division/GENC/6/3-11/UY-TA","as:GENC:6:3-11:UY-TA")</f>
        <v>as:GENC:6:3-11:UY-TA</v>
      </c>
    </row>
    <row r="5069" spans="1:7" x14ac:dyDescent="0.25">
      <c r="A5069" s="113"/>
      <c r="B5069" s="47" t="s">
        <v>11757</v>
      </c>
      <c r="C5069" s="47" t="s">
        <v>11758</v>
      </c>
      <c r="D5069" s="47" t="s">
        <v>2478</v>
      </c>
      <c r="E5069" s="51" t="b">
        <v>1</v>
      </c>
      <c r="F5069" s="73" t="str">
        <f>HYPERLINK("http://nsgreg.nga.mil/genc/view?v=296406&amp;end_month=6&amp;end_day=30&amp;end_year=2019","Treinta y Tres")</f>
        <v>Treinta y Tres</v>
      </c>
      <c r="G5069" s="73" t="str">
        <f>HYPERLINK("http://api.nsgreg.nga.mil/geo-division/GENC/6/3-11/UY-TT","as:GENC:6:3-11:UY-TT")</f>
        <v>as:GENC:6:3-11:UY-TT</v>
      </c>
    </row>
    <row r="5070" spans="1:7" x14ac:dyDescent="0.25">
      <c r="A5070" s="111" t="str">
        <f>HYPERLINK("[#]Codes_for_GE_Names!A270:I270","UZBEKISTAN")</f>
        <v>UZBEKISTAN</v>
      </c>
      <c r="B5070" s="42" t="s">
        <v>11759</v>
      </c>
      <c r="C5070" s="42" t="s">
        <v>11760</v>
      </c>
      <c r="D5070" s="42" t="s">
        <v>1668</v>
      </c>
      <c r="E5070" s="49" t="b">
        <v>1</v>
      </c>
      <c r="F5070" s="74" t="str">
        <f>HYPERLINK("http://nsgreg.nga.mil/genc/view?v=296407&amp;end_month=6&amp;end_day=30&amp;end_year=2019","Andijon")</f>
        <v>Andijon</v>
      </c>
      <c r="G5070" s="74" t="str">
        <f>HYPERLINK("http://api.nsgreg.nga.mil/geo-division/GENC/6/3-11/UZ-AN","as:GENC:6:3-11:UZ-AN")</f>
        <v>as:GENC:6:3-11:UZ-AN</v>
      </c>
    </row>
    <row r="5071" spans="1:7" x14ac:dyDescent="0.25">
      <c r="A5071" s="112"/>
      <c r="B5071" s="21" t="s">
        <v>11761</v>
      </c>
      <c r="C5071" s="21" t="s">
        <v>11762</v>
      </c>
      <c r="D5071" s="21" t="s">
        <v>1668</v>
      </c>
      <c r="E5071" s="50" t="b">
        <v>1</v>
      </c>
      <c r="F5071" s="72" t="str">
        <f>HYPERLINK("http://nsgreg.nga.mil/genc/view?v=296408&amp;end_month=6&amp;end_day=30&amp;end_year=2019","Buxoro")</f>
        <v>Buxoro</v>
      </c>
      <c r="G5071" s="72" t="str">
        <f>HYPERLINK("http://api.nsgreg.nga.mil/geo-division/GENC/6/3-11/UZ-BU","as:GENC:6:3-11:UZ-BU")</f>
        <v>as:GENC:6:3-11:UZ-BU</v>
      </c>
    </row>
    <row r="5072" spans="1:7" x14ac:dyDescent="0.25">
      <c r="A5072" s="112"/>
      <c r="B5072" s="21" t="s">
        <v>11763</v>
      </c>
      <c r="C5072" s="21" t="s">
        <v>11764</v>
      </c>
      <c r="D5072" s="21" t="s">
        <v>1668</v>
      </c>
      <c r="E5072" s="50" t="b">
        <v>1</v>
      </c>
      <c r="F5072" s="72" t="str">
        <f>HYPERLINK("http://nsgreg.nga.mil/genc/view?v=296409&amp;end_month=6&amp;end_day=30&amp;end_year=2019","Farg‘ona")</f>
        <v>Farg‘ona</v>
      </c>
      <c r="G5072" s="72" t="str">
        <f>HYPERLINK("http://api.nsgreg.nga.mil/geo-division/GENC/6/3-11/UZ-FA","as:GENC:6:3-11:UZ-FA")</f>
        <v>as:GENC:6:3-11:UZ-FA</v>
      </c>
    </row>
    <row r="5073" spans="1:7" x14ac:dyDescent="0.25">
      <c r="A5073" s="112"/>
      <c r="B5073" s="21" t="s">
        <v>11765</v>
      </c>
      <c r="C5073" s="21" t="s">
        <v>11766</v>
      </c>
      <c r="D5073" s="21" t="s">
        <v>1668</v>
      </c>
      <c r="E5073" s="50" t="b">
        <v>1</v>
      </c>
      <c r="F5073" s="72" t="str">
        <f>HYPERLINK("http://nsgreg.nga.mil/genc/view?v=296410&amp;end_month=6&amp;end_day=30&amp;end_year=2019","Jizzax")</f>
        <v>Jizzax</v>
      </c>
      <c r="G5073" s="72" t="str">
        <f>HYPERLINK("http://api.nsgreg.nga.mil/geo-division/GENC/6/3-11/UZ-JI","as:GENC:6:3-11:UZ-JI")</f>
        <v>as:GENC:6:3-11:UZ-JI</v>
      </c>
    </row>
    <row r="5074" spans="1:7" x14ac:dyDescent="0.25">
      <c r="A5074" s="112"/>
      <c r="B5074" s="21" t="s">
        <v>11767</v>
      </c>
      <c r="C5074" s="21" t="s">
        <v>11768</v>
      </c>
      <c r="D5074" s="21" t="s">
        <v>1668</v>
      </c>
      <c r="E5074" s="50" t="b">
        <v>1</v>
      </c>
      <c r="F5074" s="72" t="str">
        <f>HYPERLINK("http://nsgreg.nga.mil/genc/view?v=296411&amp;end_month=6&amp;end_day=30&amp;end_year=2019","Namangan")</f>
        <v>Namangan</v>
      </c>
      <c r="G5074" s="72" t="str">
        <f>HYPERLINK("http://api.nsgreg.nga.mil/geo-division/GENC/6/3-11/UZ-NG","as:GENC:6:3-11:UZ-NG")</f>
        <v>as:GENC:6:3-11:UZ-NG</v>
      </c>
    </row>
    <row r="5075" spans="1:7" x14ac:dyDescent="0.25">
      <c r="A5075" s="112"/>
      <c r="B5075" s="21" t="s">
        <v>11769</v>
      </c>
      <c r="C5075" s="21" t="s">
        <v>11770</v>
      </c>
      <c r="D5075" s="21" t="s">
        <v>1668</v>
      </c>
      <c r="E5075" s="50" t="b">
        <v>1</v>
      </c>
      <c r="F5075" s="72" t="str">
        <f>HYPERLINK("http://nsgreg.nga.mil/genc/view?v=296412&amp;end_month=6&amp;end_day=30&amp;end_year=2019","Navoiy")</f>
        <v>Navoiy</v>
      </c>
      <c r="G5075" s="72" t="str">
        <f>HYPERLINK("http://api.nsgreg.nga.mil/geo-division/GENC/6/3-11/UZ-NW","as:GENC:6:3-11:UZ-NW")</f>
        <v>as:GENC:6:3-11:UZ-NW</v>
      </c>
    </row>
    <row r="5076" spans="1:7" x14ac:dyDescent="0.25">
      <c r="A5076" s="112"/>
      <c r="B5076" s="21" t="s">
        <v>11771</v>
      </c>
      <c r="C5076" s="21" t="s">
        <v>11772</v>
      </c>
      <c r="D5076" s="21" t="s">
        <v>1668</v>
      </c>
      <c r="E5076" s="50" t="b">
        <v>1</v>
      </c>
      <c r="F5076" s="72" t="str">
        <f>HYPERLINK("http://nsgreg.nga.mil/genc/view?v=296413&amp;end_month=6&amp;end_day=30&amp;end_year=2019","Qashqadaryo")</f>
        <v>Qashqadaryo</v>
      </c>
      <c r="G5076" s="72" t="str">
        <f>HYPERLINK("http://api.nsgreg.nga.mil/geo-division/GENC/6/3-11/UZ-QA","as:GENC:6:3-11:UZ-QA")</f>
        <v>as:GENC:6:3-11:UZ-QA</v>
      </c>
    </row>
    <row r="5077" spans="1:7" x14ac:dyDescent="0.25">
      <c r="A5077" s="112"/>
      <c r="B5077" s="21" t="s">
        <v>11773</v>
      </c>
      <c r="C5077" s="21" t="s">
        <v>11774</v>
      </c>
      <c r="D5077" s="21" t="s">
        <v>2593</v>
      </c>
      <c r="E5077" s="50" t="b">
        <v>1</v>
      </c>
      <c r="F5077" s="72" t="str">
        <f>HYPERLINK("http://nsgreg.nga.mil/genc/view?v=296414&amp;end_month=6&amp;end_day=30&amp;end_year=2019","Qoraqalpog‘iston")</f>
        <v>Qoraqalpog‘iston</v>
      </c>
      <c r="G5077" s="72" t="str">
        <f>HYPERLINK("http://api.nsgreg.nga.mil/geo-division/GENC/6/3-11/UZ-QR","as:GENC:6:3-11:UZ-QR")</f>
        <v>as:GENC:6:3-11:UZ-QR</v>
      </c>
    </row>
    <row r="5078" spans="1:7" x14ac:dyDescent="0.25">
      <c r="A5078" s="112"/>
      <c r="B5078" s="21" t="s">
        <v>11775</v>
      </c>
      <c r="C5078" s="21" t="s">
        <v>11776</v>
      </c>
      <c r="D5078" s="21" t="s">
        <v>1668</v>
      </c>
      <c r="E5078" s="50" t="b">
        <v>1</v>
      </c>
      <c r="F5078" s="72" t="str">
        <f>HYPERLINK("http://nsgreg.nga.mil/genc/view?v=296415&amp;end_month=6&amp;end_day=30&amp;end_year=2019","Samarqand")</f>
        <v>Samarqand</v>
      </c>
      <c r="G5078" s="72" t="str">
        <f>HYPERLINK("http://api.nsgreg.nga.mil/geo-division/GENC/6/3-11/UZ-SA","as:GENC:6:3-11:UZ-SA")</f>
        <v>as:GENC:6:3-11:UZ-SA</v>
      </c>
    </row>
    <row r="5079" spans="1:7" x14ac:dyDescent="0.25">
      <c r="A5079" s="112"/>
      <c r="B5079" s="21" t="s">
        <v>11777</v>
      </c>
      <c r="C5079" s="21" t="s">
        <v>11778</v>
      </c>
      <c r="D5079" s="21" t="s">
        <v>1668</v>
      </c>
      <c r="E5079" s="50" t="b">
        <v>1</v>
      </c>
      <c r="F5079" s="72" t="str">
        <f>HYPERLINK("http://nsgreg.nga.mil/genc/view?v=296416&amp;end_month=6&amp;end_day=30&amp;end_year=2019","Sirdaryo")</f>
        <v>Sirdaryo</v>
      </c>
      <c r="G5079" s="72" t="str">
        <f>HYPERLINK("http://api.nsgreg.nga.mil/geo-division/GENC/6/3-11/UZ-SI","as:GENC:6:3-11:UZ-SI")</f>
        <v>as:GENC:6:3-11:UZ-SI</v>
      </c>
    </row>
    <row r="5080" spans="1:7" x14ac:dyDescent="0.25">
      <c r="A5080" s="112"/>
      <c r="B5080" s="21" t="s">
        <v>11779</v>
      </c>
      <c r="C5080" s="21" t="s">
        <v>11780</v>
      </c>
      <c r="D5080" s="21" t="s">
        <v>1668</v>
      </c>
      <c r="E5080" s="50" t="b">
        <v>1</v>
      </c>
      <c r="F5080" s="72" t="str">
        <f>HYPERLINK("http://nsgreg.nga.mil/genc/view?v=296417&amp;end_month=6&amp;end_day=30&amp;end_year=2019","Surxondaryo")</f>
        <v>Surxondaryo</v>
      </c>
      <c r="G5080" s="72" t="str">
        <f>HYPERLINK("http://api.nsgreg.nga.mil/geo-division/GENC/6/3-11/UZ-SU","as:GENC:6:3-11:UZ-SU")</f>
        <v>as:GENC:6:3-11:UZ-SU</v>
      </c>
    </row>
    <row r="5081" spans="1:7" x14ac:dyDescent="0.25">
      <c r="A5081" s="112"/>
      <c r="B5081" s="21" t="s">
        <v>11781</v>
      </c>
      <c r="C5081" s="21" t="s">
        <v>11782</v>
      </c>
      <c r="D5081" s="21" t="s">
        <v>1996</v>
      </c>
      <c r="E5081" s="50" t="b">
        <v>1</v>
      </c>
      <c r="F5081" s="72" t="str">
        <f>HYPERLINK("http://nsgreg.nga.mil/genc/view?v=296418&amp;end_month=6&amp;end_day=30&amp;end_year=2019","Toshkent")</f>
        <v>Toshkent</v>
      </c>
      <c r="G5081" s="72" t="str">
        <f>HYPERLINK("http://api.nsgreg.nga.mil/geo-division/GENC/6/3-11/UZ-TK","as:GENC:6:3-11:UZ-TK")</f>
        <v>as:GENC:6:3-11:UZ-TK</v>
      </c>
    </row>
    <row r="5082" spans="1:7" x14ac:dyDescent="0.25">
      <c r="A5082" s="112"/>
      <c r="B5082" s="21" t="s">
        <v>11783</v>
      </c>
      <c r="C5082" s="21" t="s">
        <v>11782</v>
      </c>
      <c r="D5082" s="21" t="s">
        <v>1668</v>
      </c>
      <c r="E5082" s="50" t="b">
        <v>1</v>
      </c>
      <c r="F5082" s="72" t="str">
        <f>HYPERLINK("http://nsgreg.nga.mil/genc/view?v=296419&amp;end_month=6&amp;end_day=30&amp;end_year=2019","Toshkent")</f>
        <v>Toshkent</v>
      </c>
      <c r="G5082" s="72" t="str">
        <f>HYPERLINK("http://api.nsgreg.nga.mil/geo-division/GENC/6/3-11/UZ-TO","as:GENC:6:3-11:UZ-TO")</f>
        <v>as:GENC:6:3-11:UZ-TO</v>
      </c>
    </row>
    <row r="5083" spans="1:7" x14ac:dyDescent="0.25">
      <c r="A5083" s="113"/>
      <c r="B5083" s="47" t="s">
        <v>11784</v>
      </c>
      <c r="C5083" s="47" t="s">
        <v>11785</v>
      </c>
      <c r="D5083" s="47" t="s">
        <v>1668</v>
      </c>
      <c r="E5083" s="51" t="b">
        <v>1</v>
      </c>
      <c r="F5083" s="73" t="str">
        <f>HYPERLINK("http://nsgreg.nga.mil/genc/view?v=296420&amp;end_month=6&amp;end_day=30&amp;end_year=2019","Xorazm")</f>
        <v>Xorazm</v>
      </c>
      <c r="G5083" s="73" t="str">
        <f>HYPERLINK("http://api.nsgreg.nga.mil/geo-division/GENC/6/3-11/UZ-XO","as:GENC:6:3-11:UZ-XO")</f>
        <v>as:GENC:6:3-11:UZ-XO</v>
      </c>
    </row>
    <row r="5084" spans="1:7" x14ac:dyDescent="0.25">
      <c r="A5084" s="111" t="str">
        <f>HYPERLINK("[#]Codes_for_GE_Names!A271:I271","VANUATU")</f>
        <v>VANUATU</v>
      </c>
      <c r="B5084" s="42" t="s">
        <v>11786</v>
      </c>
      <c r="C5084" s="42" t="s">
        <v>11787</v>
      </c>
      <c r="D5084" s="42" t="s">
        <v>1668</v>
      </c>
      <c r="E5084" s="49" t="b">
        <v>1</v>
      </c>
      <c r="F5084" s="74" t="str">
        <f>HYPERLINK("http://nsgreg.nga.mil/genc/view?v=296515&amp;end_month=6&amp;end_day=30&amp;end_year=2019","Malampa")</f>
        <v>Malampa</v>
      </c>
      <c r="G5084" s="74" t="str">
        <f>HYPERLINK("http://api.nsgreg.nga.mil/geo-division/GENC/6/3-11/VU-MAP","as:GENC:6:3-11:VU-MAP")</f>
        <v>as:GENC:6:3-11:VU-MAP</v>
      </c>
    </row>
    <row r="5085" spans="1:7" x14ac:dyDescent="0.25">
      <c r="A5085" s="112"/>
      <c r="B5085" s="21" t="s">
        <v>11788</v>
      </c>
      <c r="C5085" s="21" t="s">
        <v>11789</v>
      </c>
      <c r="D5085" s="21" t="s">
        <v>1668</v>
      </c>
      <c r="E5085" s="50" t="b">
        <v>1</v>
      </c>
      <c r="F5085" s="72" t="str">
        <f>HYPERLINK("http://nsgreg.nga.mil/genc/view?v=296516&amp;end_month=6&amp;end_day=30&amp;end_year=2019","Penama")</f>
        <v>Penama</v>
      </c>
      <c r="G5085" s="72" t="str">
        <f>HYPERLINK("http://api.nsgreg.nga.mil/geo-division/GENC/6/3-11/VU-PAM","as:GENC:6:3-11:VU-PAM")</f>
        <v>as:GENC:6:3-11:VU-PAM</v>
      </c>
    </row>
    <row r="5086" spans="1:7" x14ac:dyDescent="0.25">
      <c r="A5086" s="112"/>
      <c r="B5086" s="21" t="s">
        <v>11790</v>
      </c>
      <c r="C5086" s="21" t="s">
        <v>11791</v>
      </c>
      <c r="D5086" s="21" t="s">
        <v>1668</v>
      </c>
      <c r="E5086" s="50" t="b">
        <v>1</v>
      </c>
      <c r="F5086" s="72" t="str">
        <f>HYPERLINK("http://nsgreg.nga.mil/genc/view?v=296517&amp;end_month=6&amp;end_day=30&amp;end_year=2019","Sanma")</f>
        <v>Sanma</v>
      </c>
      <c r="G5086" s="72" t="str">
        <f>HYPERLINK("http://api.nsgreg.nga.mil/geo-division/GENC/6/3-11/VU-SAM","as:GENC:6:3-11:VU-SAM")</f>
        <v>as:GENC:6:3-11:VU-SAM</v>
      </c>
    </row>
    <row r="5087" spans="1:7" x14ac:dyDescent="0.25">
      <c r="A5087" s="112"/>
      <c r="B5087" s="21" t="s">
        <v>11792</v>
      </c>
      <c r="C5087" s="21" t="s">
        <v>11793</v>
      </c>
      <c r="D5087" s="21" t="s">
        <v>1668</v>
      </c>
      <c r="E5087" s="50" t="b">
        <v>1</v>
      </c>
      <c r="F5087" s="72" t="str">
        <f>HYPERLINK("http://nsgreg.nga.mil/genc/view?v=296518&amp;end_month=6&amp;end_day=30&amp;end_year=2019","Shefa")</f>
        <v>Shefa</v>
      </c>
      <c r="G5087" s="72" t="str">
        <f>HYPERLINK("http://api.nsgreg.nga.mil/geo-division/GENC/6/3-11/VU-SEE","as:GENC:6:3-11:VU-SEE")</f>
        <v>as:GENC:6:3-11:VU-SEE</v>
      </c>
    </row>
    <row r="5088" spans="1:7" x14ac:dyDescent="0.25">
      <c r="A5088" s="112"/>
      <c r="B5088" s="21" t="s">
        <v>11794</v>
      </c>
      <c r="C5088" s="21" t="s">
        <v>11795</v>
      </c>
      <c r="D5088" s="21" t="s">
        <v>1668</v>
      </c>
      <c r="E5088" s="50" t="b">
        <v>1</v>
      </c>
      <c r="F5088" s="72" t="str">
        <f>HYPERLINK("http://nsgreg.nga.mil/genc/view?v=296519&amp;end_month=6&amp;end_day=30&amp;end_year=2019","Tafea")</f>
        <v>Tafea</v>
      </c>
      <c r="G5088" s="72" t="str">
        <f>HYPERLINK("http://api.nsgreg.nga.mil/geo-division/GENC/6/3-11/VU-TAE","as:GENC:6:3-11:VU-TAE")</f>
        <v>as:GENC:6:3-11:VU-TAE</v>
      </c>
    </row>
    <row r="5089" spans="1:7" x14ac:dyDescent="0.25">
      <c r="A5089" s="113"/>
      <c r="B5089" s="47" t="s">
        <v>11796</v>
      </c>
      <c r="C5089" s="47" t="s">
        <v>11797</v>
      </c>
      <c r="D5089" s="47" t="s">
        <v>1668</v>
      </c>
      <c r="E5089" s="51" t="b">
        <v>1</v>
      </c>
      <c r="F5089" s="73" t="str">
        <f>HYPERLINK("http://nsgreg.nga.mil/genc/view?v=296520&amp;end_month=6&amp;end_day=30&amp;end_year=2019","Torba")</f>
        <v>Torba</v>
      </c>
      <c r="G5089" s="73" t="str">
        <f>HYPERLINK("http://api.nsgreg.nga.mil/geo-division/GENC/6/3-11/VU-TOB","as:GENC:6:3-11:VU-TOB")</f>
        <v>as:GENC:6:3-11:VU-TOB</v>
      </c>
    </row>
    <row r="5090" spans="1:7" x14ac:dyDescent="0.25">
      <c r="A5090" s="111" t="str">
        <f>HYPERLINK("[#]Codes_for_GE_Names!A273:I273","VENEZUELA")</f>
        <v>VENEZUELA</v>
      </c>
      <c r="B5090" s="42" t="s">
        <v>11798</v>
      </c>
      <c r="C5090" s="42" t="s">
        <v>2634</v>
      </c>
      <c r="D5090" s="42" t="s">
        <v>2002</v>
      </c>
      <c r="E5090" s="49" t="b">
        <v>1</v>
      </c>
      <c r="F5090" s="74" t="str">
        <f>HYPERLINK("http://nsgreg.nga.mil/genc/view?v=296451&amp;end_month=6&amp;end_day=30&amp;end_year=2019","Amazonas")</f>
        <v>Amazonas</v>
      </c>
      <c r="G5090" s="74" t="str">
        <f>HYPERLINK("http://api.nsgreg.nga.mil/geo-division/GENC/6/3-11/VE-Z","as:GENC:6:3-11:VE-Z")</f>
        <v>as:GENC:6:3-11:VE-Z</v>
      </c>
    </row>
    <row r="5091" spans="1:7" x14ac:dyDescent="0.25">
      <c r="A5091" s="112"/>
      <c r="B5091" s="21" t="s">
        <v>11799</v>
      </c>
      <c r="C5091" s="21" t="s">
        <v>11800</v>
      </c>
      <c r="D5091" s="21" t="s">
        <v>2002</v>
      </c>
      <c r="E5091" s="50" t="b">
        <v>1</v>
      </c>
      <c r="F5091" s="72" t="str">
        <f>HYPERLINK("http://nsgreg.nga.mil/genc/view?v=296428&amp;end_month=6&amp;end_day=30&amp;end_year=2019","Anzoátegui")</f>
        <v>Anzoátegui</v>
      </c>
      <c r="G5091" s="72" t="str">
        <f>HYPERLINK("http://api.nsgreg.nga.mil/geo-division/GENC/6/3-11/VE-B","as:GENC:6:3-11:VE-B")</f>
        <v>as:GENC:6:3-11:VE-B</v>
      </c>
    </row>
    <row r="5092" spans="1:7" x14ac:dyDescent="0.25">
      <c r="A5092" s="112"/>
      <c r="B5092" s="21" t="s">
        <v>11801</v>
      </c>
      <c r="C5092" s="21" t="s">
        <v>11802</v>
      </c>
      <c r="D5092" s="21" t="s">
        <v>2002</v>
      </c>
      <c r="E5092" s="50" t="b">
        <v>1</v>
      </c>
      <c r="F5092" s="72" t="str">
        <f>HYPERLINK("http://nsgreg.nga.mil/genc/view?v=296429&amp;end_month=6&amp;end_day=30&amp;end_year=2019","Apure")</f>
        <v>Apure</v>
      </c>
      <c r="G5092" s="72" t="str">
        <f>HYPERLINK("http://api.nsgreg.nga.mil/geo-division/GENC/6/3-11/VE-C","as:GENC:6:3-11:VE-C")</f>
        <v>as:GENC:6:3-11:VE-C</v>
      </c>
    </row>
    <row r="5093" spans="1:7" x14ac:dyDescent="0.25">
      <c r="A5093" s="112"/>
      <c r="B5093" s="21" t="s">
        <v>11803</v>
      </c>
      <c r="C5093" s="21" t="s">
        <v>11804</v>
      </c>
      <c r="D5093" s="21" t="s">
        <v>2002</v>
      </c>
      <c r="E5093" s="50" t="b">
        <v>1</v>
      </c>
      <c r="F5093" s="72" t="str">
        <f>HYPERLINK("http://nsgreg.nga.mil/genc/view?v=296430&amp;end_month=6&amp;end_day=30&amp;end_year=2019","Aragua")</f>
        <v>Aragua</v>
      </c>
      <c r="G5093" s="72" t="str">
        <f>HYPERLINK("http://api.nsgreg.nga.mil/geo-division/GENC/6/3-11/VE-D","as:GENC:6:3-11:VE-D")</f>
        <v>as:GENC:6:3-11:VE-D</v>
      </c>
    </row>
    <row r="5094" spans="1:7" x14ac:dyDescent="0.25">
      <c r="A5094" s="112"/>
      <c r="B5094" s="21" t="s">
        <v>11805</v>
      </c>
      <c r="C5094" s="21" t="s">
        <v>11806</v>
      </c>
      <c r="D5094" s="21" t="s">
        <v>2002</v>
      </c>
      <c r="E5094" s="50" t="b">
        <v>1</v>
      </c>
      <c r="F5094" s="72" t="str">
        <f>HYPERLINK("http://nsgreg.nga.mil/genc/view?v=296431&amp;end_month=6&amp;end_day=30&amp;end_year=2019","Barinas")</f>
        <v>Barinas</v>
      </c>
      <c r="G5094" s="72" t="str">
        <f>HYPERLINK("http://api.nsgreg.nga.mil/geo-division/GENC/6/3-11/VE-E","as:GENC:6:3-11:VE-E")</f>
        <v>as:GENC:6:3-11:VE-E</v>
      </c>
    </row>
    <row r="5095" spans="1:7" x14ac:dyDescent="0.25">
      <c r="A5095" s="112"/>
      <c r="B5095" s="21" t="s">
        <v>11807</v>
      </c>
      <c r="C5095" s="21" t="s">
        <v>3259</v>
      </c>
      <c r="D5095" s="21" t="s">
        <v>2002</v>
      </c>
      <c r="E5095" s="50" t="b">
        <v>1</v>
      </c>
      <c r="F5095" s="72" t="str">
        <f>HYPERLINK("http://nsgreg.nga.mil/genc/view?v=296432&amp;end_month=6&amp;end_day=30&amp;end_year=2019","Bolívar")</f>
        <v>Bolívar</v>
      </c>
      <c r="G5095" s="72" t="str">
        <f>HYPERLINK("http://api.nsgreg.nga.mil/geo-division/GENC/6/3-11/VE-F","as:GENC:6:3-11:VE-F")</f>
        <v>as:GENC:6:3-11:VE-F</v>
      </c>
    </row>
    <row r="5096" spans="1:7" x14ac:dyDescent="0.25">
      <c r="A5096" s="112"/>
      <c r="B5096" s="21" t="s">
        <v>11808</v>
      </c>
      <c r="C5096" s="21" t="s">
        <v>11809</v>
      </c>
      <c r="D5096" s="21" t="s">
        <v>2002</v>
      </c>
      <c r="E5096" s="50" t="b">
        <v>1</v>
      </c>
      <c r="F5096" s="72" t="str">
        <f>HYPERLINK("http://nsgreg.nga.mil/genc/view?v=296433&amp;end_month=6&amp;end_day=30&amp;end_year=2019","Carabobo")</f>
        <v>Carabobo</v>
      </c>
      <c r="G5096" s="72" t="str">
        <f>HYPERLINK("http://api.nsgreg.nga.mil/geo-division/GENC/6/3-11/VE-G","as:GENC:6:3-11:VE-G")</f>
        <v>as:GENC:6:3-11:VE-G</v>
      </c>
    </row>
    <row r="5097" spans="1:7" x14ac:dyDescent="0.25">
      <c r="A5097" s="112"/>
      <c r="B5097" s="21" t="s">
        <v>11810</v>
      </c>
      <c r="C5097" s="21" t="s">
        <v>11811</v>
      </c>
      <c r="D5097" s="21" t="s">
        <v>2002</v>
      </c>
      <c r="E5097" s="50" t="b">
        <v>1</v>
      </c>
      <c r="F5097" s="72" t="str">
        <f>HYPERLINK("http://nsgreg.nga.mil/genc/view?v=296434&amp;end_month=6&amp;end_day=30&amp;end_year=2019","Cojedes")</f>
        <v>Cojedes</v>
      </c>
      <c r="G5097" s="72" t="str">
        <f>HYPERLINK("http://api.nsgreg.nga.mil/geo-division/GENC/6/3-11/VE-H","as:GENC:6:3-11:VE-H")</f>
        <v>as:GENC:6:3-11:VE-H</v>
      </c>
    </row>
    <row r="5098" spans="1:7" x14ac:dyDescent="0.25">
      <c r="A5098" s="112"/>
      <c r="B5098" s="21" t="s">
        <v>11812</v>
      </c>
      <c r="C5098" s="21" t="s">
        <v>11813</v>
      </c>
      <c r="D5098" s="21" t="s">
        <v>2002</v>
      </c>
      <c r="E5098" s="50" t="b">
        <v>1</v>
      </c>
      <c r="F5098" s="72" t="str">
        <f>HYPERLINK("http://nsgreg.nga.mil/genc/view?v=296450&amp;end_month=6&amp;end_day=30&amp;end_year=2019","Delta Amacuro")</f>
        <v>Delta Amacuro</v>
      </c>
      <c r="G5098" s="72" t="str">
        <f>HYPERLINK("http://api.nsgreg.nga.mil/geo-division/GENC/6/3-11/VE-Y","as:GENC:6:3-11:VE-Y")</f>
        <v>as:GENC:6:3-11:VE-Y</v>
      </c>
    </row>
    <row r="5099" spans="1:7" x14ac:dyDescent="0.25">
      <c r="A5099" s="112"/>
      <c r="B5099" s="21" t="s">
        <v>11814</v>
      </c>
      <c r="C5099" s="21" t="s">
        <v>11815</v>
      </c>
      <c r="D5099" s="21" t="s">
        <v>11816</v>
      </c>
      <c r="E5099" s="50" t="b">
        <v>1</v>
      </c>
      <c r="F5099" s="72" t="str">
        <f>HYPERLINK("http://nsgreg.nga.mil/genc/view?v=296448&amp;end_month=6&amp;end_day=30&amp;end_year=2019","Dependencias Federales")</f>
        <v>Dependencias Federales</v>
      </c>
      <c r="G5099" s="72" t="str">
        <f>HYPERLINK("http://api.nsgreg.nga.mil/geo-division/GENC/6/3-11/VE-W","as:GENC:6:3-11:VE-W")</f>
        <v>as:GENC:6:3-11:VE-W</v>
      </c>
    </row>
    <row r="5100" spans="1:7" x14ac:dyDescent="0.25">
      <c r="A5100" s="112"/>
      <c r="B5100" s="21" t="s">
        <v>11817</v>
      </c>
      <c r="C5100" s="21" t="s">
        <v>11818</v>
      </c>
      <c r="D5100" s="21" t="s">
        <v>3257</v>
      </c>
      <c r="E5100" s="50" t="b">
        <v>1</v>
      </c>
      <c r="F5100" s="72" t="str">
        <f>HYPERLINK("http://nsgreg.nga.mil/genc/view?v=296427&amp;end_month=6&amp;end_day=30&amp;end_year=2019","Distrito Capital")</f>
        <v>Distrito Capital</v>
      </c>
      <c r="G5100" s="72" t="str">
        <f>HYPERLINK("http://api.nsgreg.nga.mil/geo-division/GENC/6/3-11/VE-A","as:GENC:6:3-11:VE-A")</f>
        <v>as:GENC:6:3-11:VE-A</v>
      </c>
    </row>
    <row r="5101" spans="1:7" x14ac:dyDescent="0.25">
      <c r="A5101" s="112"/>
      <c r="B5101" s="21" t="s">
        <v>11819</v>
      </c>
      <c r="C5101" s="21" t="s">
        <v>11820</v>
      </c>
      <c r="D5101" s="21" t="s">
        <v>2002</v>
      </c>
      <c r="E5101" s="50" t="b">
        <v>1</v>
      </c>
      <c r="F5101" s="72" t="str">
        <f>HYPERLINK("http://nsgreg.nga.mil/genc/view?v=296435&amp;end_month=6&amp;end_day=30&amp;end_year=2019","Falcón")</f>
        <v>Falcón</v>
      </c>
      <c r="G5101" s="72" t="str">
        <f>HYPERLINK("http://api.nsgreg.nga.mil/geo-division/GENC/6/3-11/VE-I","as:GENC:6:3-11:VE-I")</f>
        <v>as:GENC:6:3-11:VE-I</v>
      </c>
    </row>
    <row r="5102" spans="1:7" x14ac:dyDescent="0.25">
      <c r="A5102" s="112"/>
      <c r="B5102" s="21" t="s">
        <v>11821</v>
      </c>
      <c r="C5102" s="21" t="s">
        <v>11822</v>
      </c>
      <c r="D5102" s="21" t="s">
        <v>2002</v>
      </c>
      <c r="E5102" s="50" t="b">
        <v>1</v>
      </c>
      <c r="F5102" s="72" t="str">
        <f>HYPERLINK("http://nsgreg.nga.mil/genc/view?v=296436&amp;end_month=6&amp;end_day=30&amp;end_year=2019","Guárico")</f>
        <v>Guárico</v>
      </c>
      <c r="G5102" s="72" t="str">
        <f>HYPERLINK("http://api.nsgreg.nga.mil/geo-division/GENC/6/3-11/VE-J","as:GENC:6:3-11:VE-J")</f>
        <v>as:GENC:6:3-11:VE-J</v>
      </c>
    </row>
    <row r="5103" spans="1:7" x14ac:dyDescent="0.25">
      <c r="A5103" s="112"/>
      <c r="B5103" s="21" t="s">
        <v>11823</v>
      </c>
      <c r="C5103" s="21" t="s">
        <v>11824</v>
      </c>
      <c r="D5103" s="21" t="s">
        <v>2002</v>
      </c>
      <c r="E5103" s="50" t="b">
        <v>1</v>
      </c>
      <c r="F5103" s="72" t="str">
        <f>HYPERLINK("http://nsgreg.nga.mil/genc/view?v=296437&amp;end_month=6&amp;end_day=30&amp;end_year=2019","Lara")</f>
        <v>Lara</v>
      </c>
      <c r="G5103" s="72" t="str">
        <f>HYPERLINK("http://api.nsgreg.nga.mil/geo-division/GENC/6/3-11/VE-K","as:GENC:6:3-11:VE-K")</f>
        <v>as:GENC:6:3-11:VE-K</v>
      </c>
    </row>
    <row r="5104" spans="1:7" x14ac:dyDescent="0.25">
      <c r="A5104" s="112"/>
      <c r="B5104" s="21" t="s">
        <v>11825</v>
      </c>
      <c r="C5104" s="21" t="s">
        <v>11826</v>
      </c>
      <c r="D5104" s="21" t="s">
        <v>2002</v>
      </c>
      <c r="E5104" s="50" t="b">
        <v>1</v>
      </c>
      <c r="F5104" s="72" t="str">
        <f>HYPERLINK("http://nsgreg.nga.mil/genc/view?v=296438&amp;end_month=6&amp;end_day=30&amp;end_year=2019","Mérida")</f>
        <v>Mérida</v>
      </c>
      <c r="G5104" s="72" t="str">
        <f>HYPERLINK("http://api.nsgreg.nga.mil/geo-division/GENC/6/3-11/VE-L","as:GENC:6:3-11:VE-L")</f>
        <v>as:GENC:6:3-11:VE-L</v>
      </c>
    </row>
    <row r="5105" spans="1:7" x14ac:dyDescent="0.25">
      <c r="A5105" s="112"/>
      <c r="B5105" s="21" t="s">
        <v>11827</v>
      </c>
      <c r="C5105" s="21" t="s">
        <v>11828</v>
      </c>
      <c r="D5105" s="21" t="s">
        <v>2002</v>
      </c>
      <c r="E5105" s="50" t="b">
        <v>1</v>
      </c>
      <c r="F5105" s="72" t="str">
        <f>HYPERLINK("http://nsgreg.nga.mil/genc/view?v=296439&amp;end_month=6&amp;end_day=30&amp;end_year=2019","Miranda")</f>
        <v>Miranda</v>
      </c>
      <c r="G5105" s="72" t="str">
        <f>HYPERLINK("http://api.nsgreg.nga.mil/geo-division/GENC/6/3-11/VE-M","as:GENC:6:3-11:VE-M")</f>
        <v>as:GENC:6:3-11:VE-M</v>
      </c>
    </row>
    <row r="5106" spans="1:7" x14ac:dyDescent="0.25">
      <c r="A5106" s="112"/>
      <c r="B5106" s="21" t="s">
        <v>11829</v>
      </c>
      <c r="C5106" s="21" t="s">
        <v>11830</v>
      </c>
      <c r="D5106" s="21" t="s">
        <v>2002</v>
      </c>
      <c r="E5106" s="50" t="b">
        <v>1</v>
      </c>
      <c r="F5106" s="72" t="str">
        <f>HYPERLINK("http://nsgreg.nga.mil/genc/view?v=296440&amp;end_month=6&amp;end_day=30&amp;end_year=2019","Monagas")</f>
        <v>Monagas</v>
      </c>
      <c r="G5106" s="72" t="str">
        <f>HYPERLINK("http://api.nsgreg.nga.mil/geo-division/GENC/6/3-11/VE-N","as:GENC:6:3-11:VE-N")</f>
        <v>as:GENC:6:3-11:VE-N</v>
      </c>
    </row>
    <row r="5107" spans="1:7" x14ac:dyDescent="0.25">
      <c r="A5107" s="112"/>
      <c r="B5107" s="21" t="s">
        <v>11831</v>
      </c>
      <c r="C5107" s="21" t="s">
        <v>11832</v>
      </c>
      <c r="D5107" s="21" t="s">
        <v>2002</v>
      </c>
      <c r="E5107" s="50" t="b">
        <v>1</v>
      </c>
      <c r="F5107" s="72" t="str">
        <f>HYPERLINK("http://nsgreg.nga.mil/genc/view?v=296441&amp;end_month=6&amp;end_day=30&amp;end_year=2019","Nueva Esparta")</f>
        <v>Nueva Esparta</v>
      </c>
      <c r="G5107" s="72" t="str">
        <f>HYPERLINK("http://api.nsgreg.nga.mil/geo-division/GENC/6/3-11/VE-O","as:GENC:6:3-11:VE-O")</f>
        <v>as:GENC:6:3-11:VE-O</v>
      </c>
    </row>
    <row r="5108" spans="1:7" x14ac:dyDescent="0.25">
      <c r="A5108" s="112"/>
      <c r="B5108" s="21" t="s">
        <v>11833</v>
      </c>
      <c r="C5108" s="21" t="s">
        <v>11834</v>
      </c>
      <c r="D5108" s="21" t="s">
        <v>2002</v>
      </c>
      <c r="E5108" s="50" t="b">
        <v>1</v>
      </c>
      <c r="F5108" s="72" t="str">
        <f>HYPERLINK("http://nsgreg.nga.mil/genc/view?v=296442&amp;end_month=6&amp;end_day=30&amp;end_year=2019","Portuguesa")</f>
        <v>Portuguesa</v>
      </c>
      <c r="G5108" s="72" t="str">
        <f>HYPERLINK("http://api.nsgreg.nga.mil/geo-division/GENC/6/3-11/VE-P","as:GENC:6:3-11:VE-P")</f>
        <v>as:GENC:6:3-11:VE-P</v>
      </c>
    </row>
    <row r="5109" spans="1:7" x14ac:dyDescent="0.25">
      <c r="A5109" s="112"/>
      <c r="B5109" s="21" t="s">
        <v>11835</v>
      </c>
      <c r="C5109" s="21" t="s">
        <v>3304</v>
      </c>
      <c r="D5109" s="21" t="s">
        <v>2002</v>
      </c>
      <c r="E5109" s="50" t="b">
        <v>1</v>
      </c>
      <c r="F5109" s="72" t="str">
        <f>HYPERLINK("http://nsgreg.nga.mil/genc/view?v=296443&amp;end_month=6&amp;end_day=30&amp;end_year=2019","Sucre")</f>
        <v>Sucre</v>
      </c>
      <c r="G5109" s="72" t="str">
        <f>HYPERLINK("http://api.nsgreg.nga.mil/geo-division/GENC/6/3-11/VE-R","as:GENC:6:3-11:VE-R")</f>
        <v>as:GENC:6:3-11:VE-R</v>
      </c>
    </row>
    <row r="5110" spans="1:7" x14ac:dyDescent="0.25">
      <c r="A5110" s="112"/>
      <c r="B5110" s="21" t="s">
        <v>11836</v>
      </c>
      <c r="C5110" s="21" t="s">
        <v>11837</v>
      </c>
      <c r="D5110" s="21" t="s">
        <v>2002</v>
      </c>
      <c r="E5110" s="50" t="b">
        <v>1</v>
      </c>
      <c r="F5110" s="72" t="str">
        <f>HYPERLINK("http://nsgreg.nga.mil/genc/view?v=296444&amp;end_month=6&amp;end_day=30&amp;end_year=2019","Táchira")</f>
        <v>Táchira</v>
      </c>
      <c r="G5110" s="72" t="str">
        <f>HYPERLINK("http://api.nsgreg.nga.mil/geo-division/GENC/6/3-11/VE-S","as:GENC:6:3-11:VE-S")</f>
        <v>as:GENC:6:3-11:VE-S</v>
      </c>
    </row>
    <row r="5111" spans="1:7" x14ac:dyDescent="0.25">
      <c r="A5111" s="112"/>
      <c r="B5111" s="21" t="s">
        <v>11838</v>
      </c>
      <c r="C5111" s="21" t="s">
        <v>11839</v>
      </c>
      <c r="D5111" s="21" t="s">
        <v>2002</v>
      </c>
      <c r="E5111" s="50" t="b">
        <v>1</v>
      </c>
      <c r="F5111" s="72" t="str">
        <f>HYPERLINK("http://nsgreg.nga.mil/genc/view?v=296445&amp;end_month=6&amp;end_day=30&amp;end_year=2019","Trujillo")</f>
        <v>Trujillo</v>
      </c>
      <c r="G5111" s="72" t="str">
        <f>HYPERLINK("http://api.nsgreg.nga.mil/geo-division/GENC/6/3-11/VE-T","as:GENC:6:3-11:VE-T")</f>
        <v>as:GENC:6:3-11:VE-T</v>
      </c>
    </row>
    <row r="5112" spans="1:7" x14ac:dyDescent="0.25">
      <c r="A5112" s="112"/>
      <c r="B5112" s="21" t="s">
        <v>11840</v>
      </c>
      <c r="C5112" s="21" t="s">
        <v>11841</v>
      </c>
      <c r="D5112" s="21" t="s">
        <v>2002</v>
      </c>
      <c r="E5112" s="50" t="b">
        <v>1</v>
      </c>
      <c r="F5112" s="72" t="str">
        <f>HYPERLINK("http://nsgreg.nga.mil/genc/view?v=296449&amp;end_month=6&amp;end_day=30&amp;end_year=2019","Vargas")</f>
        <v>Vargas</v>
      </c>
      <c r="G5112" s="72" t="str">
        <f>HYPERLINK("http://api.nsgreg.nga.mil/geo-division/GENC/6/3-11/VE-X","as:GENC:6:3-11:VE-X")</f>
        <v>as:GENC:6:3-11:VE-X</v>
      </c>
    </row>
    <row r="5113" spans="1:7" x14ac:dyDescent="0.25">
      <c r="A5113" s="112"/>
      <c r="B5113" s="21" t="s">
        <v>11842</v>
      </c>
      <c r="C5113" s="21" t="s">
        <v>11843</v>
      </c>
      <c r="D5113" s="21" t="s">
        <v>2002</v>
      </c>
      <c r="E5113" s="50" t="b">
        <v>1</v>
      </c>
      <c r="F5113" s="72" t="str">
        <f>HYPERLINK("http://nsgreg.nga.mil/genc/view?v=296446&amp;end_month=6&amp;end_day=30&amp;end_year=2019","Yaracuy")</f>
        <v>Yaracuy</v>
      </c>
      <c r="G5113" s="72" t="str">
        <f>HYPERLINK("http://api.nsgreg.nga.mil/geo-division/GENC/6/3-11/VE-U","as:GENC:6:3-11:VE-U")</f>
        <v>as:GENC:6:3-11:VE-U</v>
      </c>
    </row>
    <row r="5114" spans="1:7" x14ac:dyDescent="0.25">
      <c r="A5114" s="113"/>
      <c r="B5114" s="47" t="s">
        <v>11844</v>
      </c>
      <c r="C5114" s="47" t="s">
        <v>11845</v>
      </c>
      <c r="D5114" s="47" t="s">
        <v>2002</v>
      </c>
      <c r="E5114" s="51" t="b">
        <v>1</v>
      </c>
      <c r="F5114" s="73" t="str">
        <f>HYPERLINK("http://nsgreg.nga.mil/genc/view?v=296447&amp;end_month=6&amp;end_day=30&amp;end_year=2019","Zulia")</f>
        <v>Zulia</v>
      </c>
      <c r="G5114" s="73" t="str">
        <f>HYPERLINK("http://api.nsgreg.nga.mil/geo-division/GENC/6/3-11/VE-V","as:GENC:6:3-11:VE-V")</f>
        <v>as:GENC:6:3-11:VE-V</v>
      </c>
    </row>
    <row r="5115" spans="1:7" x14ac:dyDescent="0.25">
      <c r="A5115" s="111" t="str">
        <f>HYPERLINK("[#]Codes_for_GE_Names!A274:I274","VIETNAM")</f>
        <v>VIETNAM</v>
      </c>
      <c r="B5115" s="42" t="s">
        <v>11846</v>
      </c>
      <c r="C5115" s="42" t="s">
        <v>11847</v>
      </c>
      <c r="D5115" s="42" t="s">
        <v>1668</v>
      </c>
      <c r="E5115" s="49" t="b">
        <v>1</v>
      </c>
      <c r="F5115" s="74" t="str">
        <f>HYPERLINK("http://nsgreg.nga.mil/genc/view?v=296485&amp;end_month=6&amp;end_day=30&amp;end_year=2019","An Giang")</f>
        <v>An Giang</v>
      </c>
      <c r="G5115" s="74" t="str">
        <f>HYPERLINK("http://api.nsgreg.nga.mil/geo-division/GENC/6/3-11/VN-44","as:GENC:6:3-11:VN-44")</f>
        <v>as:GENC:6:3-11:VN-44</v>
      </c>
    </row>
    <row r="5116" spans="1:7" x14ac:dyDescent="0.25">
      <c r="A5116" s="112"/>
      <c r="B5116" s="21" t="s">
        <v>11848</v>
      </c>
      <c r="C5116" s="21" t="s">
        <v>11849</v>
      </c>
      <c r="D5116" s="21" t="s">
        <v>1668</v>
      </c>
      <c r="E5116" s="50" t="b">
        <v>1</v>
      </c>
      <c r="F5116" s="72" t="str">
        <f>HYPERLINK("http://nsgreg.nga.mil/genc/view?v=296494&amp;end_month=6&amp;end_day=30&amp;end_year=2019","Bắc Giang")</f>
        <v>Bắc Giang</v>
      </c>
      <c r="G5116" s="72" t="str">
        <f>HYPERLINK("http://api.nsgreg.nga.mil/geo-division/GENC/6/3-11/VN-54","as:GENC:6:3-11:VN-54")</f>
        <v>as:GENC:6:3-11:VN-54</v>
      </c>
    </row>
    <row r="5117" spans="1:7" x14ac:dyDescent="0.25">
      <c r="A5117" s="112"/>
      <c r="B5117" s="21" t="s">
        <v>11850</v>
      </c>
      <c r="C5117" s="21" t="s">
        <v>11851</v>
      </c>
      <c r="D5117" s="21" t="s">
        <v>1668</v>
      </c>
      <c r="E5117" s="50" t="b">
        <v>1</v>
      </c>
      <c r="F5117" s="72" t="str">
        <f>HYPERLINK("http://nsgreg.nga.mil/genc/view?v=296493&amp;end_month=6&amp;end_day=30&amp;end_year=2019","Bắc Kạn")</f>
        <v>Bắc Kạn</v>
      </c>
      <c r="G5117" s="72" t="str">
        <f>HYPERLINK("http://api.nsgreg.nga.mil/geo-division/GENC/6/3-11/VN-53","as:GENC:6:3-11:VN-53")</f>
        <v>as:GENC:6:3-11:VN-53</v>
      </c>
    </row>
    <row r="5118" spans="1:7" x14ac:dyDescent="0.25">
      <c r="A5118" s="112"/>
      <c r="B5118" s="21" t="s">
        <v>11852</v>
      </c>
      <c r="C5118" s="21" t="s">
        <v>11853</v>
      </c>
      <c r="D5118" s="21" t="s">
        <v>1668</v>
      </c>
      <c r="E5118" s="50" t="b">
        <v>1</v>
      </c>
      <c r="F5118" s="72" t="str">
        <f>HYPERLINK("http://nsgreg.nga.mil/genc/view?v=296495&amp;end_month=6&amp;end_day=30&amp;end_year=2019","Bạc Liêu")</f>
        <v>Bạc Liêu</v>
      </c>
      <c r="G5118" s="72" t="str">
        <f>HYPERLINK("http://api.nsgreg.nga.mil/geo-division/GENC/6/3-11/VN-55","as:GENC:6:3-11:VN-55")</f>
        <v>as:GENC:6:3-11:VN-55</v>
      </c>
    </row>
    <row r="5119" spans="1:7" x14ac:dyDescent="0.25">
      <c r="A5119" s="112"/>
      <c r="B5119" s="21" t="s">
        <v>11854</v>
      </c>
      <c r="C5119" s="21" t="s">
        <v>11855</v>
      </c>
      <c r="D5119" s="21" t="s">
        <v>1668</v>
      </c>
      <c r="E5119" s="50" t="b">
        <v>1</v>
      </c>
      <c r="F5119" s="72" t="str">
        <f>HYPERLINK("http://nsgreg.nga.mil/genc/view?v=296496&amp;end_month=6&amp;end_day=30&amp;end_year=2019","Bắc Ninh")</f>
        <v>Bắc Ninh</v>
      </c>
      <c r="G5119" s="72" t="str">
        <f>HYPERLINK("http://api.nsgreg.nga.mil/geo-division/GENC/6/3-11/VN-56","as:GENC:6:3-11:VN-56")</f>
        <v>as:GENC:6:3-11:VN-56</v>
      </c>
    </row>
    <row r="5120" spans="1:7" x14ac:dyDescent="0.25">
      <c r="A5120" s="112"/>
      <c r="B5120" s="21" t="s">
        <v>11856</v>
      </c>
      <c r="C5120" s="21" t="s">
        <v>11857</v>
      </c>
      <c r="D5120" s="21" t="s">
        <v>1668</v>
      </c>
      <c r="E5120" s="50" t="b">
        <v>1</v>
      </c>
      <c r="F5120" s="72" t="str">
        <f>HYPERLINK("http://nsgreg.nga.mil/genc/view?v=296484&amp;end_month=6&amp;end_day=30&amp;end_year=2019","Bà Rịa-Vũng Tàu")</f>
        <v>Bà Rịa-Vũng Tàu</v>
      </c>
      <c r="G5120" s="72" t="str">
        <f>HYPERLINK("http://api.nsgreg.nga.mil/geo-division/GENC/6/3-11/VN-43","as:GENC:6:3-11:VN-43")</f>
        <v>as:GENC:6:3-11:VN-43</v>
      </c>
    </row>
    <row r="5121" spans="1:7" x14ac:dyDescent="0.25">
      <c r="A5121" s="112"/>
      <c r="B5121" s="21" t="s">
        <v>11858</v>
      </c>
      <c r="C5121" s="21" t="s">
        <v>11859</v>
      </c>
      <c r="D5121" s="21" t="s">
        <v>1668</v>
      </c>
      <c r="E5121" s="50" t="b">
        <v>1</v>
      </c>
      <c r="F5121" s="72" t="str">
        <f>HYPERLINK("http://nsgreg.nga.mil/genc/view?v=296490&amp;end_month=6&amp;end_day=30&amp;end_year=2019","Bến Tre")</f>
        <v>Bến Tre</v>
      </c>
      <c r="G5121" s="72" t="str">
        <f>HYPERLINK("http://api.nsgreg.nga.mil/geo-division/GENC/6/3-11/VN-50","as:GENC:6:3-11:VN-50")</f>
        <v>as:GENC:6:3-11:VN-50</v>
      </c>
    </row>
    <row r="5122" spans="1:7" x14ac:dyDescent="0.25">
      <c r="A5122" s="112"/>
      <c r="B5122" s="21" t="s">
        <v>11860</v>
      </c>
      <c r="C5122" s="21" t="s">
        <v>11861</v>
      </c>
      <c r="D5122" s="21" t="s">
        <v>1668</v>
      </c>
      <c r="E5122" s="50" t="b">
        <v>1</v>
      </c>
      <c r="F5122" s="72" t="str">
        <f>HYPERLINK("http://nsgreg.nga.mil/genc/view?v=296474&amp;end_month=6&amp;end_day=30&amp;end_year=2019","Bình Định")</f>
        <v>Bình Định</v>
      </c>
      <c r="G5122" s="72" t="str">
        <f>HYPERLINK("http://api.nsgreg.nga.mil/geo-division/GENC/6/3-11/VN-31","as:GENC:6:3-11:VN-31")</f>
        <v>as:GENC:6:3-11:VN-31</v>
      </c>
    </row>
    <row r="5123" spans="1:7" x14ac:dyDescent="0.25">
      <c r="A5123" s="112"/>
      <c r="B5123" s="21" t="s">
        <v>11862</v>
      </c>
      <c r="C5123" s="21" t="s">
        <v>11863</v>
      </c>
      <c r="D5123" s="21" t="s">
        <v>1668</v>
      </c>
      <c r="E5123" s="50" t="b">
        <v>1</v>
      </c>
      <c r="F5123" s="72" t="str">
        <f>HYPERLINK("http://nsgreg.nga.mil/genc/view?v=296497&amp;end_month=6&amp;end_day=30&amp;end_year=2019","Bình Dương")</f>
        <v>Bình Dương</v>
      </c>
      <c r="G5123" s="72" t="str">
        <f>HYPERLINK("http://api.nsgreg.nga.mil/geo-division/GENC/6/3-11/VN-57","as:GENC:6:3-11:VN-57")</f>
        <v>as:GENC:6:3-11:VN-57</v>
      </c>
    </row>
    <row r="5124" spans="1:7" x14ac:dyDescent="0.25">
      <c r="A5124" s="112"/>
      <c r="B5124" s="21" t="s">
        <v>11864</v>
      </c>
      <c r="C5124" s="21" t="s">
        <v>11865</v>
      </c>
      <c r="D5124" s="21" t="s">
        <v>1668</v>
      </c>
      <c r="E5124" s="50" t="b">
        <v>1</v>
      </c>
      <c r="F5124" s="72" t="str">
        <f>HYPERLINK("http://nsgreg.nga.mil/genc/view?v=296498&amp;end_month=6&amp;end_day=30&amp;end_year=2019","Bình Phước")</f>
        <v>Bình Phước</v>
      </c>
      <c r="G5124" s="72" t="str">
        <f>HYPERLINK("http://api.nsgreg.nga.mil/geo-division/GENC/6/3-11/VN-58","as:GENC:6:3-11:VN-58")</f>
        <v>as:GENC:6:3-11:VN-58</v>
      </c>
    </row>
    <row r="5125" spans="1:7" x14ac:dyDescent="0.25">
      <c r="A5125" s="112"/>
      <c r="B5125" s="21" t="s">
        <v>11866</v>
      </c>
      <c r="C5125" s="21" t="s">
        <v>11867</v>
      </c>
      <c r="D5125" s="21" t="s">
        <v>1668</v>
      </c>
      <c r="E5125" s="50" t="b">
        <v>1</v>
      </c>
      <c r="F5125" s="72" t="str">
        <f>HYPERLINK("http://nsgreg.nga.mil/genc/view?v=296482&amp;end_month=6&amp;end_day=30&amp;end_year=2019","Bình Thuận")</f>
        <v>Bình Thuận</v>
      </c>
      <c r="G5125" s="72" t="str">
        <f>HYPERLINK("http://api.nsgreg.nga.mil/geo-division/GENC/6/3-11/VN-40","as:GENC:6:3-11:VN-40")</f>
        <v>as:GENC:6:3-11:VN-40</v>
      </c>
    </row>
    <row r="5126" spans="1:7" x14ac:dyDescent="0.25">
      <c r="A5126" s="112"/>
      <c r="B5126" s="21" t="s">
        <v>11868</v>
      </c>
      <c r="C5126" s="21" t="s">
        <v>11869</v>
      </c>
      <c r="D5126" s="21" t="s">
        <v>1668</v>
      </c>
      <c r="E5126" s="50" t="b">
        <v>1</v>
      </c>
      <c r="F5126" s="72" t="str">
        <f>HYPERLINK("http://nsgreg.nga.mil/genc/view?v=296499&amp;end_month=6&amp;end_day=30&amp;end_year=2019","Cà Mau")</f>
        <v>Cà Mau</v>
      </c>
      <c r="G5126" s="72" t="str">
        <f>HYPERLINK("http://api.nsgreg.nga.mil/geo-division/GENC/6/3-11/VN-59","as:GENC:6:3-11:VN-59")</f>
        <v>as:GENC:6:3-11:VN-59</v>
      </c>
    </row>
    <row r="5127" spans="1:7" x14ac:dyDescent="0.25">
      <c r="A5127" s="112"/>
      <c r="B5127" s="21" t="s">
        <v>11870</v>
      </c>
      <c r="C5127" s="21" t="s">
        <v>11871</v>
      </c>
      <c r="D5127" s="21" t="s">
        <v>2505</v>
      </c>
      <c r="E5127" s="50" t="b">
        <v>1</v>
      </c>
      <c r="F5127" s="72" t="str">
        <f>HYPERLINK("http://nsgreg.nga.mil/genc/view?v=296510&amp;end_month=6&amp;end_day=30&amp;end_year=2019","Cần Thơ")</f>
        <v>Cần Thơ</v>
      </c>
      <c r="G5127" s="72" t="str">
        <f>HYPERLINK("http://api.nsgreg.nga.mil/geo-division/GENC/6/3-11/VN-CT","as:GENC:6:3-11:VN-CT")</f>
        <v>as:GENC:6:3-11:VN-CT</v>
      </c>
    </row>
    <row r="5128" spans="1:7" x14ac:dyDescent="0.25">
      <c r="A5128" s="112"/>
      <c r="B5128" s="21" t="s">
        <v>11872</v>
      </c>
      <c r="C5128" s="21" t="s">
        <v>11873</v>
      </c>
      <c r="D5128" s="21" t="s">
        <v>1668</v>
      </c>
      <c r="E5128" s="50" t="b">
        <v>1</v>
      </c>
      <c r="F5128" s="72" t="str">
        <f>HYPERLINK("http://nsgreg.nga.mil/genc/view?v=296455&amp;end_month=6&amp;end_day=30&amp;end_year=2019","Cao Bằng")</f>
        <v>Cao Bằng</v>
      </c>
      <c r="G5128" s="72" t="str">
        <f>HYPERLINK("http://api.nsgreg.nga.mil/geo-division/GENC/6/3-11/VN-04","as:GENC:6:3-11:VN-04")</f>
        <v>as:GENC:6:3-11:VN-04</v>
      </c>
    </row>
    <row r="5129" spans="1:7" x14ac:dyDescent="0.25">
      <c r="A5129" s="112"/>
      <c r="B5129" s="21" t="s">
        <v>11874</v>
      </c>
      <c r="C5129" s="21" t="s">
        <v>11875</v>
      </c>
      <c r="D5129" s="21" t="s">
        <v>1668</v>
      </c>
      <c r="E5129" s="50" t="b">
        <v>1</v>
      </c>
      <c r="F5129" s="72" t="str">
        <f>HYPERLINK("http://nsgreg.nga.mil/genc/view?v=296476&amp;end_month=6&amp;end_day=30&amp;end_year=2019","Đắk Lắk")</f>
        <v>Đắk Lắk</v>
      </c>
      <c r="G5129" s="72" t="str">
        <f>HYPERLINK("http://api.nsgreg.nga.mil/geo-division/GENC/6/3-11/VN-33","as:GENC:6:3-11:VN-33")</f>
        <v>as:GENC:6:3-11:VN-33</v>
      </c>
    </row>
    <row r="5130" spans="1:7" x14ac:dyDescent="0.25">
      <c r="A5130" s="112"/>
      <c r="B5130" s="21" t="s">
        <v>11876</v>
      </c>
      <c r="C5130" s="21" t="s">
        <v>11877</v>
      </c>
      <c r="D5130" s="21" t="s">
        <v>1668</v>
      </c>
      <c r="E5130" s="50" t="b">
        <v>1</v>
      </c>
      <c r="F5130" s="72" t="str">
        <f>HYPERLINK("http://nsgreg.nga.mil/genc/view?v=296508&amp;end_month=6&amp;end_day=30&amp;end_year=2019","Đắk Nông")</f>
        <v>Đắk Nông</v>
      </c>
      <c r="G5130" s="72" t="str">
        <f>HYPERLINK("http://api.nsgreg.nga.mil/geo-division/GENC/6/3-11/VN-72","as:GENC:6:3-11:VN-72")</f>
        <v>as:GENC:6:3-11:VN-72</v>
      </c>
    </row>
    <row r="5131" spans="1:7" x14ac:dyDescent="0.25">
      <c r="A5131" s="112"/>
      <c r="B5131" s="21" t="s">
        <v>11878</v>
      </c>
      <c r="C5131" s="21" t="s">
        <v>11879</v>
      </c>
      <c r="D5131" s="21" t="s">
        <v>2505</v>
      </c>
      <c r="E5131" s="50" t="b">
        <v>1</v>
      </c>
      <c r="F5131" s="72" t="str">
        <f>HYPERLINK("http://nsgreg.nga.mil/genc/view?v=296511&amp;end_month=6&amp;end_day=30&amp;end_year=2019","Đà Nẵng")</f>
        <v>Đà Nẵng</v>
      </c>
      <c r="G5131" s="72" t="str">
        <f>HYPERLINK("http://api.nsgreg.nga.mil/geo-division/GENC/6/3-11/VN-DN","as:GENC:6:3-11:VN-DN")</f>
        <v>as:GENC:6:3-11:VN-DN</v>
      </c>
    </row>
    <row r="5132" spans="1:7" x14ac:dyDescent="0.25">
      <c r="A5132" s="112"/>
      <c r="B5132" s="21" t="s">
        <v>11880</v>
      </c>
      <c r="C5132" s="21" t="s">
        <v>11881</v>
      </c>
      <c r="D5132" s="21" t="s">
        <v>1668</v>
      </c>
      <c r="E5132" s="50" t="b">
        <v>1</v>
      </c>
      <c r="F5132" s="72" t="str">
        <f>HYPERLINK("http://nsgreg.nga.mil/genc/view?v=296507&amp;end_month=6&amp;end_day=30&amp;end_year=2019","Điện Biên")</f>
        <v>Điện Biên</v>
      </c>
      <c r="G5132" s="72" t="str">
        <f>HYPERLINK("http://api.nsgreg.nga.mil/geo-division/GENC/6/3-11/VN-71","as:GENC:6:3-11:VN-71")</f>
        <v>as:GENC:6:3-11:VN-71</v>
      </c>
    </row>
    <row r="5133" spans="1:7" x14ac:dyDescent="0.25">
      <c r="A5133" s="112"/>
      <c r="B5133" s="21" t="s">
        <v>11882</v>
      </c>
      <c r="C5133" s="21" t="s">
        <v>11883</v>
      </c>
      <c r="D5133" s="21" t="s">
        <v>1668</v>
      </c>
      <c r="E5133" s="50" t="b">
        <v>1</v>
      </c>
      <c r="F5133" s="72" t="str">
        <f>HYPERLINK("http://nsgreg.nga.mil/genc/view?v=296481&amp;end_month=6&amp;end_day=30&amp;end_year=2019","Đồng Nai")</f>
        <v>Đồng Nai</v>
      </c>
      <c r="G5133" s="72" t="str">
        <f>HYPERLINK("http://api.nsgreg.nga.mil/geo-division/GENC/6/3-11/VN-39","as:GENC:6:3-11:VN-39")</f>
        <v>as:GENC:6:3-11:VN-39</v>
      </c>
    </row>
    <row r="5134" spans="1:7" x14ac:dyDescent="0.25">
      <c r="A5134" s="112"/>
      <c r="B5134" s="21" t="s">
        <v>11884</v>
      </c>
      <c r="C5134" s="21" t="s">
        <v>11885</v>
      </c>
      <c r="D5134" s="21" t="s">
        <v>1668</v>
      </c>
      <c r="E5134" s="50" t="b">
        <v>1</v>
      </c>
      <c r="F5134" s="72" t="str">
        <f>HYPERLINK("http://nsgreg.nga.mil/genc/view?v=296486&amp;end_month=6&amp;end_day=30&amp;end_year=2019","Đồng Tháp")</f>
        <v>Đồng Tháp</v>
      </c>
      <c r="G5134" s="72" t="str">
        <f>HYPERLINK("http://api.nsgreg.nga.mil/geo-division/GENC/6/3-11/VN-45","as:GENC:6:3-11:VN-45")</f>
        <v>as:GENC:6:3-11:VN-45</v>
      </c>
    </row>
    <row r="5135" spans="1:7" x14ac:dyDescent="0.25">
      <c r="A5135" s="112"/>
      <c r="B5135" s="21" t="s">
        <v>11886</v>
      </c>
      <c r="C5135" s="21" t="s">
        <v>11887</v>
      </c>
      <c r="D5135" s="21" t="s">
        <v>1668</v>
      </c>
      <c r="E5135" s="50" t="b">
        <v>1</v>
      </c>
      <c r="F5135" s="72" t="str">
        <f>HYPERLINK("http://nsgreg.nga.mil/genc/view?v=296473&amp;end_month=6&amp;end_day=30&amp;end_year=2019","Gia Lai")</f>
        <v>Gia Lai</v>
      </c>
      <c r="G5135" s="72" t="str">
        <f>HYPERLINK("http://api.nsgreg.nga.mil/geo-division/GENC/6/3-11/VN-30","as:GENC:6:3-11:VN-30")</f>
        <v>as:GENC:6:3-11:VN-30</v>
      </c>
    </row>
    <row r="5136" spans="1:7" x14ac:dyDescent="0.25">
      <c r="A5136" s="112"/>
      <c r="B5136" s="21" t="s">
        <v>11888</v>
      </c>
      <c r="C5136" s="21" t="s">
        <v>11889</v>
      </c>
      <c r="D5136" s="21" t="s">
        <v>1668</v>
      </c>
      <c r="E5136" s="50" t="b">
        <v>1</v>
      </c>
      <c r="F5136" s="72" t="str">
        <f>HYPERLINK("http://nsgreg.nga.mil/genc/view?v=296454&amp;end_month=6&amp;end_day=30&amp;end_year=2019","Hà Giang")</f>
        <v>Hà Giang</v>
      </c>
      <c r="G5136" s="72" t="str">
        <f>HYPERLINK("http://api.nsgreg.nga.mil/geo-division/GENC/6/3-11/VN-03","as:GENC:6:3-11:VN-03")</f>
        <v>as:GENC:6:3-11:VN-03</v>
      </c>
    </row>
    <row r="5137" spans="1:7" x14ac:dyDescent="0.25">
      <c r="A5137" s="112"/>
      <c r="B5137" s="21" t="s">
        <v>11890</v>
      </c>
      <c r="C5137" s="21" t="s">
        <v>11891</v>
      </c>
      <c r="D5137" s="21" t="s">
        <v>1668</v>
      </c>
      <c r="E5137" s="50" t="b">
        <v>1</v>
      </c>
      <c r="F5137" s="72" t="str">
        <f>HYPERLINK("http://nsgreg.nga.mil/genc/view?v=296500&amp;end_month=6&amp;end_day=30&amp;end_year=2019","Hải Dương")</f>
        <v>Hải Dương</v>
      </c>
      <c r="G5137" s="72" t="str">
        <f>HYPERLINK("http://api.nsgreg.nga.mil/geo-division/GENC/6/3-11/VN-61","as:GENC:6:3-11:VN-61")</f>
        <v>as:GENC:6:3-11:VN-61</v>
      </c>
    </row>
    <row r="5138" spans="1:7" x14ac:dyDescent="0.25">
      <c r="A5138" s="112"/>
      <c r="B5138" s="21" t="s">
        <v>11892</v>
      </c>
      <c r="C5138" s="21" t="s">
        <v>11893</v>
      </c>
      <c r="D5138" s="21" t="s">
        <v>2505</v>
      </c>
      <c r="E5138" s="50" t="b">
        <v>1</v>
      </c>
      <c r="F5138" s="72" t="str">
        <f>HYPERLINK("http://nsgreg.nga.mil/genc/view?v=296513&amp;end_month=6&amp;end_day=30&amp;end_year=2019","Hải Phòng")</f>
        <v>Hải Phòng</v>
      </c>
      <c r="G5138" s="72" t="str">
        <f>HYPERLINK("http://api.nsgreg.nga.mil/geo-division/GENC/6/3-11/VN-HP","as:GENC:6:3-11:VN-HP")</f>
        <v>as:GENC:6:3-11:VN-HP</v>
      </c>
    </row>
    <row r="5139" spans="1:7" x14ac:dyDescent="0.25">
      <c r="A5139" s="112"/>
      <c r="B5139" s="21" t="s">
        <v>11894</v>
      </c>
      <c r="C5139" s="21" t="s">
        <v>11895</v>
      </c>
      <c r="D5139" s="21" t="s">
        <v>1668</v>
      </c>
      <c r="E5139" s="50" t="b">
        <v>1</v>
      </c>
      <c r="F5139" s="72" t="str">
        <f>HYPERLINK("http://nsgreg.nga.mil/genc/view?v=296501&amp;end_month=6&amp;end_day=30&amp;end_year=2019","Hà Nam")</f>
        <v>Hà Nam</v>
      </c>
      <c r="G5139" s="72" t="str">
        <f>HYPERLINK("http://api.nsgreg.nga.mil/geo-division/GENC/6/3-11/VN-63","as:GENC:6:3-11:VN-63")</f>
        <v>as:GENC:6:3-11:VN-63</v>
      </c>
    </row>
    <row r="5140" spans="1:7" x14ac:dyDescent="0.25">
      <c r="A5140" s="112"/>
      <c r="B5140" s="21" t="s">
        <v>11896</v>
      </c>
      <c r="C5140" s="21" t="s">
        <v>11897</v>
      </c>
      <c r="D5140" s="21" t="s">
        <v>2505</v>
      </c>
      <c r="E5140" s="50" t="b">
        <v>1</v>
      </c>
      <c r="F5140" s="72" t="str">
        <f>HYPERLINK("http://nsgreg.nga.mil/genc/view?v=296512&amp;end_month=6&amp;end_day=30&amp;end_year=2019","Hà Nội")</f>
        <v>Hà Nội</v>
      </c>
      <c r="G5140" s="72" t="str">
        <f>HYPERLINK("http://api.nsgreg.nga.mil/geo-division/GENC/6/3-11/VN-HN","as:GENC:6:3-11:VN-HN")</f>
        <v>as:GENC:6:3-11:VN-HN</v>
      </c>
    </row>
    <row r="5141" spans="1:7" x14ac:dyDescent="0.25">
      <c r="A5141" s="112"/>
      <c r="B5141" s="21" t="s">
        <v>11898</v>
      </c>
      <c r="C5141" s="21" t="s">
        <v>11899</v>
      </c>
      <c r="D5141" s="21" t="s">
        <v>1668</v>
      </c>
      <c r="E5141" s="50" t="b">
        <v>1</v>
      </c>
      <c r="F5141" s="72" t="str">
        <f>HYPERLINK("http://nsgreg.nga.mil/genc/view?v=296466&amp;end_month=6&amp;end_day=30&amp;end_year=2019","Hà Tĩnh")</f>
        <v>Hà Tĩnh</v>
      </c>
      <c r="G5141" s="72" t="str">
        <f>HYPERLINK("http://api.nsgreg.nga.mil/geo-division/GENC/6/3-11/VN-23","as:GENC:6:3-11:VN-23")</f>
        <v>as:GENC:6:3-11:VN-23</v>
      </c>
    </row>
    <row r="5142" spans="1:7" x14ac:dyDescent="0.25">
      <c r="A5142" s="112"/>
      <c r="B5142" s="21" t="s">
        <v>11900</v>
      </c>
      <c r="C5142" s="21" t="s">
        <v>11901</v>
      </c>
      <c r="D5142" s="21" t="s">
        <v>1668</v>
      </c>
      <c r="E5142" s="50" t="b">
        <v>1</v>
      </c>
      <c r="F5142" s="72" t="str">
        <f>HYPERLINK("http://nsgreg.nga.mil/genc/view?v=296509&amp;end_month=6&amp;end_day=30&amp;end_year=2019","Hậu Giang")</f>
        <v>Hậu Giang</v>
      </c>
      <c r="G5142" s="72" t="str">
        <f>HYPERLINK("http://api.nsgreg.nga.mil/geo-division/GENC/6/3-11/VN-73","as:GENC:6:3-11:VN-73")</f>
        <v>as:GENC:6:3-11:VN-73</v>
      </c>
    </row>
    <row r="5143" spans="1:7" x14ac:dyDescent="0.25">
      <c r="A5143" s="112"/>
      <c r="B5143" s="21" t="s">
        <v>11902</v>
      </c>
      <c r="C5143" s="21" t="s">
        <v>11903</v>
      </c>
      <c r="D5143" s="21" t="s">
        <v>1668</v>
      </c>
      <c r="E5143" s="50" t="b">
        <v>1</v>
      </c>
      <c r="F5143" s="72" t="str">
        <f>HYPERLINK("http://nsgreg.nga.mil/genc/view?v=296461&amp;end_month=6&amp;end_day=30&amp;end_year=2019","Hòa Bình")</f>
        <v>Hòa Bình</v>
      </c>
      <c r="G5143" s="72" t="str">
        <f>HYPERLINK("http://api.nsgreg.nga.mil/geo-division/GENC/6/3-11/VN-14","as:GENC:6:3-11:VN-14")</f>
        <v>as:GENC:6:3-11:VN-14</v>
      </c>
    </row>
    <row r="5144" spans="1:7" x14ac:dyDescent="0.25">
      <c r="A5144" s="112"/>
      <c r="B5144" s="21" t="s">
        <v>11904</v>
      </c>
      <c r="C5144" s="21" t="s">
        <v>11905</v>
      </c>
      <c r="D5144" s="21" t="s">
        <v>2505</v>
      </c>
      <c r="E5144" s="50" t="b">
        <v>1</v>
      </c>
      <c r="F5144" s="72" t="str">
        <f>HYPERLINK("http://nsgreg.nga.mil/genc/view?v=296514&amp;end_month=6&amp;end_day=30&amp;end_year=2019","Hồ Chí Minh")</f>
        <v>Hồ Chí Minh</v>
      </c>
      <c r="G5144" s="72" t="str">
        <f>HYPERLINK("http://api.nsgreg.nga.mil/geo-division/GENC/6/3-11/VN-SG","as:GENC:6:3-11:VN-SG")</f>
        <v>as:GENC:6:3-11:VN-SG</v>
      </c>
    </row>
    <row r="5145" spans="1:7" x14ac:dyDescent="0.25">
      <c r="A5145" s="112"/>
      <c r="B5145" s="21" t="s">
        <v>11906</v>
      </c>
      <c r="C5145" s="21" t="s">
        <v>11907</v>
      </c>
      <c r="D5145" s="21" t="s">
        <v>1668</v>
      </c>
      <c r="E5145" s="50" t="b">
        <v>1</v>
      </c>
      <c r="F5145" s="72" t="str">
        <f>HYPERLINK("http://nsgreg.nga.mil/genc/view?v=296502&amp;end_month=6&amp;end_day=30&amp;end_year=2019","Hưng Yên")</f>
        <v>Hưng Yên</v>
      </c>
      <c r="G5145" s="72" t="str">
        <f>HYPERLINK("http://api.nsgreg.nga.mil/geo-division/GENC/6/3-11/VN-66","as:GENC:6:3-11:VN-66")</f>
        <v>as:GENC:6:3-11:VN-66</v>
      </c>
    </row>
    <row r="5146" spans="1:7" x14ac:dyDescent="0.25">
      <c r="A5146" s="112"/>
      <c r="B5146" s="21" t="s">
        <v>11908</v>
      </c>
      <c r="C5146" s="21" t="s">
        <v>11909</v>
      </c>
      <c r="D5146" s="21" t="s">
        <v>1668</v>
      </c>
      <c r="E5146" s="50" t="b">
        <v>1</v>
      </c>
      <c r="F5146" s="72" t="str">
        <f>HYPERLINK("http://nsgreg.nga.mil/genc/view?v=296477&amp;end_month=6&amp;end_day=30&amp;end_year=2019","Khánh Hòa")</f>
        <v>Khánh Hòa</v>
      </c>
      <c r="G5146" s="72" t="str">
        <f>HYPERLINK("http://api.nsgreg.nga.mil/geo-division/GENC/6/3-11/VN-34","as:GENC:6:3-11:VN-34")</f>
        <v>as:GENC:6:3-11:VN-34</v>
      </c>
    </row>
    <row r="5147" spans="1:7" x14ac:dyDescent="0.25">
      <c r="A5147" s="112"/>
      <c r="B5147" s="21" t="s">
        <v>11910</v>
      </c>
      <c r="C5147" s="21" t="s">
        <v>11911</v>
      </c>
      <c r="D5147" s="21" t="s">
        <v>1668</v>
      </c>
      <c r="E5147" s="50" t="b">
        <v>1</v>
      </c>
      <c r="F5147" s="72" t="str">
        <f>HYPERLINK("http://nsgreg.nga.mil/genc/view?v=296488&amp;end_month=6&amp;end_day=30&amp;end_year=2019","Kiến Giang")</f>
        <v>Kiến Giang</v>
      </c>
      <c r="G5147" s="72" t="str">
        <f>HYPERLINK("http://api.nsgreg.nga.mil/geo-division/GENC/6/3-11/VN-47","as:GENC:6:3-11:VN-47")</f>
        <v>as:GENC:6:3-11:VN-47</v>
      </c>
    </row>
    <row r="5148" spans="1:7" x14ac:dyDescent="0.25">
      <c r="A5148" s="112"/>
      <c r="B5148" s="21" t="s">
        <v>11912</v>
      </c>
      <c r="C5148" s="21" t="s">
        <v>11913</v>
      </c>
      <c r="D5148" s="21" t="s">
        <v>1668</v>
      </c>
      <c r="E5148" s="50" t="b">
        <v>1</v>
      </c>
      <c r="F5148" s="72" t="str">
        <f>HYPERLINK("http://nsgreg.nga.mil/genc/view?v=296471&amp;end_month=6&amp;end_day=30&amp;end_year=2019","Kon Tum")</f>
        <v>Kon Tum</v>
      </c>
      <c r="G5148" s="72" t="str">
        <f>HYPERLINK("http://api.nsgreg.nga.mil/geo-division/GENC/6/3-11/VN-28","as:GENC:6:3-11:VN-28")</f>
        <v>as:GENC:6:3-11:VN-28</v>
      </c>
    </row>
    <row r="5149" spans="1:7" x14ac:dyDescent="0.25">
      <c r="A5149" s="112"/>
      <c r="B5149" s="21" t="s">
        <v>11914</v>
      </c>
      <c r="C5149" s="21" t="s">
        <v>11915</v>
      </c>
      <c r="D5149" s="21" t="s">
        <v>1668</v>
      </c>
      <c r="E5149" s="50" t="b">
        <v>1</v>
      </c>
      <c r="F5149" s="72" t="str">
        <f>HYPERLINK("http://nsgreg.nga.mil/genc/view?v=296452&amp;end_month=6&amp;end_day=30&amp;end_year=2019","Lai Châu")</f>
        <v>Lai Châu</v>
      </c>
      <c r="G5149" s="72" t="str">
        <f>HYPERLINK("http://api.nsgreg.nga.mil/geo-division/GENC/6/3-11/VN-01","as:GENC:6:3-11:VN-01")</f>
        <v>as:GENC:6:3-11:VN-01</v>
      </c>
    </row>
    <row r="5150" spans="1:7" x14ac:dyDescent="0.25">
      <c r="A5150" s="112"/>
      <c r="B5150" s="21" t="s">
        <v>11916</v>
      </c>
      <c r="C5150" s="21" t="s">
        <v>11917</v>
      </c>
      <c r="D5150" s="21" t="s">
        <v>1668</v>
      </c>
      <c r="E5150" s="50" t="b">
        <v>1</v>
      </c>
      <c r="F5150" s="72" t="str">
        <f>HYPERLINK("http://nsgreg.nga.mil/genc/view?v=296478&amp;end_month=6&amp;end_day=30&amp;end_year=2019","Lâm Đồng")</f>
        <v>Lâm Đồng</v>
      </c>
      <c r="G5150" s="72" t="str">
        <f>HYPERLINK("http://api.nsgreg.nga.mil/geo-division/GENC/6/3-11/VN-35","as:GENC:6:3-11:VN-35")</f>
        <v>as:GENC:6:3-11:VN-35</v>
      </c>
    </row>
    <row r="5151" spans="1:7" x14ac:dyDescent="0.25">
      <c r="A5151" s="112"/>
      <c r="B5151" s="21" t="s">
        <v>11918</v>
      </c>
      <c r="C5151" s="21" t="s">
        <v>11919</v>
      </c>
      <c r="D5151" s="21" t="s">
        <v>1668</v>
      </c>
      <c r="E5151" s="50" t="b">
        <v>1</v>
      </c>
      <c r="F5151" s="72" t="str">
        <f>HYPERLINK("http://nsgreg.nga.mil/genc/view?v=296459&amp;end_month=6&amp;end_day=30&amp;end_year=2019","Lạng Sơn")</f>
        <v>Lạng Sơn</v>
      </c>
      <c r="G5151" s="72" t="str">
        <f>HYPERLINK("http://api.nsgreg.nga.mil/geo-division/GENC/6/3-11/VN-09","as:GENC:6:3-11:VN-09")</f>
        <v>as:GENC:6:3-11:VN-09</v>
      </c>
    </row>
    <row r="5152" spans="1:7" x14ac:dyDescent="0.25">
      <c r="A5152" s="112"/>
      <c r="B5152" s="21" t="s">
        <v>11920</v>
      </c>
      <c r="C5152" s="21" t="s">
        <v>11921</v>
      </c>
      <c r="D5152" s="21" t="s">
        <v>1668</v>
      </c>
      <c r="E5152" s="50" t="b">
        <v>1</v>
      </c>
      <c r="F5152" s="72" t="str">
        <f>HYPERLINK("http://nsgreg.nga.mil/genc/view?v=296453&amp;end_month=6&amp;end_day=30&amp;end_year=2019","Lào Cai")</f>
        <v>Lào Cai</v>
      </c>
      <c r="G5152" s="72" t="str">
        <f>HYPERLINK("http://api.nsgreg.nga.mil/geo-division/GENC/6/3-11/VN-02","as:GENC:6:3-11:VN-02")</f>
        <v>as:GENC:6:3-11:VN-02</v>
      </c>
    </row>
    <row r="5153" spans="1:7" x14ac:dyDescent="0.25">
      <c r="A5153" s="112"/>
      <c r="B5153" s="21" t="s">
        <v>11922</v>
      </c>
      <c r="C5153" s="21" t="s">
        <v>11923</v>
      </c>
      <c r="D5153" s="21" t="s">
        <v>1668</v>
      </c>
      <c r="E5153" s="50" t="b">
        <v>1</v>
      </c>
      <c r="F5153" s="72" t="str">
        <f>HYPERLINK("http://nsgreg.nga.mil/genc/view?v=296483&amp;end_month=6&amp;end_day=30&amp;end_year=2019","Long An")</f>
        <v>Long An</v>
      </c>
      <c r="G5153" s="72" t="str">
        <f>HYPERLINK("http://api.nsgreg.nga.mil/geo-division/GENC/6/3-11/VN-41","as:GENC:6:3-11:VN-41")</f>
        <v>as:GENC:6:3-11:VN-41</v>
      </c>
    </row>
    <row r="5154" spans="1:7" x14ac:dyDescent="0.25">
      <c r="A5154" s="112"/>
      <c r="B5154" s="21" t="s">
        <v>11924</v>
      </c>
      <c r="C5154" s="21" t="s">
        <v>11925</v>
      </c>
      <c r="D5154" s="21" t="s">
        <v>1668</v>
      </c>
      <c r="E5154" s="50" t="b">
        <v>1</v>
      </c>
      <c r="F5154" s="72" t="str">
        <f>HYPERLINK("http://nsgreg.nga.mil/genc/view?v=296503&amp;end_month=6&amp;end_day=30&amp;end_year=2019","Nam Định")</f>
        <v>Nam Định</v>
      </c>
      <c r="G5154" s="72" t="str">
        <f>HYPERLINK("http://api.nsgreg.nga.mil/geo-division/GENC/6/3-11/VN-67","as:GENC:6:3-11:VN-67")</f>
        <v>as:GENC:6:3-11:VN-67</v>
      </c>
    </row>
    <row r="5155" spans="1:7" x14ac:dyDescent="0.25">
      <c r="A5155" s="112"/>
      <c r="B5155" s="21" t="s">
        <v>11926</v>
      </c>
      <c r="C5155" s="21" t="s">
        <v>11927</v>
      </c>
      <c r="D5155" s="21" t="s">
        <v>1668</v>
      </c>
      <c r="E5155" s="50" t="b">
        <v>1</v>
      </c>
      <c r="F5155" s="72" t="str">
        <f>HYPERLINK("http://nsgreg.nga.mil/genc/view?v=296465&amp;end_month=6&amp;end_day=30&amp;end_year=2019","Nghệ An")</f>
        <v>Nghệ An</v>
      </c>
      <c r="G5155" s="72" t="str">
        <f>HYPERLINK("http://api.nsgreg.nga.mil/geo-division/GENC/6/3-11/VN-22","as:GENC:6:3-11:VN-22")</f>
        <v>as:GENC:6:3-11:VN-22</v>
      </c>
    </row>
    <row r="5156" spans="1:7" x14ac:dyDescent="0.25">
      <c r="A5156" s="112"/>
      <c r="B5156" s="21" t="s">
        <v>11928</v>
      </c>
      <c r="C5156" s="21" t="s">
        <v>11929</v>
      </c>
      <c r="D5156" s="21" t="s">
        <v>1668</v>
      </c>
      <c r="E5156" s="50" t="b">
        <v>1</v>
      </c>
      <c r="F5156" s="72" t="str">
        <f>HYPERLINK("http://nsgreg.nga.mil/genc/view?v=296462&amp;end_month=6&amp;end_day=30&amp;end_year=2019","Ninh Bình")</f>
        <v>Ninh Bình</v>
      </c>
      <c r="G5156" s="72" t="str">
        <f>HYPERLINK("http://api.nsgreg.nga.mil/geo-division/GENC/6/3-11/VN-18","as:GENC:6:3-11:VN-18")</f>
        <v>as:GENC:6:3-11:VN-18</v>
      </c>
    </row>
    <row r="5157" spans="1:7" x14ac:dyDescent="0.25">
      <c r="A5157" s="112"/>
      <c r="B5157" s="21" t="s">
        <v>11930</v>
      </c>
      <c r="C5157" s="21" t="s">
        <v>11931</v>
      </c>
      <c r="D5157" s="21" t="s">
        <v>1668</v>
      </c>
      <c r="E5157" s="50" t="b">
        <v>1</v>
      </c>
      <c r="F5157" s="72" t="str">
        <f>HYPERLINK("http://nsgreg.nga.mil/genc/view?v=296479&amp;end_month=6&amp;end_day=30&amp;end_year=2019","Ninh Thuận")</f>
        <v>Ninh Thuận</v>
      </c>
      <c r="G5157" s="72" t="str">
        <f>HYPERLINK("http://api.nsgreg.nga.mil/geo-division/GENC/6/3-11/VN-36","as:GENC:6:3-11:VN-36")</f>
        <v>as:GENC:6:3-11:VN-36</v>
      </c>
    </row>
    <row r="5158" spans="1:7" x14ac:dyDescent="0.25">
      <c r="A5158" s="112"/>
      <c r="B5158" s="21" t="s">
        <v>11932</v>
      </c>
      <c r="C5158" s="21" t="s">
        <v>11933</v>
      </c>
      <c r="D5158" s="21" t="s">
        <v>1668</v>
      </c>
      <c r="E5158" s="50" t="b">
        <v>1</v>
      </c>
      <c r="F5158" s="72" t="str">
        <f>HYPERLINK("http://nsgreg.nga.mil/genc/view?v=296504&amp;end_month=6&amp;end_day=30&amp;end_year=2019","Phú Thọ")</f>
        <v>Phú Thọ</v>
      </c>
      <c r="G5158" s="72" t="str">
        <f>HYPERLINK("http://api.nsgreg.nga.mil/geo-division/GENC/6/3-11/VN-68","as:GENC:6:3-11:VN-68")</f>
        <v>as:GENC:6:3-11:VN-68</v>
      </c>
    </row>
    <row r="5159" spans="1:7" x14ac:dyDescent="0.25">
      <c r="A5159" s="112"/>
      <c r="B5159" s="21" t="s">
        <v>11934</v>
      </c>
      <c r="C5159" s="21" t="s">
        <v>11935</v>
      </c>
      <c r="D5159" s="21" t="s">
        <v>1668</v>
      </c>
      <c r="E5159" s="50" t="b">
        <v>1</v>
      </c>
      <c r="F5159" s="72" t="str">
        <f>HYPERLINK("http://nsgreg.nga.mil/genc/view?v=296475&amp;end_month=6&amp;end_day=30&amp;end_year=2019","Phú Yên")</f>
        <v>Phú Yên</v>
      </c>
      <c r="G5159" s="72" t="str">
        <f>HYPERLINK("http://api.nsgreg.nga.mil/geo-division/GENC/6/3-11/VN-32","as:GENC:6:3-11:VN-32")</f>
        <v>as:GENC:6:3-11:VN-32</v>
      </c>
    </row>
    <row r="5160" spans="1:7" x14ac:dyDescent="0.25">
      <c r="A5160" s="112"/>
      <c r="B5160" s="21" t="s">
        <v>11936</v>
      </c>
      <c r="C5160" s="21" t="s">
        <v>11937</v>
      </c>
      <c r="D5160" s="21" t="s">
        <v>1668</v>
      </c>
      <c r="E5160" s="50" t="b">
        <v>1</v>
      </c>
      <c r="F5160" s="72" t="str">
        <f>HYPERLINK("http://nsgreg.nga.mil/genc/view?v=296467&amp;end_month=6&amp;end_day=30&amp;end_year=2019","Quảng Bình")</f>
        <v>Quảng Bình</v>
      </c>
      <c r="G5160" s="72" t="str">
        <f>HYPERLINK("http://api.nsgreg.nga.mil/geo-division/GENC/6/3-11/VN-24","as:GENC:6:3-11:VN-24")</f>
        <v>as:GENC:6:3-11:VN-24</v>
      </c>
    </row>
    <row r="5161" spans="1:7" x14ac:dyDescent="0.25">
      <c r="A5161" s="112"/>
      <c r="B5161" s="21" t="s">
        <v>11938</v>
      </c>
      <c r="C5161" s="21" t="s">
        <v>11939</v>
      </c>
      <c r="D5161" s="21" t="s">
        <v>1668</v>
      </c>
      <c r="E5161" s="50" t="b">
        <v>1</v>
      </c>
      <c r="F5161" s="72" t="str">
        <f>HYPERLINK("http://nsgreg.nga.mil/genc/view?v=296470&amp;end_month=6&amp;end_day=30&amp;end_year=2019","Quảng Nam")</f>
        <v>Quảng Nam</v>
      </c>
      <c r="G5161" s="72" t="str">
        <f>HYPERLINK("http://api.nsgreg.nga.mil/geo-division/GENC/6/3-11/VN-27","as:GENC:6:3-11:VN-27")</f>
        <v>as:GENC:6:3-11:VN-27</v>
      </c>
    </row>
    <row r="5162" spans="1:7" x14ac:dyDescent="0.25">
      <c r="A5162" s="112"/>
      <c r="B5162" s="21" t="s">
        <v>11940</v>
      </c>
      <c r="C5162" s="21" t="s">
        <v>11941</v>
      </c>
      <c r="D5162" s="21" t="s">
        <v>1668</v>
      </c>
      <c r="E5162" s="50" t="b">
        <v>1</v>
      </c>
      <c r="F5162" s="72" t="str">
        <f>HYPERLINK("http://nsgreg.nga.mil/genc/view?v=296472&amp;end_month=6&amp;end_day=30&amp;end_year=2019","Quảng Ngãi")</f>
        <v>Quảng Ngãi</v>
      </c>
      <c r="G5162" s="72" t="str">
        <f>HYPERLINK("http://api.nsgreg.nga.mil/geo-division/GENC/6/3-11/VN-29","as:GENC:6:3-11:VN-29")</f>
        <v>as:GENC:6:3-11:VN-29</v>
      </c>
    </row>
    <row r="5163" spans="1:7" x14ac:dyDescent="0.25">
      <c r="A5163" s="112"/>
      <c r="B5163" s="21" t="s">
        <v>11942</v>
      </c>
      <c r="C5163" s="21" t="s">
        <v>11943</v>
      </c>
      <c r="D5163" s="21" t="s">
        <v>1668</v>
      </c>
      <c r="E5163" s="50" t="b">
        <v>1</v>
      </c>
      <c r="F5163" s="72" t="str">
        <f>HYPERLINK("http://nsgreg.nga.mil/genc/view?v=296460&amp;end_month=6&amp;end_day=30&amp;end_year=2019","Quảng Ninh")</f>
        <v>Quảng Ninh</v>
      </c>
      <c r="G5163" s="72" t="str">
        <f>HYPERLINK("http://api.nsgreg.nga.mil/geo-division/GENC/6/3-11/VN-13","as:GENC:6:3-11:VN-13")</f>
        <v>as:GENC:6:3-11:VN-13</v>
      </c>
    </row>
    <row r="5164" spans="1:7" x14ac:dyDescent="0.25">
      <c r="A5164" s="112"/>
      <c r="B5164" s="21" t="s">
        <v>11944</v>
      </c>
      <c r="C5164" s="21" t="s">
        <v>11945</v>
      </c>
      <c r="D5164" s="21" t="s">
        <v>1668</v>
      </c>
      <c r="E5164" s="50" t="b">
        <v>1</v>
      </c>
      <c r="F5164" s="72" t="str">
        <f>HYPERLINK("http://nsgreg.nga.mil/genc/view?v=296468&amp;end_month=6&amp;end_day=30&amp;end_year=2019","Quảng Trị")</f>
        <v>Quảng Trị</v>
      </c>
      <c r="G5164" s="72" t="str">
        <f>HYPERLINK("http://api.nsgreg.nga.mil/geo-division/GENC/6/3-11/VN-25","as:GENC:6:3-11:VN-25")</f>
        <v>as:GENC:6:3-11:VN-25</v>
      </c>
    </row>
    <row r="5165" spans="1:7" x14ac:dyDescent="0.25">
      <c r="A5165" s="112"/>
      <c r="B5165" s="21" t="s">
        <v>11946</v>
      </c>
      <c r="C5165" s="21" t="s">
        <v>11947</v>
      </c>
      <c r="D5165" s="21" t="s">
        <v>1668</v>
      </c>
      <c r="E5165" s="50" t="b">
        <v>1</v>
      </c>
      <c r="F5165" s="72" t="str">
        <f>HYPERLINK("http://nsgreg.nga.mil/genc/view?v=296492&amp;end_month=6&amp;end_day=30&amp;end_year=2019","Sóc Trăng")</f>
        <v>Sóc Trăng</v>
      </c>
      <c r="G5165" s="72" t="str">
        <f>HYPERLINK("http://api.nsgreg.nga.mil/geo-division/GENC/6/3-11/VN-52","as:GENC:6:3-11:VN-52")</f>
        <v>as:GENC:6:3-11:VN-52</v>
      </c>
    </row>
    <row r="5166" spans="1:7" x14ac:dyDescent="0.25">
      <c r="A5166" s="112"/>
      <c r="B5166" s="21" t="s">
        <v>11948</v>
      </c>
      <c r="C5166" s="21" t="s">
        <v>11949</v>
      </c>
      <c r="D5166" s="21" t="s">
        <v>1668</v>
      </c>
      <c r="E5166" s="50" t="b">
        <v>1</v>
      </c>
      <c r="F5166" s="72" t="str">
        <f>HYPERLINK("http://nsgreg.nga.mil/genc/view?v=296456&amp;end_month=6&amp;end_day=30&amp;end_year=2019","Sơn La")</f>
        <v>Sơn La</v>
      </c>
      <c r="G5166" s="72" t="str">
        <f>HYPERLINK("http://api.nsgreg.nga.mil/geo-division/GENC/6/3-11/VN-05","as:GENC:6:3-11:VN-05")</f>
        <v>as:GENC:6:3-11:VN-05</v>
      </c>
    </row>
    <row r="5167" spans="1:7" x14ac:dyDescent="0.25">
      <c r="A5167" s="112"/>
      <c r="B5167" s="21" t="s">
        <v>11950</v>
      </c>
      <c r="C5167" s="21" t="s">
        <v>11951</v>
      </c>
      <c r="D5167" s="21" t="s">
        <v>1668</v>
      </c>
      <c r="E5167" s="50" t="b">
        <v>1</v>
      </c>
      <c r="F5167" s="72" t="str">
        <f>HYPERLINK("http://nsgreg.nga.mil/genc/view?v=296480&amp;end_month=6&amp;end_day=30&amp;end_year=2019","Tây Ninh")</f>
        <v>Tây Ninh</v>
      </c>
      <c r="G5167" s="72" t="str">
        <f>HYPERLINK("http://api.nsgreg.nga.mil/geo-division/GENC/6/3-11/VN-37","as:GENC:6:3-11:VN-37")</f>
        <v>as:GENC:6:3-11:VN-37</v>
      </c>
    </row>
    <row r="5168" spans="1:7" x14ac:dyDescent="0.25">
      <c r="A5168" s="112"/>
      <c r="B5168" s="21" t="s">
        <v>11952</v>
      </c>
      <c r="C5168" s="21" t="s">
        <v>11953</v>
      </c>
      <c r="D5168" s="21" t="s">
        <v>1668</v>
      </c>
      <c r="E5168" s="50" t="b">
        <v>1</v>
      </c>
      <c r="F5168" s="72" t="str">
        <f>HYPERLINK("http://nsgreg.nga.mil/genc/view?v=296463&amp;end_month=6&amp;end_day=30&amp;end_year=2019","Thái Bình")</f>
        <v>Thái Bình</v>
      </c>
      <c r="G5168" s="72" t="str">
        <f>HYPERLINK("http://api.nsgreg.nga.mil/geo-division/GENC/6/3-11/VN-20","as:GENC:6:3-11:VN-20")</f>
        <v>as:GENC:6:3-11:VN-20</v>
      </c>
    </row>
    <row r="5169" spans="1:7" x14ac:dyDescent="0.25">
      <c r="A5169" s="112"/>
      <c r="B5169" s="21" t="s">
        <v>11954</v>
      </c>
      <c r="C5169" s="21" t="s">
        <v>11955</v>
      </c>
      <c r="D5169" s="21" t="s">
        <v>1668</v>
      </c>
      <c r="E5169" s="50" t="b">
        <v>1</v>
      </c>
      <c r="F5169" s="72" t="str">
        <f>HYPERLINK("http://nsgreg.nga.mil/genc/view?v=296505&amp;end_month=6&amp;end_day=30&amp;end_year=2019","Thái Nguyên")</f>
        <v>Thái Nguyên</v>
      </c>
      <c r="G5169" s="72" t="str">
        <f>HYPERLINK("http://api.nsgreg.nga.mil/geo-division/GENC/6/3-11/VN-69","as:GENC:6:3-11:VN-69")</f>
        <v>as:GENC:6:3-11:VN-69</v>
      </c>
    </row>
    <row r="5170" spans="1:7" x14ac:dyDescent="0.25">
      <c r="A5170" s="112"/>
      <c r="B5170" s="21" t="s">
        <v>11956</v>
      </c>
      <c r="C5170" s="21" t="s">
        <v>11957</v>
      </c>
      <c r="D5170" s="21" t="s">
        <v>1668</v>
      </c>
      <c r="E5170" s="50" t="b">
        <v>1</v>
      </c>
      <c r="F5170" s="72" t="str">
        <f>HYPERLINK("http://nsgreg.nga.mil/genc/view?v=296464&amp;end_month=6&amp;end_day=30&amp;end_year=2019","Thanh Hóa")</f>
        <v>Thanh Hóa</v>
      </c>
      <c r="G5170" s="72" t="str">
        <f>HYPERLINK("http://api.nsgreg.nga.mil/geo-division/GENC/6/3-11/VN-21","as:GENC:6:3-11:VN-21")</f>
        <v>as:GENC:6:3-11:VN-21</v>
      </c>
    </row>
    <row r="5171" spans="1:7" x14ac:dyDescent="0.25">
      <c r="A5171" s="112"/>
      <c r="B5171" s="21" t="s">
        <v>11958</v>
      </c>
      <c r="C5171" s="21" t="s">
        <v>11959</v>
      </c>
      <c r="D5171" s="21" t="s">
        <v>1668</v>
      </c>
      <c r="E5171" s="50" t="b">
        <v>1</v>
      </c>
      <c r="F5171" s="72" t="str">
        <f>HYPERLINK("http://nsgreg.nga.mil/genc/view?v=296469&amp;end_month=6&amp;end_day=30&amp;end_year=2019","Thừa Thiên-Huế")</f>
        <v>Thừa Thiên-Huế</v>
      </c>
      <c r="G5171" s="72" t="str">
        <f>HYPERLINK("http://api.nsgreg.nga.mil/geo-division/GENC/6/3-11/VN-26","as:GENC:6:3-11:VN-26")</f>
        <v>as:GENC:6:3-11:VN-26</v>
      </c>
    </row>
    <row r="5172" spans="1:7" x14ac:dyDescent="0.25">
      <c r="A5172" s="112"/>
      <c r="B5172" s="21" t="s">
        <v>11960</v>
      </c>
      <c r="C5172" s="21" t="s">
        <v>11961</v>
      </c>
      <c r="D5172" s="21" t="s">
        <v>1668</v>
      </c>
      <c r="E5172" s="50" t="b">
        <v>1</v>
      </c>
      <c r="F5172" s="72" t="str">
        <f>HYPERLINK("http://nsgreg.nga.mil/genc/view?v=296487&amp;end_month=6&amp;end_day=30&amp;end_year=2019","Tiền Giang")</f>
        <v>Tiền Giang</v>
      </c>
      <c r="G5172" s="72" t="str">
        <f>HYPERLINK("http://api.nsgreg.nga.mil/geo-division/GENC/6/3-11/VN-46","as:GENC:6:3-11:VN-46")</f>
        <v>as:GENC:6:3-11:VN-46</v>
      </c>
    </row>
    <row r="5173" spans="1:7" x14ac:dyDescent="0.25">
      <c r="A5173" s="112"/>
      <c r="B5173" s="21" t="s">
        <v>11962</v>
      </c>
      <c r="C5173" s="21" t="s">
        <v>11963</v>
      </c>
      <c r="D5173" s="21" t="s">
        <v>1668</v>
      </c>
      <c r="E5173" s="50" t="b">
        <v>1</v>
      </c>
      <c r="F5173" s="72" t="str">
        <f>HYPERLINK("http://nsgreg.nga.mil/genc/view?v=296491&amp;end_month=6&amp;end_day=30&amp;end_year=2019","Trà Vinh")</f>
        <v>Trà Vinh</v>
      </c>
      <c r="G5173" s="72" t="str">
        <f>HYPERLINK("http://api.nsgreg.nga.mil/geo-division/GENC/6/3-11/VN-51","as:GENC:6:3-11:VN-51")</f>
        <v>as:GENC:6:3-11:VN-51</v>
      </c>
    </row>
    <row r="5174" spans="1:7" x14ac:dyDescent="0.25">
      <c r="A5174" s="112"/>
      <c r="B5174" s="21" t="s">
        <v>11964</v>
      </c>
      <c r="C5174" s="21" t="s">
        <v>11965</v>
      </c>
      <c r="D5174" s="21" t="s">
        <v>1668</v>
      </c>
      <c r="E5174" s="50" t="b">
        <v>1</v>
      </c>
      <c r="F5174" s="72" t="str">
        <f>HYPERLINK("http://nsgreg.nga.mil/genc/view?v=296458&amp;end_month=6&amp;end_day=30&amp;end_year=2019","Tuyên Quang")</f>
        <v>Tuyên Quang</v>
      </c>
      <c r="G5174" s="72" t="str">
        <f>HYPERLINK("http://api.nsgreg.nga.mil/geo-division/GENC/6/3-11/VN-07","as:GENC:6:3-11:VN-07")</f>
        <v>as:GENC:6:3-11:VN-07</v>
      </c>
    </row>
    <row r="5175" spans="1:7" x14ac:dyDescent="0.25">
      <c r="A5175" s="112"/>
      <c r="B5175" s="21" t="s">
        <v>11966</v>
      </c>
      <c r="C5175" s="21" t="s">
        <v>11967</v>
      </c>
      <c r="D5175" s="21" t="s">
        <v>1668</v>
      </c>
      <c r="E5175" s="50" t="b">
        <v>1</v>
      </c>
      <c r="F5175" s="72" t="str">
        <f>HYPERLINK("http://nsgreg.nga.mil/genc/view?v=296489&amp;end_month=6&amp;end_day=30&amp;end_year=2019","Vĩnh Long")</f>
        <v>Vĩnh Long</v>
      </c>
      <c r="G5175" s="72" t="str">
        <f>HYPERLINK("http://api.nsgreg.nga.mil/geo-division/GENC/6/3-11/VN-49","as:GENC:6:3-11:VN-49")</f>
        <v>as:GENC:6:3-11:VN-49</v>
      </c>
    </row>
    <row r="5176" spans="1:7" x14ac:dyDescent="0.25">
      <c r="A5176" s="112"/>
      <c r="B5176" s="21" t="s">
        <v>11968</v>
      </c>
      <c r="C5176" s="21" t="s">
        <v>11969</v>
      </c>
      <c r="D5176" s="21" t="s">
        <v>1668</v>
      </c>
      <c r="E5176" s="50" t="b">
        <v>1</v>
      </c>
      <c r="F5176" s="72" t="str">
        <f>HYPERLINK("http://nsgreg.nga.mil/genc/view?v=296506&amp;end_month=6&amp;end_day=30&amp;end_year=2019","Vĩnh Phúc")</f>
        <v>Vĩnh Phúc</v>
      </c>
      <c r="G5176" s="72" t="str">
        <f>HYPERLINK("http://api.nsgreg.nga.mil/geo-division/GENC/6/3-11/VN-70","as:GENC:6:3-11:VN-70")</f>
        <v>as:GENC:6:3-11:VN-70</v>
      </c>
    </row>
    <row r="5177" spans="1:7" x14ac:dyDescent="0.25">
      <c r="A5177" s="113"/>
      <c r="B5177" s="47" t="s">
        <v>11970</v>
      </c>
      <c r="C5177" s="47" t="s">
        <v>11971</v>
      </c>
      <c r="D5177" s="47" t="s">
        <v>1668</v>
      </c>
      <c r="E5177" s="51" t="b">
        <v>1</v>
      </c>
      <c r="F5177" s="73" t="str">
        <f>HYPERLINK("http://nsgreg.nga.mil/genc/view?v=296457&amp;end_month=6&amp;end_day=30&amp;end_year=2019","Yên Bái")</f>
        <v>Yên Bái</v>
      </c>
      <c r="G5177" s="73" t="str">
        <f>HYPERLINK("http://api.nsgreg.nga.mil/geo-division/GENC/6/3-11/VN-06","as:GENC:6:3-11:VN-06")</f>
        <v>as:GENC:6:3-11:VN-06</v>
      </c>
    </row>
    <row r="5178" spans="1:7" x14ac:dyDescent="0.25">
      <c r="A5178" s="111" t="str">
        <f>HYPERLINK("[#]Codes_for_GE_Names!A278:I278","WALLIS AND FUTUNA")</f>
        <v>WALLIS AND FUTUNA</v>
      </c>
      <c r="B5178" s="42" t="s">
        <v>11972</v>
      </c>
      <c r="C5178" s="42" t="s">
        <v>11973</v>
      </c>
      <c r="D5178" s="42" t="s">
        <v>11974</v>
      </c>
      <c r="E5178" s="49" t="b">
        <v>1</v>
      </c>
      <c r="F5178" s="74" t="str">
        <f>HYPERLINK("http://nsgreg.nga.mil/genc/view?v=296521&amp;end_month=6&amp;end_day=30&amp;end_year=2019","Alo")</f>
        <v>Alo</v>
      </c>
      <c r="G5178" s="74" t="str">
        <f>HYPERLINK("http://api.nsgreg.nga.mil/geo-division/GENC/6/3-11/WF-AL","as:GENC:6:3-11:WF-AL")</f>
        <v>as:GENC:6:3-11:WF-AL</v>
      </c>
    </row>
    <row r="5179" spans="1:7" x14ac:dyDescent="0.25">
      <c r="A5179" s="112"/>
      <c r="B5179" s="21" t="s">
        <v>11975</v>
      </c>
      <c r="C5179" s="21" t="s">
        <v>11976</v>
      </c>
      <c r="D5179" s="21" t="s">
        <v>11974</v>
      </c>
      <c r="E5179" s="50" t="b">
        <v>1</v>
      </c>
      <c r="F5179" s="72" t="str">
        <f>HYPERLINK("http://nsgreg.nga.mil/genc/view?v=296522&amp;end_month=6&amp;end_day=30&amp;end_year=2019","Sigave")</f>
        <v>Sigave</v>
      </c>
      <c r="G5179" s="72" t="str">
        <f>HYPERLINK("http://api.nsgreg.nga.mil/geo-division/GENC/6/3-11/WF-SG","as:GENC:6:3-11:WF-SG")</f>
        <v>as:GENC:6:3-11:WF-SG</v>
      </c>
    </row>
    <row r="5180" spans="1:7" x14ac:dyDescent="0.25">
      <c r="A5180" s="113"/>
      <c r="B5180" s="47" t="s">
        <v>11977</v>
      </c>
      <c r="C5180" s="47" t="s">
        <v>11978</v>
      </c>
      <c r="D5180" s="47" t="s">
        <v>11974</v>
      </c>
      <c r="E5180" s="51" t="b">
        <v>1</v>
      </c>
      <c r="F5180" s="73" t="str">
        <f>HYPERLINK("http://nsgreg.nga.mil/genc/view?v=296523&amp;end_month=6&amp;end_day=30&amp;end_year=2019","Uvea")</f>
        <v>Uvea</v>
      </c>
      <c r="G5180" s="73" t="str">
        <f>HYPERLINK("http://api.nsgreg.nga.mil/geo-division/GENC/6/3-11/WF-UV","as:GENC:6:3-11:WF-UV")</f>
        <v>as:GENC:6:3-11:WF-UV</v>
      </c>
    </row>
    <row r="5181" spans="1:7" x14ac:dyDescent="0.25">
      <c r="A5181" s="111" t="str">
        <f>HYPERLINK("[#]Codes_for_GE_Names!A281:I281","YEMEN")</f>
        <v>YEMEN</v>
      </c>
      <c r="B5181" s="42" t="s">
        <v>11979</v>
      </c>
      <c r="C5181" s="42" t="s">
        <v>11980</v>
      </c>
      <c r="D5181" s="42" t="s">
        <v>2255</v>
      </c>
      <c r="E5181" s="49" t="b">
        <v>1</v>
      </c>
      <c r="F5181" s="74" t="str">
        <f>HYPERLINK("http://nsgreg.nga.mil/genc/view?v=296573&amp;end_month=6&amp;end_day=30&amp;end_year=2019","Abyan")</f>
        <v>Abyan</v>
      </c>
      <c r="G5181" s="74" t="str">
        <f>HYPERLINK("http://api.nsgreg.nga.mil/geo-division/GENC/6/3-11/YE-AB","as:GENC:6:3-11:YE-AB")</f>
        <v>as:GENC:6:3-11:YE-AB</v>
      </c>
    </row>
    <row r="5182" spans="1:7" x14ac:dyDescent="0.25">
      <c r="A5182" s="112"/>
      <c r="B5182" s="21" t="s">
        <v>11981</v>
      </c>
      <c r="C5182" s="21" t="s">
        <v>11982</v>
      </c>
      <c r="D5182" s="21" t="s">
        <v>2255</v>
      </c>
      <c r="E5182" s="50" t="b">
        <v>1</v>
      </c>
      <c r="F5182" s="72" t="str">
        <f>HYPERLINK("http://nsgreg.nga.mil/genc/view?v=296574&amp;end_month=6&amp;end_day=30&amp;end_year=2019","‘Adan")</f>
        <v>‘Adan</v>
      </c>
      <c r="G5182" s="72" t="str">
        <f>HYPERLINK("http://api.nsgreg.nga.mil/geo-division/GENC/6/3-11/YE-AD","as:GENC:6:3-11:YE-AD")</f>
        <v>as:GENC:6:3-11:YE-AD</v>
      </c>
    </row>
    <row r="5183" spans="1:7" x14ac:dyDescent="0.25">
      <c r="A5183" s="112"/>
      <c r="B5183" s="21" t="s">
        <v>11983</v>
      </c>
      <c r="C5183" s="21" t="s">
        <v>11984</v>
      </c>
      <c r="D5183" s="21" t="s">
        <v>2255</v>
      </c>
      <c r="E5183" s="50" t="b">
        <v>1</v>
      </c>
      <c r="F5183" s="72" t="str">
        <f>HYPERLINK("http://nsgreg.nga.mil/genc/view?v=296577&amp;end_month=6&amp;end_day=30&amp;end_year=2019","Aḑ Ḑāli‘")</f>
        <v>Aḑ Ḑāli‘</v>
      </c>
      <c r="G5183" s="72" t="str">
        <f>HYPERLINK("http://api.nsgreg.nga.mil/geo-division/GENC/6/3-11/YE-DA","as:GENC:6:3-11:YE-DA")</f>
        <v>as:GENC:6:3-11:YE-DA</v>
      </c>
    </row>
    <row r="5184" spans="1:7" x14ac:dyDescent="0.25">
      <c r="A5184" s="112"/>
      <c r="B5184" s="21" t="s">
        <v>11985</v>
      </c>
      <c r="C5184" s="21" t="s">
        <v>11986</v>
      </c>
      <c r="D5184" s="21" t="s">
        <v>2255</v>
      </c>
      <c r="E5184" s="50" t="b">
        <v>1</v>
      </c>
      <c r="F5184" s="72" t="str">
        <f>HYPERLINK("http://nsgreg.nga.mil/genc/view?v=296576&amp;end_month=6&amp;end_day=30&amp;end_year=2019","Al Bayḑā’")</f>
        <v>Al Bayḑā’</v>
      </c>
      <c r="G5184" s="72" t="str">
        <f>HYPERLINK("http://api.nsgreg.nga.mil/geo-division/GENC/6/3-11/YE-BA","as:GENC:6:3-11:YE-BA")</f>
        <v>as:GENC:6:3-11:YE-BA</v>
      </c>
    </row>
    <row r="5185" spans="1:7" x14ac:dyDescent="0.25">
      <c r="A5185" s="112"/>
      <c r="B5185" s="21" t="s">
        <v>11987</v>
      </c>
      <c r="C5185" s="21" t="s">
        <v>11988</v>
      </c>
      <c r="D5185" s="21" t="s">
        <v>2255</v>
      </c>
      <c r="E5185" s="50" t="b">
        <v>1</v>
      </c>
      <c r="F5185" s="72" t="str">
        <f>HYPERLINK("http://nsgreg.nga.mil/genc/view?v=296581&amp;end_month=6&amp;end_day=30&amp;end_year=2019","Al Ḩudaydah")</f>
        <v>Al Ḩudaydah</v>
      </c>
      <c r="G5185" s="72" t="str">
        <f>HYPERLINK("http://api.nsgreg.nga.mil/geo-division/GENC/6/3-11/YE-HU","as:GENC:6:3-11:YE-HU")</f>
        <v>as:GENC:6:3-11:YE-HU</v>
      </c>
    </row>
    <row r="5186" spans="1:7" x14ac:dyDescent="0.25">
      <c r="A5186" s="112"/>
      <c r="B5186" s="21" t="s">
        <v>11989</v>
      </c>
      <c r="C5186" s="21" t="s">
        <v>8913</v>
      </c>
      <c r="D5186" s="21" t="s">
        <v>2255</v>
      </c>
      <c r="E5186" s="50" t="b">
        <v>1</v>
      </c>
      <c r="F5186" s="72" t="str">
        <f>HYPERLINK("http://nsgreg.nga.mil/genc/view?v=296583&amp;end_month=6&amp;end_day=30&amp;end_year=2019","Al Jawf")</f>
        <v>Al Jawf</v>
      </c>
      <c r="G5186" s="72" t="str">
        <f>HYPERLINK("http://api.nsgreg.nga.mil/geo-division/GENC/6/3-11/YE-JA","as:GENC:6:3-11:YE-JA")</f>
        <v>as:GENC:6:3-11:YE-JA</v>
      </c>
    </row>
    <row r="5187" spans="1:7" x14ac:dyDescent="0.25">
      <c r="A5187" s="112"/>
      <c r="B5187" s="21" t="s">
        <v>11990</v>
      </c>
      <c r="C5187" s="21" t="s">
        <v>11991</v>
      </c>
      <c r="D5187" s="21" t="s">
        <v>2255</v>
      </c>
      <c r="E5187" s="50" t="b">
        <v>1</v>
      </c>
      <c r="F5187" s="72" t="str">
        <f>HYPERLINK("http://nsgreg.nga.mil/genc/view?v=296586&amp;end_month=6&amp;end_day=30&amp;end_year=2019","Al Mahrah")</f>
        <v>Al Mahrah</v>
      </c>
      <c r="G5187" s="72" t="str">
        <f>HYPERLINK("http://api.nsgreg.nga.mil/geo-division/GENC/6/3-11/YE-MR","as:GENC:6:3-11:YE-MR")</f>
        <v>as:GENC:6:3-11:YE-MR</v>
      </c>
    </row>
    <row r="5188" spans="1:7" x14ac:dyDescent="0.25">
      <c r="A5188" s="112"/>
      <c r="B5188" s="21" t="s">
        <v>11992</v>
      </c>
      <c r="C5188" s="21" t="s">
        <v>11993</v>
      </c>
      <c r="D5188" s="21" t="s">
        <v>2255</v>
      </c>
      <c r="E5188" s="50" t="b">
        <v>1</v>
      </c>
      <c r="F5188" s="72" t="str">
        <f>HYPERLINK("http://nsgreg.nga.mil/genc/view?v=296587&amp;end_month=6&amp;end_day=30&amp;end_year=2019","Al Maḩwīt")</f>
        <v>Al Maḩwīt</v>
      </c>
      <c r="G5188" s="72" t="str">
        <f>HYPERLINK("http://api.nsgreg.nga.mil/geo-division/GENC/6/3-11/YE-MW","as:GENC:6:3-11:YE-MW")</f>
        <v>as:GENC:6:3-11:YE-MW</v>
      </c>
    </row>
    <row r="5189" spans="1:7" x14ac:dyDescent="0.25">
      <c r="A5189" s="112"/>
      <c r="B5189" s="21" t="s">
        <v>11994</v>
      </c>
      <c r="C5189" s="21" t="s">
        <v>11995</v>
      </c>
      <c r="D5189" s="21" t="s">
        <v>2255</v>
      </c>
      <c r="E5189" s="50" t="b">
        <v>1</v>
      </c>
      <c r="F5189" s="72" t="str">
        <f>HYPERLINK("http://nsgreg.nga.mil/genc/view?v=296589&amp;end_month=6&amp;end_day=30&amp;end_year=2019","Amānat al ‘Āşimah")</f>
        <v>Amānat al ‘Āşimah</v>
      </c>
      <c r="G5189" s="72" t="str">
        <f>HYPERLINK("http://api.nsgreg.nga.mil/geo-division/GENC/6/3-11/YE-SA","as:GENC:6:3-11:YE-SA")</f>
        <v>as:GENC:6:3-11:YE-SA</v>
      </c>
    </row>
    <row r="5190" spans="1:7" x14ac:dyDescent="0.25">
      <c r="A5190" s="112"/>
      <c r="B5190" s="21" t="s">
        <v>11996</v>
      </c>
      <c r="C5190" s="21" t="s">
        <v>11997</v>
      </c>
      <c r="D5190" s="21" t="s">
        <v>2255</v>
      </c>
      <c r="E5190" s="50" t="b">
        <v>1</v>
      </c>
      <c r="F5190" s="72" t="str">
        <f>HYPERLINK("http://nsgreg.nga.mil/genc/view?v=296575&amp;end_month=6&amp;end_day=30&amp;end_year=2019","‘Amrān")</f>
        <v>‘Amrān</v>
      </c>
      <c r="G5190" s="72" t="str">
        <f>HYPERLINK("http://api.nsgreg.nga.mil/geo-division/GENC/6/3-11/YE-AM","as:GENC:6:3-11:YE-AM")</f>
        <v>as:GENC:6:3-11:YE-AM</v>
      </c>
    </row>
    <row r="5191" spans="1:7" x14ac:dyDescent="0.25">
      <c r="A5191" s="112"/>
      <c r="B5191" s="21" t="s">
        <v>11998</v>
      </c>
      <c r="C5191" s="21" t="s">
        <v>11999</v>
      </c>
      <c r="D5191" s="21" t="s">
        <v>2255</v>
      </c>
      <c r="E5191" s="50" t="b">
        <v>1</v>
      </c>
      <c r="F5191" s="72" t="str">
        <f>HYPERLINK("http://nsgreg.nga.mil/genc/view?v=296593&amp;end_month=6&amp;end_day=30&amp;end_year=2019","Arkhabīl Suquţrá")</f>
        <v>Arkhabīl Suquţrá</v>
      </c>
      <c r="G5191" s="72" t="str">
        <f>HYPERLINK("http://api.nsgreg.nga.mil/geo-division/GENC/6/3-11/YE-SU","as:GENC:6:3-11:YE-SU")</f>
        <v>as:GENC:6:3-11:YE-SU</v>
      </c>
    </row>
    <row r="5192" spans="1:7" x14ac:dyDescent="0.25">
      <c r="A5192" s="112"/>
      <c r="B5192" s="21" t="s">
        <v>12000</v>
      </c>
      <c r="C5192" s="21" t="s">
        <v>12001</v>
      </c>
      <c r="D5192" s="21" t="s">
        <v>2255</v>
      </c>
      <c r="E5192" s="50" t="b">
        <v>1</v>
      </c>
      <c r="F5192" s="72" t="str">
        <f>HYPERLINK("http://nsgreg.nga.mil/genc/view?v=296578&amp;end_month=6&amp;end_day=30&amp;end_year=2019","Dhamār")</f>
        <v>Dhamār</v>
      </c>
      <c r="G5192" s="72" t="str">
        <f>HYPERLINK("http://api.nsgreg.nga.mil/geo-division/GENC/6/3-11/YE-DH","as:GENC:6:3-11:YE-DH")</f>
        <v>as:GENC:6:3-11:YE-DH</v>
      </c>
    </row>
    <row r="5193" spans="1:7" x14ac:dyDescent="0.25">
      <c r="A5193" s="112"/>
      <c r="B5193" s="21" t="s">
        <v>12002</v>
      </c>
      <c r="C5193" s="21" t="s">
        <v>12003</v>
      </c>
      <c r="D5193" s="21" t="s">
        <v>2255</v>
      </c>
      <c r="E5193" s="50" t="b">
        <v>1</v>
      </c>
      <c r="F5193" s="72" t="str">
        <f>HYPERLINK("http://nsgreg.nga.mil/genc/view?v=296579&amp;end_month=6&amp;end_day=30&amp;end_year=2019","Ḩaḑramawt")</f>
        <v>Ḩaḑramawt</v>
      </c>
      <c r="G5193" s="72" t="str">
        <f>HYPERLINK("http://api.nsgreg.nga.mil/geo-division/GENC/6/3-11/YE-HD","as:GENC:6:3-11:YE-HD")</f>
        <v>as:GENC:6:3-11:YE-HD</v>
      </c>
    </row>
    <row r="5194" spans="1:7" x14ac:dyDescent="0.25">
      <c r="A5194" s="112"/>
      <c r="B5194" s="21" t="s">
        <v>12004</v>
      </c>
      <c r="C5194" s="21" t="s">
        <v>12005</v>
      </c>
      <c r="D5194" s="21" t="s">
        <v>2255</v>
      </c>
      <c r="E5194" s="50" t="b">
        <v>1</v>
      </c>
      <c r="F5194" s="72" t="str">
        <f>HYPERLINK("http://nsgreg.nga.mil/genc/view?v=296580&amp;end_month=6&amp;end_day=30&amp;end_year=2019","Ḩajjah")</f>
        <v>Ḩajjah</v>
      </c>
      <c r="G5194" s="72" t="str">
        <f>HYPERLINK("http://api.nsgreg.nga.mil/geo-division/GENC/6/3-11/YE-HJ","as:GENC:6:3-11:YE-HJ")</f>
        <v>as:GENC:6:3-11:YE-HJ</v>
      </c>
    </row>
    <row r="5195" spans="1:7" x14ac:dyDescent="0.25">
      <c r="A5195" s="112"/>
      <c r="B5195" s="21" t="s">
        <v>12006</v>
      </c>
      <c r="C5195" s="21" t="s">
        <v>12007</v>
      </c>
      <c r="D5195" s="21" t="s">
        <v>2255</v>
      </c>
      <c r="E5195" s="50" t="b">
        <v>1</v>
      </c>
      <c r="F5195" s="72" t="str">
        <f>HYPERLINK("http://nsgreg.nga.mil/genc/view?v=296582&amp;end_month=6&amp;end_day=30&amp;end_year=2019","Ibb")</f>
        <v>Ibb</v>
      </c>
      <c r="G5195" s="72" t="str">
        <f>HYPERLINK("http://api.nsgreg.nga.mil/geo-division/GENC/6/3-11/YE-IB","as:GENC:6:3-11:YE-IB")</f>
        <v>as:GENC:6:3-11:YE-IB</v>
      </c>
    </row>
    <row r="5196" spans="1:7" x14ac:dyDescent="0.25">
      <c r="A5196" s="112"/>
      <c r="B5196" s="21" t="s">
        <v>12008</v>
      </c>
      <c r="C5196" s="21" t="s">
        <v>12009</v>
      </c>
      <c r="D5196" s="21" t="s">
        <v>2255</v>
      </c>
      <c r="E5196" s="50" t="b">
        <v>1</v>
      </c>
      <c r="F5196" s="72" t="str">
        <f>HYPERLINK("http://nsgreg.nga.mil/genc/view?v=296584&amp;end_month=6&amp;end_day=30&amp;end_year=2019","Laḩij")</f>
        <v>Laḩij</v>
      </c>
      <c r="G5196" s="72" t="str">
        <f>HYPERLINK("http://api.nsgreg.nga.mil/geo-division/GENC/6/3-11/YE-LA","as:GENC:6:3-11:YE-LA")</f>
        <v>as:GENC:6:3-11:YE-LA</v>
      </c>
    </row>
    <row r="5197" spans="1:7" x14ac:dyDescent="0.25">
      <c r="A5197" s="112"/>
      <c r="B5197" s="21" t="s">
        <v>12010</v>
      </c>
      <c r="C5197" s="21" t="s">
        <v>12011</v>
      </c>
      <c r="D5197" s="21" t="s">
        <v>2255</v>
      </c>
      <c r="E5197" s="50" t="b">
        <v>1</v>
      </c>
      <c r="F5197" s="72" t="str">
        <f>HYPERLINK("http://nsgreg.nga.mil/genc/view?v=296585&amp;end_month=6&amp;end_day=30&amp;end_year=2019","Ma’rib")</f>
        <v>Ma’rib</v>
      </c>
      <c r="G5197" s="72" t="str">
        <f>HYPERLINK("http://api.nsgreg.nga.mil/geo-division/GENC/6/3-11/YE-MA","as:GENC:6:3-11:YE-MA")</f>
        <v>as:GENC:6:3-11:YE-MA</v>
      </c>
    </row>
    <row r="5198" spans="1:7" x14ac:dyDescent="0.25">
      <c r="A5198" s="112"/>
      <c r="B5198" s="21" t="s">
        <v>12012</v>
      </c>
      <c r="C5198" s="21" t="s">
        <v>12013</v>
      </c>
      <c r="D5198" s="21" t="s">
        <v>2255</v>
      </c>
      <c r="E5198" s="50" t="b">
        <v>1</v>
      </c>
      <c r="F5198" s="72" t="str">
        <f>HYPERLINK("http://nsgreg.nga.mil/genc/view?v=296588&amp;end_month=6&amp;end_day=30&amp;end_year=2019","Raymah")</f>
        <v>Raymah</v>
      </c>
      <c r="G5198" s="72" t="str">
        <f>HYPERLINK("http://api.nsgreg.nga.mil/geo-division/GENC/6/3-11/YE-RA","as:GENC:6:3-11:YE-RA")</f>
        <v>as:GENC:6:3-11:YE-RA</v>
      </c>
    </row>
    <row r="5199" spans="1:7" x14ac:dyDescent="0.25">
      <c r="A5199" s="112"/>
      <c r="B5199" s="21" t="s">
        <v>12014</v>
      </c>
      <c r="C5199" s="21" t="s">
        <v>12015</v>
      </c>
      <c r="D5199" s="21" t="s">
        <v>2255</v>
      </c>
      <c r="E5199" s="50" t="b">
        <v>1</v>
      </c>
      <c r="F5199" s="72" t="str">
        <f>HYPERLINK("http://nsgreg.nga.mil/genc/view?v=296590&amp;end_month=6&amp;end_day=30&amp;end_year=2019","Şa‘dah")</f>
        <v>Şa‘dah</v>
      </c>
      <c r="G5199" s="72" t="str">
        <f>HYPERLINK("http://api.nsgreg.nga.mil/geo-division/GENC/6/3-11/YE-SD","as:GENC:6:3-11:YE-SD")</f>
        <v>as:GENC:6:3-11:YE-SD</v>
      </c>
    </row>
    <row r="5200" spans="1:7" x14ac:dyDescent="0.25">
      <c r="A5200" s="112"/>
      <c r="B5200" s="21" t="s">
        <v>12016</v>
      </c>
      <c r="C5200" s="21" t="s">
        <v>12017</v>
      </c>
      <c r="D5200" s="21" t="s">
        <v>2255</v>
      </c>
      <c r="E5200" s="50" t="b">
        <v>1</v>
      </c>
      <c r="F5200" s="72" t="str">
        <f>HYPERLINK("http://nsgreg.nga.mil/genc/view?v=296592&amp;end_month=6&amp;end_day=30&amp;end_year=2019","Şan‘ā’")</f>
        <v>Şan‘ā’</v>
      </c>
      <c r="G5200" s="72" t="str">
        <f>HYPERLINK("http://api.nsgreg.nga.mil/geo-division/GENC/6/3-11/YE-SN","as:GENC:6:3-11:YE-SN")</f>
        <v>as:GENC:6:3-11:YE-SN</v>
      </c>
    </row>
    <row r="5201" spans="1:7" x14ac:dyDescent="0.25">
      <c r="A5201" s="112"/>
      <c r="B5201" s="21" t="s">
        <v>12018</v>
      </c>
      <c r="C5201" s="21" t="s">
        <v>12019</v>
      </c>
      <c r="D5201" s="21" t="s">
        <v>2255</v>
      </c>
      <c r="E5201" s="50" t="b">
        <v>1</v>
      </c>
      <c r="F5201" s="72" t="str">
        <f>HYPERLINK("http://nsgreg.nga.mil/genc/view?v=296591&amp;end_month=6&amp;end_day=30&amp;end_year=2019","Shabwah")</f>
        <v>Shabwah</v>
      </c>
      <c r="G5201" s="72" t="str">
        <f>HYPERLINK("http://api.nsgreg.nga.mil/geo-division/GENC/6/3-11/YE-SH","as:GENC:6:3-11:YE-SH")</f>
        <v>as:GENC:6:3-11:YE-SH</v>
      </c>
    </row>
    <row r="5202" spans="1:7" x14ac:dyDescent="0.25">
      <c r="A5202" s="113"/>
      <c r="B5202" s="47" t="s">
        <v>12020</v>
      </c>
      <c r="C5202" s="47" t="s">
        <v>12021</v>
      </c>
      <c r="D5202" s="47" t="s">
        <v>2255</v>
      </c>
      <c r="E5202" s="51" t="b">
        <v>1</v>
      </c>
      <c r="F5202" s="73" t="str">
        <f>HYPERLINK("http://nsgreg.nga.mil/genc/view?v=296594&amp;end_month=6&amp;end_day=30&amp;end_year=2019","Ta‘izz")</f>
        <v>Ta‘izz</v>
      </c>
      <c r="G5202" s="73" t="str">
        <f>HYPERLINK("http://api.nsgreg.nga.mil/geo-division/GENC/6/3-11/YE-TA","as:GENC:6:3-11:YE-TA")</f>
        <v>as:GENC:6:3-11:YE-TA</v>
      </c>
    </row>
    <row r="5203" spans="1:7" x14ac:dyDescent="0.25">
      <c r="A5203" s="111" t="str">
        <f>HYPERLINK("[#]Codes_for_GE_Names!A282:I282","ZAMBIA")</f>
        <v>ZAMBIA</v>
      </c>
      <c r="B5203" s="42" t="s">
        <v>12022</v>
      </c>
      <c r="C5203" s="42" t="s">
        <v>2595</v>
      </c>
      <c r="D5203" s="42" t="s">
        <v>1668</v>
      </c>
      <c r="E5203" s="49" t="b">
        <v>1</v>
      </c>
      <c r="F5203" s="74" t="str">
        <f>HYPERLINK("http://nsgreg.nga.mil/genc/view?v=296605&amp;end_month=6&amp;end_day=30&amp;end_year=2019","Central")</f>
        <v>Central</v>
      </c>
      <c r="G5203" s="74" t="str">
        <f>HYPERLINK("http://api.nsgreg.nga.mil/geo-division/GENC/6/3-11/ZM-02","as:GENC:6:3-11:ZM-02")</f>
        <v>as:GENC:6:3-11:ZM-02</v>
      </c>
    </row>
    <row r="5204" spans="1:7" x14ac:dyDescent="0.25">
      <c r="A5204" s="112"/>
      <c r="B5204" s="21" t="s">
        <v>12023</v>
      </c>
      <c r="C5204" s="21" t="s">
        <v>12024</v>
      </c>
      <c r="D5204" s="21" t="s">
        <v>1668</v>
      </c>
      <c r="E5204" s="50" t="b">
        <v>1</v>
      </c>
      <c r="F5204" s="72" t="str">
        <f>HYPERLINK("http://nsgreg.nga.mil/genc/view?v=296611&amp;end_month=6&amp;end_day=30&amp;end_year=2019","Copperbelt")</f>
        <v>Copperbelt</v>
      </c>
      <c r="G5204" s="72" t="str">
        <f>HYPERLINK("http://api.nsgreg.nga.mil/geo-division/GENC/6/3-11/ZM-08","as:GENC:6:3-11:ZM-08")</f>
        <v>as:GENC:6:3-11:ZM-08</v>
      </c>
    </row>
    <row r="5205" spans="1:7" x14ac:dyDescent="0.25">
      <c r="A5205" s="112"/>
      <c r="B5205" s="21" t="s">
        <v>12025</v>
      </c>
      <c r="C5205" s="21" t="s">
        <v>4113</v>
      </c>
      <c r="D5205" s="21" t="s">
        <v>1668</v>
      </c>
      <c r="E5205" s="50" t="b">
        <v>1</v>
      </c>
      <c r="F5205" s="72" t="str">
        <f>HYPERLINK("http://nsgreg.nga.mil/genc/view?v=296606&amp;end_month=6&amp;end_day=30&amp;end_year=2019","Eastern")</f>
        <v>Eastern</v>
      </c>
      <c r="G5205" s="72" t="str">
        <f>HYPERLINK("http://api.nsgreg.nga.mil/geo-division/GENC/6/3-11/ZM-03","as:GENC:6:3-11:ZM-03")</f>
        <v>as:GENC:6:3-11:ZM-03</v>
      </c>
    </row>
    <row r="5206" spans="1:7" x14ac:dyDescent="0.25">
      <c r="A5206" s="112"/>
      <c r="B5206" s="21" t="s">
        <v>12026</v>
      </c>
      <c r="C5206" s="21" t="s">
        <v>12027</v>
      </c>
      <c r="D5206" s="21" t="s">
        <v>1668</v>
      </c>
      <c r="E5206" s="50" t="b">
        <v>1</v>
      </c>
      <c r="F5206" s="72" t="str">
        <f>HYPERLINK("http://nsgreg.nga.mil/genc/view?v=296607&amp;end_month=6&amp;end_day=30&amp;end_year=2019","Luapula")</f>
        <v>Luapula</v>
      </c>
      <c r="G5206" s="72" t="str">
        <f>HYPERLINK("http://api.nsgreg.nga.mil/geo-division/GENC/6/3-11/ZM-04","as:GENC:6:3-11:ZM-04")</f>
        <v>as:GENC:6:3-11:ZM-04</v>
      </c>
    </row>
    <row r="5207" spans="1:7" x14ac:dyDescent="0.25">
      <c r="A5207" s="112"/>
      <c r="B5207" s="21" t="s">
        <v>12028</v>
      </c>
      <c r="C5207" s="21" t="s">
        <v>12029</v>
      </c>
      <c r="D5207" s="21" t="s">
        <v>1668</v>
      </c>
      <c r="E5207" s="50" t="b">
        <v>1</v>
      </c>
      <c r="F5207" s="72" t="str">
        <f>HYPERLINK("http://nsgreg.nga.mil/genc/view?v=296612&amp;end_month=6&amp;end_day=30&amp;end_year=2019","Lusaka")</f>
        <v>Lusaka</v>
      </c>
      <c r="G5207" s="72" t="str">
        <f>HYPERLINK("http://api.nsgreg.nga.mil/geo-division/GENC/6/3-11/ZM-09","as:GENC:6:3-11:ZM-09")</f>
        <v>as:GENC:6:3-11:ZM-09</v>
      </c>
    </row>
    <row r="5208" spans="1:7" x14ac:dyDescent="0.25">
      <c r="A5208" s="112"/>
      <c r="B5208" s="21" t="s">
        <v>12030</v>
      </c>
      <c r="C5208" s="21" t="s">
        <v>12031</v>
      </c>
      <c r="D5208" s="21" t="s">
        <v>1668</v>
      </c>
      <c r="E5208" s="50" t="b">
        <v>1</v>
      </c>
      <c r="F5208" s="72" t="str">
        <f>HYPERLINK("http://nsgreg.nga.mil/genc/view?v=296613&amp;end_month=6&amp;end_day=30&amp;end_year=2019","Muchinga")</f>
        <v>Muchinga</v>
      </c>
      <c r="G5208" s="72" t="str">
        <f>HYPERLINK("http://api.nsgreg.nga.mil/geo-division/GENC/6/3-11/ZM-10","as:GENC:6:3-11:ZM-10")</f>
        <v>as:GENC:6:3-11:ZM-10</v>
      </c>
    </row>
    <row r="5209" spans="1:7" x14ac:dyDescent="0.25">
      <c r="A5209" s="112"/>
      <c r="B5209" s="21" t="s">
        <v>12032</v>
      </c>
      <c r="C5209" s="21" t="s">
        <v>4121</v>
      </c>
      <c r="D5209" s="21" t="s">
        <v>1668</v>
      </c>
      <c r="E5209" s="50" t="b">
        <v>1</v>
      </c>
      <c r="F5209" s="72" t="str">
        <f>HYPERLINK("http://nsgreg.nga.mil/genc/view?v=296608&amp;end_month=6&amp;end_day=30&amp;end_year=2019","Northern")</f>
        <v>Northern</v>
      </c>
      <c r="G5209" s="72" t="str">
        <f>HYPERLINK("http://api.nsgreg.nga.mil/geo-division/GENC/6/3-11/ZM-05","as:GENC:6:3-11:ZM-05")</f>
        <v>as:GENC:6:3-11:ZM-05</v>
      </c>
    </row>
    <row r="5210" spans="1:7" x14ac:dyDescent="0.25">
      <c r="A5210" s="112"/>
      <c r="B5210" s="21" t="s">
        <v>12033</v>
      </c>
      <c r="C5210" s="21" t="s">
        <v>12034</v>
      </c>
      <c r="D5210" s="21" t="s">
        <v>1668</v>
      </c>
      <c r="E5210" s="50" t="b">
        <v>1</v>
      </c>
      <c r="F5210" s="72" t="str">
        <f>HYPERLINK("http://nsgreg.nga.mil/genc/view?v=296609&amp;end_month=6&amp;end_day=30&amp;end_year=2019","North-Western")</f>
        <v>North-Western</v>
      </c>
      <c r="G5210" s="72" t="str">
        <f>HYPERLINK("http://api.nsgreg.nga.mil/geo-division/GENC/6/3-11/ZM-06","as:GENC:6:3-11:ZM-06")</f>
        <v>as:GENC:6:3-11:ZM-06</v>
      </c>
    </row>
    <row r="5211" spans="1:7" x14ac:dyDescent="0.25">
      <c r="A5211" s="112"/>
      <c r="B5211" s="21" t="s">
        <v>12035</v>
      </c>
      <c r="C5211" s="21" t="s">
        <v>2624</v>
      </c>
      <c r="D5211" s="21" t="s">
        <v>1668</v>
      </c>
      <c r="E5211" s="50" t="b">
        <v>1</v>
      </c>
      <c r="F5211" s="72" t="str">
        <f>HYPERLINK("http://nsgreg.nga.mil/genc/view?v=296610&amp;end_month=6&amp;end_day=30&amp;end_year=2019","Southern")</f>
        <v>Southern</v>
      </c>
      <c r="G5211" s="72" t="str">
        <f>HYPERLINK("http://api.nsgreg.nga.mil/geo-division/GENC/6/3-11/ZM-07","as:GENC:6:3-11:ZM-07")</f>
        <v>as:GENC:6:3-11:ZM-07</v>
      </c>
    </row>
    <row r="5212" spans="1:7" x14ac:dyDescent="0.25">
      <c r="A5212" s="113"/>
      <c r="B5212" s="47" t="s">
        <v>12036</v>
      </c>
      <c r="C5212" s="47" t="s">
        <v>4131</v>
      </c>
      <c r="D5212" s="47" t="s">
        <v>1668</v>
      </c>
      <c r="E5212" s="51" t="b">
        <v>1</v>
      </c>
      <c r="F5212" s="73" t="str">
        <f>HYPERLINK("http://nsgreg.nga.mil/genc/view?v=296604&amp;end_month=6&amp;end_day=30&amp;end_year=2019","Western")</f>
        <v>Western</v>
      </c>
      <c r="G5212" s="73" t="str">
        <f>HYPERLINK("http://api.nsgreg.nga.mil/geo-division/GENC/6/3-11/ZM-01","as:GENC:6:3-11:ZM-01")</f>
        <v>as:GENC:6:3-11:ZM-01</v>
      </c>
    </row>
    <row r="5213" spans="1:7" x14ac:dyDescent="0.25">
      <c r="A5213" s="111" t="str">
        <f>HYPERLINK("[#]Codes_for_GE_Names!A283:I283","ZIMBABWE")</f>
        <v>ZIMBABWE</v>
      </c>
      <c r="B5213" s="42" t="s">
        <v>12037</v>
      </c>
      <c r="C5213" s="42" t="s">
        <v>12038</v>
      </c>
      <c r="D5213" s="42" t="s">
        <v>1668</v>
      </c>
      <c r="E5213" s="49" t="b">
        <v>1</v>
      </c>
      <c r="F5213" s="74" t="str">
        <f>HYPERLINK("http://nsgreg.nga.mil/genc/view?v=296614&amp;end_month=6&amp;end_day=30&amp;end_year=2019","Bulawayo")</f>
        <v>Bulawayo</v>
      </c>
      <c r="G5213" s="74" t="str">
        <f>HYPERLINK("http://api.nsgreg.nga.mil/geo-division/GENC/6/3-11/ZW-BU","as:GENC:6:3-11:ZW-BU")</f>
        <v>as:GENC:6:3-11:ZW-BU</v>
      </c>
    </row>
    <row r="5214" spans="1:7" x14ac:dyDescent="0.25">
      <c r="A5214" s="112"/>
      <c r="B5214" s="21" t="s">
        <v>12039</v>
      </c>
      <c r="C5214" s="21" t="s">
        <v>12040</v>
      </c>
      <c r="D5214" s="21" t="s">
        <v>1668</v>
      </c>
      <c r="E5214" s="50" t="b">
        <v>1</v>
      </c>
      <c r="F5214" s="72" t="str">
        <f>HYPERLINK("http://nsgreg.nga.mil/genc/view?v=296615&amp;end_month=6&amp;end_day=30&amp;end_year=2019","Harare")</f>
        <v>Harare</v>
      </c>
      <c r="G5214" s="72" t="str">
        <f>HYPERLINK("http://api.nsgreg.nga.mil/geo-division/GENC/6/3-11/ZW-HA","as:GENC:6:3-11:ZW-HA")</f>
        <v>as:GENC:6:3-11:ZW-HA</v>
      </c>
    </row>
    <row r="5215" spans="1:7" x14ac:dyDescent="0.25">
      <c r="A5215" s="112"/>
      <c r="B5215" s="21" t="s">
        <v>12041</v>
      </c>
      <c r="C5215" s="21" t="s">
        <v>12042</v>
      </c>
      <c r="D5215" s="21" t="s">
        <v>1668</v>
      </c>
      <c r="E5215" s="50" t="b">
        <v>1</v>
      </c>
      <c r="F5215" s="72" t="str">
        <f>HYPERLINK("http://nsgreg.nga.mil/genc/view?v=296616&amp;end_month=6&amp;end_day=30&amp;end_year=2019","Manicaland")</f>
        <v>Manicaland</v>
      </c>
      <c r="G5215" s="72" t="str">
        <f>HYPERLINK("http://api.nsgreg.nga.mil/geo-division/GENC/6/3-11/ZW-MA","as:GENC:6:3-11:ZW-MA")</f>
        <v>as:GENC:6:3-11:ZW-MA</v>
      </c>
    </row>
    <row r="5216" spans="1:7" x14ac:dyDescent="0.25">
      <c r="A5216" s="112"/>
      <c r="B5216" s="21" t="s">
        <v>12043</v>
      </c>
      <c r="C5216" s="21" t="s">
        <v>12044</v>
      </c>
      <c r="D5216" s="21" t="s">
        <v>1668</v>
      </c>
      <c r="E5216" s="50" t="b">
        <v>1</v>
      </c>
      <c r="F5216" s="72" t="str">
        <f>HYPERLINK("http://nsgreg.nga.mil/genc/view?v=296617&amp;end_month=6&amp;end_day=30&amp;end_year=2019","Mashonaland Central")</f>
        <v>Mashonaland Central</v>
      </c>
      <c r="G5216" s="72" t="str">
        <f>HYPERLINK("http://api.nsgreg.nga.mil/geo-division/GENC/6/3-11/ZW-MC","as:GENC:6:3-11:ZW-MC")</f>
        <v>as:GENC:6:3-11:ZW-MC</v>
      </c>
    </row>
    <row r="5217" spans="1:7" x14ac:dyDescent="0.25">
      <c r="A5217" s="112"/>
      <c r="B5217" s="21" t="s">
        <v>12045</v>
      </c>
      <c r="C5217" s="21" t="s">
        <v>12046</v>
      </c>
      <c r="D5217" s="21" t="s">
        <v>1668</v>
      </c>
      <c r="E5217" s="50" t="b">
        <v>1</v>
      </c>
      <c r="F5217" s="72" t="str">
        <f>HYPERLINK("http://nsgreg.nga.mil/genc/view?v=296618&amp;end_month=6&amp;end_day=30&amp;end_year=2019","Mashonaland East")</f>
        <v>Mashonaland East</v>
      </c>
      <c r="G5217" s="72" t="str">
        <f>HYPERLINK("http://api.nsgreg.nga.mil/geo-division/GENC/6/3-11/ZW-ME","as:GENC:6:3-11:ZW-ME")</f>
        <v>as:GENC:6:3-11:ZW-ME</v>
      </c>
    </row>
    <row r="5218" spans="1:7" x14ac:dyDescent="0.25">
      <c r="A5218" s="112"/>
      <c r="B5218" s="21" t="s">
        <v>12047</v>
      </c>
      <c r="C5218" s="21" t="s">
        <v>12048</v>
      </c>
      <c r="D5218" s="21" t="s">
        <v>1668</v>
      </c>
      <c r="E5218" s="50" t="b">
        <v>1</v>
      </c>
      <c r="F5218" s="72" t="str">
        <f>HYPERLINK("http://nsgreg.nga.mil/genc/view?v=296623&amp;end_month=6&amp;end_day=30&amp;end_year=2019","Mashonaland West")</f>
        <v>Mashonaland West</v>
      </c>
      <c r="G5218" s="72" t="str">
        <f>HYPERLINK("http://api.nsgreg.nga.mil/geo-division/GENC/6/3-11/ZW-MW","as:GENC:6:3-11:ZW-MW")</f>
        <v>as:GENC:6:3-11:ZW-MW</v>
      </c>
    </row>
    <row r="5219" spans="1:7" x14ac:dyDescent="0.25">
      <c r="A5219" s="112"/>
      <c r="B5219" s="21" t="s">
        <v>12049</v>
      </c>
      <c r="C5219" s="21" t="s">
        <v>12050</v>
      </c>
      <c r="D5219" s="21" t="s">
        <v>1668</v>
      </c>
      <c r="E5219" s="50" t="b">
        <v>1</v>
      </c>
      <c r="F5219" s="72" t="str">
        <f>HYPERLINK("http://nsgreg.nga.mil/genc/view?v=296622&amp;end_month=6&amp;end_day=30&amp;end_year=2019","Masvingo")</f>
        <v>Masvingo</v>
      </c>
      <c r="G5219" s="72" t="str">
        <f>HYPERLINK("http://api.nsgreg.nga.mil/geo-division/GENC/6/3-11/ZW-MV","as:GENC:6:3-11:ZW-MV")</f>
        <v>as:GENC:6:3-11:ZW-MV</v>
      </c>
    </row>
    <row r="5220" spans="1:7" x14ac:dyDescent="0.25">
      <c r="A5220" s="112"/>
      <c r="B5220" s="21" t="s">
        <v>12051</v>
      </c>
      <c r="C5220" s="21" t="s">
        <v>12052</v>
      </c>
      <c r="D5220" s="21" t="s">
        <v>1668</v>
      </c>
      <c r="E5220" s="50" t="b">
        <v>1</v>
      </c>
      <c r="F5220" s="72" t="str">
        <f>HYPERLINK("http://nsgreg.nga.mil/genc/view?v=296620&amp;end_month=6&amp;end_day=30&amp;end_year=2019","Matabeleland North")</f>
        <v>Matabeleland North</v>
      </c>
      <c r="G5220" s="72" t="str">
        <f>HYPERLINK("http://api.nsgreg.nga.mil/geo-division/GENC/6/3-11/ZW-MN","as:GENC:6:3-11:ZW-MN")</f>
        <v>as:GENC:6:3-11:ZW-MN</v>
      </c>
    </row>
    <row r="5221" spans="1:7" x14ac:dyDescent="0.25">
      <c r="A5221" s="112"/>
      <c r="B5221" s="21" t="s">
        <v>12053</v>
      </c>
      <c r="C5221" s="21" t="s">
        <v>12054</v>
      </c>
      <c r="D5221" s="21" t="s">
        <v>1668</v>
      </c>
      <c r="E5221" s="50" t="b">
        <v>1</v>
      </c>
      <c r="F5221" s="72" t="str">
        <f>HYPERLINK("http://nsgreg.nga.mil/genc/view?v=296621&amp;end_month=6&amp;end_day=30&amp;end_year=2019","Matabeleland South")</f>
        <v>Matabeleland South</v>
      </c>
      <c r="G5221" s="72" t="str">
        <f>HYPERLINK("http://api.nsgreg.nga.mil/geo-division/GENC/6/3-11/ZW-MS","as:GENC:6:3-11:ZW-MS")</f>
        <v>as:GENC:6:3-11:ZW-MS</v>
      </c>
    </row>
    <row r="5222" spans="1:7" ht="13.8" thickBot="1" x14ac:dyDescent="0.3">
      <c r="A5222" s="114"/>
      <c r="B5222" s="67" t="s">
        <v>12055</v>
      </c>
      <c r="C5222" s="67" t="s">
        <v>12056</v>
      </c>
      <c r="D5222" s="67" t="s">
        <v>1668</v>
      </c>
      <c r="E5222" s="70" t="b">
        <v>1</v>
      </c>
      <c r="F5222" s="75" t="str">
        <f>HYPERLINK("http://nsgreg.nga.mil/genc/view?v=296619&amp;end_month=6&amp;end_day=30&amp;end_year=2019","Midlands")</f>
        <v>Midlands</v>
      </c>
      <c r="G5222" s="75" t="str">
        <f>HYPERLINK("http://api.nsgreg.nga.mil/geo-division/GENC/6/3-11/ZW-MI","as:GENC:6:3-11:ZW-MI")</f>
        <v>as:GENC:6:3-11:ZW-MI</v>
      </c>
    </row>
  </sheetData>
  <autoFilter ref="A3:E3" xr:uid="{00000000-0009-0000-0000-000002000000}"/>
  <mergeCells count="204">
    <mergeCell ref="A1:E2"/>
    <mergeCell ref="A4:A37"/>
    <mergeCell ref="A38:A49"/>
    <mergeCell ref="A50:A97"/>
    <mergeCell ref="A98:A104"/>
    <mergeCell ref="A174:A182"/>
    <mergeCell ref="A183:A260"/>
    <mergeCell ref="A261:A292"/>
    <mergeCell ref="A293:A296"/>
    <mergeCell ref="A297:A368"/>
    <mergeCell ref="A105:A122"/>
    <mergeCell ref="A123:A130"/>
    <mergeCell ref="A131:A154"/>
    <mergeCell ref="A155:A165"/>
    <mergeCell ref="A166:A173"/>
    <mergeCell ref="A418:A428"/>
    <mergeCell ref="A429:A448"/>
    <mergeCell ref="A449:A457"/>
    <mergeCell ref="A458:A460"/>
    <mergeCell ref="A461:A463"/>
    <mergeCell ref="A369:A379"/>
    <mergeCell ref="A380:A386"/>
    <mergeCell ref="A387:A399"/>
    <mergeCell ref="A400:A405"/>
    <mergeCell ref="A406:A417"/>
    <mergeCell ref="A597:A611"/>
    <mergeCell ref="A612:A629"/>
    <mergeCell ref="A630:A653"/>
    <mergeCell ref="A654:A678"/>
    <mergeCell ref="A679:A688"/>
    <mergeCell ref="A464:A479"/>
    <mergeCell ref="A480:A506"/>
    <mergeCell ref="A507:A510"/>
    <mergeCell ref="A511:A538"/>
    <mergeCell ref="A539:A596"/>
    <mergeCell ref="A789:A821"/>
    <mergeCell ref="A822:A824"/>
    <mergeCell ref="A825:A836"/>
    <mergeCell ref="A837:A862"/>
    <mergeCell ref="A863:A869"/>
    <mergeCell ref="A689:A701"/>
    <mergeCell ref="A702:A718"/>
    <mergeCell ref="A719:A741"/>
    <mergeCell ref="A742:A757"/>
    <mergeCell ref="A758:A788"/>
    <mergeCell ref="A1017:A1021"/>
    <mergeCell ref="A1022:A1027"/>
    <mergeCell ref="A1028:A1037"/>
    <mergeCell ref="A1038:A1079"/>
    <mergeCell ref="A1080:A1103"/>
    <mergeCell ref="A870:A883"/>
    <mergeCell ref="A884:A904"/>
    <mergeCell ref="A905:A920"/>
    <mergeCell ref="A921:A926"/>
    <mergeCell ref="A927:A1016"/>
    <mergeCell ref="A1175:A1178"/>
    <mergeCell ref="A1179:A1189"/>
    <mergeCell ref="A1190:A1218"/>
    <mergeCell ref="A1219:A1237"/>
    <mergeCell ref="A1238:A1256"/>
    <mergeCell ref="A1104:A1130"/>
    <mergeCell ref="A1131:A1144"/>
    <mergeCell ref="A1145:A1153"/>
    <mergeCell ref="A1154:A1159"/>
    <mergeCell ref="A1160:A1174"/>
    <mergeCell ref="A1399:A1414"/>
    <mergeCell ref="A1415:A1430"/>
    <mergeCell ref="A1431:A1444"/>
    <mergeCell ref="A1445:A1449"/>
    <mergeCell ref="A1450:A1456"/>
    <mergeCell ref="A1257:A1365"/>
    <mergeCell ref="A1366:A1370"/>
    <mergeCell ref="A1371:A1379"/>
    <mergeCell ref="A1380:A1386"/>
    <mergeCell ref="A1387:A1398"/>
    <mergeCell ref="A1552:A1569"/>
    <mergeCell ref="A1570:A1612"/>
    <mergeCell ref="A1613:A1686"/>
    <mergeCell ref="A1687:A1722"/>
    <mergeCell ref="A1723:A1763"/>
    <mergeCell ref="A1457:A1478"/>
    <mergeCell ref="A1479:A1519"/>
    <mergeCell ref="A1520:A1531"/>
    <mergeCell ref="A1532:A1541"/>
    <mergeCell ref="A1542:A1551"/>
    <mergeCell ref="A1976:A1989"/>
    <mergeCell ref="A1990:A2036"/>
    <mergeCell ref="A2037:A2048"/>
    <mergeCell ref="A2049:A2065"/>
    <mergeCell ref="A2066:A2112"/>
    <mergeCell ref="A1764:A1794"/>
    <mergeCell ref="A1795:A1812"/>
    <mergeCell ref="A1813:A1847"/>
    <mergeCell ref="A1848:A1853"/>
    <mergeCell ref="A1854:A1975"/>
    <mergeCell ref="A2195:A2212"/>
    <mergeCell ref="A2213:A2331"/>
    <mergeCell ref="A2332:A2339"/>
    <mergeCell ref="A2340:A2349"/>
    <mergeCell ref="A2350:A2364"/>
    <mergeCell ref="A2113:A2124"/>
    <mergeCell ref="A2125:A2141"/>
    <mergeCell ref="A2142:A2179"/>
    <mergeCell ref="A2180:A2185"/>
    <mergeCell ref="A2186:A2194"/>
    <mergeCell ref="A2486:A2516"/>
    <mergeCell ref="A2517:A2532"/>
    <mergeCell ref="A2533:A2553"/>
    <mergeCell ref="A2554:A2562"/>
    <mergeCell ref="A2563:A2630"/>
    <mergeCell ref="A2365:A2386"/>
    <mergeCell ref="A2387:A2397"/>
    <mergeCell ref="A2398:A2467"/>
    <mergeCell ref="A2468:A2479"/>
    <mergeCell ref="A2480:A2485"/>
    <mergeCell ref="A2725:A2761"/>
    <mergeCell ref="A2762:A2778"/>
    <mergeCell ref="A2779:A2800"/>
    <mergeCell ref="A2801:A2824"/>
    <mergeCell ref="A2825:A2827"/>
    <mergeCell ref="A2631:A2656"/>
    <mergeCell ref="A2657:A2671"/>
    <mergeCell ref="A2672:A2688"/>
    <mergeCell ref="A2689:A2720"/>
    <mergeCell ref="A2721:A2724"/>
    <mergeCell ref="A2968:A2979"/>
    <mergeCell ref="A2980:A2982"/>
    <mergeCell ref="A2983:A2999"/>
    <mergeCell ref="A3000:A3016"/>
    <mergeCell ref="A3017:A3024"/>
    <mergeCell ref="A2828:A2909"/>
    <mergeCell ref="A2910:A2920"/>
    <mergeCell ref="A2921:A2934"/>
    <mergeCell ref="A2935:A2948"/>
    <mergeCell ref="A2949:A2967"/>
    <mergeCell ref="A3169:A3184"/>
    <mergeCell ref="A3185:A3197"/>
    <mergeCell ref="A3198:A3219"/>
    <mergeCell ref="A3220:A3237"/>
    <mergeCell ref="A3238:A3263"/>
    <mergeCell ref="A3025:A3061"/>
    <mergeCell ref="A3062:A3132"/>
    <mergeCell ref="A3133:A3150"/>
    <mergeCell ref="A3151:A3161"/>
    <mergeCell ref="A3162:A3168"/>
    <mergeCell ref="A3486:A3568"/>
    <mergeCell ref="A3569:A3573"/>
    <mergeCell ref="A3574:A3576"/>
    <mergeCell ref="A3577:A3592"/>
    <mergeCell ref="A3593:A3602"/>
    <mergeCell ref="A3264:A3399"/>
    <mergeCell ref="A3400:A3415"/>
    <mergeCell ref="A3416:A3435"/>
    <mergeCell ref="A3436:A3443"/>
    <mergeCell ref="A3444:A3485"/>
    <mergeCell ref="A3649:A3662"/>
    <mergeCell ref="A3663:A3832"/>
    <mergeCell ref="A3833:A3857"/>
    <mergeCell ref="A3858:A3862"/>
    <mergeCell ref="A3863:A3867"/>
    <mergeCell ref="A3603:A3608"/>
    <mergeCell ref="A3609:A3619"/>
    <mergeCell ref="A3620:A3628"/>
    <mergeCell ref="A3629:A3635"/>
    <mergeCell ref="A3636:A3648"/>
    <mergeCell ref="A4125:A4134"/>
    <mergeCell ref="A4135:A4203"/>
    <mergeCell ref="A4204:A4237"/>
    <mergeCell ref="A4238:A4255"/>
    <mergeCell ref="A4256:A4265"/>
    <mergeCell ref="A3868:A3875"/>
    <mergeCell ref="A3876:A4087"/>
    <mergeCell ref="A4088:A4097"/>
    <mergeCell ref="A4098:A4115"/>
    <mergeCell ref="A4116:A4124"/>
    <mergeCell ref="A4354:A4384"/>
    <mergeCell ref="A4385:A4461"/>
    <mergeCell ref="A4462:A4474"/>
    <mergeCell ref="A4475:A4479"/>
    <mergeCell ref="A4480:A4484"/>
    <mergeCell ref="A4266:A4286"/>
    <mergeCell ref="A4287:A4312"/>
    <mergeCell ref="A4313:A4326"/>
    <mergeCell ref="A4327:A4348"/>
    <mergeCell ref="A4349:A4353"/>
    <mergeCell ref="A4619:A4744"/>
    <mergeCell ref="A4745:A4771"/>
    <mergeCell ref="A4772:A4778"/>
    <mergeCell ref="A4779:A4999"/>
    <mergeCell ref="A5000:A5050"/>
    <mergeCell ref="A4485:A4499"/>
    <mergeCell ref="A4500:A4523"/>
    <mergeCell ref="A4524:A4604"/>
    <mergeCell ref="A4605:A4610"/>
    <mergeCell ref="A4611:A4618"/>
    <mergeCell ref="A5178:A5180"/>
    <mergeCell ref="A5181:A5202"/>
    <mergeCell ref="A5203:A5212"/>
    <mergeCell ref="A5213:A5222"/>
    <mergeCell ref="A5051:A5069"/>
    <mergeCell ref="A5070:A5083"/>
    <mergeCell ref="A5084:A5089"/>
    <mergeCell ref="A5090:A5114"/>
    <mergeCell ref="A5115:A5177"/>
  </mergeCells>
  <pageMargins left="0.7" right="0.7" top="0.75" bottom="0.75" header="0.3" footer="0.3"/>
  <pageSetup orientation="portrait"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Codes_for_GE_Names</vt:lpstr>
      <vt:lpstr>Codes_for_AS_Names</vt:lpstr>
      <vt:lpstr>Codes_for_GE_Names!Print_Titles</vt:lpstr>
    </vt:vector>
  </TitlesOfParts>
  <Company>The MITRE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pbirkel</dc:creator>
  <cp:lastModifiedBy>Max S</cp:lastModifiedBy>
  <cp:lastPrinted>2012-11-15T09:13:23Z</cp:lastPrinted>
  <dcterms:created xsi:type="dcterms:W3CDTF">2012-07-12T07:02:21Z</dcterms:created>
  <dcterms:modified xsi:type="dcterms:W3CDTF">2026-05-29T12:15:22Z</dcterms:modified>
</cp:coreProperties>
</file>